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codeName="ThisWorkbook" defaultThemeVersion="166925"/>
  <mc:AlternateContent xmlns:mc="http://schemas.openxmlformats.org/markup-compatibility/2006">
    <mc:Choice Requires="x15">
      <x15ac:absPath xmlns:x15ac="http://schemas.microsoft.com/office/spreadsheetml/2010/11/ac" url="/Users/carlogalli/Library/CloudStorage/Dropbox/CACs/"/>
    </mc:Choice>
  </mc:AlternateContent>
  <xr:revisionPtr revIDLastSave="0" documentId="13_ncr:1_{252ED801-7C72-9144-8E82-687822603AC2}" xr6:coauthVersionLast="47" xr6:coauthVersionMax="47" xr10:uidLastSave="{00000000-0000-0000-0000-000000000000}"/>
  <bookViews>
    <workbookView xWindow="0" yWindow="600" windowWidth="38400" windowHeight="19800" tabRatio="769" xr2:uid="{D81A176D-9AC1-47CD-A7FA-3C57B7BF689F}"/>
  </bookViews>
  <sheets>
    <sheet name="README" sheetId="44" r:id="rId1"/>
    <sheet name="EBs List" sheetId="26" r:id="rId2"/>
    <sheet name="Kirchner EBs Cashflows" sheetId="29" r:id="rId3"/>
    <sheet name="EBs NPVs" sheetId="19" r:id="rId4"/>
    <sheet name="EBs Prices" sheetId="33" r:id="rId5"/>
    <sheet name="Exchange Offer" sheetId="25" r:id="rId6"/>
    <sheet name="Exchange Results" sheetId="22" r:id="rId7"/>
    <sheet name="NBs List" sheetId="1" r:id="rId8"/>
    <sheet name="NBs NPVs" sheetId="40" r:id="rId9"/>
    <sheet name="NBs Prices" sheetId="24" r:id="rId10"/>
  </sheets>
  <definedNames>
    <definedName name="_xlnm._FilterDatabase" localSheetId="7" hidden="1">'NBs List'!#REF!</definedName>
    <definedName name="chfeur_exit">'NBs List'!$P$5</definedName>
    <definedName name="chfeur_offer">'Exchange Offer'!$B$4</definedName>
    <definedName name="chfusd_exit">'NBs List'!$P$4</definedName>
    <definedName name="chfusd_offer">'Exchange Offer'!$B$3</definedName>
    <definedName name="ds_oldbonds_123">#REF!</definedName>
    <definedName name="ds_oldbonds_data">#REF!</definedName>
    <definedName name="eurusd_exit">'NBs List'!$P$3</definedName>
    <definedName name="eurusd_offer">'Exchange Offer'!$B$2</definedName>
    <definedName name="exit_newbonds">'NBs List'!$A$3:$A$14</definedName>
    <definedName name="exit_prices">'NBs List'!$M$3:$M$14</definedName>
    <definedName name="exit_yields">'NBs List'!$N$3:$N$14</definedName>
    <definedName name="key_date">#REF!</definedName>
    <definedName name="new_bond_ref">#REF!</definedName>
    <definedName name="NPVs_oldbonds_durations">'EBs NPVs'!$E$121:$E$145</definedName>
    <definedName name="NPVs_oldbonds_names">'EBs NPVs'!$A$121:$A$145</definedName>
    <definedName name="NPVs_oldbonds_vals">'EBs NPVs'!$F$121:$F$145</definedName>
    <definedName name="offer_adj_newbonds">'Exchange Offer'!$D$37:$O$37</definedName>
    <definedName name="offer_adj_notender_newbonds">'Exchange Offer'!$Q$37:$AB$37</definedName>
    <definedName name="offer_adj_notender_vals">'Exchange Offer'!$Q$38:$AB$62</definedName>
    <definedName name="offer_adj_oldbonds">'Exchange Offer'!$A$38:$A$62</definedName>
    <definedName name="offer_adj_oldbonds_alt">'Exchange Offer'!$C$38:$C$62</definedName>
    <definedName name="offer_adj_vals">'Exchange Offer'!$D$38:$O$62</definedName>
    <definedName name="offer_raw_newbonds">'Exchange Offer'!$D$8:$O$8</definedName>
    <definedName name="offer_raw_oldbonds">'Exchange Offer'!$A$9:$A$33</definedName>
    <definedName name="offer_raw_vals">'Exchange Offer'!$D$9:$O$33</definedName>
    <definedName name="old_bond_ref">#REF!</definedName>
    <definedName name="OldBonds">#REF!</definedName>
    <definedName name="oldbonds_prices_dates">#REF!</definedName>
    <definedName name="oldbonds_prices_names">#REF!</definedName>
    <definedName name="oldbonds_prices_vals">#REF!</definedName>
    <definedName name="orders_afterAPPs_newbonds">'Exchange Results'!$AM$3:$AV$3</definedName>
    <definedName name="orders_afterAPPs_vals">'Exchange Results'!$AM$4:$AV$28</definedName>
    <definedName name="orders_beforeAPPs_newbonds">'Exchange Results'!$AC$3:$AL$3</definedName>
    <definedName name="orders_beforeAPPs_vals">'Exchange Results'!$AC$4:$AL$28</definedName>
    <definedName name="orders_oldbonds">'Exchange Results'!$A$4:$A$28</definedName>
    <definedName name="results_names">'Exchange Results'!$C$3:$C$28</definedName>
    <definedName name="results_vals">'Exchange Results'!$C$3:$AV$28</definedName>
    <definedName name="RRs_adj_oldbonds">'Exchange Results'!$A$64:$A$88</definedName>
    <definedName name="RRs_mkt_newbonds">'Exchange Results'!$D$32:$M$32</definedName>
    <definedName name="RRs_mkt_vals">'Exchange Results'!$D$33:$M$57</definedName>
    <definedName name="RRs_mktadj_newbonds">'Exchange Results'!$D$63:$M$63</definedName>
    <definedName name="RRs_mktadj_vals">'Exchange Results'!$D$64:$M$88</definedName>
    <definedName name="RRs_oldbonds">'Exchange Results'!$A$33:$A$57</definedName>
    <definedName name="RRs_sz_newbonds">'Exchange Results'!$R$32:$AA$32</definedName>
    <definedName name="RRs_sz_vals">'Exchange Results'!$R$33:$AA$57</definedName>
    <definedName name="RRs_szadj_newbonds">'Exchange Results'!$N$63:$W$63</definedName>
    <definedName name="RRs_szadj_vals">'Exchange Results'!$N$64:$W$88</definedName>
    <definedName name="TRNR_1507698fbe654257b825fd6da6ff517b_788_2" hidden="1">#REF!</definedName>
    <definedName name="TRNR_37293b2c2035440f988301ce72f4ad9a_267_574" hidden="1">#REF!</definedName>
    <definedName name="TRNR_43ff380328be4056b74ff128c923a090_267_574" hidden="1">#REF!</definedName>
    <definedName name="TRNR_47bfdfc2717a46898ba3d9282a08af2f_267_82" hidden="1">#REF!</definedName>
    <definedName name="TRNR_672a453e5cbc484bb6e32c143c5c1c55_528_28" hidden="1">#REF!</definedName>
    <definedName name="TRNR_6bbdaf18b4904b91a3ed7c8b8e41b7b6_201_46" hidden="1">#REF!</definedName>
    <definedName name="TRNR_712a01f6647643dc8a7ab5f6181cafeb_528_46" hidden="1">#REF!</definedName>
    <definedName name="TRNR_810d03a89c994803bf9791e971d7515e_267_82" hidden="1">#REF!</definedName>
    <definedName name="TRNR_83dbf84b631248e2bafc856b19cdc159_42_15" hidden="1">#REF!</definedName>
    <definedName name="TRNR_aad26bf88beb4e6098c0ddac8b6093a0_201_574" hidden="1">#REF!</definedName>
    <definedName name="TRNR_ad3f625a4f97465b914834dfc1ba9567_42_3" hidden="1">#REF!</definedName>
    <definedName name="TRNR_b99f12c8290348959ac4c8c2b584bbc2_6_574" hidden="1">#REF!</definedName>
    <definedName name="TRNR_d44e7a63b39b4dca8e0c7fa0600ede19_6_82" hidden="1">#REF!</definedName>
    <definedName name="TRNR_f59956e9dc72453c86770e5bcc582824_625_46"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M2" i="1"/>
  <c r="AQ41" i="19"/>
  <c r="AQ42" i="19" s="1"/>
  <c r="AP41" i="19"/>
  <c r="AP42" i="19" s="1"/>
  <c r="AO41" i="19"/>
  <c r="AO42" i="19" s="1"/>
  <c r="AN41" i="19"/>
  <c r="AN42" i="19" s="1"/>
  <c r="AM41" i="19"/>
  <c r="AM42" i="19" s="1"/>
  <c r="AL41" i="19"/>
  <c r="AL42" i="19" s="1"/>
  <c r="AK41" i="19"/>
  <c r="AK42" i="19" s="1"/>
  <c r="AJ41" i="19"/>
  <c r="AJ42" i="19" s="1"/>
  <c r="AI41" i="19"/>
  <c r="AI42" i="19" s="1"/>
  <c r="AH41" i="19"/>
  <c r="AH42" i="19" s="1"/>
  <c r="AG41" i="19"/>
  <c r="AG42" i="19" s="1"/>
  <c r="AH38" i="19"/>
  <c r="AG38" i="19"/>
  <c r="AQ37" i="19"/>
  <c r="AQ38" i="19" s="1"/>
  <c r="AP37" i="19"/>
  <c r="AP38" i="19" s="1"/>
  <c r="AO37" i="19"/>
  <c r="AO38" i="19" s="1"/>
  <c r="AN37" i="19"/>
  <c r="AN38" i="19" s="1"/>
  <c r="AM37" i="19"/>
  <c r="AM38" i="19" s="1"/>
  <c r="AL37" i="19"/>
  <c r="AL38" i="19" s="1"/>
  <c r="AK37" i="19"/>
  <c r="AK38" i="19" s="1"/>
  <c r="AJ37" i="19"/>
  <c r="AJ38" i="19" s="1"/>
  <c r="AI37" i="19"/>
  <c r="AI38" i="19" s="1"/>
  <c r="AH37" i="19"/>
  <c r="AG37" i="19"/>
  <c r="G145" i="19" l="1"/>
  <c r="G144" i="19"/>
  <c r="G143" i="19"/>
  <c r="G142" i="19"/>
  <c r="G141" i="19"/>
  <c r="G140" i="19"/>
  <c r="G139" i="19"/>
  <c r="G138" i="19"/>
  <c r="G137" i="19"/>
  <c r="G136" i="19"/>
  <c r="G135" i="19"/>
  <c r="G134" i="19"/>
  <c r="G133" i="19"/>
  <c r="G132" i="19"/>
  <c r="G131" i="19"/>
  <c r="G130" i="19"/>
  <c r="G129" i="19"/>
  <c r="C2" i="29" l="1"/>
  <c r="D2" i="29"/>
  <c r="F2" i="29" s="1"/>
  <c r="H2" i="29" s="1"/>
  <c r="J2" i="29" s="1"/>
  <c r="L2" i="29" s="1"/>
  <c r="N2" i="29" s="1"/>
  <c r="P2" i="29" s="1"/>
  <c r="R2" i="29" s="1"/>
  <c r="T2" i="29" s="1"/>
  <c r="V2" i="29" s="1"/>
  <c r="X2" i="29" s="1"/>
  <c r="Z2" i="29" s="1"/>
  <c r="AB2" i="29" s="1"/>
  <c r="AD2" i="29" s="1"/>
  <c r="AF2" i="29" s="1"/>
  <c r="AH2" i="29" s="1"/>
  <c r="AJ2" i="29" s="1"/>
  <c r="AL2" i="29" s="1"/>
  <c r="AN2" i="29" s="1"/>
  <c r="AP2" i="29" s="1"/>
  <c r="AR2" i="29" s="1"/>
  <c r="AT2" i="29" s="1"/>
  <c r="AV2" i="29" s="1"/>
  <c r="AX2" i="29" s="1"/>
  <c r="AZ2" i="29" s="1"/>
  <c r="BB2" i="29" s="1"/>
  <c r="BD2" i="29" s="1"/>
  <c r="BF2" i="29" s="1"/>
  <c r="BH2" i="29" s="1"/>
  <c r="BJ2" i="29" s="1"/>
  <c r="B3" i="29"/>
  <c r="C3" i="29"/>
  <c r="C6" i="29" s="1"/>
  <c r="C9" i="29" s="1"/>
  <c r="D3" i="29"/>
  <c r="E3" i="29"/>
  <c r="F3" i="29"/>
  <c r="G3" i="29"/>
  <c r="H3" i="29"/>
  <c r="I3" i="29"/>
  <c r="J3" i="29"/>
  <c r="K3" i="29"/>
  <c r="L3" i="29"/>
  <c r="M3" i="29"/>
  <c r="N3" i="29"/>
  <c r="O3" i="29"/>
  <c r="P3" i="29"/>
  <c r="Q3" i="29"/>
  <c r="R3" i="29"/>
  <c r="S3" i="29"/>
  <c r="T3" i="29"/>
  <c r="U3" i="29"/>
  <c r="V3" i="29"/>
  <c r="B4" i="29"/>
  <c r="C4" i="29"/>
  <c r="C7" i="29" s="1"/>
  <c r="D5" i="29" s="1"/>
  <c r="D4" i="29"/>
  <c r="E4" i="29"/>
  <c r="F4" i="29"/>
  <c r="G4" i="29"/>
  <c r="H4" i="29"/>
  <c r="I4" i="29"/>
  <c r="J4" i="29"/>
  <c r="K4" i="29"/>
  <c r="L4" i="29"/>
  <c r="M4" i="29"/>
  <c r="N4" i="29"/>
  <c r="O4" i="29"/>
  <c r="P4" i="29"/>
  <c r="Q4" i="29"/>
  <c r="R4" i="29"/>
  <c r="S4" i="29"/>
  <c r="T4" i="29"/>
  <c r="U4" i="29"/>
  <c r="V4" i="29"/>
  <c r="C5" i="29"/>
  <c r="B9" i="29"/>
  <c r="C12" i="29"/>
  <c r="C14" i="29"/>
  <c r="C15" i="29" s="1"/>
  <c r="C17" i="29" s="1"/>
  <c r="B17" i="29"/>
  <c r="C20" i="29"/>
  <c r="E20" i="29" s="1"/>
  <c r="G20" i="29" s="1"/>
  <c r="I20" i="29" s="1"/>
  <c r="K20" i="29" s="1"/>
  <c r="M20" i="29" s="1"/>
  <c r="O20" i="29" s="1"/>
  <c r="Q20" i="29" s="1"/>
  <c r="S20" i="29" s="1"/>
  <c r="U20" i="29" s="1"/>
  <c r="W20" i="29" s="1"/>
  <c r="Y20" i="29" s="1"/>
  <c r="AA20" i="29" s="1"/>
  <c r="AC20" i="29" s="1"/>
  <c r="AE20" i="29" s="1"/>
  <c r="AG20" i="29" s="1"/>
  <c r="AI20" i="29" s="1"/>
  <c r="AK20" i="29" s="1"/>
  <c r="AM20" i="29" s="1"/>
  <c r="AO20" i="29" s="1"/>
  <c r="AQ20" i="29" s="1"/>
  <c r="AS20" i="29" s="1"/>
  <c r="AU20" i="29" s="1"/>
  <c r="AW20" i="29" s="1"/>
  <c r="AY20" i="29" s="1"/>
  <c r="BA20" i="29" s="1"/>
  <c r="BC20" i="29" s="1"/>
  <c r="BE20" i="29" s="1"/>
  <c r="BG20" i="29" s="1"/>
  <c r="BI20" i="29" s="1"/>
  <c r="D20" i="29"/>
  <c r="F20" i="29"/>
  <c r="H20" i="29" s="1"/>
  <c r="J20" i="29" s="1"/>
  <c r="L20" i="29" s="1"/>
  <c r="N20" i="29" s="1"/>
  <c r="P20" i="29" s="1"/>
  <c r="R20" i="29" s="1"/>
  <c r="T20" i="29" s="1"/>
  <c r="V20" i="29" s="1"/>
  <c r="X20" i="29" s="1"/>
  <c r="Z20" i="29" s="1"/>
  <c r="AB20" i="29" s="1"/>
  <c r="AD20" i="29" s="1"/>
  <c r="C23" i="29"/>
  <c r="C24" i="29" s="1"/>
  <c r="C27" i="29" s="1"/>
  <c r="C25" i="29"/>
  <c r="D23" i="29" s="1"/>
  <c r="B27" i="29"/>
  <c r="C30" i="29"/>
  <c r="E30" i="29" s="1"/>
  <c r="G30" i="29" s="1"/>
  <c r="I30" i="29" s="1"/>
  <c r="K30" i="29" s="1"/>
  <c r="M30" i="29" s="1"/>
  <c r="O30" i="29" s="1"/>
  <c r="Q30" i="29" s="1"/>
  <c r="S30" i="29" s="1"/>
  <c r="U30" i="29" s="1"/>
  <c r="W30" i="29" s="1"/>
  <c r="Y30" i="29" s="1"/>
  <c r="AA30" i="29" s="1"/>
  <c r="AC30" i="29" s="1"/>
  <c r="AE30" i="29" s="1"/>
  <c r="AG30" i="29" s="1"/>
  <c r="AI30" i="29" s="1"/>
  <c r="AK30" i="29" s="1"/>
  <c r="AM30" i="29" s="1"/>
  <c r="AO30" i="29" s="1"/>
  <c r="AQ30" i="29" s="1"/>
  <c r="AS30" i="29" s="1"/>
  <c r="AU30" i="29" s="1"/>
  <c r="D30" i="29"/>
  <c r="F30" i="29" s="1"/>
  <c r="H30" i="29" s="1"/>
  <c r="J30" i="29" s="1"/>
  <c r="L30" i="29" s="1"/>
  <c r="N30" i="29" s="1"/>
  <c r="P30" i="29" s="1"/>
  <c r="R30" i="29" s="1"/>
  <c r="T30" i="29" s="1"/>
  <c r="V30" i="29" s="1"/>
  <c r="X30" i="29" s="1"/>
  <c r="Z30" i="29" s="1"/>
  <c r="AB30" i="29" s="1"/>
  <c r="AD30" i="29" s="1"/>
  <c r="AF30" i="29" s="1"/>
  <c r="AH30" i="29" s="1"/>
  <c r="AJ30" i="29" s="1"/>
  <c r="AL30" i="29" s="1"/>
  <c r="AN30" i="29" s="1"/>
  <c r="AP30" i="29" s="1"/>
  <c r="AR30" i="29" s="1"/>
  <c r="AT30" i="29" s="1"/>
  <c r="AV30" i="29" s="1"/>
  <c r="AX30" i="29" s="1"/>
  <c r="AZ30" i="29" s="1"/>
  <c r="BB30" i="29" s="1"/>
  <c r="BD30" i="29" s="1"/>
  <c r="BF30" i="29" s="1"/>
  <c r="BH30" i="29" s="1"/>
  <c r="BJ30" i="29" s="1"/>
  <c r="BL30" i="29" s="1"/>
  <c r="BN30" i="29" s="1"/>
  <c r="BP30" i="29" s="1"/>
  <c r="BR30" i="29" s="1"/>
  <c r="BT30" i="29" s="1"/>
  <c r="C32" i="29"/>
  <c r="C33" i="29" s="1"/>
  <c r="C35" i="29" s="1"/>
  <c r="D32" i="29"/>
  <c r="E32" i="29" s="1"/>
  <c r="B35" i="29"/>
  <c r="G42" i="24"/>
  <c r="G43" i="24"/>
  <c r="F40" i="24"/>
  <c r="F39" i="24"/>
  <c r="F38" i="24"/>
  <c r="F37" i="24"/>
  <c r="F36" i="24"/>
  <c r="F35" i="24"/>
  <c r="F34" i="24"/>
  <c r="F33" i="24"/>
  <c r="F32" i="24"/>
  <c r="F31" i="24"/>
  <c r="F30" i="24"/>
  <c r="F29" i="24"/>
  <c r="F28" i="24"/>
  <c r="F27" i="24"/>
  <c r="F26" i="24"/>
  <c r="F25" i="24"/>
  <c r="F24" i="24"/>
  <c r="F19" i="24"/>
  <c r="F18" i="24"/>
  <c r="F17" i="24"/>
  <c r="F16" i="24"/>
  <c r="F15" i="24"/>
  <c r="F14" i="24"/>
  <c r="F13" i="24"/>
  <c r="F12" i="24"/>
  <c r="F11" i="24"/>
  <c r="F10" i="24"/>
  <c r="F9" i="24"/>
  <c r="F8" i="24"/>
  <c r="F7" i="24"/>
  <c r="F6" i="24"/>
  <c r="F5" i="24"/>
  <c r="F4" i="24"/>
  <c r="F3" i="24"/>
  <c r="A40" i="24"/>
  <c r="A39" i="24"/>
  <c r="A38" i="24"/>
  <c r="A37" i="24"/>
  <c r="A36" i="24"/>
  <c r="A35" i="24"/>
  <c r="A34" i="24"/>
  <c r="A33" i="24"/>
  <c r="A32" i="24"/>
  <c r="A31" i="24"/>
  <c r="A30" i="24"/>
  <c r="A29" i="24"/>
  <c r="A28" i="24"/>
  <c r="A27" i="24"/>
  <c r="A26" i="24"/>
  <c r="A25" i="24"/>
  <c r="A24" i="24"/>
  <c r="A19" i="24"/>
  <c r="A18" i="24"/>
  <c r="A17" i="24"/>
  <c r="A16" i="24"/>
  <c r="A15" i="24"/>
  <c r="A14" i="24"/>
  <c r="A13" i="24"/>
  <c r="A12" i="24"/>
  <c r="A11" i="24"/>
  <c r="A10" i="24"/>
  <c r="A9" i="24"/>
  <c r="A8" i="24"/>
  <c r="A7" i="24"/>
  <c r="A6" i="24"/>
  <c r="A5" i="24"/>
  <c r="A4" i="24"/>
  <c r="A3" i="24"/>
  <c r="D6" i="29" l="1"/>
  <c r="D9" i="29" s="1"/>
  <c r="D33" i="29"/>
  <c r="D35" i="29" s="1"/>
  <c r="D14" i="29"/>
  <c r="AF20" i="29"/>
  <c r="AH20" i="29" s="1"/>
  <c r="AJ20" i="29" s="1"/>
  <c r="AL20" i="29" s="1"/>
  <c r="AN20" i="29" s="1"/>
  <c r="AP20" i="29" s="1"/>
  <c r="AR20" i="29" s="1"/>
  <c r="AT20" i="29" s="1"/>
  <c r="AV20" i="29" s="1"/>
  <c r="AX20" i="29" s="1"/>
  <c r="AZ20" i="29" s="1"/>
  <c r="BB20" i="29" s="1"/>
  <c r="BD20" i="29" s="1"/>
  <c r="BF20" i="29" s="1"/>
  <c r="BH20" i="29" s="1"/>
  <c r="BJ20" i="29" s="1"/>
  <c r="AW30" i="29"/>
  <c r="AY30" i="29" s="1"/>
  <c r="BA30" i="29" s="1"/>
  <c r="BC30" i="29" s="1"/>
  <c r="BE30" i="29" s="1"/>
  <c r="BG30" i="29" s="1"/>
  <c r="BI30" i="29" s="1"/>
  <c r="BK30" i="29" s="1"/>
  <c r="BM30" i="29" s="1"/>
  <c r="BO30" i="29" s="1"/>
  <c r="BQ30" i="29" s="1"/>
  <c r="BS30" i="29" s="1"/>
  <c r="D24" i="29"/>
  <c r="D27" i="29" s="1"/>
  <c r="D7" i="29"/>
  <c r="E5" i="29"/>
  <c r="D25" i="29"/>
  <c r="E23" i="29" s="1"/>
  <c r="F32" i="29"/>
  <c r="E33" i="29"/>
  <c r="E35" i="29" s="1"/>
  <c r="D15" i="29"/>
  <c r="D17" i="29" s="1"/>
  <c r="E14" i="29"/>
  <c r="D12" i="29"/>
  <c r="E12" i="29"/>
  <c r="G12" i="29" s="1"/>
  <c r="I12" i="29" s="1"/>
  <c r="K12" i="29" s="1"/>
  <c r="M12" i="29" s="1"/>
  <c r="O12" i="29" s="1"/>
  <c r="Q12" i="29" s="1"/>
  <c r="S12" i="29" s="1"/>
  <c r="U12" i="29" s="1"/>
  <c r="W12" i="29" s="1"/>
  <c r="Y12" i="29" s="1"/>
  <c r="AA12" i="29" s="1"/>
  <c r="AC12" i="29" s="1"/>
  <c r="AE12" i="29" s="1"/>
  <c r="AG12" i="29" s="1"/>
  <c r="AI12" i="29" s="1"/>
  <c r="AK12" i="29" s="1"/>
  <c r="AM12" i="29" s="1"/>
  <c r="AO12" i="29" s="1"/>
  <c r="AQ12" i="29" s="1"/>
  <c r="AS12" i="29" s="1"/>
  <c r="AU12" i="29" s="1"/>
  <c r="AW12" i="29" s="1"/>
  <c r="AY12" i="29" s="1"/>
  <c r="BA12" i="29" s="1"/>
  <c r="BC12" i="29" s="1"/>
  <c r="BE12" i="29" s="1"/>
  <c r="BG12" i="29" s="1"/>
  <c r="BI12" i="29" s="1"/>
  <c r="BK12" i="29" s="1"/>
  <c r="BM12" i="29" s="1"/>
  <c r="BO12" i="29" s="1"/>
  <c r="BQ12" i="29" s="1"/>
  <c r="BS12" i="29" s="1"/>
  <c r="E2" i="29"/>
  <c r="C68" i="33"/>
  <c r="C83" i="19"/>
  <c r="C110" i="19" s="1"/>
  <c r="C140" i="19" s="1"/>
  <c r="C70" i="19"/>
  <c r="C97" i="19" s="1"/>
  <c r="C127" i="19" s="1"/>
  <c r="C69" i="19"/>
  <c r="C96" i="19" s="1"/>
  <c r="C126" i="19" s="1"/>
  <c r="C68" i="19"/>
  <c r="C95" i="19" s="1"/>
  <c r="C125" i="19" s="1"/>
  <c r="C61" i="19"/>
  <c r="C88" i="19" s="1"/>
  <c r="C115" i="19" s="1"/>
  <c r="C145" i="19" s="1"/>
  <c r="C60" i="19"/>
  <c r="C87" i="19" s="1"/>
  <c r="C114" i="19" s="1"/>
  <c r="C144" i="19" s="1"/>
  <c r="C59" i="19"/>
  <c r="C86" i="19" s="1"/>
  <c r="C113" i="19" s="1"/>
  <c r="C143" i="19" s="1"/>
  <c r="C58" i="19"/>
  <c r="C85" i="19" s="1"/>
  <c r="C112" i="19" s="1"/>
  <c r="C142" i="19" s="1"/>
  <c r="C57" i="19"/>
  <c r="C84" i="19" s="1"/>
  <c r="C111" i="19" s="1"/>
  <c r="C141" i="19" s="1"/>
  <c r="C56" i="19"/>
  <c r="C55" i="19"/>
  <c r="C82" i="19" s="1"/>
  <c r="C109" i="19" s="1"/>
  <c r="C139" i="19" s="1"/>
  <c r="C54" i="19"/>
  <c r="C81" i="19" s="1"/>
  <c r="C108" i="19" s="1"/>
  <c r="C138" i="19" s="1"/>
  <c r="C53" i="19"/>
  <c r="C80" i="19" s="1"/>
  <c r="C107" i="19" s="1"/>
  <c r="C137" i="19" s="1"/>
  <c r="C52" i="19"/>
  <c r="C79" i="19" s="1"/>
  <c r="C106" i="19" s="1"/>
  <c r="C136" i="19" s="1"/>
  <c r="C51" i="19"/>
  <c r="C78" i="19" s="1"/>
  <c r="C105" i="19" s="1"/>
  <c r="C135" i="19" s="1"/>
  <c r="C50" i="19"/>
  <c r="C77" i="19" s="1"/>
  <c r="C104" i="19" s="1"/>
  <c r="C134" i="19" s="1"/>
  <c r="C49" i="19"/>
  <c r="C76" i="19" s="1"/>
  <c r="C103" i="19" s="1"/>
  <c r="C133" i="19" s="1"/>
  <c r="C48" i="19"/>
  <c r="C75" i="19" s="1"/>
  <c r="C102" i="19" s="1"/>
  <c r="C132" i="19" s="1"/>
  <c r="C47" i="19"/>
  <c r="C74" i="19" s="1"/>
  <c r="C101" i="19" s="1"/>
  <c r="C131" i="19" s="1"/>
  <c r="C46" i="19"/>
  <c r="C73" i="19" s="1"/>
  <c r="C100" i="19" s="1"/>
  <c r="C130" i="19" s="1"/>
  <c r="C45" i="19"/>
  <c r="C72" i="19" s="1"/>
  <c r="C99" i="19" s="1"/>
  <c r="C129" i="19" s="1"/>
  <c r="C44" i="19"/>
  <c r="C71" i="19" s="1"/>
  <c r="C98" i="19" s="1"/>
  <c r="C128" i="19" s="1"/>
  <c r="C43" i="19"/>
  <c r="C42" i="19"/>
  <c r="C41" i="19"/>
  <c r="C40" i="19"/>
  <c r="C67" i="19" s="1"/>
  <c r="C94" i="19" s="1"/>
  <c r="C124" i="19" s="1"/>
  <c r="C39" i="19"/>
  <c r="C66" i="19" s="1"/>
  <c r="C93" i="19" s="1"/>
  <c r="C123" i="19" s="1"/>
  <c r="C38" i="19"/>
  <c r="C65" i="19" s="1"/>
  <c r="C92" i="19" s="1"/>
  <c r="C122" i="19" s="1"/>
  <c r="C37" i="19"/>
  <c r="C64" i="19" s="1"/>
  <c r="C91" i="19" s="1"/>
  <c r="C121" i="19" s="1"/>
  <c r="A78" i="40"/>
  <c r="BB61" i="40" s="1"/>
  <c r="D14" i="40"/>
  <c r="B29" i="40" s="1"/>
  <c r="B59" i="40" s="1"/>
  <c r="D13" i="40"/>
  <c r="B28" i="40" s="1"/>
  <c r="B58" i="40" s="1"/>
  <c r="D12" i="40"/>
  <c r="B27" i="40" s="1"/>
  <c r="B57" i="40" s="1"/>
  <c r="D11" i="40"/>
  <c r="B26" i="40" s="1"/>
  <c r="B56" i="40" s="1"/>
  <c r="D10" i="40"/>
  <c r="B25" i="40" s="1"/>
  <c r="B55" i="40" s="1"/>
  <c r="D9" i="40"/>
  <c r="B24" i="40" s="1"/>
  <c r="B54" i="40" s="1"/>
  <c r="D8" i="40"/>
  <c r="B23" i="40" s="1"/>
  <c r="B53" i="40" s="1"/>
  <c r="D7" i="40"/>
  <c r="B22" i="40" s="1"/>
  <c r="B52" i="40" s="1"/>
  <c r="D6" i="40"/>
  <c r="B21" i="40" s="1"/>
  <c r="B51" i="40" s="1"/>
  <c r="D5" i="40"/>
  <c r="B20" i="40" s="1"/>
  <c r="B50" i="40" s="1"/>
  <c r="D4" i="40"/>
  <c r="B19" i="40" s="1"/>
  <c r="B49" i="40" s="1"/>
  <c r="D3" i="40"/>
  <c r="B18" i="40" s="1"/>
  <c r="B48" i="40" s="1"/>
  <c r="E14" i="40"/>
  <c r="E13" i="40"/>
  <c r="E12" i="40"/>
  <c r="E11" i="40"/>
  <c r="E10" i="40"/>
  <c r="E9" i="40"/>
  <c r="E8" i="40"/>
  <c r="E7" i="40"/>
  <c r="E6" i="40"/>
  <c r="E5" i="40"/>
  <c r="E4" i="40"/>
  <c r="E3" i="40"/>
  <c r="N14" i="1"/>
  <c r="B91" i="40" s="1"/>
  <c r="M14" i="1"/>
  <c r="N13" i="1"/>
  <c r="B90" i="40" s="1"/>
  <c r="M13" i="1"/>
  <c r="N12" i="1"/>
  <c r="B89" i="40" s="1"/>
  <c r="M12" i="1"/>
  <c r="N11" i="1"/>
  <c r="B88" i="40" s="1"/>
  <c r="M11" i="1"/>
  <c r="N10" i="1"/>
  <c r="B87" i="40" s="1"/>
  <c r="M10" i="1"/>
  <c r="N9" i="1"/>
  <c r="B86" i="40" s="1"/>
  <c r="M9" i="1"/>
  <c r="N8" i="1"/>
  <c r="B85" i="40" s="1"/>
  <c r="M8" i="1"/>
  <c r="N7" i="1"/>
  <c r="B84" i="40" s="1"/>
  <c r="M7" i="1"/>
  <c r="N6" i="1"/>
  <c r="B83" i="40" s="1"/>
  <c r="M6" i="1"/>
  <c r="N5" i="1"/>
  <c r="B82" i="40" s="1"/>
  <c r="M5" i="1"/>
  <c r="N4" i="1"/>
  <c r="B81" i="40" s="1"/>
  <c r="M4" i="1"/>
  <c r="N3" i="1"/>
  <c r="B80" i="40" s="1"/>
  <c r="M3" i="1"/>
  <c r="D26" i="19"/>
  <c r="K19" i="26" s="1"/>
  <c r="D25" i="19"/>
  <c r="K18" i="26" s="1"/>
  <c r="D24" i="19"/>
  <c r="K17" i="26" s="1"/>
  <c r="D22" i="19"/>
  <c r="K15" i="26" s="1"/>
  <c r="D21" i="19"/>
  <c r="K14" i="26" s="1"/>
  <c r="D20" i="19"/>
  <c r="K13" i="26" s="1"/>
  <c r="D19" i="19"/>
  <c r="K12" i="26" s="1"/>
  <c r="D18" i="19"/>
  <c r="K11" i="26" s="1"/>
  <c r="D17" i="19"/>
  <c r="K10" i="26" s="1"/>
  <c r="D16" i="19"/>
  <c r="K9" i="26" s="1"/>
  <c r="D15" i="19"/>
  <c r="D14" i="19"/>
  <c r="K7" i="26" s="1"/>
  <c r="D13" i="19"/>
  <c r="K6" i="26" s="1"/>
  <c r="D12" i="19"/>
  <c r="K5" i="26" s="1"/>
  <c r="D11" i="19"/>
  <c r="D10" i="19"/>
  <c r="K3" i="26" s="1"/>
  <c r="D9" i="19"/>
  <c r="K2" i="26" s="1"/>
  <c r="E24" i="29" l="1"/>
  <c r="E27" i="29" s="1"/>
  <c r="F14" i="29"/>
  <c r="E15" i="29"/>
  <c r="E17" i="29" s="1"/>
  <c r="G2" i="29"/>
  <c r="E7" i="29"/>
  <c r="F5" i="29" s="1"/>
  <c r="E25" i="29"/>
  <c r="F23" i="29" s="1"/>
  <c r="E6" i="29"/>
  <c r="E9" i="29" s="1"/>
  <c r="G32" i="29"/>
  <c r="F33" i="29"/>
  <c r="F35" i="29" s="1"/>
  <c r="F12" i="29"/>
  <c r="K8" i="26"/>
  <c r="BA76" i="40"/>
  <c r="K4" i="26"/>
  <c r="BA68" i="40"/>
  <c r="BA69" i="40"/>
  <c r="BA72" i="40"/>
  <c r="BA70" i="40"/>
  <c r="BA65" i="40"/>
  <c r="BA73" i="40"/>
  <c r="AP61" i="40"/>
  <c r="AO75" i="40" s="1"/>
  <c r="BA71" i="40"/>
  <c r="BA67" i="40"/>
  <c r="BA74" i="40"/>
  <c r="BA66" i="40"/>
  <c r="BA75" i="40"/>
  <c r="M61" i="40"/>
  <c r="L66" i="40" s="1"/>
  <c r="AA61" i="40"/>
  <c r="Z73" i="40" s="1"/>
  <c r="AO61" i="40"/>
  <c r="AN66" i="40" s="1"/>
  <c r="O61" i="40"/>
  <c r="N74" i="40" s="1"/>
  <c r="AC61" i="40"/>
  <c r="AB73" i="40" s="1"/>
  <c r="AQ61" i="40"/>
  <c r="N61" i="40"/>
  <c r="M66" i="40" s="1"/>
  <c r="AB61" i="40"/>
  <c r="AA67" i="40" s="1"/>
  <c r="P61" i="40"/>
  <c r="O76" i="40" s="1"/>
  <c r="AD61" i="40"/>
  <c r="AC74" i="40" s="1"/>
  <c r="AR61" i="40"/>
  <c r="AQ67" i="40" s="1"/>
  <c r="C61" i="40"/>
  <c r="B65" i="40" s="1"/>
  <c r="Q61" i="40"/>
  <c r="P71" i="40" s="1"/>
  <c r="AE61" i="40"/>
  <c r="AD71" i="40" s="1"/>
  <c r="AS61" i="40"/>
  <c r="AR71" i="40" s="1"/>
  <c r="AT61" i="40"/>
  <c r="AS67" i="40" s="1"/>
  <c r="AU61" i="40"/>
  <c r="AT68" i="40" s="1"/>
  <c r="AV61" i="40"/>
  <c r="AU65" i="40" s="1"/>
  <c r="AW61" i="40"/>
  <c r="AV66" i="40" s="1"/>
  <c r="S61" i="40"/>
  <c r="R75" i="40" s="1"/>
  <c r="H61" i="40"/>
  <c r="G75" i="40" s="1"/>
  <c r="V61" i="40"/>
  <c r="U76" i="40" s="1"/>
  <c r="AJ61" i="40"/>
  <c r="AI73" i="40" s="1"/>
  <c r="AX61" i="40"/>
  <c r="AW65" i="40" s="1"/>
  <c r="D61" i="40"/>
  <c r="C65" i="40" s="1"/>
  <c r="I61" i="40"/>
  <c r="H76" i="40" s="1"/>
  <c r="W61" i="40"/>
  <c r="V76" i="40" s="1"/>
  <c r="AK61" i="40"/>
  <c r="AJ76" i="40" s="1"/>
  <c r="AY61" i="40"/>
  <c r="AX65" i="40" s="1"/>
  <c r="R61" i="40"/>
  <c r="Q68" i="40" s="1"/>
  <c r="E61" i="40"/>
  <c r="D68" i="40" s="1"/>
  <c r="T61" i="40"/>
  <c r="S68" i="40" s="1"/>
  <c r="AI61" i="40"/>
  <c r="AH72" i="40" s="1"/>
  <c r="J61" i="40"/>
  <c r="I74" i="40" s="1"/>
  <c r="X61" i="40"/>
  <c r="W69" i="40" s="1"/>
  <c r="AL61" i="40"/>
  <c r="AK69" i="40" s="1"/>
  <c r="AZ61" i="40"/>
  <c r="AY72" i="40" s="1"/>
  <c r="AG61" i="40"/>
  <c r="AF66" i="40" s="1"/>
  <c r="F61" i="40"/>
  <c r="E73" i="40" s="1"/>
  <c r="G61" i="40"/>
  <c r="F66" i="40" s="1"/>
  <c r="K61" i="40"/>
  <c r="J73" i="40" s="1"/>
  <c r="Y61" i="40"/>
  <c r="X73" i="40" s="1"/>
  <c r="AM61" i="40"/>
  <c r="AL66" i="40" s="1"/>
  <c r="BA61" i="40"/>
  <c r="AZ73" i="40" s="1"/>
  <c r="AF61" i="40"/>
  <c r="AE67" i="40" s="1"/>
  <c r="AH61" i="40"/>
  <c r="AG65" i="40" s="1"/>
  <c r="U61" i="40"/>
  <c r="T74" i="40" s="1"/>
  <c r="L61" i="40"/>
  <c r="K69" i="40" s="1"/>
  <c r="Z61" i="40"/>
  <c r="Y73" i="40" s="1"/>
  <c r="AN61" i="40"/>
  <c r="AM75" i="40" s="1"/>
  <c r="C17" i="40"/>
  <c r="C18" i="40" s="1"/>
  <c r="F24" i="29" l="1"/>
  <c r="F27" i="29" s="1"/>
  <c r="H32" i="29"/>
  <c r="G33" i="29"/>
  <c r="G35" i="29" s="1"/>
  <c r="F7" i="29"/>
  <c r="F25" i="29"/>
  <c r="G23" i="29" s="1"/>
  <c r="G5" i="29"/>
  <c r="F6" i="29"/>
  <c r="F9" i="29" s="1"/>
  <c r="H12" i="29"/>
  <c r="G14" i="29"/>
  <c r="F15" i="29"/>
  <c r="F17" i="29" s="1"/>
  <c r="I2" i="29"/>
  <c r="AF73" i="40"/>
  <c r="P76" i="40"/>
  <c r="AK65" i="40"/>
  <c r="W65" i="40"/>
  <c r="AR73" i="40"/>
  <c r="H69" i="40"/>
  <c r="V66" i="40"/>
  <c r="S65" i="40"/>
  <c r="AS68" i="40"/>
  <c r="J66" i="40"/>
  <c r="B75" i="40"/>
  <c r="L73" i="40"/>
  <c r="AL73" i="40"/>
  <c r="X66" i="40"/>
  <c r="J76" i="40"/>
  <c r="J67" i="40"/>
  <c r="AD73" i="40"/>
  <c r="H73" i="40"/>
  <c r="AD67" i="40"/>
  <c r="AZ66" i="40"/>
  <c r="AD75" i="40"/>
  <c r="AX73" i="40"/>
  <c r="P67" i="40"/>
  <c r="P75" i="40"/>
  <c r="X67" i="40"/>
  <c r="B67" i="40"/>
  <c r="AD76" i="40"/>
  <c r="G65" i="40"/>
  <c r="U74" i="40"/>
  <c r="AC76" i="40"/>
  <c r="E66" i="40"/>
  <c r="AC65" i="40"/>
  <c r="E68" i="40"/>
  <c r="E65" i="40"/>
  <c r="AW66" i="40"/>
  <c r="AW72" i="40"/>
  <c r="W74" i="40"/>
  <c r="AO67" i="40"/>
  <c r="AF75" i="40"/>
  <c r="F74" i="40"/>
  <c r="AK74" i="40"/>
  <c r="U65" i="40"/>
  <c r="C74" i="40"/>
  <c r="AX69" i="40"/>
  <c r="AF76" i="40"/>
  <c r="AW68" i="40"/>
  <c r="C76" i="40"/>
  <c r="AW76" i="40"/>
  <c r="E71" i="40"/>
  <c r="AR75" i="40"/>
  <c r="AJ69" i="40"/>
  <c r="AZ67" i="40"/>
  <c r="AW75" i="40"/>
  <c r="AF68" i="40"/>
  <c r="AC73" i="40"/>
  <c r="AC70" i="40"/>
  <c r="Z67" i="40"/>
  <c r="V69" i="40"/>
  <c r="AL67" i="40"/>
  <c r="AS74" i="40"/>
  <c r="O70" i="40"/>
  <c r="AM69" i="40"/>
  <c r="AY69" i="40"/>
  <c r="AM67" i="40"/>
  <c r="AS76" i="40"/>
  <c r="O65" i="40"/>
  <c r="AS73" i="40"/>
  <c r="AK72" i="40"/>
  <c r="O73" i="40"/>
  <c r="AK76" i="40"/>
  <c r="AI76" i="40"/>
  <c r="AI66" i="40"/>
  <c r="F73" i="40"/>
  <c r="AE73" i="40"/>
  <c r="O74" i="40"/>
  <c r="W73" i="40"/>
  <c r="AK73" i="40"/>
  <c r="AH76" i="40"/>
  <c r="Y74" i="40"/>
  <c r="AY73" i="40"/>
  <c r="AY76" i="40"/>
  <c r="Q76" i="40"/>
  <c r="C27" i="40"/>
  <c r="C57" i="40" s="1"/>
  <c r="Y76" i="40"/>
  <c r="Q67" i="40"/>
  <c r="F75" i="40"/>
  <c r="W76" i="40"/>
  <c r="D75" i="40"/>
  <c r="M67" i="40"/>
  <c r="U66" i="40"/>
  <c r="B76" i="40"/>
  <c r="G73" i="40"/>
  <c r="M73" i="40"/>
  <c r="G76" i="40"/>
  <c r="G72" i="40"/>
  <c r="W66" i="40"/>
  <c r="AI75" i="40"/>
  <c r="C67" i="40"/>
  <c r="AF71" i="40"/>
  <c r="E75" i="40"/>
  <c r="Y66" i="40"/>
  <c r="AN70" i="40"/>
  <c r="AJ66" i="40"/>
  <c r="G66" i="40"/>
  <c r="AA75" i="40"/>
  <c r="AT66" i="40"/>
  <c r="U73" i="40"/>
  <c r="AA73" i="40"/>
  <c r="W72" i="40"/>
  <c r="U72" i="40"/>
  <c r="W67" i="40"/>
  <c r="Y69" i="40"/>
  <c r="AE76" i="40"/>
  <c r="G74" i="40"/>
  <c r="AM76" i="40"/>
  <c r="U75" i="40"/>
  <c r="AA66" i="40"/>
  <c r="D71" i="40"/>
  <c r="AQ74" i="40"/>
  <c r="Z70" i="40"/>
  <c r="AF65" i="40"/>
  <c r="M75" i="40"/>
  <c r="D17" i="40"/>
  <c r="D20" i="40" s="1"/>
  <c r="AI72" i="40"/>
  <c r="AM74" i="40"/>
  <c r="M70" i="40"/>
  <c r="Y67" i="40"/>
  <c r="AU73" i="40"/>
  <c r="G68" i="40"/>
  <c r="AR67" i="40"/>
  <c r="AI65" i="40"/>
  <c r="L70" i="40"/>
  <c r="AQ76" i="40"/>
  <c r="AI74" i="40"/>
  <c r="AY74" i="40"/>
  <c r="Y75" i="40"/>
  <c r="AP71" i="40"/>
  <c r="AP76" i="40"/>
  <c r="AP69" i="40"/>
  <c r="AP68" i="40"/>
  <c r="AP72" i="40"/>
  <c r="AP66" i="40"/>
  <c r="AG70" i="40"/>
  <c r="AG72" i="40"/>
  <c r="AG74" i="40"/>
  <c r="AG69" i="40"/>
  <c r="AG67" i="40"/>
  <c r="AE66" i="40"/>
  <c r="AE72" i="40"/>
  <c r="AE69" i="40"/>
  <c r="AE70" i="40"/>
  <c r="AP70" i="40"/>
  <c r="AP74" i="40"/>
  <c r="AT76" i="40"/>
  <c r="AG66" i="40"/>
  <c r="AN75" i="40"/>
  <c r="D66" i="40"/>
  <c r="T73" i="40"/>
  <c r="AU66" i="40"/>
  <c r="AB70" i="40"/>
  <c r="AH73" i="40"/>
  <c r="Q73" i="40"/>
  <c r="AN73" i="40"/>
  <c r="AV69" i="40"/>
  <c r="AV76" i="40"/>
  <c r="AV67" i="40"/>
  <c r="AV70" i="40"/>
  <c r="AV71" i="40"/>
  <c r="AV75" i="40"/>
  <c r="K66" i="40"/>
  <c r="K67" i="40"/>
  <c r="D76" i="40"/>
  <c r="T66" i="40"/>
  <c r="AQ65" i="40"/>
  <c r="AX74" i="40"/>
  <c r="N65" i="40"/>
  <c r="R73" i="40"/>
  <c r="AQ73" i="40"/>
  <c r="I73" i="40"/>
  <c r="AJ73" i="40"/>
  <c r="F65" i="40"/>
  <c r="AG76" i="40"/>
  <c r="AP75" i="40"/>
  <c r="AJ74" i="40"/>
  <c r="B73" i="40"/>
  <c r="AB71" i="40"/>
  <c r="AB68" i="40"/>
  <c r="AB69" i="40"/>
  <c r="AB72" i="40"/>
  <c r="AB76" i="40"/>
  <c r="AB66" i="40"/>
  <c r="R66" i="40"/>
  <c r="S66" i="40"/>
  <c r="AH69" i="40"/>
  <c r="AH67" i="40"/>
  <c r="AH70" i="40"/>
  <c r="AH71" i="40"/>
  <c r="R71" i="40"/>
  <c r="I67" i="40"/>
  <c r="R72" i="40"/>
  <c r="R69" i="40"/>
  <c r="R70" i="40"/>
  <c r="R74" i="40"/>
  <c r="R67" i="40"/>
  <c r="AT72" i="40"/>
  <c r="AT70" i="40"/>
  <c r="AT69" i="40"/>
  <c r="AT74" i="40"/>
  <c r="AT67" i="40"/>
  <c r="T75" i="40"/>
  <c r="AZ70" i="40"/>
  <c r="AZ68" i="40"/>
  <c r="AZ71" i="40"/>
  <c r="AZ72" i="40"/>
  <c r="AZ65" i="40"/>
  <c r="I69" i="40"/>
  <c r="AV65" i="40"/>
  <c r="AL70" i="40"/>
  <c r="AL75" i="40"/>
  <c r="AL68" i="40"/>
  <c r="AL71" i="40"/>
  <c r="AL72" i="40"/>
  <c r="AL65" i="40"/>
  <c r="AN74" i="40"/>
  <c r="AX66" i="40"/>
  <c r="AH65" i="40"/>
  <c r="L75" i="40"/>
  <c r="D73" i="40"/>
  <c r="X70" i="40"/>
  <c r="X75" i="40"/>
  <c r="X68" i="40"/>
  <c r="X71" i="40"/>
  <c r="X72" i="40"/>
  <c r="X65" i="40"/>
  <c r="AZ69" i="40"/>
  <c r="T65" i="40"/>
  <c r="J70" i="40"/>
  <c r="J75" i="40"/>
  <c r="J71" i="40"/>
  <c r="J68" i="40"/>
  <c r="J72" i="40"/>
  <c r="J65" i="40"/>
  <c r="AL69" i="40"/>
  <c r="F69" i="40"/>
  <c r="F67" i="40"/>
  <c r="F70" i="40"/>
  <c r="F71" i="40"/>
  <c r="K76" i="40"/>
  <c r="H66" i="40"/>
  <c r="AJ65" i="40"/>
  <c r="AS71" i="40"/>
  <c r="AR65" i="40"/>
  <c r="V74" i="40"/>
  <c r="C66" i="40"/>
  <c r="C72" i="40"/>
  <c r="C70" i="40"/>
  <c r="C69" i="40"/>
  <c r="AX72" i="40"/>
  <c r="AF72" i="40"/>
  <c r="AF69" i="40"/>
  <c r="AF70" i="40"/>
  <c r="AF74" i="40"/>
  <c r="AF67" i="40"/>
  <c r="AW69" i="40"/>
  <c r="AW67" i="40"/>
  <c r="AW70" i="40"/>
  <c r="AW71" i="40"/>
  <c r="AC71" i="40"/>
  <c r="AC69" i="40"/>
  <c r="AC68" i="40"/>
  <c r="AC66" i="40"/>
  <c r="AC72" i="40"/>
  <c r="C68" i="40"/>
  <c r="AH74" i="40"/>
  <c r="AJ72" i="40"/>
  <c r="AV68" i="40"/>
  <c r="H65" i="40"/>
  <c r="I76" i="40"/>
  <c r="Q71" i="40"/>
  <c r="AC67" i="40"/>
  <c r="C75" i="40"/>
  <c r="AQ75" i="40"/>
  <c r="AZ74" i="40"/>
  <c r="P65" i="40"/>
  <c r="AW74" i="40"/>
  <c r="AX67" i="40"/>
  <c r="AY65" i="40"/>
  <c r="P73" i="40"/>
  <c r="K73" i="40"/>
  <c r="I71" i="40"/>
  <c r="I75" i="40"/>
  <c r="I70" i="40"/>
  <c r="I68" i="40"/>
  <c r="S70" i="40"/>
  <c r="S72" i="40"/>
  <c r="S69" i="40"/>
  <c r="S67" i="40"/>
  <c r="AH75" i="40"/>
  <c r="Z71" i="40"/>
  <c r="Z72" i="40"/>
  <c r="Z68" i="40"/>
  <c r="Z65" i="40"/>
  <c r="Z69" i="40"/>
  <c r="Z76" i="40"/>
  <c r="T76" i="40"/>
  <c r="Z74" i="40"/>
  <c r="AR68" i="40"/>
  <c r="AR66" i="40"/>
  <c r="AR72" i="40"/>
  <c r="AR69" i="40"/>
  <c r="AR70" i="40"/>
  <c r="S71" i="40"/>
  <c r="AR74" i="40"/>
  <c r="AH66" i="40"/>
  <c r="AJ70" i="40"/>
  <c r="AJ71" i="40"/>
  <c r="AJ68" i="40"/>
  <c r="AJ75" i="40"/>
  <c r="AV72" i="40"/>
  <c r="X69" i="40"/>
  <c r="T72" i="40"/>
  <c r="Q75" i="40"/>
  <c r="R68" i="40"/>
  <c r="AO72" i="40"/>
  <c r="AO65" i="40"/>
  <c r="AO71" i="40"/>
  <c r="AO76" i="40"/>
  <c r="AO68" i="40"/>
  <c r="AO69" i="40"/>
  <c r="AY71" i="40"/>
  <c r="AY70" i="40"/>
  <c r="AY75" i="40"/>
  <c r="AY68" i="40"/>
  <c r="AI69" i="40"/>
  <c r="AI67" i="40"/>
  <c r="AI71" i="40"/>
  <c r="AI70" i="40"/>
  <c r="O69" i="40"/>
  <c r="O71" i="40"/>
  <c r="O68" i="40"/>
  <c r="O72" i="40"/>
  <c r="O66" i="40"/>
  <c r="AZ76" i="40"/>
  <c r="V72" i="40"/>
  <c r="AH68" i="40"/>
  <c r="AU75" i="40"/>
  <c r="C71" i="40"/>
  <c r="O67" i="40"/>
  <c r="AO74" i="40"/>
  <c r="AP67" i="40"/>
  <c r="AC75" i="40"/>
  <c r="AS65" i="40"/>
  <c r="AL74" i="40"/>
  <c r="AZ75" i="40"/>
  <c r="AJ67" i="40"/>
  <c r="AW73" i="40"/>
  <c r="AQ70" i="40"/>
  <c r="K68" i="40"/>
  <c r="K70" i="40"/>
  <c r="K65" i="40"/>
  <c r="K71" i="40"/>
  <c r="K72" i="40"/>
  <c r="AU72" i="40"/>
  <c r="AU70" i="40"/>
  <c r="AU74" i="40"/>
  <c r="AU69" i="40"/>
  <c r="AU67" i="40"/>
  <c r="D65" i="40"/>
  <c r="D72" i="40"/>
  <c r="D69" i="40"/>
  <c r="D70" i="40"/>
  <c r="D74" i="40"/>
  <c r="D67" i="40"/>
  <c r="I72" i="40"/>
  <c r="AS66" i="40"/>
  <c r="AS72" i="40"/>
  <c r="AS70" i="40"/>
  <c r="AS69" i="40"/>
  <c r="AB74" i="40"/>
  <c r="Z75" i="40"/>
  <c r="AX71" i="40"/>
  <c r="AX70" i="40"/>
  <c r="AX75" i="40"/>
  <c r="AX68" i="40"/>
  <c r="Z66" i="40"/>
  <c r="R76" i="40"/>
  <c r="AV73" i="40"/>
  <c r="AD68" i="40"/>
  <c r="AD72" i="40"/>
  <c r="AD69" i="40"/>
  <c r="AD66" i="40"/>
  <c r="AD70" i="40"/>
  <c r="L74" i="40"/>
  <c r="AG68" i="40"/>
  <c r="V70" i="40"/>
  <c r="V71" i="40"/>
  <c r="V68" i="40"/>
  <c r="V75" i="40"/>
  <c r="P74" i="40"/>
  <c r="AS75" i="40"/>
  <c r="B68" i="40"/>
  <c r="B72" i="40"/>
  <c r="B66" i="40"/>
  <c r="B69" i="40"/>
  <c r="B70" i="40"/>
  <c r="I65" i="40"/>
  <c r="AE75" i="40"/>
  <c r="AB75" i="40"/>
  <c r="S74" i="40"/>
  <c r="E72" i="40"/>
  <c r="E70" i="40"/>
  <c r="E69" i="40"/>
  <c r="E67" i="40"/>
  <c r="V65" i="40"/>
  <c r="F72" i="40"/>
  <c r="E76" i="40"/>
  <c r="AD65" i="40"/>
  <c r="C28" i="40"/>
  <c r="C58" i="40" s="1"/>
  <c r="AM70" i="40"/>
  <c r="AM68" i="40"/>
  <c r="AM72" i="40"/>
  <c r="AM65" i="40"/>
  <c r="AM71" i="40"/>
  <c r="AK75" i="40"/>
  <c r="AK71" i="40"/>
  <c r="AK70" i="40"/>
  <c r="AK68" i="40"/>
  <c r="U67" i="40"/>
  <c r="U69" i="40"/>
  <c r="U70" i="40"/>
  <c r="U71" i="40"/>
  <c r="AA72" i="40"/>
  <c r="AA65" i="40"/>
  <c r="AA71" i="40"/>
  <c r="AA68" i="40"/>
  <c r="AA76" i="40"/>
  <c r="AA69" i="40"/>
  <c r="AE74" i="40"/>
  <c r="AI68" i="40"/>
  <c r="AK66" i="40"/>
  <c r="AL76" i="40"/>
  <c r="H72" i="40"/>
  <c r="T68" i="40"/>
  <c r="AG75" i="40"/>
  <c r="AO70" i="40"/>
  <c r="AA74" i="40"/>
  <c r="AB67" i="40"/>
  <c r="F76" i="40"/>
  <c r="O75" i="40"/>
  <c r="AE65" i="40"/>
  <c r="X74" i="40"/>
  <c r="K75" i="40"/>
  <c r="AY67" i="40"/>
  <c r="V67" i="40"/>
  <c r="AO66" i="40"/>
  <c r="S73" i="40"/>
  <c r="C73" i="40"/>
  <c r="AM73" i="40"/>
  <c r="AU71" i="40"/>
  <c r="T69" i="40"/>
  <c r="T67" i="40"/>
  <c r="T70" i="40"/>
  <c r="T71" i="40"/>
  <c r="N71" i="40"/>
  <c r="N68" i="40"/>
  <c r="N76" i="40"/>
  <c r="N72" i="40"/>
  <c r="N69" i="40"/>
  <c r="N66" i="40"/>
  <c r="K74" i="40"/>
  <c r="AN65" i="40"/>
  <c r="AN71" i="40"/>
  <c r="AN68" i="40"/>
  <c r="AN72" i="40"/>
  <c r="AN76" i="40"/>
  <c r="AN69" i="40"/>
  <c r="Q66" i="40"/>
  <c r="Q72" i="40"/>
  <c r="Q69" i="40"/>
  <c r="Q70" i="40"/>
  <c r="AG71" i="40"/>
  <c r="R65" i="40"/>
  <c r="AP65" i="40"/>
  <c r="L71" i="40"/>
  <c r="L72" i="40"/>
  <c r="L65" i="40"/>
  <c r="L68" i="40"/>
  <c r="L69" i="40"/>
  <c r="L76" i="40"/>
  <c r="N70" i="40"/>
  <c r="AU68" i="40"/>
  <c r="AB65" i="40"/>
  <c r="AD74" i="40"/>
  <c r="AV74" i="40"/>
  <c r="AT65" i="40"/>
  <c r="AU76" i="40"/>
  <c r="P68" i="40"/>
  <c r="P72" i="40"/>
  <c r="P66" i="40"/>
  <c r="P69" i="40"/>
  <c r="P70" i="40"/>
  <c r="L67" i="40"/>
  <c r="H70" i="40"/>
  <c r="H71" i="40"/>
  <c r="H75" i="40"/>
  <c r="H68" i="40"/>
  <c r="B74" i="40"/>
  <c r="S76" i="40"/>
  <c r="AT73" i="40"/>
  <c r="AQ71" i="40"/>
  <c r="AQ69" i="40"/>
  <c r="AQ68" i="40"/>
  <c r="AQ72" i="40"/>
  <c r="AQ66" i="40"/>
  <c r="J69" i="40"/>
  <c r="AE71" i="40"/>
  <c r="AX76" i="40"/>
  <c r="AE68" i="40"/>
  <c r="N75" i="40"/>
  <c r="H74" i="40"/>
  <c r="AO73" i="40"/>
  <c r="Y70" i="40"/>
  <c r="Y68" i="40"/>
  <c r="Y71" i="40"/>
  <c r="Y72" i="40"/>
  <c r="Y65" i="40"/>
  <c r="W75" i="40"/>
  <c r="W71" i="40"/>
  <c r="W70" i="40"/>
  <c r="W68" i="40"/>
  <c r="G69" i="40"/>
  <c r="G67" i="40"/>
  <c r="G70" i="40"/>
  <c r="G71" i="40"/>
  <c r="M65" i="40"/>
  <c r="M72" i="40"/>
  <c r="M71" i="40"/>
  <c r="M69" i="40"/>
  <c r="M68" i="40"/>
  <c r="M76" i="40"/>
  <c r="Q74" i="40"/>
  <c r="U68" i="40"/>
  <c r="I66" i="40"/>
  <c r="X76" i="40"/>
  <c r="AT71" i="40"/>
  <c r="F68" i="40"/>
  <c r="AY66" i="40"/>
  <c r="S75" i="40"/>
  <c r="AA70" i="40"/>
  <c r="AM66" i="40"/>
  <c r="M74" i="40"/>
  <c r="AT75" i="40"/>
  <c r="B71" i="40"/>
  <c r="N67" i="40"/>
  <c r="AN67" i="40"/>
  <c r="Q65" i="40"/>
  <c r="J74" i="40"/>
  <c r="E74" i="40"/>
  <c r="AK67" i="40"/>
  <c r="AR76" i="40"/>
  <c r="H67" i="40"/>
  <c r="N73" i="40"/>
  <c r="AG73" i="40"/>
  <c r="V73" i="40"/>
  <c r="AP73" i="40"/>
  <c r="C29" i="40"/>
  <c r="C59" i="40" s="1"/>
  <c r="C26" i="40"/>
  <c r="C56" i="40" s="1"/>
  <c r="C19" i="40"/>
  <c r="C49" i="40" s="1"/>
  <c r="C25" i="40"/>
  <c r="C55" i="40" s="1"/>
  <c r="C21" i="40"/>
  <c r="C51" i="40" s="1"/>
  <c r="C20" i="40"/>
  <c r="C50" i="40" s="1"/>
  <c r="C48" i="40"/>
  <c r="C24" i="40"/>
  <c r="C54" i="40" s="1"/>
  <c r="C23" i="40"/>
  <c r="C53" i="40" s="1"/>
  <c r="C22" i="40"/>
  <c r="C52" i="40" s="1"/>
  <c r="A28" i="22"/>
  <c r="A27" i="22"/>
  <c r="A26" i="22"/>
  <c r="A25" i="22"/>
  <c r="A24" i="22"/>
  <c r="A23" i="22"/>
  <c r="A22" i="22"/>
  <c r="A21" i="22"/>
  <c r="A20" i="22"/>
  <c r="A19" i="22"/>
  <c r="A18" i="22"/>
  <c r="A17" i="22"/>
  <c r="A16" i="22"/>
  <c r="A15" i="22"/>
  <c r="A14" i="22"/>
  <c r="A13" i="22"/>
  <c r="A12" i="22"/>
  <c r="A10" i="22"/>
  <c r="A8" i="22"/>
  <c r="A6" i="22"/>
  <c r="A4" i="22"/>
  <c r="G24" i="29" l="1"/>
  <c r="G27" i="29" s="1"/>
  <c r="K2" i="29"/>
  <c r="M2" i="29" s="1"/>
  <c r="O2" i="29" s="1"/>
  <c r="Q2" i="29" s="1"/>
  <c r="S2" i="29" s="1"/>
  <c r="U2" i="29" s="1"/>
  <c r="W2" i="29" s="1"/>
  <c r="Y2" i="29" s="1"/>
  <c r="AA2" i="29" s="1"/>
  <c r="AC2" i="29" s="1"/>
  <c r="AE2" i="29" s="1"/>
  <c r="AG2" i="29" s="1"/>
  <c r="AI2" i="29" s="1"/>
  <c r="AK2" i="29" s="1"/>
  <c r="AM2" i="29" s="1"/>
  <c r="AO2" i="29" s="1"/>
  <c r="AQ2" i="29" s="1"/>
  <c r="AS2" i="29" s="1"/>
  <c r="AU2" i="29" s="1"/>
  <c r="AW2" i="29" s="1"/>
  <c r="AY2" i="29" s="1"/>
  <c r="BA2" i="29" s="1"/>
  <c r="BC2" i="29" s="1"/>
  <c r="BE2" i="29" s="1"/>
  <c r="BG2" i="29" s="1"/>
  <c r="BI2" i="29" s="1"/>
  <c r="G7" i="29"/>
  <c r="G25" i="29"/>
  <c r="H23" i="29" s="1"/>
  <c r="H5" i="29"/>
  <c r="G6" i="29"/>
  <c r="G9" i="29" s="1"/>
  <c r="H14" i="29"/>
  <c r="G15" i="29"/>
  <c r="G17" i="29" s="1"/>
  <c r="J12" i="29"/>
  <c r="H33" i="29"/>
  <c r="H35" i="29" s="1"/>
  <c r="I32" i="29"/>
  <c r="D24" i="40"/>
  <c r="D18" i="40"/>
  <c r="D48" i="40" s="1"/>
  <c r="E17" i="40"/>
  <c r="E23" i="40" s="1"/>
  <c r="D29" i="40"/>
  <c r="D21" i="40"/>
  <c r="D51" i="40" s="1"/>
  <c r="D26" i="40"/>
  <c r="D56" i="40" s="1"/>
  <c r="D28" i="40"/>
  <c r="D58" i="40" s="1"/>
  <c r="D22" i="40"/>
  <c r="D52" i="40" s="1"/>
  <c r="D25" i="40"/>
  <c r="D55" i="40" s="1"/>
  <c r="D50" i="40"/>
  <c r="D59" i="40"/>
  <c r="D27" i="40"/>
  <c r="D57" i="40" s="1"/>
  <c r="D19" i="40"/>
  <c r="D49" i="40" s="1"/>
  <c r="D23" i="40"/>
  <c r="D53" i="40" s="1"/>
  <c r="D54" i="40"/>
  <c r="A88" i="22"/>
  <c r="X88" i="22" s="1"/>
  <c r="A87" i="22"/>
  <c r="A86" i="22"/>
  <c r="A85" i="22"/>
  <c r="A84" i="22"/>
  <c r="X84" i="22" s="1"/>
  <c r="A83" i="22"/>
  <c r="A82" i="22"/>
  <c r="A81" i="22"/>
  <c r="X81" i="22" s="1"/>
  <c r="A80" i="22"/>
  <c r="A79" i="22"/>
  <c r="A78" i="22"/>
  <c r="A77" i="22"/>
  <c r="X77" i="22" s="1"/>
  <c r="A76" i="22"/>
  <c r="A75" i="22"/>
  <c r="A74" i="22"/>
  <c r="X74" i="22" s="1"/>
  <c r="A73" i="22"/>
  <c r="A72" i="22"/>
  <c r="X71" i="22"/>
  <c r="A70" i="22"/>
  <c r="A68" i="22"/>
  <c r="X67" i="22"/>
  <c r="A66" i="22"/>
  <c r="X66" i="22" s="1"/>
  <c r="A64" i="22"/>
  <c r="L62" i="25"/>
  <c r="K62" i="25"/>
  <c r="AF40" i="22"/>
  <c r="AF36" i="22"/>
  <c r="AA62" i="25"/>
  <c r="Y62" i="25"/>
  <c r="X62" i="25"/>
  <c r="W62" i="25"/>
  <c r="V62" i="25"/>
  <c r="U62" i="25"/>
  <c r="T62" i="25"/>
  <c r="S62" i="25"/>
  <c r="R62" i="25"/>
  <c r="Q62" i="25"/>
  <c r="AA61" i="25"/>
  <c r="Y61" i="25"/>
  <c r="X61" i="25"/>
  <c r="W61" i="25"/>
  <c r="V61" i="25"/>
  <c r="U61" i="25"/>
  <c r="T61" i="25"/>
  <c r="S61" i="25"/>
  <c r="R61" i="25"/>
  <c r="Q61" i="25"/>
  <c r="AA60" i="25"/>
  <c r="Y60" i="25"/>
  <c r="X60" i="25"/>
  <c r="W60" i="25"/>
  <c r="V60" i="25"/>
  <c r="U60" i="25"/>
  <c r="T60" i="25"/>
  <c r="S60" i="25"/>
  <c r="R60" i="25"/>
  <c r="Q60" i="25"/>
  <c r="AA59" i="25"/>
  <c r="Y59" i="25"/>
  <c r="X59" i="25"/>
  <c r="W59" i="25"/>
  <c r="V59" i="25"/>
  <c r="U59" i="25"/>
  <c r="T59" i="25"/>
  <c r="S59" i="25"/>
  <c r="R59" i="25"/>
  <c r="Q59" i="25"/>
  <c r="AA58" i="25"/>
  <c r="Y58" i="25"/>
  <c r="X58" i="25"/>
  <c r="W58" i="25"/>
  <c r="V58" i="25"/>
  <c r="U58" i="25"/>
  <c r="T58" i="25"/>
  <c r="S58" i="25"/>
  <c r="R58" i="25"/>
  <c r="Q58" i="25"/>
  <c r="AA57" i="25"/>
  <c r="Y57" i="25"/>
  <c r="X57" i="25"/>
  <c r="W57" i="25"/>
  <c r="V57" i="25"/>
  <c r="U57" i="25"/>
  <c r="T57" i="25"/>
  <c r="S57" i="25"/>
  <c r="R57" i="25"/>
  <c r="Q57" i="25"/>
  <c r="AB56" i="25"/>
  <c r="Z56" i="25"/>
  <c r="Y56" i="25"/>
  <c r="X56" i="25"/>
  <c r="W56" i="25"/>
  <c r="V56" i="25"/>
  <c r="U56" i="25"/>
  <c r="T56" i="25"/>
  <c r="R56" i="25"/>
  <c r="Q56" i="25"/>
  <c r="AB55" i="25"/>
  <c r="Z55" i="25"/>
  <c r="Y55" i="25"/>
  <c r="X55" i="25"/>
  <c r="W55" i="25"/>
  <c r="V55" i="25"/>
  <c r="U55" i="25"/>
  <c r="T55" i="25"/>
  <c r="R55" i="25"/>
  <c r="Q55" i="25"/>
  <c r="AB54" i="25"/>
  <c r="Z54" i="25"/>
  <c r="Y54" i="25"/>
  <c r="X54" i="25"/>
  <c r="W54" i="25"/>
  <c r="V54" i="25"/>
  <c r="U54" i="25"/>
  <c r="T54" i="25"/>
  <c r="R54" i="25"/>
  <c r="Q54" i="25"/>
  <c r="AB53" i="25"/>
  <c r="Z53" i="25"/>
  <c r="Y53" i="25"/>
  <c r="X53" i="25"/>
  <c r="W53" i="25"/>
  <c r="V53" i="25"/>
  <c r="U53" i="25"/>
  <c r="T53" i="25"/>
  <c r="R53" i="25"/>
  <c r="Q53" i="25"/>
  <c r="AB52" i="25"/>
  <c r="Z52" i="25"/>
  <c r="Y52" i="25"/>
  <c r="X52" i="25"/>
  <c r="W52" i="25"/>
  <c r="V52" i="25"/>
  <c r="U52" i="25"/>
  <c r="T52" i="25"/>
  <c r="R52" i="25"/>
  <c r="Q52" i="25"/>
  <c r="AB51" i="25"/>
  <c r="Z51" i="25"/>
  <c r="Y51" i="25"/>
  <c r="X51" i="25"/>
  <c r="W51" i="25"/>
  <c r="V51" i="25"/>
  <c r="U51" i="25"/>
  <c r="T51" i="25"/>
  <c r="R51" i="25"/>
  <c r="Q51" i="25"/>
  <c r="AB50" i="25"/>
  <c r="Z50" i="25"/>
  <c r="Y50" i="25"/>
  <c r="X50" i="25"/>
  <c r="W50" i="25"/>
  <c r="V50" i="25"/>
  <c r="U50" i="25"/>
  <c r="T50" i="25"/>
  <c r="R50" i="25"/>
  <c r="Q50" i="25"/>
  <c r="AB49" i="25"/>
  <c r="Z49" i="25"/>
  <c r="Y49" i="25"/>
  <c r="X49" i="25"/>
  <c r="W49" i="25"/>
  <c r="V49" i="25"/>
  <c r="U49" i="25"/>
  <c r="T49" i="25"/>
  <c r="R49" i="25"/>
  <c r="Q49" i="25"/>
  <c r="AB48" i="25"/>
  <c r="Z48" i="25"/>
  <c r="Y48" i="25"/>
  <c r="X48" i="25"/>
  <c r="W48" i="25"/>
  <c r="V48" i="25"/>
  <c r="U48" i="25"/>
  <c r="T48" i="25"/>
  <c r="R48" i="25"/>
  <c r="Q48" i="25"/>
  <c r="AB47" i="25"/>
  <c r="Z47" i="25"/>
  <c r="Y47" i="25"/>
  <c r="X47" i="25"/>
  <c r="W47" i="25"/>
  <c r="V47" i="25"/>
  <c r="U47" i="25"/>
  <c r="T47" i="25"/>
  <c r="R47" i="25"/>
  <c r="Q47" i="25"/>
  <c r="AB46" i="25"/>
  <c r="Z46" i="25"/>
  <c r="Y46" i="25"/>
  <c r="X46" i="25"/>
  <c r="W46" i="25"/>
  <c r="V46" i="25"/>
  <c r="U46" i="25"/>
  <c r="T46" i="25"/>
  <c r="R46" i="25"/>
  <c r="Q46" i="25"/>
  <c r="AA45" i="25"/>
  <c r="Z45" i="25"/>
  <c r="X45" i="25"/>
  <c r="W45" i="25"/>
  <c r="V45" i="25"/>
  <c r="U45" i="25"/>
  <c r="T45" i="25"/>
  <c r="S45" i="25"/>
  <c r="R45" i="25"/>
  <c r="Q45" i="25"/>
  <c r="AA44" i="25"/>
  <c r="Z44" i="25"/>
  <c r="X44" i="25"/>
  <c r="W44" i="25"/>
  <c r="V44" i="25"/>
  <c r="U44" i="25"/>
  <c r="T44" i="25"/>
  <c r="S44" i="25"/>
  <c r="R44" i="25"/>
  <c r="Q44" i="25"/>
  <c r="AA43" i="25"/>
  <c r="Z43" i="25"/>
  <c r="Y43" i="25"/>
  <c r="W43" i="25"/>
  <c r="V43" i="25"/>
  <c r="U43" i="25"/>
  <c r="T43" i="25"/>
  <c r="S43" i="25"/>
  <c r="R43" i="25"/>
  <c r="Q43" i="25"/>
  <c r="AA42" i="25"/>
  <c r="Z42" i="25"/>
  <c r="Y42" i="25"/>
  <c r="W42" i="25"/>
  <c r="V42" i="25"/>
  <c r="U42" i="25"/>
  <c r="T42" i="25"/>
  <c r="S42" i="25"/>
  <c r="R42" i="25"/>
  <c r="Q42" i="25"/>
  <c r="AB41" i="25"/>
  <c r="Z41" i="25"/>
  <c r="Y41" i="25"/>
  <c r="X41" i="25"/>
  <c r="W41" i="25"/>
  <c r="V41" i="25"/>
  <c r="T41" i="25"/>
  <c r="S41" i="25"/>
  <c r="R41" i="25"/>
  <c r="Q41" i="25"/>
  <c r="AB40" i="25"/>
  <c r="Z40" i="25"/>
  <c r="Y40" i="25"/>
  <c r="X40" i="25"/>
  <c r="W40" i="25"/>
  <c r="V40" i="25"/>
  <c r="T40" i="25"/>
  <c r="S40" i="25"/>
  <c r="R40" i="25"/>
  <c r="Q40" i="25"/>
  <c r="AB39" i="25"/>
  <c r="Z39" i="25"/>
  <c r="Y39" i="25"/>
  <c r="X39" i="25"/>
  <c r="W39" i="25"/>
  <c r="V39" i="25"/>
  <c r="U39" i="25"/>
  <c r="S39" i="25"/>
  <c r="R39" i="25"/>
  <c r="Q39" i="25"/>
  <c r="AB38" i="25"/>
  <c r="Z38" i="25"/>
  <c r="Y38" i="25"/>
  <c r="X38" i="25"/>
  <c r="W38" i="25"/>
  <c r="V38" i="25"/>
  <c r="U38" i="25"/>
  <c r="S38" i="25"/>
  <c r="R38" i="25"/>
  <c r="Q38" i="25"/>
  <c r="L61" i="25"/>
  <c r="K61" i="25"/>
  <c r="I61" i="25"/>
  <c r="L60" i="25"/>
  <c r="K60" i="25"/>
  <c r="L59" i="25"/>
  <c r="K59" i="25"/>
  <c r="L58" i="25"/>
  <c r="K58" i="25"/>
  <c r="L57" i="25"/>
  <c r="K57" i="25"/>
  <c r="M56" i="25"/>
  <c r="L56" i="25"/>
  <c r="K56" i="25"/>
  <c r="J56" i="25"/>
  <c r="I56" i="25"/>
  <c r="M55" i="25"/>
  <c r="L55" i="25"/>
  <c r="K55" i="25"/>
  <c r="J55" i="25"/>
  <c r="I55" i="25"/>
  <c r="M54" i="25"/>
  <c r="L54" i="25"/>
  <c r="K54" i="25"/>
  <c r="J54" i="25"/>
  <c r="I54" i="25"/>
  <c r="M53" i="25"/>
  <c r="L53" i="25"/>
  <c r="K53" i="25"/>
  <c r="J53" i="25"/>
  <c r="I53" i="25"/>
  <c r="M52" i="25"/>
  <c r="L52" i="25"/>
  <c r="K52" i="25"/>
  <c r="J52" i="25"/>
  <c r="I52" i="25"/>
  <c r="M51" i="25"/>
  <c r="L51" i="25"/>
  <c r="K51" i="25"/>
  <c r="J51" i="25"/>
  <c r="I51" i="25"/>
  <c r="M50" i="25"/>
  <c r="L50" i="25"/>
  <c r="K50" i="25"/>
  <c r="J50" i="25"/>
  <c r="I50" i="25"/>
  <c r="M49" i="25"/>
  <c r="L49" i="25"/>
  <c r="K49" i="25"/>
  <c r="J49" i="25"/>
  <c r="I49" i="25"/>
  <c r="M48" i="25"/>
  <c r="L48" i="25"/>
  <c r="K48" i="25"/>
  <c r="J48" i="25"/>
  <c r="I48" i="25"/>
  <c r="M47" i="25"/>
  <c r="L47" i="25"/>
  <c r="K47" i="25"/>
  <c r="J47" i="25"/>
  <c r="I47" i="25"/>
  <c r="M46" i="25"/>
  <c r="L46" i="25"/>
  <c r="K46" i="25"/>
  <c r="J46" i="25"/>
  <c r="I46" i="25"/>
  <c r="K45" i="25"/>
  <c r="J45" i="25"/>
  <c r="I45" i="25"/>
  <c r="K44" i="25"/>
  <c r="J44" i="25"/>
  <c r="I44" i="25"/>
  <c r="J43" i="25"/>
  <c r="I43" i="25"/>
  <c r="J42" i="25"/>
  <c r="I42" i="25"/>
  <c r="M41" i="25"/>
  <c r="L41" i="25"/>
  <c r="K41" i="25"/>
  <c r="J41" i="25"/>
  <c r="I41" i="25"/>
  <c r="M40" i="25"/>
  <c r="L40" i="25"/>
  <c r="K40" i="25"/>
  <c r="J40" i="25"/>
  <c r="I40" i="25"/>
  <c r="M39" i="25"/>
  <c r="L39" i="25"/>
  <c r="K39" i="25"/>
  <c r="J39" i="25"/>
  <c r="I39" i="25"/>
  <c r="M38" i="25"/>
  <c r="L38" i="25"/>
  <c r="K38" i="25"/>
  <c r="J38" i="25"/>
  <c r="I38" i="25"/>
  <c r="H62" i="25"/>
  <c r="G62" i="25"/>
  <c r="F62" i="25"/>
  <c r="E62" i="25"/>
  <c r="H61" i="25"/>
  <c r="G61" i="25"/>
  <c r="E61" i="25"/>
  <c r="D61" i="25"/>
  <c r="H60" i="25"/>
  <c r="G60" i="25"/>
  <c r="F60" i="25"/>
  <c r="D60" i="25"/>
  <c r="H59" i="25"/>
  <c r="G59" i="25"/>
  <c r="F59" i="25"/>
  <c r="D59" i="25"/>
  <c r="H58" i="25"/>
  <c r="G58" i="25"/>
  <c r="F58" i="25"/>
  <c r="E58" i="25"/>
  <c r="H57" i="25"/>
  <c r="G57" i="25"/>
  <c r="F57" i="25"/>
  <c r="E57" i="25"/>
  <c r="O56" i="25"/>
  <c r="H56" i="25"/>
  <c r="G56" i="25"/>
  <c r="D56" i="25"/>
  <c r="O55" i="25"/>
  <c r="H55" i="25"/>
  <c r="G55" i="25"/>
  <c r="D55" i="25"/>
  <c r="O54" i="25"/>
  <c r="H54" i="25"/>
  <c r="G54" i="25"/>
  <c r="D54" i="25"/>
  <c r="O53" i="25"/>
  <c r="H53" i="25"/>
  <c r="G53" i="25"/>
  <c r="O52" i="25"/>
  <c r="H52" i="25"/>
  <c r="G52" i="25"/>
  <c r="O51" i="25"/>
  <c r="H51" i="25"/>
  <c r="G51" i="25"/>
  <c r="O50" i="25"/>
  <c r="H50" i="25"/>
  <c r="G50" i="25"/>
  <c r="O49" i="25"/>
  <c r="H49" i="25"/>
  <c r="G49" i="25"/>
  <c r="O48" i="25"/>
  <c r="H48" i="25"/>
  <c r="G48" i="25"/>
  <c r="O47" i="25"/>
  <c r="H47" i="25"/>
  <c r="G47" i="25"/>
  <c r="O46" i="25"/>
  <c r="H46" i="25"/>
  <c r="G46" i="25"/>
  <c r="G45" i="25"/>
  <c r="F45" i="25"/>
  <c r="E45" i="25"/>
  <c r="D45" i="25"/>
  <c r="G44" i="25"/>
  <c r="F44" i="25"/>
  <c r="E44" i="25"/>
  <c r="D44" i="25"/>
  <c r="H43" i="25"/>
  <c r="F43" i="25"/>
  <c r="E43" i="25"/>
  <c r="D43" i="25"/>
  <c r="H42" i="25"/>
  <c r="F42" i="25"/>
  <c r="E42" i="25"/>
  <c r="D42" i="25"/>
  <c r="G41" i="25"/>
  <c r="E41" i="25"/>
  <c r="D41" i="25"/>
  <c r="G40" i="25"/>
  <c r="E40" i="25"/>
  <c r="D40" i="25"/>
  <c r="E39" i="25"/>
  <c r="D39" i="25"/>
  <c r="E38" i="25"/>
  <c r="D38" i="25"/>
  <c r="A33" i="25"/>
  <c r="A32" i="25"/>
  <c r="A31" i="25"/>
  <c r="A30" i="25"/>
  <c r="A29" i="25"/>
  <c r="A28" i="25"/>
  <c r="A27" i="25"/>
  <c r="A26" i="25"/>
  <c r="A25" i="25"/>
  <c r="A24" i="25"/>
  <c r="A23" i="25"/>
  <c r="A22" i="25"/>
  <c r="A21" i="25"/>
  <c r="A20" i="25"/>
  <c r="A19" i="25"/>
  <c r="A18" i="25"/>
  <c r="A17" i="25"/>
  <c r="A15" i="25"/>
  <c r="A13" i="25"/>
  <c r="A11" i="25"/>
  <c r="A9" i="25"/>
  <c r="AD33" i="25"/>
  <c r="AD32" i="25"/>
  <c r="AD31" i="25"/>
  <c r="AD30" i="25"/>
  <c r="AD29" i="25"/>
  <c r="AD28" i="25"/>
  <c r="AD27" i="25"/>
  <c r="AD26" i="25"/>
  <c r="AD25" i="25"/>
  <c r="AD24" i="25"/>
  <c r="AD23" i="25"/>
  <c r="AD22" i="25"/>
  <c r="AD21" i="25"/>
  <c r="AD20" i="25"/>
  <c r="AD19" i="25"/>
  <c r="AD18" i="25"/>
  <c r="AD17" i="25"/>
  <c r="AD16" i="25"/>
  <c r="AD15" i="25"/>
  <c r="AD12" i="25"/>
  <c r="AD11" i="25"/>
  <c r="E6" i="19"/>
  <c r="GQ55" i="19"/>
  <c r="GP55" i="19"/>
  <c r="GO55" i="19"/>
  <c r="GN55" i="19"/>
  <c r="GM55" i="19"/>
  <c r="GL55" i="19"/>
  <c r="GK55" i="19"/>
  <c r="GJ55" i="19"/>
  <c r="GI55" i="19"/>
  <c r="GH55" i="19"/>
  <c r="GG55" i="19"/>
  <c r="GF55" i="19"/>
  <c r="GE55" i="19"/>
  <c r="GD55" i="19"/>
  <c r="GC55" i="19"/>
  <c r="GB55" i="19"/>
  <c r="GA55" i="19"/>
  <c r="FZ55" i="19"/>
  <c r="FY55" i="19"/>
  <c r="FX55" i="19"/>
  <c r="FW55" i="19"/>
  <c r="FV55" i="19"/>
  <c r="FU55" i="19"/>
  <c r="FT55" i="19"/>
  <c r="FS55" i="19"/>
  <c r="FR55" i="19"/>
  <c r="FQ55" i="19"/>
  <c r="FP55" i="19"/>
  <c r="FO55" i="19"/>
  <c r="FN55" i="19"/>
  <c r="FM55" i="19"/>
  <c r="FL55" i="19"/>
  <c r="FK55" i="19"/>
  <c r="FJ55" i="19"/>
  <c r="FI55" i="19"/>
  <c r="FH55" i="19"/>
  <c r="FG55" i="19"/>
  <c r="FF55" i="19"/>
  <c r="FE55" i="19"/>
  <c r="FD55" i="19"/>
  <c r="FC55" i="19"/>
  <c r="FB55" i="19"/>
  <c r="FA55" i="19"/>
  <c r="EZ55" i="19"/>
  <c r="EY55" i="19"/>
  <c r="EX55" i="19"/>
  <c r="EW55" i="19"/>
  <c r="EV55" i="19"/>
  <c r="EU55" i="19"/>
  <c r="ET55" i="19"/>
  <c r="ES55" i="19"/>
  <c r="ER55" i="19"/>
  <c r="EQ55" i="19"/>
  <c r="EP55" i="19"/>
  <c r="EO55" i="19"/>
  <c r="EN55" i="19"/>
  <c r="EM55" i="19"/>
  <c r="EL55" i="19"/>
  <c r="EK55" i="19"/>
  <c r="EJ55" i="19"/>
  <c r="EI55" i="19"/>
  <c r="EH55" i="19"/>
  <c r="EG55" i="19"/>
  <c r="EF55" i="19"/>
  <c r="EE55" i="19"/>
  <c r="ED55" i="19"/>
  <c r="EC55" i="19"/>
  <c r="EB55" i="19"/>
  <c r="EA55" i="19"/>
  <c r="DZ55" i="19"/>
  <c r="DY55" i="19"/>
  <c r="DX55" i="19"/>
  <c r="DW55" i="19"/>
  <c r="DV55" i="19"/>
  <c r="DU55" i="19"/>
  <c r="DT55" i="19"/>
  <c r="DS55" i="19"/>
  <c r="DR55" i="19"/>
  <c r="DQ55" i="19"/>
  <c r="DP55" i="19"/>
  <c r="DO55" i="19"/>
  <c r="DN55" i="19"/>
  <c r="DM55" i="19"/>
  <c r="DL55" i="19"/>
  <c r="DK55" i="19"/>
  <c r="DJ55" i="19"/>
  <c r="DI55" i="19"/>
  <c r="DH55" i="19"/>
  <c r="DG55" i="19"/>
  <c r="DF55" i="19"/>
  <c r="DE55" i="19"/>
  <c r="DD55" i="19"/>
  <c r="DC55" i="19"/>
  <c r="DB55" i="19"/>
  <c r="DA55" i="19"/>
  <c r="CZ55" i="19"/>
  <c r="CY55" i="19"/>
  <c r="CX55" i="19"/>
  <c r="CW55" i="19"/>
  <c r="CV55" i="19"/>
  <c r="CU55" i="19"/>
  <c r="CT55" i="19"/>
  <c r="CS55" i="19"/>
  <c r="CR55" i="19"/>
  <c r="CQ55" i="19"/>
  <c r="CP55" i="19"/>
  <c r="CO55" i="19"/>
  <c r="CN55" i="19"/>
  <c r="CM55" i="19"/>
  <c r="CL55" i="19"/>
  <c r="CK55" i="19"/>
  <c r="CJ55" i="19"/>
  <c r="CI55" i="19"/>
  <c r="CH55" i="19"/>
  <c r="CG55" i="19"/>
  <c r="CF55" i="19"/>
  <c r="CE55" i="19"/>
  <c r="CD55" i="19"/>
  <c r="CC55" i="19"/>
  <c r="CB55" i="19"/>
  <c r="CA55" i="19"/>
  <c r="BZ55" i="19"/>
  <c r="BY55" i="19"/>
  <c r="BX55" i="19"/>
  <c r="BW55" i="19"/>
  <c r="BV55" i="19"/>
  <c r="BU55" i="19"/>
  <c r="BT55" i="19"/>
  <c r="BS55" i="19"/>
  <c r="BR55" i="19"/>
  <c r="BQ55" i="19"/>
  <c r="BP55" i="19"/>
  <c r="BO55" i="19"/>
  <c r="BN55" i="19"/>
  <c r="BM55" i="19"/>
  <c r="BL55" i="19"/>
  <c r="BK55" i="19"/>
  <c r="BJ55" i="19"/>
  <c r="BI55" i="19"/>
  <c r="BH55" i="19"/>
  <c r="BG55" i="19"/>
  <c r="BF55" i="19"/>
  <c r="BE55" i="19"/>
  <c r="BD55" i="19"/>
  <c r="BC55" i="19"/>
  <c r="BB55" i="19"/>
  <c r="BA55" i="19"/>
  <c r="AZ55" i="19"/>
  <c r="AY55" i="19"/>
  <c r="AX55" i="19"/>
  <c r="AW55" i="19"/>
  <c r="AV55" i="19"/>
  <c r="AU55" i="19"/>
  <c r="AT55" i="19"/>
  <c r="AS55" i="19"/>
  <c r="AR55" i="19"/>
  <c r="AQ55" i="19"/>
  <c r="AP55" i="19"/>
  <c r="AO55" i="19"/>
  <c r="AN55" i="19"/>
  <c r="AM55" i="19"/>
  <c r="AL55" i="19"/>
  <c r="AK55" i="19"/>
  <c r="AJ55" i="19"/>
  <c r="AI55" i="19"/>
  <c r="AH55" i="19"/>
  <c r="AG55" i="19"/>
  <c r="AF55" i="19"/>
  <c r="AE55" i="19"/>
  <c r="AD55" i="19"/>
  <c r="AC55" i="19"/>
  <c r="AB55" i="19"/>
  <c r="AA55" i="19"/>
  <c r="Z55" i="19"/>
  <c r="Y55" i="19"/>
  <c r="X55" i="19"/>
  <c r="W55" i="19"/>
  <c r="V55" i="19"/>
  <c r="U55" i="19"/>
  <c r="T55" i="19"/>
  <c r="S55" i="19"/>
  <c r="R55" i="19"/>
  <c r="Q55" i="19"/>
  <c r="P55" i="19"/>
  <c r="O55" i="19"/>
  <c r="N55" i="19"/>
  <c r="M55" i="19"/>
  <c r="L55" i="19"/>
  <c r="K55" i="19"/>
  <c r="J55" i="19"/>
  <c r="I55" i="19"/>
  <c r="H55" i="19"/>
  <c r="G55" i="19"/>
  <c r="F55" i="19"/>
  <c r="GQ88" i="19"/>
  <c r="GQ115" i="19" s="1"/>
  <c r="GP88" i="19"/>
  <c r="GP115" i="19" s="1"/>
  <c r="GO88" i="19"/>
  <c r="GO115" i="19" s="1"/>
  <c r="GN88" i="19"/>
  <c r="GN115" i="19" s="1"/>
  <c r="GM88" i="19"/>
  <c r="GM115" i="19" s="1"/>
  <c r="GL88" i="19"/>
  <c r="GL115" i="19" s="1"/>
  <c r="GK88" i="19"/>
  <c r="GK115" i="19" s="1"/>
  <c r="GJ88" i="19"/>
  <c r="GJ115" i="19" s="1"/>
  <c r="GI88" i="19"/>
  <c r="GI115" i="19" s="1"/>
  <c r="GH88" i="19"/>
  <c r="GH115" i="19" s="1"/>
  <c r="GG88" i="19"/>
  <c r="GG115" i="19" s="1"/>
  <c r="GF88" i="19"/>
  <c r="GF115" i="19" s="1"/>
  <c r="GE88" i="19"/>
  <c r="GE115" i="19" s="1"/>
  <c r="GD88" i="19"/>
  <c r="GD115" i="19" s="1"/>
  <c r="GC88" i="19"/>
  <c r="GC115" i="19" s="1"/>
  <c r="GB88" i="19"/>
  <c r="GB115" i="19" s="1"/>
  <c r="GA88" i="19"/>
  <c r="GA115" i="19" s="1"/>
  <c r="FZ88" i="19"/>
  <c r="FZ115" i="19" s="1"/>
  <c r="FY88" i="19"/>
  <c r="FY115" i="19" s="1"/>
  <c r="FX88" i="19"/>
  <c r="FX115" i="19" s="1"/>
  <c r="FW88" i="19"/>
  <c r="FW115" i="19" s="1"/>
  <c r="FV88" i="19"/>
  <c r="FV115" i="19" s="1"/>
  <c r="FU88" i="19"/>
  <c r="FU115" i="19" s="1"/>
  <c r="FT88" i="19"/>
  <c r="FT115" i="19" s="1"/>
  <c r="FS88" i="19"/>
  <c r="FS115" i="19" s="1"/>
  <c r="FR88" i="19"/>
  <c r="FR115" i="19" s="1"/>
  <c r="FQ88" i="19"/>
  <c r="FQ115" i="19" s="1"/>
  <c r="FP88" i="19"/>
  <c r="FP115" i="19" s="1"/>
  <c r="FO88" i="19"/>
  <c r="FO115" i="19" s="1"/>
  <c r="FN88" i="19"/>
  <c r="FN115" i="19" s="1"/>
  <c r="FM88" i="19"/>
  <c r="FM115" i="19" s="1"/>
  <c r="FL88" i="19"/>
  <c r="FL115" i="19" s="1"/>
  <c r="FK88" i="19"/>
  <c r="FK115" i="19" s="1"/>
  <c r="FJ88" i="19"/>
  <c r="FJ115" i="19" s="1"/>
  <c r="FI88" i="19"/>
  <c r="FI115" i="19" s="1"/>
  <c r="FH88" i="19"/>
  <c r="FH115" i="19" s="1"/>
  <c r="FG88" i="19"/>
  <c r="FG115" i="19" s="1"/>
  <c r="FF88" i="19"/>
  <c r="FF115" i="19" s="1"/>
  <c r="FE88" i="19"/>
  <c r="FE115" i="19" s="1"/>
  <c r="FD88" i="19"/>
  <c r="FD115" i="19" s="1"/>
  <c r="FC88" i="19"/>
  <c r="FC115" i="19" s="1"/>
  <c r="FB88" i="19"/>
  <c r="FB115" i="19" s="1"/>
  <c r="FA88" i="19"/>
  <c r="FA115" i="19" s="1"/>
  <c r="EZ88" i="19"/>
  <c r="EZ115" i="19" s="1"/>
  <c r="EY88" i="19"/>
  <c r="EY115" i="19" s="1"/>
  <c r="EX88" i="19"/>
  <c r="EX115" i="19" s="1"/>
  <c r="EW88" i="19"/>
  <c r="EW115" i="19" s="1"/>
  <c r="EV88" i="19"/>
  <c r="EV115" i="19" s="1"/>
  <c r="EU88" i="19"/>
  <c r="EU115" i="19" s="1"/>
  <c r="ET88" i="19"/>
  <c r="ET115" i="19" s="1"/>
  <c r="ES88" i="19"/>
  <c r="ES115" i="19" s="1"/>
  <c r="ER88" i="19"/>
  <c r="ER115" i="19" s="1"/>
  <c r="EQ88" i="19"/>
  <c r="EQ115" i="19" s="1"/>
  <c r="EP88" i="19"/>
  <c r="EP115" i="19" s="1"/>
  <c r="EO88" i="19"/>
  <c r="EO115" i="19" s="1"/>
  <c r="EN88" i="19"/>
  <c r="EN115" i="19" s="1"/>
  <c r="EM88" i="19"/>
  <c r="EM115" i="19" s="1"/>
  <c r="EL88" i="19"/>
  <c r="EL115" i="19" s="1"/>
  <c r="EK88" i="19"/>
  <c r="EK115" i="19" s="1"/>
  <c r="EJ88" i="19"/>
  <c r="EJ115" i="19" s="1"/>
  <c r="EI88" i="19"/>
  <c r="EI115" i="19" s="1"/>
  <c r="EH88" i="19"/>
  <c r="EH115" i="19" s="1"/>
  <c r="EG88" i="19"/>
  <c r="EG115" i="19" s="1"/>
  <c r="EF88" i="19"/>
  <c r="EF115" i="19" s="1"/>
  <c r="EE88" i="19"/>
  <c r="EE115" i="19" s="1"/>
  <c r="ED88" i="19"/>
  <c r="ED115" i="19" s="1"/>
  <c r="EC88" i="19"/>
  <c r="EC115" i="19" s="1"/>
  <c r="EB88" i="19"/>
  <c r="EB115" i="19" s="1"/>
  <c r="EA88" i="19"/>
  <c r="EA115" i="19" s="1"/>
  <c r="DZ88" i="19"/>
  <c r="DZ115" i="19" s="1"/>
  <c r="DY88" i="19"/>
  <c r="DY115" i="19" s="1"/>
  <c r="DX88" i="19"/>
  <c r="DX115" i="19" s="1"/>
  <c r="DW88" i="19"/>
  <c r="DW115" i="19" s="1"/>
  <c r="DV88" i="19"/>
  <c r="DV115" i="19" s="1"/>
  <c r="DU88" i="19"/>
  <c r="DU115" i="19" s="1"/>
  <c r="DT88" i="19"/>
  <c r="DT115" i="19" s="1"/>
  <c r="DS88" i="19"/>
  <c r="DS115" i="19" s="1"/>
  <c r="DR88" i="19"/>
  <c r="DR115" i="19" s="1"/>
  <c r="DQ88" i="19"/>
  <c r="DQ115" i="19" s="1"/>
  <c r="DP88" i="19"/>
  <c r="DP115" i="19" s="1"/>
  <c r="DO88" i="19"/>
  <c r="DO115" i="19" s="1"/>
  <c r="DN88" i="19"/>
  <c r="DN115" i="19" s="1"/>
  <c r="DM88" i="19"/>
  <c r="DM115" i="19" s="1"/>
  <c r="DL88" i="19"/>
  <c r="DL115" i="19" s="1"/>
  <c r="DK88" i="19"/>
  <c r="DK115" i="19" s="1"/>
  <c r="DJ88" i="19"/>
  <c r="DJ115" i="19" s="1"/>
  <c r="DI88" i="19"/>
  <c r="DI115" i="19" s="1"/>
  <c r="DH88" i="19"/>
  <c r="DH115" i="19" s="1"/>
  <c r="DG88" i="19"/>
  <c r="DG115" i="19" s="1"/>
  <c r="DF88" i="19"/>
  <c r="DF115" i="19" s="1"/>
  <c r="DE88" i="19"/>
  <c r="DE115" i="19" s="1"/>
  <c r="DD88" i="19"/>
  <c r="DD115" i="19" s="1"/>
  <c r="DC88" i="19"/>
  <c r="DC115" i="19" s="1"/>
  <c r="DB88" i="19"/>
  <c r="DB115" i="19" s="1"/>
  <c r="DA88" i="19"/>
  <c r="DA115" i="19" s="1"/>
  <c r="CZ88" i="19"/>
  <c r="CZ115" i="19" s="1"/>
  <c r="CY88" i="19"/>
  <c r="CY115" i="19" s="1"/>
  <c r="CX88" i="19"/>
  <c r="CX115" i="19" s="1"/>
  <c r="CW88" i="19"/>
  <c r="CW115" i="19" s="1"/>
  <c r="CV88" i="19"/>
  <c r="CV115" i="19" s="1"/>
  <c r="CU88" i="19"/>
  <c r="CU115" i="19" s="1"/>
  <c r="CT88" i="19"/>
  <c r="CT115" i="19" s="1"/>
  <c r="CS88" i="19"/>
  <c r="CS115" i="19" s="1"/>
  <c r="CR88" i="19"/>
  <c r="CR115" i="19" s="1"/>
  <c r="CQ88" i="19"/>
  <c r="CQ115" i="19" s="1"/>
  <c r="CP88" i="19"/>
  <c r="CP115" i="19" s="1"/>
  <c r="CO88" i="19"/>
  <c r="CO115" i="19" s="1"/>
  <c r="CN88" i="19"/>
  <c r="CN115" i="19" s="1"/>
  <c r="CM88" i="19"/>
  <c r="CM115" i="19" s="1"/>
  <c r="CL88" i="19"/>
  <c r="CL115" i="19" s="1"/>
  <c r="CK88" i="19"/>
  <c r="CK115" i="19" s="1"/>
  <c r="CJ88" i="19"/>
  <c r="CJ115" i="19" s="1"/>
  <c r="CI88" i="19"/>
  <c r="CI115" i="19" s="1"/>
  <c r="CH88" i="19"/>
  <c r="CH115" i="19" s="1"/>
  <c r="CG88" i="19"/>
  <c r="CG115" i="19" s="1"/>
  <c r="CF88" i="19"/>
  <c r="CF115" i="19" s="1"/>
  <c r="CE88" i="19"/>
  <c r="CE115" i="19" s="1"/>
  <c r="CD88" i="19"/>
  <c r="CD115" i="19" s="1"/>
  <c r="CC88" i="19"/>
  <c r="CC115" i="19" s="1"/>
  <c r="CB88" i="19"/>
  <c r="CB115" i="19" s="1"/>
  <c r="CA88" i="19"/>
  <c r="CA115" i="19" s="1"/>
  <c r="BZ88" i="19"/>
  <c r="BZ115" i="19" s="1"/>
  <c r="BY88" i="19"/>
  <c r="BY115" i="19" s="1"/>
  <c r="BX88" i="19"/>
  <c r="BX115" i="19" s="1"/>
  <c r="BW88" i="19"/>
  <c r="BW115" i="19" s="1"/>
  <c r="BV88" i="19"/>
  <c r="BV115" i="19" s="1"/>
  <c r="BU88" i="19"/>
  <c r="BU115" i="19" s="1"/>
  <c r="BT88" i="19"/>
  <c r="BT115" i="19" s="1"/>
  <c r="BS88" i="19"/>
  <c r="BS115" i="19" s="1"/>
  <c r="BR88" i="19"/>
  <c r="BR115" i="19" s="1"/>
  <c r="BQ88" i="19"/>
  <c r="BQ115" i="19" s="1"/>
  <c r="BP88" i="19"/>
  <c r="BP115" i="19" s="1"/>
  <c r="BO88" i="19"/>
  <c r="BO115" i="19" s="1"/>
  <c r="BN88" i="19"/>
  <c r="BN115" i="19" s="1"/>
  <c r="BM88" i="19"/>
  <c r="BM115" i="19" s="1"/>
  <c r="BL88" i="19"/>
  <c r="BL115" i="19" s="1"/>
  <c r="BK88" i="19"/>
  <c r="BK115" i="19" s="1"/>
  <c r="BJ88" i="19"/>
  <c r="BJ115" i="19" s="1"/>
  <c r="BI88" i="19"/>
  <c r="BI115" i="19" s="1"/>
  <c r="BH88" i="19"/>
  <c r="BH115" i="19" s="1"/>
  <c r="BG88" i="19"/>
  <c r="BG115" i="19" s="1"/>
  <c r="BF88" i="19"/>
  <c r="BF115" i="19" s="1"/>
  <c r="BE88" i="19"/>
  <c r="BE115" i="19" s="1"/>
  <c r="BD88" i="19"/>
  <c r="BD115" i="19" s="1"/>
  <c r="BC88" i="19"/>
  <c r="BC115" i="19" s="1"/>
  <c r="BB88" i="19"/>
  <c r="BB115" i="19" s="1"/>
  <c r="BA88" i="19"/>
  <c r="BA115" i="19" s="1"/>
  <c r="AZ88" i="19"/>
  <c r="AZ115" i="19" s="1"/>
  <c r="AY88" i="19"/>
  <c r="AY115" i="19" s="1"/>
  <c r="AX88" i="19"/>
  <c r="AX115" i="19" s="1"/>
  <c r="AW88" i="19"/>
  <c r="AW115" i="19" s="1"/>
  <c r="AV88" i="19"/>
  <c r="AV115" i="19" s="1"/>
  <c r="AU88" i="19"/>
  <c r="AU115" i="19" s="1"/>
  <c r="AT88" i="19"/>
  <c r="AT115" i="19" s="1"/>
  <c r="AS88" i="19"/>
  <c r="AS115" i="19" s="1"/>
  <c r="AR88" i="19"/>
  <c r="AR115" i="19" s="1"/>
  <c r="AQ88" i="19"/>
  <c r="AQ115" i="19" s="1"/>
  <c r="AP88" i="19"/>
  <c r="AP115" i="19" s="1"/>
  <c r="AO88" i="19"/>
  <c r="AO115" i="19" s="1"/>
  <c r="AN88" i="19"/>
  <c r="AN115" i="19" s="1"/>
  <c r="AM88" i="19"/>
  <c r="AM115" i="19" s="1"/>
  <c r="AL88" i="19"/>
  <c r="AL115" i="19" s="1"/>
  <c r="AK88" i="19"/>
  <c r="AK115" i="19" s="1"/>
  <c r="AJ88" i="19"/>
  <c r="AJ115" i="19" s="1"/>
  <c r="AI88" i="19"/>
  <c r="AI115" i="19" s="1"/>
  <c r="AH88" i="19"/>
  <c r="AH115" i="19" s="1"/>
  <c r="AG88" i="19"/>
  <c r="AG115" i="19" s="1"/>
  <c r="AF88" i="19"/>
  <c r="AF115" i="19" s="1"/>
  <c r="AE88" i="19"/>
  <c r="AE115" i="19" s="1"/>
  <c r="AD88" i="19"/>
  <c r="AD115" i="19" s="1"/>
  <c r="AC88" i="19"/>
  <c r="AC115" i="19" s="1"/>
  <c r="AB88" i="19"/>
  <c r="AB115" i="19" s="1"/>
  <c r="AA88" i="19"/>
  <c r="AA115" i="19" s="1"/>
  <c r="Z88" i="19"/>
  <c r="Z115" i="19" s="1"/>
  <c r="Y88" i="19"/>
  <c r="Y115" i="19" s="1"/>
  <c r="X88" i="19"/>
  <c r="X115" i="19" s="1"/>
  <c r="W88" i="19"/>
  <c r="W115" i="19" s="1"/>
  <c r="V88" i="19"/>
  <c r="V115" i="19" s="1"/>
  <c r="U88" i="19"/>
  <c r="U115" i="19" s="1"/>
  <c r="T88" i="19"/>
  <c r="T115" i="19" s="1"/>
  <c r="S88" i="19"/>
  <c r="S115" i="19" s="1"/>
  <c r="R88" i="19"/>
  <c r="R115" i="19" s="1"/>
  <c r="Q88" i="19"/>
  <c r="Q115" i="19" s="1"/>
  <c r="P88" i="19"/>
  <c r="P115" i="19" s="1"/>
  <c r="O88" i="19"/>
  <c r="O115" i="19" s="1"/>
  <c r="N88" i="19"/>
  <c r="N115" i="19" s="1"/>
  <c r="M88" i="19"/>
  <c r="M115" i="19" s="1"/>
  <c r="L88" i="19"/>
  <c r="L115" i="19" s="1"/>
  <c r="K88" i="19"/>
  <c r="K115" i="19" s="1"/>
  <c r="J88" i="19"/>
  <c r="J115" i="19" s="1"/>
  <c r="I88" i="19"/>
  <c r="I115" i="19" s="1"/>
  <c r="H88" i="19"/>
  <c r="H115" i="19" s="1"/>
  <c r="G88" i="19"/>
  <c r="G115" i="19" s="1"/>
  <c r="GQ87" i="19"/>
  <c r="GQ114" i="19" s="1"/>
  <c r="GP87" i="19"/>
  <c r="GP114" i="19" s="1"/>
  <c r="GO87" i="19"/>
  <c r="GO114" i="19" s="1"/>
  <c r="GN87" i="19"/>
  <c r="GN114" i="19" s="1"/>
  <c r="GM87" i="19"/>
  <c r="GM114" i="19" s="1"/>
  <c r="GL87" i="19"/>
  <c r="GL114" i="19" s="1"/>
  <c r="GK87" i="19"/>
  <c r="GK114" i="19" s="1"/>
  <c r="GJ87" i="19"/>
  <c r="GJ114" i="19" s="1"/>
  <c r="GI87" i="19"/>
  <c r="GI114" i="19" s="1"/>
  <c r="GH87" i="19"/>
  <c r="GH114" i="19" s="1"/>
  <c r="GG87" i="19"/>
  <c r="GG114" i="19" s="1"/>
  <c r="GF87" i="19"/>
  <c r="GF114" i="19" s="1"/>
  <c r="GE87" i="19"/>
  <c r="GE114" i="19" s="1"/>
  <c r="GD87" i="19"/>
  <c r="GD114" i="19" s="1"/>
  <c r="GC87" i="19"/>
  <c r="GC114" i="19" s="1"/>
  <c r="GB87" i="19"/>
  <c r="GB114" i="19" s="1"/>
  <c r="GA87" i="19"/>
  <c r="GA114" i="19" s="1"/>
  <c r="FZ87" i="19"/>
  <c r="FZ114" i="19" s="1"/>
  <c r="FY87" i="19"/>
  <c r="FY114" i="19" s="1"/>
  <c r="FX87" i="19"/>
  <c r="FX114" i="19" s="1"/>
  <c r="FW87" i="19"/>
  <c r="FW114" i="19" s="1"/>
  <c r="FV87" i="19"/>
  <c r="FV114" i="19" s="1"/>
  <c r="FU87" i="19"/>
  <c r="FU114" i="19" s="1"/>
  <c r="FT87" i="19"/>
  <c r="FT114" i="19" s="1"/>
  <c r="FS87" i="19"/>
  <c r="FS114" i="19" s="1"/>
  <c r="FR87" i="19"/>
  <c r="FR114" i="19" s="1"/>
  <c r="FQ87" i="19"/>
  <c r="FQ114" i="19" s="1"/>
  <c r="FP87" i="19"/>
  <c r="FP114" i="19" s="1"/>
  <c r="FO87" i="19"/>
  <c r="FO114" i="19" s="1"/>
  <c r="FN87" i="19"/>
  <c r="FN114" i="19" s="1"/>
  <c r="FM87" i="19"/>
  <c r="FM114" i="19" s="1"/>
  <c r="FL87" i="19"/>
  <c r="FL114" i="19" s="1"/>
  <c r="FK87" i="19"/>
  <c r="FK114" i="19" s="1"/>
  <c r="FJ87" i="19"/>
  <c r="FJ114" i="19" s="1"/>
  <c r="FI87" i="19"/>
  <c r="FI114" i="19" s="1"/>
  <c r="FH87" i="19"/>
  <c r="FH114" i="19" s="1"/>
  <c r="FG87" i="19"/>
  <c r="FG114" i="19" s="1"/>
  <c r="FF87" i="19"/>
  <c r="FF114" i="19" s="1"/>
  <c r="FE87" i="19"/>
  <c r="FE114" i="19" s="1"/>
  <c r="FD87" i="19"/>
  <c r="FD114" i="19" s="1"/>
  <c r="FC87" i="19"/>
  <c r="FC114" i="19" s="1"/>
  <c r="FB87" i="19"/>
  <c r="FB114" i="19" s="1"/>
  <c r="FA87" i="19"/>
  <c r="FA114" i="19" s="1"/>
  <c r="EZ87" i="19"/>
  <c r="EZ114" i="19" s="1"/>
  <c r="EY87" i="19"/>
  <c r="EY114" i="19" s="1"/>
  <c r="EX87" i="19"/>
  <c r="EX114" i="19" s="1"/>
  <c r="EW87" i="19"/>
  <c r="EW114" i="19" s="1"/>
  <c r="EV87" i="19"/>
  <c r="EV114" i="19" s="1"/>
  <c r="EU87" i="19"/>
  <c r="EU114" i="19" s="1"/>
  <c r="ET87" i="19"/>
  <c r="ET114" i="19" s="1"/>
  <c r="ES87" i="19"/>
  <c r="ES114" i="19" s="1"/>
  <c r="ER87" i="19"/>
  <c r="ER114" i="19" s="1"/>
  <c r="EQ87" i="19"/>
  <c r="EQ114" i="19" s="1"/>
  <c r="EP87" i="19"/>
  <c r="EP114" i="19" s="1"/>
  <c r="EO87" i="19"/>
  <c r="EO114" i="19" s="1"/>
  <c r="EN87" i="19"/>
  <c r="EN114" i="19" s="1"/>
  <c r="EM87" i="19"/>
  <c r="EM114" i="19" s="1"/>
  <c r="EL87" i="19"/>
  <c r="EL114" i="19" s="1"/>
  <c r="EK87" i="19"/>
  <c r="EK114" i="19" s="1"/>
  <c r="EJ87" i="19"/>
  <c r="EJ114" i="19" s="1"/>
  <c r="EI87" i="19"/>
  <c r="EI114" i="19" s="1"/>
  <c r="EH87" i="19"/>
  <c r="EH114" i="19" s="1"/>
  <c r="EG87" i="19"/>
  <c r="EG114" i="19" s="1"/>
  <c r="EF87" i="19"/>
  <c r="EF114" i="19" s="1"/>
  <c r="EE87" i="19"/>
  <c r="EE114" i="19" s="1"/>
  <c r="ED87" i="19"/>
  <c r="ED114" i="19" s="1"/>
  <c r="EC87" i="19"/>
  <c r="EC114" i="19" s="1"/>
  <c r="EB87" i="19"/>
  <c r="EB114" i="19" s="1"/>
  <c r="EA87" i="19"/>
  <c r="EA114" i="19" s="1"/>
  <c r="DZ87" i="19"/>
  <c r="DZ114" i="19" s="1"/>
  <c r="DY87" i="19"/>
  <c r="DY114" i="19" s="1"/>
  <c r="DX87" i="19"/>
  <c r="DX114" i="19" s="1"/>
  <c r="DW87" i="19"/>
  <c r="DW114" i="19" s="1"/>
  <c r="DV87" i="19"/>
  <c r="DV114" i="19" s="1"/>
  <c r="DU87" i="19"/>
  <c r="DU114" i="19" s="1"/>
  <c r="DT87" i="19"/>
  <c r="DT114" i="19" s="1"/>
  <c r="DS87" i="19"/>
  <c r="DS114" i="19" s="1"/>
  <c r="DR87" i="19"/>
  <c r="DR114" i="19" s="1"/>
  <c r="DQ87" i="19"/>
  <c r="DQ114" i="19" s="1"/>
  <c r="DP87" i="19"/>
  <c r="DP114" i="19" s="1"/>
  <c r="DO87" i="19"/>
  <c r="DO114" i="19" s="1"/>
  <c r="DN87" i="19"/>
  <c r="DN114" i="19" s="1"/>
  <c r="DM87" i="19"/>
  <c r="DM114" i="19" s="1"/>
  <c r="DL87" i="19"/>
  <c r="DL114" i="19" s="1"/>
  <c r="DK87" i="19"/>
  <c r="DK114" i="19" s="1"/>
  <c r="DJ87" i="19"/>
  <c r="DJ114" i="19" s="1"/>
  <c r="DI87" i="19"/>
  <c r="DI114" i="19" s="1"/>
  <c r="DH87" i="19"/>
  <c r="DH114" i="19" s="1"/>
  <c r="DG87" i="19"/>
  <c r="DG114" i="19" s="1"/>
  <c r="DF87" i="19"/>
  <c r="DF114" i="19" s="1"/>
  <c r="DE87" i="19"/>
  <c r="DE114" i="19" s="1"/>
  <c r="DD87" i="19"/>
  <c r="DD114" i="19" s="1"/>
  <c r="DC87" i="19"/>
  <c r="DC114" i="19" s="1"/>
  <c r="DB87" i="19"/>
  <c r="DB114" i="19" s="1"/>
  <c r="DA87" i="19"/>
  <c r="DA114" i="19" s="1"/>
  <c r="CZ87" i="19"/>
  <c r="CZ114" i="19" s="1"/>
  <c r="CY87" i="19"/>
  <c r="CY114" i="19" s="1"/>
  <c r="CX87" i="19"/>
  <c r="CX114" i="19" s="1"/>
  <c r="CW87" i="19"/>
  <c r="CW114" i="19" s="1"/>
  <c r="CV87" i="19"/>
  <c r="CV114" i="19" s="1"/>
  <c r="CU87" i="19"/>
  <c r="CU114" i="19" s="1"/>
  <c r="CT87" i="19"/>
  <c r="CT114" i="19" s="1"/>
  <c r="CS87" i="19"/>
  <c r="CS114" i="19" s="1"/>
  <c r="CR87" i="19"/>
  <c r="CR114" i="19" s="1"/>
  <c r="CQ87" i="19"/>
  <c r="CQ114" i="19" s="1"/>
  <c r="CP87" i="19"/>
  <c r="CP114" i="19" s="1"/>
  <c r="CO87" i="19"/>
  <c r="CO114" i="19" s="1"/>
  <c r="CN87" i="19"/>
  <c r="CN114" i="19" s="1"/>
  <c r="CM87" i="19"/>
  <c r="CM114" i="19" s="1"/>
  <c r="CL87" i="19"/>
  <c r="CL114" i="19" s="1"/>
  <c r="CK87" i="19"/>
  <c r="CK114" i="19" s="1"/>
  <c r="CJ87" i="19"/>
  <c r="CJ114" i="19" s="1"/>
  <c r="CI87" i="19"/>
  <c r="CI114" i="19" s="1"/>
  <c r="CH87" i="19"/>
  <c r="CH114" i="19" s="1"/>
  <c r="CG87" i="19"/>
  <c r="CG114" i="19" s="1"/>
  <c r="CF87" i="19"/>
  <c r="CF114" i="19" s="1"/>
  <c r="CE87" i="19"/>
  <c r="CE114" i="19" s="1"/>
  <c r="CD87" i="19"/>
  <c r="CD114" i="19" s="1"/>
  <c r="CC87" i="19"/>
  <c r="CC114" i="19" s="1"/>
  <c r="CB87" i="19"/>
  <c r="CB114" i="19" s="1"/>
  <c r="CA87" i="19"/>
  <c r="CA114" i="19" s="1"/>
  <c r="BZ87" i="19"/>
  <c r="BZ114" i="19" s="1"/>
  <c r="BY87" i="19"/>
  <c r="BY114" i="19" s="1"/>
  <c r="BX87" i="19"/>
  <c r="BX114" i="19" s="1"/>
  <c r="BW87" i="19"/>
  <c r="BW114" i="19" s="1"/>
  <c r="BV87" i="19"/>
  <c r="BV114" i="19" s="1"/>
  <c r="BU87" i="19"/>
  <c r="BU114" i="19" s="1"/>
  <c r="BT87" i="19"/>
  <c r="BT114" i="19" s="1"/>
  <c r="BS87" i="19"/>
  <c r="BS114" i="19" s="1"/>
  <c r="BR87" i="19"/>
  <c r="BR114" i="19" s="1"/>
  <c r="BQ87" i="19"/>
  <c r="BQ114" i="19" s="1"/>
  <c r="BP87" i="19"/>
  <c r="BP114" i="19" s="1"/>
  <c r="BO87" i="19"/>
  <c r="BO114" i="19" s="1"/>
  <c r="BN87" i="19"/>
  <c r="BN114" i="19" s="1"/>
  <c r="BM87" i="19"/>
  <c r="BM114" i="19" s="1"/>
  <c r="BL87" i="19"/>
  <c r="BL114" i="19" s="1"/>
  <c r="BK87" i="19"/>
  <c r="BK114" i="19" s="1"/>
  <c r="BJ87" i="19"/>
  <c r="BJ114" i="19" s="1"/>
  <c r="BI87" i="19"/>
  <c r="BI114" i="19" s="1"/>
  <c r="BH87" i="19"/>
  <c r="BH114" i="19" s="1"/>
  <c r="BG87" i="19"/>
  <c r="BG114" i="19" s="1"/>
  <c r="BF87" i="19"/>
  <c r="BF114" i="19" s="1"/>
  <c r="BE87" i="19"/>
  <c r="BE114" i="19" s="1"/>
  <c r="BD87" i="19"/>
  <c r="BD114" i="19" s="1"/>
  <c r="BC87" i="19"/>
  <c r="BC114" i="19" s="1"/>
  <c r="BB87" i="19"/>
  <c r="BB114" i="19" s="1"/>
  <c r="BA87" i="19"/>
  <c r="BA114" i="19" s="1"/>
  <c r="AZ87" i="19"/>
  <c r="AZ114" i="19" s="1"/>
  <c r="AY87" i="19"/>
  <c r="AY114" i="19" s="1"/>
  <c r="AX87" i="19"/>
  <c r="AX114" i="19" s="1"/>
  <c r="AW87" i="19"/>
  <c r="AW114" i="19" s="1"/>
  <c r="AV87" i="19"/>
  <c r="AV114" i="19" s="1"/>
  <c r="AU87" i="19"/>
  <c r="AU114" i="19" s="1"/>
  <c r="AT87" i="19"/>
  <c r="AT114" i="19" s="1"/>
  <c r="AS87" i="19"/>
  <c r="AS114" i="19" s="1"/>
  <c r="AR87" i="19"/>
  <c r="AR114" i="19" s="1"/>
  <c r="AQ87" i="19"/>
  <c r="AQ114" i="19" s="1"/>
  <c r="AP87" i="19"/>
  <c r="AP114" i="19" s="1"/>
  <c r="AO87" i="19"/>
  <c r="AO114" i="19" s="1"/>
  <c r="AN87" i="19"/>
  <c r="AN114" i="19" s="1"/>
  <c r="AM87" i="19"/>
  <c r="AM114" i="19" s="1"/>
  <c r="AL87" i="19"/>
  <c r="AL114" i="19" s="1"/>
  <c r="AK87" i="19"/>
  <c r="AK114" i="19" s="1"/>
  <c r="AJ87" i="19"/>
  <c r="AJ114" i="19" s="1"/>
  <c r="AI87" i="19"/>
  <c r="AI114" i="19" s="1"/>
  <c r="AH87" i="19"/>
  <c r="AH114" i="19" s="1"/>
  <c r="GQ86" i="19"/>
  <c r="GQ113" i="19" s="1"/>
  <c r="GP86" i="19"/>
  <c r="GP113" i="19" s="1"/>
  <c r="GO86" i="19"/>
  <c r="GO113" i="19" s="1"/>
  <c r="GN86" i="19"/>
  <c r="GN113" i="19" s="1"/>
  <c r="GM86" i="19"/>
  <c r="GM113" i="19" s="1"/>
  <c r="GL86" i="19"/>
  <c r="GL113" i="19" s="1"/>
  <c r="GK86" i="19"/>
  <c r="GK113" i="19" s="1"/>
  <c r="GJ86" i="19"/>
  <c r="GJ113" i="19" s="1"/>
  <c r="GI86" i="19"/>
  <c r="GI113" i="19" s="1"/>
  <c r="GH86" i="19"/>
  <c r="GH113" i="19" s="1"/>
  <c r="GG86" i="19"/>
  <c r="GG113" i="19" s="1"/>
  <c r="GF86" i="19"/>
  <c r="GF113" i="19" s="1"/>
  <c r="GE86" i="19"/>
  <c r="GE113" i="19" s="1"/>
  <c r="GD86" i="19"/>
  <c r="GD113" i="19" s="1"/>
  <c r="GC86" i="19"/>
  <c r="GC113" i="19" s="1"/>
  <c r="GB86" i="19"/>
  <c r="GB113" i="19" s="1"/>
  <c r="GA86" i="19"/>
  <c r="GA113" i="19" s="1"/>
  <c r="FZ86" i="19"/>
  <c r="FZ113" i="19" s="1"/>
  <c r="FY86" i="19"/>
  <c r="FY113" i="19" s="1"/>
  <c r="FX86" i="19"/>
  <c r="FX113" i="19" s="1"/>
  <c r="FW86" i="19"/>
  <c r="FW113" i="19" s="1"/>
  <c r="FV86" i="19"/>
  <c r="FV113" i="19" s="1"/>
  <c r="FU86" i="19"/>
  <c r="FU113" i="19" s="1"/>
  <c r="FT86" i="19"/>
  <c r="FT113" i="19" s="1"/>
  <c r="FS86" i="19"/>
  <c r="FS113" i="19" s="1"/>
  <c r="FR86" i="19"/>
  <c r="FR113" i="19" s="1"/>
  <c r="FQ86" i="19"/>
  <c r="FQ113" i="19" s="1"/>
  <c r="FP86" i="19"/>
  <c r="FP113" i="19" s="1"/>
  <c r="FO86" i="19"/>
  <c r="FO113" i="19" s="1"/>
  <c r="FN86" i="19"/>
  <c r="FN113" i="19" s="1"/>
  <c r="FM86" i="19"/>
  <c r="FM113" i="19" s="1"/>
  <c r="FL86" i="19"/>
  <c r="FL113" i="19" s="1"/>
  <c r="FK86" i="19"/>
  <c r="FK113" i="19" s="1"/>
  <c r="FJ86" i="19"/>
  <c r="FJ113" i="19" s="1"/>
  <c r="FI86" i="19"/>
  <c r="FI113" i="19" s="1"/>
  <c r="FH86" i="19"/>
  <c r="FH113" i="19" s="1"/>
  <c r="FG86" i="19"/>
  <c r="FG113" i="19" s="1"/>
  <c r="FF86" i="19"/>
  <c r="FF113" i="19" s="1"/>
  <c r="FE86" i="19"/>
  <c r="FE113" i="19" s="1"/>
  <c r="FD86" i="19"/>
  <c r="FD113" i="19" s="1"/>
  <c r="FC86" i="19"/>
  <c r="FC113" i="19" s="1"/>
  <c r="FB86" i="19"/>
  <c r="FB113" i="19" s="1"/>
  <c r="FA86" i="19"/>
  <c r="FA113" i="19" s="1"/>
  <c r="EZ86" i="19"/>
  <c r="EZ113" i="19" s="1"/>
  <c r="EY86" i="19"/>
  <c r="EY113" i="19" s="1"/>
  <c r="EX86" i="19"/>
  <c r="EX113" i="19" s="1"/>
  <c r="EW86" i="19"/>
  <c r="EW113" i="19" s="1"/>
  <c r="EV86" i="19"/>
  <c r="EV113" i="19" s="1"/>
  <c r="EU86" i="19"/>
  <c r="EU113" i="19" s="1"/>
  <c r="ET86" i="19"/>
  <c r="ET113" i="19" s="1"/>
  <c r="ES86" i="19"/>
  <c r="ES113" i="19" s="1"/>
  <c r="ER86" i="19"/>
  <c r="ER113" i="19" s="1"/>
  <c r="EQ86" i="19"/>
  <c r="EQ113" i="19" s="1"/>
  <c r="EP86" i="19"/>
  <c r="EP113" i="19" s="1"/>
  <c r="EO86" i="19"/>
  <c r="EO113" i="19" s="1"/>
  <c r="EN86" i="19"/>
  <c r="EN113" i="19" s="1"/>
  <c r="EM86" i="19"/>
  <c r="EM113" i="19" s="1"/>
  <c r="EL86" i="19"/>
  <c r="EL113" i="19" s="1"/>
  <c r="EK86" i="19"/>
  <c r="EK113" i="19" s="1"/>
  <c r="EJ86" i="19"/>
  <c r="EJ113" i="19" s="1"/>
  <c r="EI86" i="19"/>
  <c r="EI113" i="19" s="1"/>
  <c r="EH86" i="19"/>
  <c r="EH113" i="19" s="1"/>
  <c r="EG86" i="19"/>
  <c r="EG113" i="19" s="1"/>
  <c r="EF86" i="19"/>
  <c r="EF113" i="19" s="1"/>
  <c r="EE86" i="19"/>
  <c r="EE113" i="19" s="1"/>
  <c r="ED86" i="19"/>
  <c r="ED113" i="19" s="1"/>
  <c r="EC86" i="19"/>
  <c r="EC113" i="19" s="1"/>
  <c r="EB86" i="19"/>
  <c r="EB113" i="19" s="1"/>
  <c r="EA86" i="19"/>
  <c r="EA113" i="19" s="1"/>
  <c r="DZ86" i="19"/>
  <c r="DZ113" i="19" s="1"/>
  <c r="DY86" i="19"/>
  <c r="DY113" i="19" s="1"/>
  <c r="DX86" i="19"/>
  <c r="DX113" i="19" s="1"/>
  <c r="DW86" i="19"/>
  <c r="DW113" i="19" s="1"/>
  <c r="DV86" i="19"/>
  <c r="DV113" i="19" s="1"/>
  <c r="DU86" i="19"/>
  <c r="DU113" i="19" s="1"/>
  <c r="DT86" i="19"/>
  <c r="DT113" i="19" s="1"/>
  <c r="DS86" i="19"/>
  <c r="DS113" i="19" s="1"/>
  <c r="DR86" i="19"/>
  <c r="DR113" i="19" s="1"/>
  <c r="DQ86" i="19"/>
  <c r="DQ113" i="19" s="1"/>
  <c r="DP86" i="19"/>
  <c r="DP113" i="19" s="1"/>
  <c r="DO86" i="19"/>
  <c r="DO113" i="19" s="1"/>
  <c r="DN86" i="19"/>
  <c r="DN113" i="19" s="1"/>
  <c r="DM86" i="19"/>
  <c r="DM113" i="19" s="1"/>
  <c r="DL86" i="19"/>
  <c r="DL113" i="19" s="1"/>
  <c r="DK86" i="19"/>
  <c r="DK113" i="19" s="1"/>
  <c r="DJ86" i="19"/>
  <c r="DJ113" i="19" s="1"/>
  <c r="DI86" i="19"/>
  <c r="DI113" i="19" s="1"/>
  <c r="DH86" i="19"/>
  <c r="DH113" i="19" s="1"/>
  <c r="DG86" i="19"/>
  <c r="DG113" i="19" s="1"/>
  <c r="DF86" i="19"/>
  <c r="DF113" i="19" s="1"/>
  <c r="DE86" i="19"/>
  <c r="DE113" i="19" s="1"/>
  <c r="DD86" i="19"/>
  <c r="DD113" i="19" s="1"/>
  <c r="DC86" i="19"/>
  <c r="DC113" i="19" s="1"/>
  <c r="DB86" i="19"/>
  <c r="DB113" i="19" s="1"/>
  <c r="DA86" i="19"/>
  <c r="DA113" i="19" s="1"/>
  <c r="CZ86" i="19"/>
  <c r="CZ113" i="19" s="1"/>
  <c r="CY86" i="19"/>
  <c r="CY113" i="19" s="1"/>
  <c r="CX86" i="19"/>
  <c r="CX113" i="19" s="1"/>
  <c r="CW86" i="19"/>
  <c r="CW113" i="19" s="1"/>
  <c r="CV86" i="19"/>
  <c r="CV113" i="19" s="1"/>
  <c r="CU86" i="19"/>
  <c r="CU113" i="19" s="1"/>
  <c r="CT86" i="19"/>
  <c r="CT113" i="19" s="1"/>
  <c r="CS86" i="19"/>
  <c r="CS113" i="19" s="1"/>
  <c r="CR86" i="19"/>
  <c r="CR113" i="19" s="1"/>
  <c r="CQ86" i="19"/>
  <c r="CQ113" i="19" s="1"/>
  <c r="CP86" i="19"/>
  <c r="CP113" i="19" s="1"/>
  <c r="CO86" i="19"/>
  <c r="CO113" i="19" s="1"/>
  <c r="CN86" i="19"/>
  <c r="CN113" i="19" s="1"/>
  <c r="CM86" i="19"/>
  <c r="CM113" i="19" s="1"/>
  <c r="CL86" i="19"/>
  <c r="CL113" i="19" s="1"/>
  <c r="CK86" i="19"/>
  <c r="CK113" i="19" s="1"/>
  <c r="CJ86" i="19"/>
  <c r="CJ113" i="19" s="1"/>
  <c r="CI86" i="19"/>
  <c r="CI113" i="19" s="1"/>
  <c r="CH86" i="19"/>
  <c r="CH113" i="19" s="1"/>
  <c r="CG86" i="19"/>
  <c r="CG113" i="19" s="1"/>
  <c r="CF86" i="19"/>
  <c r="CF113" i="19" s="1"/>
  <c r="CE86" i="19"/>
  <c r="CE113" i="19" s="1"/>
  <c r="CD86" i="19"/>
  <c r="CD113" i="19" s="1"/>
  <c r="CC86" i="19"/>
  <c r="CC113" i="19" s="1"/>
  <c r="CB86" i="19"/>
  <c r="CB113" i="19" s="1"/>
  <c r="CA86" i="19"/>
  <c r="CA113" i="19" s="1"/>
  <c r="BZ86" i="19"/>
  <c r="BZ113" i="19" s="1"/>
  <c r="BY86" i="19"/>
  <c r="BY113" i="19" s="1"/>
  <c r="BX86" i="19"/>
  <c r="BX113" i="19" s="1"/>
  <c r="BW86" i="19"/>
  <c r="BW113" i="19" s="1"/>
  <c r="BV86" i="19"/>
  <c r="BV113" i="19" s="1"/>
  <c r="BU86" i="19"/>
  <c r="BU113" i="19" s="1"/>
  <c r="BT86" i="19"/>
  <c r="BT113" i="19" s="1"/>
  <c r="BS86" i="19"/>
  <c r="BS113" i="19" s="1"/>
  <c r="BR86" i="19"/>
  <c r="BR113" i="19" s="1"/>
  <c r="BQ86" i="19"/>
  <c r="BQ113" i="19" s="1"/>
  <c r="BP86" i="19"/>
  <c r="BP113" i="19" s="1"/>
  <c r="BO86" i="19"/>
  <c r="BO113" i="19" s="1"/>
  <c r="BN86" i="19"/>
  <c r="BN113" i="19" s="1"/>
  <c r="BM86" i="19"/>
  <c r="BM113" i="19" s="1"/>
  <c r="BL86" i="19"/>
  <c r="BL113" i="19" s="1"/>
  <c r="BK86" i="19"/>
  <c r="BK113" i="19" s="1"/>
  <c r="BJ86" i="19"/>
  <c r="BJ113" i="19" s="1"/>
  <c r="BI86" i="19"/>
  <c r="BI113" i="19" s="1"/>
  <c r="BH86" i="19"/>
  <c r="BH113" i="19" s="1"/>
  <c r="BG86" i="19"/>
  <c r="BG113" i="19" s="1"/>
  <c r="BF86" i="19"/>
  <c r="BF113" i="19" s="1"/>
  <c r="BE86" i="19"/>
  <c r="BE113" i="19" s="1"/>
  <c r="BD86" i="19"/>
  <c r="BD113" i="19" s="1"/>
  <c r="BC86" i="19"/>
  <c r="BC113" i="19" s="1"/>
  <c r="BB86" i="19"/>
  <c r="BB113" i="19" s="1"/>
  <c r="BA86" i="19"/>
  <c r="BA113" i="19" s="1"/>
  <c r="AZ86" i="19"/>
  <c r="AZ113" i="19" s="1"/>
  <c r="AY86" i="19"/>
  <c r="AY113" i="19" s="1"/>
  <c r="AX86" i="19"/>
  <c r="AX113" i="19" s="1"/>
  <c r="AW86" i="19"/>
  <c r="AW113" i="19" s="1"/>
  <c r="AV86" i="19"/>
  <c r="AV113" i="19" s="1"/>
  <c r="AU86" i="19"/>
  <c r="AU113" i="19" s="1"/>
  <c r="AT86" i="19"/>
  <c r="AT113" i="19" s="1"/>
  <c r="AS86" i="19"/>
  <c r="AS113" i="19" s="1"/>
  <c r="AR86" i="19"/>
  <c r="AR113" i="19" s="1"/>
  <c r="AQ86" i="19"/>
  <c r="AQ113" i="19" s="1"/>
  <c r="AP86" i="19"/>
  <c r="AP113" i="19" s="1"/>
  <c r="AO86" i="19"/>
  <c r="AO113" i="19" s="1"/>
  <c r="AN86" i="19"/>
  <c r="AN113" i="19" s="1"/>
  <c r="AM86" i="19"/>
  <c r="AM113" i="19" s="1"/>
  <c r="AL86" i="19"/>
  <c r="AL113" i="19" s="1"/>
  <c r="AK86" i="19"/>
  <c r="AK113" i="19" s="1"/>
  <c r="AJ86" i="19"/>
  <c r="AJ113" i="19" s="1"/>
  <c r="AI86" i="19"/>
  <c r="AI113" i="19" s="1"/>
  <c r="AH86" i="19"/>
  <c r="AH113" i="19" s="1"/>
  <c r="AG86" i="19"/>
  <c r="AG113" i="19" s="1"/>
  <c r="AF86" i="19"/>
  <c r="AF113" i="19" s="1"/>
  <c r="AE86" i="19"/>
  <c r="AE113" i="19" s="1"/>
  <c r="AD86" i="19"/>
  <c r="AD113" i="19" s="1"/>
  <c r="AC86" i="19"/>
  <c r="AC113" i="19" s="1"/>
  <c r="AB86" i="19"/>
  <c r="AB113" i="19" s="1"/>
  <c r="AA86" i="19"/>
  <c r="AA113" i="19" s="1"/>
  <c r="Z86" i="19"/>
  <c r="Z113" i="19" s="1"/>
  <c r="Y86" i="19"/>
  <c r="Y113" i="19" s="1"/>
  <c r="X86" i="19"/>
  <c r="X113" i="19" s="1"/>
  <c r="W86" i="19"/>
  <c r="W113" i="19" s="1"/>
  <c r="V86" i="19"/>
  <c r="V113" i="19" s="1"/>
  <c r="U86" i="19"/>
  <c r="U113" i="19" s="1"/>
  <c r="T86" i="19"/>
  <c r="T113" i="19" s="1"/>
  <c r="S86" i="19"/>
  <c r="S113" i="19" s="1"/>
  <c r="R86" i="19"/>
  <c r="R113" i="19" s="1"/>
  <c r="Q86" i="19"/>
  <c r="Q113" i="19" s="1"/>
  <c r="P86" i="19"/>
  <c r="P113" i="19" s="1"/>
  <c r="O86" i="19"/>
  <c r="O113" i="19" s="1"/>
  <c r="N86" i="19"/>
  <c r="N113" i="19" s="1"/>
  <c r="GQ85" i="19"/>
  <c r="GQ112" i="19" s="1"/>
  <c r="GP85" i="19"/>
  <c r="GP112" i="19" s="1"/>
  <c r="GO85" i="19"/>
  <c r="GO112" i="19" s="1"/>
  <c r="GN85" i="19"/>
  <c r="GN112" i="19" s="1"/>
  <c r="GM85" i="19"/>
  <c r="GM112" i="19" s="1"/>
  <c r="GL85" i="19"/>
  <c r="GL112" i="19" s="1"/>
  <c r="GK85" i="19"/>
  <c r="GK112" i="19" s="1"/>
  <c r="GJ85" i="19"/>
  <c r="GJ112" i="19" s="1"/>
  <c r="GI85" i="19"/>
  <c r="GI112" i="19" s="1"/>
  <c r="GH85" i="19"/>
  <c r="GH112" i="19" s="1"/>
  <c r="GG85" i="19"/>
  <c r="GG112" i="19" s="1"/>
  <c r="GF85" i="19"/>
  <c r="GF112" i="19" s="1"/>
  <c r="GE85" i="19"/>
  <c r="GE112" i="19" s="1"/>
  <c r="GD85" i="19"/>
  <c r="GD112" i="19" s="1"/>
  <c r="GC85" i="19"/>
  <c r="GC112" i="19" s="1"/>
  <c r="GB85" i="19"/>
  <c r="GB112" i="19" s="1"/>
  <c r="GA85" i="19"/>
  <c r="GA112" i="19" s="1"/>
  <c r="FZ85" i="19"/>
  <c r="FZ112" i="19" s="1"/>
  <c r="FY85" i="19"/>
  <c r="FY112" i="19" s="1"/>
  <c r="FX85" i="19"/>
  <c r="FX112" i="19" s="1"/>
  <c r="FW85" i="19"/>
  <c r="FW112" i="19" s="1"/>
  <c r="FV85" i="19"/>
  <c r="FV112" i="19" s="1"/>
  <c r="FU85" i="19"/>
  <c r="FU112" i="19" s="1"/>
  <c r="FT85" i="19"/>
  <c r="FT112" i="19" s="1"/>
  <c r="FS85" i="19"/>
  <c r="FS112" i="19" s="1"/>
  <c r="FR85" i="19"/>
  <c r="FR112" i="19" s="1"/>
  <c r="FQ85" i="19"/>
  <c r="FQ112" i="19" s="1"/>
  <c r="FP85" i="19"/>
  <c r="FP112" i="19" s="1"/>
  <c r="FO85" i="19"/>
  <c r="FO112" i="19" s="1"/>
  <c r="FN85" i="19"/>
  <c r="FN112" i="19" s="1"/>
  <c r="FM85" i="19"/>
  <c r="FM112" i="19" s="1"/>
  <c r="FL85" i="19"/>
  <c r="FL112" i="19" s="1"/>
  <c r="FK85" i="19"/>
  <c r="FK112" i="19" s="1"/>
  <c r="FJ85" i="19"/>
  <c r="FJ112" i="19" s="1"/>
  <c r="FI85" i="19"/>
  <c r="FI112" i="19" s="1"/>
  <c r="FH85" i="19"/>
  <c r="FH112" i="19" s="1"/>
  <c r="FG85" i="19"/>
  <c r="FG112" i="19" s="1"/>
  <c r="FF85" i="19"/>
  <c r="FF112" i="19" s="1"/>
  <c r="FE85" i="19"/>
  <c r="FE112" i="19" s="1"/>
  <c r="FD85" i="19"/>
  <c r="FD112" i="19" s="1"/>
  <c r="FC85" i="19"/>
  <c r="FC112" i="19" s="1"/>
  <c r="FB85" i="19"/>
  <c r="FB112" i="19" s="1"/>
  <c r="FA85" i="19"/>
  <c r="FA112" i="19" s="1"/>
  <c r="EZ85" i="19"/>
  <c r="EZ112" i="19" s="1"/>
  <c r="EY85" i="19"/>
  <c r="EY112" i="19" s="1"/>
  <c r="EX85" i="19"/>
  <c r="EX112" i="19" s="1"/>
  <c r="EW85" i="19"/>
  <c r="EW112" i="19" s="1"/>
  <c r="EV85" i="19"/>
  <c r="EV112" i="19" s="1"/>
  <c r="EU85" i="19"/>
  <c r="EU112" i="19" s="1"/>
  <c r="ET85" i="19"/>
  <c r="ET112" i="19" s="1"/>
  <c r="ES85" i="19"/>
  <c r="ES112" i="19" s="1"/>
  <c r="ER85" i="19"/>
  <c r="ER112" i="19" s="1"/>
  <c r="EQ85" i="19"/>
  <c r="EQ112" i="19" s="1"/>
  <c r="EP85" i="19"/>
  <c r="EP112" i="19" s="1"/>
  <c r="EO85" i="19"/>
  <c r="EO112" i="19" s="1"/>
  <c r="EN85" i="19"/>
  <c r="EN112" i="19" s="1"/>
  <c r="EM85" i="19"/>
  <c r="EM112" i="19" s="1"/>
  <c r="EL85" i="19"/>
  <c r="EL112" i="19" s="1"/>
  <c r="EK85" i="19"/>
  <c r="EK112" i="19" s="1"/>
  <c r="EJ85" i="19"/>
  <c r="EJ112" i="19" s="1"/>
  <c r="EI85" i="19"/>
  <c r="EI112" i="19" s="1"/>
  <c r="EH85" i="19"/>
  <c r="EH112" i="19" s="1"/>
  <c r="EG85" i="19"/>
  <c r="EG112" i="19" s="1"/>
  <c r="EF85" i="19"/>
  <c r="EF112" i="19" s="1"/>
  <c r="EE85" i="19"/>
  <c r="EE112" i="19" s="1"/>
  <c r="ED85" i="19"/>
  <c r="ED112" i="19" s="1"/>
  <c r="EC85" i="19"/>
  <c r="EC112" i="19" s="1"/>
  <c r="EB85" i="19"/>
  <c r="EB112" i="19" s="1"/>
  <c r="EA85" i="19"/>
  <c r="EA112" i="19" s="1"/>
  <c r="DZ85" i="19"/>
  <c r="DZ112" i="19" s="1"/>
  <c r="DY85" i="19"/>
  <c r="DY112" i="19" s="1"/>
  <c r="DX85" i="19"/>
  <c r="DX112" i="19" s="1"/>
  <c r="DW85" i="19"/>
  <c r="DW112" i="19" s="1"/>
  <c r="DV85" i="19"/>
  <c r="DV112" i="19" s="1"/>
  <c r="DU85" i="19"/>
  <c r="DU112" i="19" s="1"/>
  <c r="DT85" i="19"/>
  <c r="DT112" i="19" s="1"/>
  <c r="DS85" i="19"/>
  <c r="DS112" i="19" s="1"/>
  <c r="DR85" i="19"/>
  <c r="DR112" i="19" s="1"/>
  <c r="DQ85" i="19"/>
  <c r="DQ112" i="19" s="1"/>
  <c r="DP85" i="19"/>
  <c r="DP112" i="19" s="1"/>
  <c r="DO85" i="19"/>
  <c r="DO112" i="19" s="1"/>
  <c r="DN85" i="19"/>
  <c r="DN112" i="19" s="1"/>
  <c r="DM85" i="19"/>
  <c r="DM112" i="19" s="1"/>
  <c r="DL85" i="19"/>
  <c r="DL112" i="19" s="1"/>
  <c r="DK85" i="19"/>
  <c r="DK112" i="19" s="1"/>
  <c r="DJ85" i="19"/>
  <c r="DJ112" i="19" s="1"/>
  <c r="DI85" i="19"/>
  <c r="DI112" i="19" s="1"/>
  <c r="DH85" i="19"/>
  <c r="DH112" i="19" s="1"/>
  <c r="DG85" i="19"/>
  <c r="DG112" i="19" s="1"/>
  <c r="DF85" i="19"/>
  <c r="DF112" i="19" s="1"/>
  <c r="DE85" i="19"/>
  <c r="DE112" i="19" s="1"/>
  <c r="DD85" i="19"/>
  <c r="DD112" i="19" s="1"/>
  <c r="DC85" i="19"/>
  <c r="DC112" i="19" s="1"/>
  <c r="DB85" i="19"/>
  <c r="DB112" i="19" s="1"/>
  <c r="DA85" i="19"/>
  <c r="DA112" i="19" s="1"/>
  <c r="CZ85" i="19"/>
  <c r="CZ112" i="19" s="1"/>
  <c r="CY85" i="19"/>
  <c r="CY112" i="19" s="1"/>
  <c r="CX85" i="19"/>
  <c r="CX112" i="19" s="1"/>
  <c r="CW85" i="19"/>
  <c r="CW112" i="19" s="1"/>
  <c r="CV85" i="19"/>
  <c r="CV112" i="19" s="1"/>
  <c r="CU85" i="19"/>
  <c r="CU112" i="19" s="1"/>
  <c r="CT85" i="19"/>
  <c r="CT112" i="19" s="1"/>
  <c r="CS85" i="19"/>
  <c r="CS112" i="19" s="1"/>
  <c r="CR85" i="19"/>
  <c r="CR112" i="19" s="1"/>
  <c r="CQ85" i="19"/>
  <c r="CQ112" i="19" s="1"/>
  <c r="CP85" i="19"/>
  <c r="CP112" i="19" s="1"/>
  <c r="CO85" i="19"/>
  <c r="CO112" i="19" s="1"/>
  <c r="CN85" i="19"/>
  <c r="CN112" i="19" s="1"/>
  <c r="CM85" i="19"/>
  <c r="CM112" i="19" s="1"/>
  <c r="CL85" i="19"/>
  <c r="CL112" i="19" s="1"/>
  <c r="CK85" i="19"/>
  <c r="CK112" i="19" s="1"/>
  <c r="CJ85" i="19"/>
  <c r="CJ112" i="19" s="1"/>
  <c r="CI85" i="19"/>
  <c r="CI112" i="19" s="1"/>
  <c r="CH85" i="19"/>
  <c r="CH112" i="19" s="1"/>
  <c r="CG85" i="19"/>
  <c r="CG112" i="19" s="1"/>
  <c r="CF85" i="19"/>
  <c r="CF112" i="19" s="1"/>
  <c r="CE85" i="19"/>
  <c r="CE112" i="19" s="1"/>
  <c r="CD85" i="19"/>
  <c r="CD112" i="19" s="1"/>
  <c r="CC85" i="19"/>
  <c r="CC112" i="19" s="1"/>
  <c r="CB85" i="19"/>
  <c r="CB112" i="19" s="1"/>
  <c r="CA85" i="19"/>
  <c r="CA112" i="19" s="1"/>
  <c r="BZ85" i="19"/>
  <c r="BZ112" i="19" s="1"/>
  <c r="BY85" i="19"/>
  <c r="BY112" i="19" s="1"/>
  <c r="BX85" i="19"/>
  <c r="BX112" i="19" s="1"/>
  <c r="BW85" i="19"/>
  <c r="BW112" i="19" s="1"/>
  <c r="BV85" i="19"/>
  <c r="BV112" i="19" s="1"/>
  <c r="BU85" i="19"/>
  <c r="BU112" i="19" s="1"/>
  <c r="BT85" i="19"/>
  <c r="BT112" i="19" s="1"/>
  <c r="BS85" i="19"/>
  <c r="BS112" i="19" s="1"/>
  <c r="BR85" i="19"/>
  <c r="BR112" i="19" s="1"/>
  <c r="BQ85" i="19"/>
  <c r="BQ112" i="19" s="1"/>
  <c r="BP85" i="19"/>
  <c r="BP112" i="19" s="1"/>
  <c r="BO85" i="19"/>
  <c r="BO112" i="19" s="1"/>
  <c r="BN85" i="19"/>
  <c r="BN112" i="19" s="1"/>
  <c r="BM85" i="19"/>
  <c r="BM112" i="19" s="1"/>
  <c r="BL85" i="19"/>
  <c r="BL112" i="19" s="1"/>
  <c r="BK85" i="19"/>
  <c r="BK112" i="19" s="1"/>
  <c r="BJ85" i="19"/>
  <c r="BJ112" i="19" s="1"/>
  <c r="BI85" i="19"/>
  <c r="BI112" i="19" s="1"/>
  <c r="BH85" i="19"/>
  <c r="BH112" i="19" s="1"/>
  <c r="BG85" i="19"/>
  <c r="BG112" i="19" s="1"/>
  <c r="BF85" i="19"/>
  <c r="BF112" i="19" s="1"/>
  <c r="BE85" i="19"/>
  <c r="BE112" i="19" s="1"/>
  <c r="BD85" i="19"/>
  <c r="BD112" i="19" s="1"/>
  <c r="BC85" i="19"/>
  <c r="BC112" i="19" s="1"/>
  <c r="BB85" i="19"/>
  <c r="BB112" i="19" s="1"/>
  <c r="BA85" i="19"/>
  <c r="BA112" i="19" s="1"/>
  <c r="AZ85" i="19"/>
  <c r="AZ112" i="19" s="1"/>
  <c r="AY85" i="19"/>
  <c r="AY112" i="19" s="1"/>
  <c r="AX85" i="19"/>
  <c r="AX112" i="19" s="1"/>
  <c r="AW85" i="19"/>
  <c r="AW112" i="19" s="1"/>
  <c r="AV85" i="19"/>
  <c r="AV112" i="19" s="1"/>
  <c r="AU85" i="19"/>
  <c r="AU112" i="19" s="1"/>
  <c r="AT85" i="19"/>
  <c r="AT112" i="19" s="1"/>
  <c r="AS85" i="19"/>
  <c r="AS112" i="19" s="1"/>
  <c r="AR85" i="19"/>
  <c r="AR112" i="19" s="1"/>
  <c r="AQ85" i="19"/>
  <c r="AQ112" i="19" s="1"/>
  <c r="AP85" i="19"/>
  <c r="AP112" i="19" s="1"/>
  <c r="AO85" i="19"/>
  <c r="AO112" i="19" s="1"/>
  <c r="AN85" i="19"/>
  <c r="AN112" i="19" s="1"/>
  <c r="AM85" i="19"/>
  <c r="AM112" i="19" s="1"/>
  <c r="AL85" i="19"/>
  <c r="AL112" i="19" s="1"/>
  <c r="AK85" i="19"/>
  <c r="AK112" i="19" s="1"/>
  <c r="AJ85" i="19"/>
  <c r="AJ112" i="19" s="1"/>
  <c r="AI85" i="19"/>
  <c r="AI112" i="19" s="1"/>
  <c r="AH85" i="19"/>
  <c r="AH112" i="19" s="1"/>
  <c r="AG85" i="19"/>
  <c r="AG112" i="19" s="1"/>
  <c r="AF85" i="19"/>
  <c r="AF112" i="19" s="1"/>
  <c r="AE85" i="19"/>
  <c r="AE112" i="19" s="1"/>
  <c r="AD85" i="19"/>
  <c r="AD112" i="19" s="1"/>
  <c r="AC85" i="19"/>
  <c r="AC112" i="19" s="1"/>
  <c r="AB85" i="19"/>
  <c r="AB112" i="19" s="1"/>
  <c r="AA85" i="19"/>
  <c r="AA112" i="19" s="1"/>
  <c r="Z85" i="19"/>
  <c r="Z112" i="19" s="1"/>
  <c r="Y85" i="19"/>
  <c r="Y112" i="19" s="1"/>
  <c r="X85" i="19"/>
  <c r="X112" i="19" s="1"/>
  <c r="W85" i="19"/>
  <c r="W112" i="19" s="1"/>
  <c r="V85" i="19"/>
  <c r="V112" i="19" s="1"/>
  <c r="U85" i="19"/>
  <c r="U112" i="19" s="1"/>
  <c r="T85" i="19"/>
  <c r="T112" i="19" s="1"/>
  <c r="S85" i="19"/>
  <c r="S112" i="19" s="1"/>
  <c r="R85" i="19"/>
  <c r="R112" i="19" s="1"/>
  <c r="Q85" i="19"/>
  <c r="Q112" i="19" s="1"/>
  <c r="P85" i="19"/>
  <c r="P112" i="19" s="1"/>
  <c r="O85" i="19"/>
  <c r="O112" i="19" s="1"/>
  <c r="N85" i="19"/>
  <c r="N112" i="19" s="1"/>
  <c r="M85" i="19"/>
  <c r="M112" i="19" s="1"/>
  <c r="GQ84" i="19"/>
  <c r="GQ111" i="19" s="1"/>
  <c r="GP84" i="19"/>
  <c r="GP111" i="19" s="1"/>
  <c r="GO84" i="19"/>
  <c r="GO111" i="19" s="1"/>
  <c r="GN84" i="19"/>
  <c r="GN111" i="19" s="1"/>
  <c r="GM84" i="19"/>
  <c r="GM111" i="19" s="1"/>
  <c r="GL84" i="19"/>
  <c r="GL111" i="19" s="1"/>
  <c r="GK84" i="19"/>
  <c r="GK111" i="19" s="1"/>
  <c r="GJ84" i="19"/>
  <c r="GJ111" i="19" s="1"/>
  <c r="GI84" i="19"/>
  <c r="GI111" i="19" s="1"/>
  <c r="GH84" i="19"/>
  <c r="GH111" i="19" s="1"/>
  <c r="GG84" i="19"/>
  <c r="GG111" i="19" s="1"/>
  <c r="GF84" i="19"/>
  <c r="GF111" i="19" s="1"/>
  <c r="GE84" i="19"/>
  <c r="GE111" i="19" s="1"/>
  <c r="GD84" i="19"/>
  <c r="GD111" i="19" s="1"/>
  <c r="GC84" i="19"/>
  <c r="GC111" i="19" s="1"/>
  <c r="GB84" i="19"/>
  <c r="GB111" i="19" s="1"/>
  <c r="GA84" i="19"/>
  <c r="GA111" i="19" s="1"/>
  <c r="FZ84" i="19"/>
  <c r="FZ111" i="19" s="1"/>
  <c r="FY84" i="19"/>
  <c r="FY111" i="19" s="1"/>
  <c r="FX84" i="19"/>
  <c r="FX111" i="19" s="1"/>
  <c r="FW84" i="19"/>
  <c r="FW111" i="19" s="1"/>
  <c r="FV84" i="19"/>
  <c r="FV111" i="19" s="1"/>
  <c r="FU84" i="19"/>
  <c r="FU111" i="19" s="1"/>
  <c r="FT84" i="19"/>
  <c r="FT111" i="19" s="1"/>
  <c r="FS84" i="19"/>
  <c r="FS111" i="19" s="1"/>
  <c r="FR84" i="19"/>
  <c r="FR111" i="19" s="1"/>
  <c r="FQ84" i="19"/>
  <c r="FQ111" i="19" s="1"/>
  <c r="FP84" i="19"/>
  <c r="FP111" i="19" s="1"/>
  <c r="FO84" i="19"/>
  <c r="FO111" i="19" s="1"/>
  <c r="FN84" i="19"/>
  <c r="FN111" i="19" s="1"/>
  <c r="FM84" i="19"/>
  <c r="FM111" i="19" s="1"/>
  <c r="FL84" i="19"/>
  <c r="FL111" i="19" s="1"/>
  <c r="FK84" i="19"/>
  <c r="FK111" i="19" s="1"/>
  <c r="FJ84" i="19"/>
  <c r="FJ111" i="19" s="1"/>
  <c r="FI84" i="19"/>
  <c r="FI111" i="19" s="1"/>
  <c r="FH84" i="19"/>
  <c r="FH111" i="19" s="1"/>
  <c r="FG84" i="19"/>
  <c r="FG111" i="19" s="1"/>
  <c r="FF84" i="19"/>
  <c r="FF111" i="19" s="1"/>
  <c r="FE84" i="19"/>
  <c r="FE111" i="19" s="1"/>
  <c r="FD84" i="19"/>
  <c r="FD111" i="19" s="1"/>
  <c r="FC84" i="19"/>
  <c r="FC111" i="19" s="1"/>
  <c r="FB84" i="19"/>
  <c r="FB111" i="19" s="1"/>
  <c r="FA84" i="19"/>
  <c r="FA111" i="19" s="1"/>
  <c r="EZ84" i="19"/>
  <c r="EZ111" i="19" s="1"/>
  <c r="EY84" i="19"/>
  <c r="EY111" i="19" s="1"/>
  <c r="EX84" i="19"/>
  <c r="EX111" i="19" s="1"/>
  <c r="EW84" i="19"/>
  <c r="EW111" i="19" s="1"/>
  <c r="EV84" i="19"/>
  <c r="EV111" i="19" s="1"/>
  <c r="EU84" i="19"/>
  <c r="EU111" i="19" s="1"/>
  <c r="ET84" i="19"/>
  <c r="ET111" i="19" s="1"/>
  <c r="ES84" i="19"/>
  <c r="ES111" i="19" s="1"/>
  <c r="ER84" i="19"/>
  <c r="ER111" i="19" s="1"/>
  <c r="EQ84" i="19"/>
  <c r="EQ111" i="19" s="1"/>
  <c r="EP84" i="19"/>
  <c r="EP111" i="19" s="1"/>
  <c r="EO84" i="19"/>
  <c r="EO111" i="19" s="1"/>
  <c r="EN84" i="19"/>
  <c r="EN111" i="19" s="1"/>
  <c r="EM84" i="19"/>
  <c r="EM111" i="19" s="1"/>
  <c r="EL84" i="19"/>
  <c r="EL111" i="19" s="1"/>
  <c r="EK84" i="19"/>
  <c r="EK111" i="19" s="1"/>
  <c r="EJ84" i="19"/>
  <c r="EJ111" i="19" s="1"/>
  <c r="EI84" i="19"/>
  <c r="EI111" i="19" s="1"/>
  <c r="EH84" i="19"/>
  <c r="EH111" i="19" s="1"/>
  <c r="EG84" i="19"/>
  <c r="EG111" i="19" s="1"/>
  <c r="EF84" i="19"/>
  <c r="EF111" i="19" s="1"/>
  <c r="EE84" i="19"/>
  <c r="EE111" i="19" s="1"/>
  <c r="ED84" i="19"/>
  <c r="ED111" i="19" s="1"/>
  <c r="EC84" i="19"/>
  <c r="EC111" i="19" s="1"/>
  <c r="EB84" i="19"/>
  <c r="EB111" i="19" s="1"/>
  <c r="EA84" i="19"/>
  <c r="EA111" i="19" s="1"/>
  <c r="DZ84" i="19"/>
  <c r="DZ111" i="19" s="1"/>
  <c r="DY84" i="19"/>
  <c r="DY111" i="19" s="1"/>
  <c r="DX84" i="19"/>
  <c r="DX111" i="19" s="1"/>
  <c r="DW84" i="19"/>
  <c r="DW111" i="19" s="1"/>
  <c r="DV84" i="19"/>
  <c r="DV111" i="19" s="1"/>
  <c r="DU84" i="19"/>
  <c r="DU111" i="19" s="1"/>
  <c r="DT84" i="19"/>
  <c r="DT111" i="19" s="1"/>
  <c r="DS84" i="19"/>
  <c r="DS111" i="19" s="1"/>
  <c r="DR84" i="19"/>
  <c r="DR111" i="19" s="1"/>
  <c r="DQ84" i="19"/>
  <c r="DQ111" i="19" s="1"/>
  <c r="DP84" i="19"/>
  <c r="DP111" i="19" s="1"/>
  <c r="DO84" i="19"/>
  <c r="DO111" i="19" s="1"/>
  <c r="DN84" i="19"/>
  <c r="DN111" i="19" s="1"/>
  <c r="DM84" i="19"/>
  <c r="DM111" i="19" s="1"/>
  <c r="DL84" i="19"/>
  <c r="DL111" i="19" s="1"/>
  <c r="DK84" i="19"/>
  <c r="DK111" i="19" s="1"/>
  <c r="DJ84" i="19"/>
  <c r="DJ111" i="19" s="1"/>
  <c r="DI84" i="19"/>
  <c r="DI111" i="19" s="1"/>
  <c r="DH84" i="19"/>
  <c r="DH111" i="19" s="1"/>
  <c r="DG84" i="19"/>
  <c r="DG111" i="19" s="1"/>
  <c r="DF84" i="19"/>
  <c r="DF111" i="19" s="1"/>
  <c r="DE84" i="19"/>
  <c r="DE111" i="19" s="1"/>
  <c r="DD84" i="19"/>
  <c r="DD111" i="19" s="1"/>
  <c r="DC84" i="19"/>
  <c r="DC111" i="19" s="1"/>
  <c r="DB84" i="19"/>
  <c r="DB111" i="19" s="1"/>
  <c r="DA84" i="19"/>
  <c r="DA111" i="19" s="1"/>
  <c r="CZ84" i="19"/>
  <c r="CZ111" i="19" s="1"/>
  <c r="CY84" i="19"/>
  <c r="CY111" i="19" s="1"/>
  <c r="CX84" i="19"/>
  <c r="CX111" i="19" s="1"/>
  <c r="CW84" i="19"/>
  <c r="CW111" i="19" s="1"/>
  <c r="CV84" i="19"/>
  <c r="CV111" i="19" s="1"/>
  <c r="CU84" i="19"/>
  <c r="CU111" i="19" s="1"/>
  <c r="CT84" i="19"/>
  <c r="CT111" i="19" s="1"/>
  <c r="CS84" i="19"/>
  <c r="CS111" i="19" s="1"/>
  <c r="CR84" i="19"/>
  <c r="CR111" i="19" s="1"/>
  <c r="CQ84" i="19"/>
  <c r="CQ111" i="19" s="1"/>
  <c r="CP84" i="19"/>
  <c r="CP111" i="19" s="1"/>
  <c r="CO84" i="19"/>
  <c r="CO111" i="19" s="1"/>
  <c r="CN84" i="19"/>
  <c r="CN111" i="19" s="1"/>
  <c r="CM84" i="19"/>
  <c r="CM111" i="19" s="1"/>
  <c r="CL84" i="19"/>
  <c r="CL111" i="19" s="1"/>
  <c r="CK84" i="19"/>
  <c r="CK111" i="19" s="1"/>
  <c r="CJ84" i="19"/>
  <c r="CJ111" i="19" s="1"/>
  <c r="CI84" i="19"/>
  <c r="CI111" i="19" s="1"/>
  <c r="CH84" i="19"/>
  <c r="CH111" i="19" s="1"/>
  <c r="CG84" i="19"/>
  <c r="CG111" i="19" s="1"/>
  <c r="CF84" i="19"/>
  <c r="CF111" i="19" s="1"/>
  <c r="CE84" i="19"/>
  <c r="CE111" i="19" s="1"/>
  <c r="CD84" i="19"/>
  <c r="CD111" i="19" s="1"/>
  <c r="CC84" i="19"/>
  <c r="CC111" i="19" s="1"/>
  <c r="CB84" i="19"/>
  <c r="CB111" i="19" s="1"/>
  <c r="CA84" i="19"/>
  <c r="CA111" i="19" s="1"/>
  <c r="BZ84" i="19"/>
  <c r="BZ111" i="19" s="1"/>
  <c r="BY84" i="19"/>
  <c r="BY111" i="19" s="1"/>
  <c r="BX84" i="19"/>
  <c r="BX111" i="19" s="1"/>
  <c r="BW84" i="19"/>
  <c r="BW111" i="19" s="1"/>
  <c r="BV84" i="19"/>
  <c r="BV111" i="19" s="1"/>
  <c r="BU84" i="19"/>
  <c r="BU111" i="19" s="1"/>
  <c r="BT84" i="19"/>
  <c r="BT111" i="19" s="1"/>
  <c r="BS84" i="19"/>
  <c r="BS111" i="19" s="1"/>
  <c r="BR84" i="19"/>
  <c r="BR111" i="19" s="1"/>
  <c r="BQ84" i="19"/>
  <c r="BQ111" i="19" s="1"/>
  <c r="BP84" i="19"/>
  <c r="BP111" i="19" s="1"/>
  <c r="BO84" i="19"/>
  <c r="BO111" i="19" s="1"/>
  <c r="BN84" i="19"/>
  <c r="BN111" i="19" s="1"/>
  <c r="BM84" i="19"/>
  <c r="BM111" i="19" s="1"/>
  <c r="BL84" i="19"/>
  <c r="BL111" i="19" s="1"/>
  <c r="BK84" i="19"/>
  <c r="BK111" i="19" s="1"/>
  <c r="BJ84" i="19"/>
  <c r="BJ111" i="19" s="1"/>
  <c r="BI84" i="19"/>
  <c r="BI111" i="19" s="1"/>
  <c r="BH84" i="19"/>
  <c r="BH111" i="19" s="1"/>
  <c r="BG84" i="19"/>
  <c r="BG111" i="19" s="1"/>
  <c r="BF84" i="19"/>
  <c r="BF111" i="19" s="1"/>
  <c r="BE84" i="19"/>
  <c r="BE111" i="19" s="1"/>
  <c r="BD84" i="19"/>
  <c r="BD111" i="19" s="1"/>
  <c r="BC84" i="19"/>
  <c r="BC111" i="19" s="1"/>
  <c r="BB84" i="19"/>
  <c r="BB111" i="19" s="1"/>
  <c r="BA84" i="19"/>
  <c r="BA111" i="19" s="1"/>
  <c r="AZ84" i="19"/>
  <c r="AZ111" i="19" s="1"/>
  <c r="AY84" i="19"/>
  <c r="AY111" i="19" s="1"/>
  <c r="AX84" i="19"/>
  <c r="AX111" i="19" s="1"/>
  <c r="AW84" i="19"/>
  <c r="AW111" i="19" s="1"/>
  <c r="AV84" i="19"/>
  <c r="AV111" i="19" s="1"/>
  <c r="AU84" i="19"/>
  <c r="AU111" i="19" s="1"/>
  <c r="AT84" i="19"/>
  <c r="AT111" i="19" s="1"/>
  <c r="AS84" i="19"/>
  <c r="AS111" i="19" s="1"/>
  <c r="AR84" i="19"/>
  <c r="AR111" i="19" s="1"/>
  <c r="AQ84" i="19"/>
  <c r="AQ111" i="19" s="1"/>
  <c r="AP84" i="19"/>
  <c r="AP111" i="19" s="1"/>
  <c r="AO84" i="19"/>
  <c r="AO111" i="19" s="1"/>
  <c r="AN84" i="19"/>
  <c r="AN111" i="19" s="1"/>
  <c r="AM84" i="19"/>
  <c r="AM111" i="19" s="1"/>
  <c r="AL84" i="19"/>
  <c r="AL111" i="19" s="1"/>
  <c r="AK84" i="19"/>
  <c r="AK111" i="19" s="1"/>
  <c r="AJ84" i="19"/>
  <c r="AJ111" i="19" s="1"/>
  <c r="AI84" i="19"/>
  <c r="AI111" i="19" s="1"/>
  <c r="AH84" i="19"/>
  <c r="AH111" i="19" s="1"/>
  <c r="AG84" i="19"/>
  <c r="AG111" i="19" s="1"/>
  <c r="AF84" i="19"/>
  <c r="AF111" i="19" s="1"/>
  <c r="AE84" i="19"/>
  <c r="AE111" i="19" s="1"/>
  <c r="AD84" i="19"/>
  <c r="AD111" i="19" s="1"/>
  <c r="AC84" i="19"/>
  <c r="AC111" i="19" s="1"/>
  <c r="AB84" i="19"/>
  <c r="AB111" i="19" s="1"/>
  <c r="AA84" i="19"/>
  <c r="AA111" i="19" s="1"/>
  <c r="Z84" i="19"/>
  <c r="Z111" i="19" s="1"/>
  <c r="Y84" i="19"/>
  <c r="Y111" i="19" s="1"/>
  <c r="X84" i="19"/>
  <c r="X111" i="19" s="1"/>
  <c r="W84" i="19"/>
  <c r="W111" i="19" s="1"/>
  <c r="V84" i="19"/>
  <c r="V111" i="19" s="1"/>
  <c r="U84" i="19"/>
  <c r="U111" i="19" s="1"/>
  <c r="T84" i="19"/>
  <c r="T111" i="19" s="1"/>
  <c r="S84" i="19"/>
  <c r="S111" i="19" s="1"/>
  <c r="R84" i="19"/>
  <c r="R111" i="19" s="1"/>
  <c r="Q84" i="19"/>
  <c r="Q111" i="19" s="1"/>
  <c r="P84" i="19"/>
  <c r="P111" i="19" s="1"/>
  <c r="O84" i="19"/>
  <c r="O111" i="19" s="1"/>
  <c r="N84" i="19"/>
  <c r="N111" i="19" s="1"/>
  <c r="M84" i="19"/>
  <c r="M111" i="19" s="1"/>
  <c r="L84" i="19"/>
  <c r="L111" i="19" s="1"/>
  <c r="K84" i="19"/>
  <c r="K111" i="19" s="1"/>
  <c r="J84" i="19"/>
  <c r="J111" i="19" s="1"/>
  <c r="I84" i="19"/>
  <c r="I111" i="19" s="1"/>
  <c r="GQ83" i="19"/>
  <c r="GQ110" i="19" s="1"/>
  <c r="GP83" i="19"/>
  <c r="GP110" i="19" s="1"/>
  <c r="GO83" i="19"/>
  <c r="GO110" i="19" s="1"/>
  <c r="GN83" i="19"/>
  <c r="GN110" i="19" s="1"/>
  <c r="GM83" i="19"/>
  <c r="GM110" i="19" s="1"/>
  <c r="GL83" i="19"/>
  <c r="GL110" i="19" s="1"/>
  <c r="GK83" i="19"/>
  <c r="GK110" i="19" s="1"/>
  <c r="GJ83" i="19"/>
  <c r="GJ110" i="19" s="1"/>
  <c r="GI83" i="19"/>
  <c r="GI110" i="19" s="1"/>
  <c r="GH83" i="19"/>
  <c r="GH110" i="19" s="1"/>
  <c r="GG83" i="19"/>
  <c r="GG110" i="19" s="1"/>
  <c r="GF83" i="19"/>
  <c r="GF110" i="19" s="1"/>
  <c r="GE83" i="19"/>
  <c r="GE110" i="19" s="1"/>
  <c r="GD83" i="19"/>
  <c r="GD110" i="19" s="1"/>
  <c r="GC83" i="19"/>
  <c r="GC110" i="19" s="1"/>
  <c r="GB83" i="19"/>
  <c r="GB110" i="19" s="1"/>
  <c r="GA83" i="19"/>
  <c r="GA110" i="19" s="1"/>
  <c r="FZ83" i="19"/>
  <c r="FZ110" i="19" s="1"/>
  <c r="FY83" i="19"/>
  <c r="FY110" i="19" s="1"/>
  <c r="FX83" i="19"/>
  <c r="FX110" i="19" s="1"/>
  <c r="FW83" i="19"/>
  <c r="FW110" i="19" s="1"/>
  <c r="FV83" i="19"/>
  <c r="FV110" i="19" s="1"/>
  <c r="FU83" i="19"/>
  <c r="FU110" i="19" s="1"/>
  <c r="FT83" i="19"/>
  <c r="FT110" i="19" s="1"/>
  <c r="FS83" i="19"/>
  <c r="FS110" i="19" s="1"/>
  <c r="FR83" i="19"/>
  <c r="FR110" i="19" s="1"/>
  <c r="FQ83" i="19"/>
  <c r="FQ110" i="19" s="1"/>
  <c r="FP83" i="19"/>
  <c r="FP110" i="19" s="1"/>
  <c r="FO83" i="19"/>
  <c r="FO110" i="19" s="1"/>
  <c r="FN83" i="19"/>
  <c r="FN110" i="19" s="1"/>
  <c r="FM83" i="19"/>
  <c r="FM110" i="19" s="1"/>
  <c r="FL83" i="19"/>
  <c r="FL110" i="19" s="1"/>
  <c r="FK83" i="19"/>
  <c r="FK110" i="19" s="1"/>
  <c r="FJ83" i="19"/>
  <c r="FJ110" i="19" s="1"/>
  <c r="FI83" i="19"/>
  <c r="FI110" i="19" s="1"/>
  <c r="FH83" i="19"/>
  <c r="FH110" i="19" s="1"/>
  <c r="FG83" i="19"/>
  <c r="FG110" i="19" s="1"/>
  <c r="FF83" i="19"/>
  <c r="FF110" i="19" s="1"/>
  <c r="FE83" i="19"/>
  <c r="FE110" i="19" s="1"/>
  <c r="FD83" i="19"/>
  <c r="FD110" i="19" s="1"/>
  <c r="FC83" i="19"/>
  <c r="FC110" i="19" s="1"/>
  <c r="FB83" i="19"/>
  <c r="FB110" i="19" s="1"/>
  <c r="FA83" i="19"/>
  <c r="FA110" i="19" s="1"/>
  <c r="EZ83" i="19"/>
  <c r="EZ110" i="19" s="1"/>
  <c r="EY83" i="19"/>
  <c r="EY110" i="19" s="1"/>
  <c r="EX83" i="19"/>
  <c r="EX110" i="19" s="1"/>
  <c r="EW83" i="19"/>
  <c r="EW110" i="19" s="1"/>
  <c r="EV83" i="19"/>
  <c r="EV110" i="19" s="1"/>
  <c r="EU83" i="19"/>
  <c r="EU110" i="19" s="1"/>
  <c r="ET83" i="19"/>
  <c r="ET110" i="19" s="1"/>
  <c r="ES83" i="19"/>
  <c r="ES110" i="19" s="1"/>
  <c r="ER83" i="19"/>
  <c r="ER110" i="19" s="1"/>
  <c r="EQ83" i="19"/>
  <c r="EQ110" i="19" s="1"/>
  <c r="EP83" i="19"/>
  <c r="EP110" i="19" s="1"/>
  <c r="EO83" i="19"/>
  <c r="EO110" i="19" s="1"/>
  <c r="EN83" i="19"/>
  <c r="EN110" i="19" s="1"/>
  <c r="EM83" i="19"/>
  <c r="EM110" i="19" s="1"/>
  <c r="EL83" i="19"/>
  <c r="EL110" i="19" s="1"/>
  <c r="EK83" i="19"/>
  <c r="EK110" i="19" s="1"/>
  <c r="EJ83" i="19"/>
  <c r="EJ110" i="19" s="1"/>
  <c r="EI83" i="19"/>
  <c r="EI110" i="19" s="1"/>
  <c r="EH83" i="19"/>
  <c r="EH110" i="19" s="1"/>
  <c r="EG83" i="19"/>
  <c r="EG110" i="19" s="1"/>
  <c r="EF83" i="19"/>
  <c r="EF110" i="19" s="1"/>
  <c r="EE83" i="19"/>
  <c r="EE110" i="19" s="1"/>
  <c r="ED83" i="19"/>
  <c r="ED110" i="19" s="1"/>
  <c r="EC83" i="19"/>
  <c r="EC110" i="19" s="1"/>
  <c r="EB83" i="19"/>
  <c r="EB110" i="19" s="1"/>
  <c r="EA83" i="19"/>
  <c r="EA110" i="19" s="1"/>
  <c r="DZ83" i="19"/>
  <c r="DZ110" i="19" s="1"/>
  <c r="DY83" i="19"/>
  <c r="DY110" i="19" s="1"/>
  <c r="DX83" i="19"/>
  <c r="DX110" i="19" s="1"/>
  <c r="DW83" i="19"/>
  <c r="DW110" i="19" s="1"/>
  <c r="DV83" i="19"/>
  <c r="DV110" i="19" s="1"/>
  <c r="DU83" i="19"/>
  <c r="DU110" i="19" s="1"/>
  <c r="DT83" i="19"/>
  <c r="DT110" i="19" s="1"/>
  <c r="DS83" i="19"/>
  <c r="DS110" i="19" s="1"/>
  <c r="DR83" i="19"/>
  <c r="DR110" i="19" s="1"/>
  <c r="DQ83" i="19"/>
  <c r="DQ110" i="19" s="1"/>
  <c r="DP83" i="19"/>
  <c r="DP110" i="19" s="1"/>
  <c r="DO83" i="19"/>
  <c r="DO110" i="19" s="1"/>
  <c r="DN83" i="19"/>
  <c r="DN110" i="19" s="1"/>
  <c r="DM83" i="19"/>
  <c r="DM110" i="19" s="1"/>
  <c r="DL83" i="19"/>
  <c r="DL110" i="19" s="1"/>
  <c r="DK83" i="19"/>
  <c r="DK110" i="19" s="1"/>
  <c r="DJ83" i="19"/>
  <c r="DJ110" i="19" s="1"/>
  <c r="DI83" i="19"/>
  <c r="DI110" i="19" s="1"/>
  <c r="DH83" i="19"/>
  <c r="DH110" i="19" s="1"/>
  <c r="DG83" i="19"/>
  <c r="DG110" i="19" s="1"/>
  <c r="DF83" i="19"/>
  <c r="DF110" i="19" s="1"/>
  <c r="DE83" i="19"/>
  <c r="DE110" i="19" s="1"/>
  <c r="DD83" i="19"/>
  <c r="DD110" i="19" s="1"/>
  <c r="DC83" i="19"/>
  <c r="DC110" i="19" s="1"/>
  <c r="DB83" i="19"/>
  <c r="DB110" i="19" s="1"/>
  <c r="DA83" i="19"/>
  <c r="DA110" i="19" s="1"/>
  <c r="CZ83" i="19"/>
  <c r="CZ110" i="19" s="1"/>
  <c r="CY83" i="19"/>
  <c r="CY110" i="19" s="1"/>
  <c r="CX83" i="19"/>
  <c r="CX110" i="19" s="1"/>
  <c r="CW83" i="19"/>
  <c r="CW110" i="19" s="1"/>
  <c r="CV83" i="19"/>
  <c r="CV110" i="19" s="1"/>
  <c r="CU83" i="19"/>
  <c r="CU110" i="19" s="1"/>
  <c r="CT83" i="19"/>
  <c r="CT110" i="19" s="1"/>
  <c r="CS83" i="19"/>
  <c r="CS110" i="19" s="1"/>
  <c r="CR83" i="19"/>
  <c r="CR110" i="19" s="1"/>
  <c r="CQ83" i="19"/>
  <c r="CQ110" i="19" s="1"/>
  <c r="CP83" i="19"/>
  <c r="CP110" i="19" s="1"/>
  <c r="CO83" i="19"/>
  <c r="CO110" i="19" s="1"/>
  <c r="CN83" i="19"/>
  <c r="CN110" i="19" s="1"/>
  <c r="CM83" i="19"/>
  <c r="CM110" i="19" s="1"/>
  <c r="CL83" i="19"/>
  <c r="CL110" i="19" s="1"/>
  <c r="CK83" i="19"/>
  <c r="CK110" i="19" s="1"/>
  <c r="CJ83" i="19"/>
  <c r="CJ110" i="19" s="1"/>
  <c r="CI83" i="19"/>
  <c r="CI110" i="19" s="1"/>
  <c r="CH83" i="19"/>
  <c r="CH110" i="19" s="1"/>
  <c r="CG83" i="19"/>
  <c r="CG110" i="19" s="1"/>
  <c r="CF83" i="19"/>
  <c r="CF110" i="19" s="1"/>
  <c r="CE83" i="19"/>
  <c r="CE110" i="19" s="1"/>
  <c r="CD83" i="19"/>
  <c r="CD110" i="19" s="1"/>
  <c r="CC83" i="19"/>
  <c r="CC110" i="19" s="1"/>
  <c r="CB83" i="19"/>
  <c r="CB110" i="19" s="1"/>
  <c r="CA83" i="19"/>
  <c r="CA110" i="19" s="1"/>
  <c r="BZ83" i="19"/>
  <c r="BZ110" i="19" s="1"/>
  <c r="BY83" i="19"/>
  <c r="BY110" i="19" s="1"/>
  <c r="BX83" i="19"/>
  <c r="BX110" i="19" s="1"/>
  <c r="BW83" i="19"/>
  <c r="BW110" i="19" s="1"/>
  <c r="BV83" i="19"/>
  <c r="BV110" i="19" s="1"/>
  <c r="BU83" i="19"/>
  <c r="BU110" i="19" s="1"/>
  <c r="BT83" i="19"/>
  <c r="BT110" i="19" s="1"/>
  <c r="BS83" i="19"/>
  <c r="BS110" i="19" s="1"/>
  <c r="BR83" i="19"/>
  <c r="BR110" i="19" s="1"/>
  <c r="BQ83" i="19"/>
  <c r="BQ110" i="19" s="1"/>
  <c r="BP83" i="19"/>
  <c r="BP110" i="19" s="1"/>
  <c r="BO83" i="19"/>
  <c r="BO110" i="19" s="1"/>
  <c r="BN83" i="19"/>
  <c r="BN110" i="19" s="1"/>
  <c r="BM83" i="19"/>
  <c r="BM110" i="19" s="1"/>
  <c r="BL83" i="19"/>
  <c r="BL110" i="19" s="1"/>
  <c r="BK83" i="19"/>
  <c r="BK110" i="19" s="1"/>
  <c r="BJ83" i="19"/>
  <c r="BJ110" i="19" s="1"/>
  <c r="BI83" i="19"/>
  <c r="BI110" i="19" s="1"/>
  <c r="BH83" i="19"/>
  <c r="BH110" i="19" s="1"/>
  <c r="BG83" i="19"/>
  <c r="BG110" i="19" s="1"/>
  <c r="BF83" i="19"/>
  <c r="BF110" i="19" s="1"/>
  <c r="BE83" i="19"/>
  <c r="BE110" i="19" s="1"/>
  <c r="BD83" i="19"/>
  <c r="BD110" i="19" s="1"/>
  <c r="BC83" i="19"/>
  <c r="BC110" i="19" s="1"/>
  <c r="BB83" i="19"/>
  <c r="BB110" i="19" s="1"/>
  <c r="BA83" i="19"/>
  <c r="BA110" i="19" s="1"/>
  <c r="AZ83" i="19"/>
  <c r="AZ110" i="19" s="1"/>
  <c r="AY83" i="19"/>
  <c r="AY110" i="19" s="1"/>
  <c r="AX83" i="19"/>
  <c r="AX110" i="19" s="1"/>
  <c r="AW83" i="19"/>
  <c r="AW110" i="19" s="1"/>
  <c r="AV83" i="19"/>
  <c r="AV110" i="19" s="1"/>
  <c r="AU83" i="19"/>
  <c r="AU110" i="19" s="1"/>
  <c r="AT83" i="19"/>
  <c r="AT110" i="19" s="1"/>
  <c r="AS83" i="19"/>
  <c r="AS110" i="19" s="1"/>
  <c r="AR83" i="19"/>
  <c r="AR110" i="19" s="1"/>
  <c r="AQ83" i="19"/>
  <c r="AQ110" i="19" s="1"/>
  <c r="AP83" i="19"/>
  <c r="AP110" i="19" s="1"/>
  <c r="AO83" i="19"/>
  <c r="AO110" i="19" s="1"/>
  <c r="AN83" i="19"/>
  <c r="AN110" i="19" s="1"/>
  <c r="AM83" i="19"/>
  <c r="AM110" i="19" s="1"/>
  <c r="AL83" i="19"/>
  <c r="AL110" i="19" s="1"/>
  <c r="AK83" i="19"/>
  <c r="AK110" i="19" s="1"/>
  <c r="AJ83" i="19"/>
  <c r="AJ110" i="19" s="1"/>
  <c r="AI83" i="19"/>
  <c r="AI110" i="19" s="1"/>
  <c r="AH83" i="19"/>
  <c r="AH110" i="19" s="1"/>
  <c r="AG83" i="19"/>
  <c r="AG110" i="19" s="1"/>
  <c r="AF83" i="19"/>
  <c r="AF110" i="19" s="1"/>
  <c r="AE83" i="19"/>
  <c r="AE110" i="19" s="1"/>
  <c r="AD83" i="19"/>
  <c r="AD110" i="19" s="1"/>
  <c r="AC83" i="19"/>
  <c r="AC110" i="19" s="1"/>
  <c r="AB83" i="19"/>
  <c r="AB110" i="19" s="1"/>
  <c r="AA83" i="19"/>
  <c r="AA110" i="19" s="1"/>
  <c r="Z83" i="19"/>
  <c r="Z110" i="19" s="1"/>
  <c r="Y83" i="19"/>
  <c r="Y110" i="19" s="1"/>
  <c r="X83" i="19"/>
  <c r="X110" i="19" s="1"/>
  <c r="W83" i="19"/>
  <c r="W110" i="19" s="1"/>
  <c r="V83" i="19"/>
  <c r="V110" i="19" s="1"/>
  <c r="U83" i="19"/>
  <c r="U110" i="19" s="1"/>
  <c r="T83" i="19"/>
  <c r="T110" i="19" s="1"/>
  <c r="S83" i="19"/>
  <c r="S110" i="19" s="1"/>
  <c r="R83" i="19"/>
  <c r="R110" i="19" s="1"/>
  <c r="Q83" i="19"/>
  <c r="Q110" i="19" s="1"/>
  <c r="P83" i="19"/>
  <c r="P110" i="19" s="1"/>
  <c r="O83" i="19"/>
  <c r="O110" i="19" s="1"/>
  <c r="N83" i="19"/>
  <c r="N110" i="19" s="1"/>
  <c r="M83" i="19"/>
  <c r="M110" i="19" s="1"/>
  <c r="L83" i="19"/>
  <c r="L110" i="19" s="1"/>
  <c r="K83" i="19"/>
  <c r="K110" i="19" s="1"/>
  <c r="J83" i="19"/>
  <c r="J110" i="19" s="1"/>
  <c r="I83" i="19"/>
  <c r="I110" i="19" s="1"/>
  <c r="H83" i="19"/>
  <c r="H110" i="19" s="1"/>
  <c r="GQ81" i="19"/>
  <c r="GQ108" i="19" s="1"/>
  <c r="GP81" i="19"/>
  <c r="GP108" i="19" s="1"/>
  <c r="GO81" i="19"/>
  <c r="GO108" i="19" s="1"/>
  <c r="GN81" i="19"/>
  <c r="GN108" i="19" s="1"/>
  <c r="GM81" i="19"/>
  <c r="GM108" i="19" s="1"/>
  <c r="GL81" i="19"/>
  <c r="GL108" i="19" s="1"/>
  <c r="GK81" i="19"/>
  <c r="GK108" i="19" s="1"/>
  <c r="GJ81" i="19"/>
  <c r="GJ108" i="19" s="1"/>
  <c r="GI81" i="19"/>
  <c r="GI108" i="19" s="1"/>
  <c r="GH81" i="19"/>
  <c r="GH108" i="19" s="1"/>
  <c r="GG81" i="19"/>
  <c r="GG108" i="19" s="1"/>
  <c r="GF81" i="19"/>
  <c r="GF108" i="19" s="1"/>
  <c r="GE81" i="19"/>
  <c r="GE108" i="19" s="1"/>
  <c r="GD81" i="19"/>
  <c r="GD108" i="19" s="1"/>
  <c r="GC81" i="19"/>
  <c r="GC108" i="19" s="1"/>
  <c r="GB81" i="19"/>
  <c r="GB108" i="19" s="1"/>
  <c r="GA81" i="19"/>
  <c r="GA108" i="19" s="1"/>
  <c r="FZ81" i="19"/>
  <c r="FZ108" i="19" s="1"/>
  <c r="FY81" i="19"/>
  <c r="FY108" i="19" s="1"/>
  <c r="FX81" i="19"/>
  <c r="FX108" i="19" s="1"/>
  <c r="FW81" i="19"/>
  <c r="FW108" i="19" s="1"/>
  <c r="FV81" i="19"/>
  <c r="FV108" i="19" s="1"/>
  <c r="FU81" i="19"/>
  <c r="FU108" i="19" s="1"/>
  <c r="FT81" i="19"/>
  <c r="FT108" i="19" s="1"/>
  <c r="FS81" i="19"/>
  <c r="FS108" i="19" s="1"/>
  <c r="FR81" i="19"/>
  <c r="FR108" i="19" s="1"/>
  <c r="FQ81" i="19"/>
  <c r="FQ108" i="19" s="1"/>
  <c r="FP81" i="19"/>
  <c r="FP108" i="19" s="1"/>
  <c r="FO81" i="19"/>
  <c r="FO108" i="19" s="1"/>
  <c r="FN81" i="19"/>
  <c r="FN108" i="19" s="1"/>
  <c r="FM81" i="19"/>
  <c r="FM108" i="19" s="1"/>
  <c r="FL81" i="19"/>
  <c r="FL108" i="19" s="1"/>
  <c r="FK81" i="19"/>
  <c r="FK108" i="19" s="1"/>
  <c r="FJ81" i="19"/>
  <c r="FJ108" i="19" s="1"/>
  <c r="FI81" i="19"/>
  <c r="FI108" i="19" s="1"/>
  <c r="FH81" i="19"/>
  <c r="FH108" i="19" s="1"/>
  <c r="FG81" i="19"/>
  <c r="FG108" i="19" s="1"/>
  <c r="FF81" i="19"/>
  <c r="FF108" i="19" s="1"/>
  <c r="FE81" i="19"/>
  <c r="FE108" i="19" s="1"/>
  <c r="FD81" i="19"/>
  <c r="FD108" i="19" s="1"/>
  <c r="FC81" i="19"/>
  <c r="FC108" i="19" s="1"/>
  <c r="FB81" i="19"/>
  <c r="FB108" i="19" s="1"/>
  <c r="FA81" i="19"/>
  <c r="FA108" i="19" s="1"/>
  <c r="EZ81" i="19"/>
  <c r="EZ108" i="19" s="1"/>
  <c r="EY81" i="19"/>
  <c r="EY108" i="19" s="1"/>
  <c r="EX81" i="19"/>
  <c r="EX108" i="19" s="1"/>
  <c r="EW81" i="19"/>
  <c r="EW108" i="19" s="1"/>
  <c r="EV81" i="19"/>
  <c r="EV108" i="19" s="1"/>
  <c r="EU81" i="19"/>
  <c r="EU108" i="19" s="1"/>
  <c r="ET81" i="19"/>
  <c r="ET108" i="19" s="1"/>
  <c r="ES81" i="19"/>
  <c r="ES108" i="19" s="1"/>
  <c r="ER81" i="19"/>
  <c r="ER108" i="19" s="1"/>
  <c r="EQ81" i="19"/>
  <c r="EQ108" i="19" s="1"/>
  <c r="EP81" i="19"/>
  <c r="EP108" i="19" s="1"/>
  <c r="EO81" i="19"/>
  <c r="EO108" i="19" s="1"/>
  <c r="EN81" i="19"/>
  <c r="EN108" i="19" s="1"/>
  <c r="EM81" i="19"/>
  <c r="EM108" i="19" s="1"/>
  <c r="EL81" i="19"/>
  <c r="EL108" i="19" s="1"/>
  <c r="EK81" i="19"/>
  <c r="EK108" i="19" s="1"/>
  <c r="EJ81" i="19"/>
  <c r="EJ108" i="19" s="1"/>
  <c r="EI81" i="19"/>
  <c r="EI108" i="19" s="1"/>
  <c r="EH81" i="19"/>
  <c r="EH108" i="19" s="1"/>
  <c r="EG81" i="19"/>
  <c r="EG108" i="19" s="1"/>
  <c r="EF81" i="19"/>
  <c r="EF108" i="19" s="1"/>
  <c r="EE81" i="19"/>
  <c r="EE108" i="19" s="1"/>
  <c r="ED81" i="19"/>
  <c r="ED108" i="19" s="1"/>
  <c r="EC81" i="19"/>
  <c r="EC108" i="19" s="1"/>
  <c r="EB81" i="19"/>
  <c r="EB108" i="19" s="1"/>
  <c r="EA81" i="19"/>
  <c r="EA108" i="19" s="1"/>
  <c r="DZ81" i="19"/>
  <c r="DZ108" i="19" s="1"/>
  <c r="DY81" i="19"/>
  <c r="DY108" i="19" s="1"/>
  <c r="DX81" i="19"/>
  <c r="DX108" i="19" s="1"/>
  <c r="DW81" i="19"/>
  <c r="DW108" i="19" s="1"/>
  <c r="DV81" i="19"/>
  <c r="DV108" i="19" s="1"/>
  <c r="DU81" i="19"/>
  <c r="DU108" i="19" s="1"/>
  <c r="DT81" i="19"/>
  <c r="DT108" i="19" s="1"/>
  <c r="DS81" i="19"/>
  <c r="DS108" i="19" s="1"/>
  <c r="DR81" i="19"/>
  <c r="DR108" i="19" s="1"/>
  <c r="DQ81" i="19"/>
  <c r="DQ108" i="19" s="1"/>
  <c r="DP81" i="19"/>
  <c r="DP108" i="19" s="1"/>
  <c r="DO81" i="19"/>
  <c r="DO108" i="19" s="1"/>
  <c r="DN81" i="19"/>
  <c r="DN108" i="19" s="1"/>
  <c r="DM81" i="19"/>
  <c r="DM108" i="19" s="1"/>
  <c r="DL81" i="19"/>
  <c r="DL108" i="19" s="1"/>
  <c r="DK81" i="19"/>
  <c r="DK108" i="19" s="1"/>
  <c r="DJ81" i="19"/>
  <c r="DJ108" i="19" s="1"/>
  <c r="DI81" i="19"/>
  <c r="DI108" i="19" s="1"/>
  <c r="DH81" i="19"/>
  <c r="DH108" i="19" s="1"/>
  <c r="DG81" i="19"/>
  <c r="DG108" i="19" s="1"/>
  <c r="DF81" i="19"/>
  <c r="DF108" i="19" s="1"/>
  <c r="DE81" i="19"/>
  <c r="DE108" i="19" s="1"/>
  <c r="DD81" i="19"/>
  <c r="DD108" i="19" s="1"/>
  <c r="DC81" i="19"/>
  <c r="DC108" i="19" s="1"/>
  <c r="DB81" i="19"/>
  <c r="DB108" i="19" s="1"/>
  <c r="DA81" i="19"/>
  <c r="DA108" i="19" s="1"/>
  <c r="CZ81" i="19"/>
  <c r="CZ108" i="19" s="1"/>
  <c r="CY81" i="19"/>
  <c r="CY108" i="19" s="1"/>
  <c r="CX81" i="19"/>
  <c r="CX108" i="19" s="1"/>
  <c r="CW81" i="19"/>
  <c r="CW108" i="19" s="1"/>
  <c r="CV81" i="19"/>
  <c r="CV108" i="19" s="1"/>
  <c r="CU81" i="19"/>
  <c r="CU108" i="19" s="1"/>
  <c r="CT81" i="19"/>
  <c r="CT108" i="19" s="1"/>
  <c r="CS81" i="19"/>
  <c r="CS108" i="19" s="1"/>
  <c r="CR81" i="19"/>
  <c r="CR108" i="19" s="1"/>
  <c r="CQ81" i="19"/>
  <c r="CQ108" i="19" s="1"/>
  <c r="CP81" i="19"/>
  <c r="CP108" i="19" s="1"/>
  <c r="CO81" i="19"/>
  <c r="CO108" i="19" s="1"/>
  <c r="CN81" i="19"/>
  <c r="CN108" i="19" s="1"/>
  <c r="CM81" i="19"/>
  <c r="CM108" i="19" s="1"/>
  <c r="CL81" i="19"/>
  <c r="CL108" i="19" s="1"/>
  <c r="CK81" i="19"/>
  <c r="CK108" i="19" s="1"/>
  <c r="CJ81" i="19"/>
  <c r="CJ108" i="19" s="1"/>
  <c r="CI81" i="19"/>
  <c r="CI108" i="19" s="1"/>
  <c r="CH81" i="19"/>
  <c r="CH108" i="19" s="1"/>
  <c r="CG81" i="19"/>
  <c r="CG108" i="19" s="1"/>
  <c r="CF81" i="19"/>
  <c r="CF108" i="19" s="1"/>
  <c r="CE81" i="19"/>
  <c r="CE108" i="19" s="1"/>
  <c r="CD81" i="19"/>
  <c r="CD108" i="19" s="1"/>
  <c r="CC81" i="19"/>
  <c r="CC108" i="19" s="1"/>
  <c r="CB81" i="19"/>
  <c r="CB108" i="19" s="1"/>
  <c r="CA81" i="19"/>
  <c r="CA108" i="19" s="1"/>
  <c r="BZ81" i="19"/>
  <c r="BZ108" i="19" s="1"/>
  <c r="BY81" i="19"/>
  <c r="BY108" i="19" s="1"/>
  <c r="BX81" i="19"/>
  <c r="BX108" i="19" s="1"/>
  <c r="BW81" i="19"/>
  <c r="BW108" i="19" s="1"/>
  <c r="BV81" i="19"/>
  <c r="BV108" i="19" s="1"/>
  <c r="BU81" i="19"/>
  <c r="BU108" i="19" s="1"/>
  <c r="BT81" i="19"/>
  <c r="BT108" i="19" s="1"/>
  <c r="BS81" i="19"/>
  <c r="BS108" i="19" s="1"/>
  <c r="BR81" i="19"/>
  <c r="BR108" i="19" s="1"/>
  <c r="BQ81" i="19"/>
  <c r="BQ108" i="19" s="1"/>
  <c r="BP81" i="19"/>
  <c r="BP108" i="19" s="1"/>
  <c r="BO81" i="19"/>
  <c r="BO108" i="19" s="1"/>
  <c r="BN81" i="19"/>
  <c r="BN108" i="19" s="1"/>
  <c r="BM81" i="19"/>
  <c r="BM108" i="19" s="1"/>
  <c r="BL81" i="19"/>
  <c r="BL108" i="19" s="1"/>
  <c r="BK81" i="19"/>
  <c r="BK108" i="19" s="1"/>
  <c r="BJ81" i="19"/>
  <c r="BJ108" i="19" s="1"/>
  <c r="BI81" i="19"/>
  <c r="BI108" i="19" s="1"/>
  <c r="BH81" i="19"/>
  <c r="BG81" i="19"/>
  <c r="BF81" i="19"/>
  <c r="BE81" i="19"/>
  <c r="BD81" i="19"/>
  <c r="BC81" i="19"/>
  <c r="BB81" i="19"/>
  <c r="BA81" i="19"/>
  <c r="AZ81" i="19"/>
  <c r="AY81" i="19"/>
  <c r="AX81" i="19"/>
  <c r="AW81" i="19"/>
  <c r="AV81" i="19"/>
  <c r="AU81" i="19"/>
  <c r="AT81" i="19"/>
  <c r="AS81" i="19"/>
  <c r="AR81" i="19"/>
  <c r="AQ81" i="19"/>
  <c r="AP81" i="19"/>
  <c r="AO81" i="19"/>
  <c r="AN81" i="19"/>
  <c r="AM81" i="19"/>
  <c r="AL81" i="19"/>
  <c r="AK81" i="19"/>
  <c r="AJ81" i="19"/>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G81" i="19"/>
  <c r="F81" i="19"/>
  <c r="GQ80" i="19"/>
  <c r="GQ107" i="19" s="1"/>
  <c r="GP80" i="19"/>
  <c r="GP107" i="19" s="1"/>
  <c r="GO80" i="19"/>
  <c r="GO107" i="19" s="1"/>
  <c r="GN80" i="19"/>
  <c r="GN107" i="19" s="1"/>
  <c r="GM80" i="19"/>
  <c r="GM107" i="19" s="1"/>
  <c r="GL80" i="19"/>
  <c r="GL107" i="19" s="1"/>
  <c r="GK80" i="19"/>
  <c r="GK107" i="19" s="1"/>
  <c r="GJ80" i="19"/>
  <c r="GJ107" i="19" s="1"/>
  <c r="GI80" i="19"/>
  <c r="GI107" i="19" s="1"/>
  <c r="GH80" i="19"/>
  <c r="GH107" i="19" s="1"/>
  <c r="GG80" i="19"/>
  <c r="GG107" i="19" s="1"/>
  <c r="GF80" i="19"/>
  <c r="GF107" i="19" s="1"/>
  <c r="GE80" i="19"/>
  <c r="GE107" i="19" s="1"/>
  <c r="GD80" i="19"/>
  <c r="GD107" i="19" s="1"/>
  <c r="GC80" i="19"/>
  <c r="GC107" i="19" s="1"/>
  <c r="GB80" i="19"/>
  <c r="GB107" i="19" s="1"/>
  <c r="GA80" i="19"/>
  <c r="GA107" i="19" s="1"/>
  <c r="FZ80" i="19"/>
  <c r="FZ107" i="19" s="1"/>
  <c r="FY80" i="19"/>
  <c r="FY107" i="19" s="1"/>
  <c r="FX80" i="19"/>
  <c r="FX107" i="19" s="1"/>
  <c r="FW80" i="19"/>
  <c r="FW107" i="19" s="1"/>
  <c r="FV80" i="19"/>
  <c r="FV107" i="19" s="1"/>
  <c r="FU80" i="19"/>
  <c r="FU107" i="19" s="1"/>
  <c r="FT80" i="19"/>
  <c r="FT107" i="19" s="1"/>
  <c r="FS80" i="19"/>
  <c r="FS107" i="19" s="1"/>
  <c r="FR80" i="19"/>
  <c r="FR107" i="19" s="1"/>
  <c r="FQ80" i="19"/>
  <c r="FQ107" i="19" s="1"/>
  <c r="FP80" i="19"/>
  <c r="FP107" i="19" s="1"/>
  <c r="FO80" i="19"/>
  <c r="FO107" i="19" s="1"/>
  <c r="FN80" i="19"/>
  <c r="FN107" i="19" s="1"/>
  <c r="FM80" i="19"/>
  <c r="FM107" i="19" s="1"/>
  <c r="FL80" i="19"/>
  <c r="FL107" i="19" s="1"/>
  <c r="FK80" i="19"/>
  <c r="FK107" i="19" s="1"/>
  <c r="FJ80" i="19"/>
  <c r="FJ107" i="19" s="1"/>
  <c r="FI80" i="19"/>
  <c r="FI107" i="19" s="1"/>
  <c r="FH80" i="19"/>
  <c r="FH107" i="19" s="1"/>
  <c r="FG80" i="19"/>
  <c r="FG107" i="19" s="1"/>
  <c r="FF80" i="19"/>
  <c r="FF107" i="19" s="1"/>
  <c r="FE80" i="19"/>
  <c r="FE107" i="19" s="1"/>
  <c r="FD80" i="19"/>
  <c r="FD107" i="19" s="1"/>
  <c r="FC80" i="19"/>
  <c r="FC107" i="19" s="1"/>
  <c r="FB80" i="19"/>
  <c r="FB107" i="19" s="1"/>
  <c r="FA80" i="19"/>
  <c r="FA107" i="19" s="1"/>
  <c r="EZ80" i="19"/>
  <c r="EZ107" i="19" s="1"/>
  <c r="EY80" i="19"/>
  <c r="EY107" i="19" s="1"/>
  <c r="EX80" i="19"/>
  <c r="EX107" i="19" s="1"/>
  <c r="EW80" i="19"/>
  <c r="EW107" i="19" s="1"/>
  <c r="EV80" i="19"/>
  <c r="EV107" i="19" s="1"/>
  <c r="EU80" i="19"/>
  <c r="EU107" i="19" s="1"/>
  <c r="ET80" i="19"/>
  <c r="ET107" i="19" s="1"/>
  <c r="ES80" i="19"/>
  <c r="ES107" i="19" s="1"/>
  <c r="ER80" i="19"/>
  <c r="ER107" i="19" s="1"/>
  <c r="EQ80" i="19"/>
  <c r="EQ107" i="19" s="1"/>
  <c r="EP80" i="19"/>
  <c r="EP107" i="19" s="1"/>
  <c r="EO80" i="19"/>
  <c r="EO107" i="19" s="1"/>
  <c r="EN80" i="19"/>
  <c r="EN107" i="19" s="1"/>
  <c r="EM80" i="19"/>
  <c r="EM107" i="19" s="1"/>
  <c r="EL80" i="19"/>
  <c r="EL107" i="19" s="1"/>
  <c r="EK80" i="19"/>
  <c r="EK107" i="19" s="1"/>
  <c r="EJ80" i="19"/>
  <c r="EJ107" i="19" s="1"/>
  <c r="EI80" i="19"/>
  <c r="EI107" i="19" s="1"/>
  <c r="EH80" i="19"/>
  <c r="EH107" i="19" s="1"/>
  <c r="EG80" i="19"/>
  <c r="EG107" i="19" s="1"/>
  <c r="EF80" i="19"/>
  <c r="EF107" i="19" s="1"/>
  <c r="EE80" i="19"/>
  <c r="EE107" i="19" s="1"/>
  <c r="ED80" i="19"/>
  <c r="ED107" i="19" s="1"/>
  <c r="EC80" i="19"/>
  <c r="EC107" i="19" s="1"/>
  <c r="EB80" i="19"/>
  <c r="EB107" i="19" s="1"/>
  <c r="EA80" i="19"/>
  <c r="EA107" i="19" s="1"/>
  <c r="DZ80" i="19"/>
  <c r="DZ107" i="19" s="1"/>
  <c r="DY80" i="19"/>
  <c r="DY107" i="19" s="1"/>
  <c r="DX80" i="19"/>
  <c r="DX107" i="19" s="1"/>
  <c r="DW80" i="19"/>
  <c r="DW107" i="19" s="1"/>
  <c r="DV80" i="19"/>
  <c r="DV107" i="19" s="1"/>
  <c r="DU80" i="19"/>
  <c r="DU107" i="19" s="1"/>
  <c r="DT80" i="19"/>
  <c r="DT107" i="19" s="1"/>
  <c r="DS80" i="19"/>
  <c r="DS107" i="19" s="1"/>
  <c r="DR80" i="19"/>
  <c r="DR107" i="19" s="1"/>
  <c r="DQ80" i="19"/>
  <c r="DQ107" i="19" s="1"/>
  <c r="DP80" i="19"/>
  <c r="DP107" i="19" s="1"/>
  <c r="DO80" i="19"/>
  <c r="DO107" i="19" s="1"/>
  <c r="DN80" i="19"/>
  <c r="DN107" i="19" s="1"/>
  <c r="DM80" i="19"/>
  <c r="DM107" i="19" s="1"/>
  <c r="DL80" i="19"/>
  <c r="DL107" i="19" s="1"/>
  <c r="DK80" i="19"/>
  <c r="DK107" i="19" s="1"/>
  <c r="DJ80" i="19"/>
  <c r="DJ107" i="19" s="1"/>
  <c r="DI80" i="19"/>
  <c r="DI107" i="19" s="1"/>
  <c r="DH80" i="19"/>
  <c r="DH107" i="19" s="1"/>
  <c r="DG80" i="19"/>
  <c r="DG107" i="19" s="1"/>
  <c r="DF80" i="19"/>
  <c r="DF107" i="19" s="1"/>
  <c r="DE80" i="19"/>
  <c r="DE107" i="19" s="1"/>
  <c r="DD80" i="19"/>
  <c r="DD107" i="19" s="1"/>
  <c r="DC80" i="19"/>
  <c r="DC107" i="19" s="1"/>
  <c r="DB80" i="19"/>
  <c r="DB107" i="19" s="1"/>
  <c r="DA80" i="19"/>
  <c r="DA107" i="19" s="1"/>
  <c r="CZ80" i="19"/>
  <c r="CZ107" i="19" s="1"/>
  <c r="CY80" i="19"/>
  <c r="CY107" i="19" s="1"/>
  <c r="CX80" i="19"/>
  <c r="CX107" i="19" s="1"/>
  <c r="CW80" i="19"/>
  <c r="CW107" i="19" s="1"/>
  <c r="CV80" i="19"/>
  <c r="CV107" i="19" s="1"/>
  <c r="CU80" i="19"/>
  <c r="CU107" i="19" s="1"/>
  <c r="CT80" i="19"/>
  <c r="CT107" i="19" s="1"/>
  <c r="CS80" i="19"/>
  <c r="CS107" i="19" s="1"/>
  <c r="CR80" i="19"/>
  <c r="CR107" i="19" s="1"/>
  <c r="CQ80" i="19"/>
  <c r="CQ107" i="19" s="1"/>
  <c r="CP80" i="19"/>
  <c r="CP107" i="19" s="1"/>
  <c r="CO80" i="19"/>
  <c r="CO107" i="19" s="1"/>
  <c r="CN80" i="19"/>
  <c r="CN107" i="19" s="1"/>
  <c r="CM80" i="19"/>
  <c r="CM107" i="19" s="1"/>
  <c r="CL80" i="19"/>
  <c r="CL107" i="19" s="1"/>
  <c r="CK80" i="19"/>
  <c r="CK107" i="19" s="1"/>
  <c r="CJ80" i="19"/>
  <c r="CJ107" i="19" s="1"/>
  <c r="CI80" i="19"/>
  <c r="CI107" i="19" s="1"/>
  <c r="CH80" i="19"/>
  <c r="CH107" i="19" s="1"/>
  <c r="CG80" i="19"/>
  <c r="CG107" i="19" s="1"/>
  <c r="CF80" i="19"/>
  <c r="CF107" i="19" s="1"/>
  <c r="CE80" i="19"/>
  <c r="CE107" i="19" s="1"/>
  <c r="CD80" i="19"/>
  <c r="CD107" i="19" s="1"/>
  <c r="CC80" i="19"/>
  <c r="CC107" i="19" s="1"/>
  <c r="CB80" i="19"/>
  <c r="CB107" i="19" s="1"/>
  <c r="CA80" i="19"/>
  <c r="CA107" i="19" s="1"/>
  <c r="BZ80" i="19"/>
  <c r="BZ107" i="19" s="1"/>
  <c r="BY80" i="19"/>
  <c r="BY107" i="19" s="1"/>
  <c r="BX80" i="19"/>
  <c r="BX107" i="19" s="1"/>
  <c r="BW80" i="19"/>
  <c r="BW107" i="19" s="1"/>
  <c r="BV80" i="19"/>
  <c r="BV107" i="19" s="1"/>
  <c r="BU80" i="19"/>
  <c r="BU107" i="19" s="1"/>
  <c r="BT80" i="19"/>
  <c r="BT107" i="19" s="1"/>
  <c r="BS80" i="19"/>
  <c r="BS107" i="19" s="1"/>
  <c r="BR80" i="19"/>
  <c r="BR107" i="19" s="1"/>
  <c r="BQ80" i="19"/>
  <c r="BQ107" i="19" s="1"/>
  <c r="BP80" i="19"/>
  <c r="BP107" i="19" s="1"/>
  <c r="BO80" i="19"/>
  <c r="BO107" i="19" s="1"/>
  <c r="BN80" i="19"/>
  <c r="BN107" i="19" s="1"/>
  <c r="BM80" i="19"/>
  <c r="BM107" i="19" s="1"/>
  <c r="BL80" i="19"/>
  <c r="BL107" i="19" s="1"/>
  <c r="BK80" i="19"/>
  <c r="BK107" i="19" s="1"/>
  <c r="BJ80" i="19"/>
  <c r="BJ107" i="19" s="1"/>
  <c r="BI80" i="19"/>
  <c r="BI107" i="19" s="1"/>
  <c r="BH80" i="19"/>
  <c r="BH107" i="19" s="1"/>
  <c r="BG80" i="19"/>
  <c r="BG107" i="19" s="1"/>
  <c r="BF80" i="19"/>
  <c r="BF107" i="19" s="1"/>
  <c r="BE80" i="19"/>
  <c r="BD80" i="19"/>
  <c r="BC80" i="19"/>
  <c r="BB80" i="19"/>
  <c r="BA80" i="19"/>
  <c r="AZ80" i="19"/>
  <c r="AY80" i="19"/>
  <c r="AX80" i="19"/>
  <c r="AW80" i="19"/>
  <c r="AV80" i="19"/>
  <c r="AU80" i="19"/>
  <c r="AT80" i="19"/>
  <c r="AS80" i="19"/>
  <c r="AR80" i="19"/>
  <c r="AQ80" i="19"/>
  <c r="AP80" i="19"/>
  <c r="AO80" i="19"/>
  <c r="AN80" i="19"/>
  <c r="AM80" i="19"/>
  <c r="AL80" i="19"/>
  <c r="AK80" i="19"/>
  <c r="AJ80" i="19"/>
  <c r="AI80" i="19"/>
  <c r="AH80" i="19"/>
  <c r="AG80" i="19"/>
  <c r="AF80" i="19"/>
  <c r="AE80" i="19"/>
  <c r="AD80" i="19"/>
  <c r="AC80" i="19"/>
  <c r="AB80" i="19"/>
  <c r="AA80" i="19"/>
  <c r="Z80" i="19"/>
  <c r="Y80" i="19"/>
  <c r="X80" i="19"/>
  <c r="W80" i="19"/>
  <c r="V80" i="19"/>
  <c r="U80" i="19"/>
  <c r="T80" i="19"/>
  <c r="S80" i="19"/>
  <c r="R80" i="19"/>
  <c r="Q80" i="19"/>
  <c r="P80" i="19"/>
  <c r="O80" i="19"/>
  <c r="N80" i="19"/>
  <c r="M80" i="19"/>
  <c r="L80" i="19"/>
  <c r="K80" i="19"/>
  <c r="J80" i="19"/>
  <c r="I80" i="19"/>
  <c r="H80" i="19"/>
  <c r="G80" i="19"/>
  <c r="F80" i="19"/>
  <c r="GQ79" i="19"/>
  <c r="GQ106" i="19" s="1"/>
  <c r="GP79" i="19"/>
  <c r="GP106" i="19" s="1"/>
  <c r="GO79" i="19"/>
  <c r="GO106" i="19" s="1"/>
  <c r="GN79" i="19"/>
  <c r="GN106" i="19" s="1"/>
  <c r="GM79" i="19"/>
  <c r="GM106" i="19" s="1"/>
  <c r="GL79" i="19"/>
  <c r="GL106" i="19" s="1"/>
  <c r="GK79" i="19"/>
  <c r="GK106" i="19" s="1"/>
  <c r="GJ79" i="19"/>
  <c r="GJ106" i="19" s="1"/>
  <c r="GI79" i="19"/>
  <c r="GI106" i="19" s="1"/>
  <c r="GH79" i="19"/>
  <c r="GH106" i="19" s="1"/>
  <c r="GG79" i="19"/>
  <c r="GG106" i="19" s="1"/>
  <c r="GF79" i="19"/>
  <c r="GF106" i="19" s="1"/>
  <c r="GE79" i="19"/>
  <c r="GE106" i="19" s="1"/>
  <c r="GD79" i="19"/>
  <c r="GD106" i="19" s="1"/>
  <c r="GC79" i="19"/>
  <c r="GC106" i="19" s="1"/>
  <c r="GB79" i="19"/>
  <c r="GB106" i="19" s="1"/>
  <c r="GA79" i="19"/>
  <c r="GA106" i="19" s="1"/>
  <c r="FZ79" i="19"/>
  <c r="FZ106" i="19" s="1"/>
  <c r="FY79" i="19"/>
  <c r="FY106" i="19" s="1"/>
  <c r="FX79" i="19"/>
  <c r="FX106" i="19" s="1"/>
  <c r="FW79" i="19"/>
  <c r="FW106" i="19" s="1"/>
  <c r="FV79" i="19"/>
  <c r="FV106" i="19" s="1"/>
  <c r="FU79" i="19"/>
  <c r="FU106" i="19" s="1"/>
  <c r="FT79" i="19"/>
  <c r="FT106" i="19" s="1"/>
  <c r="FS79" i="19"/>
  <c r="FS106" i="19" s="1"/>
  <c r="FR79" i="19"/>
  <c r="FR106" i="19" s="1"/>
  <c r="FQ79" i="19"/>
  <c r="FQ106" i="19" s="1"/>
  <c r="FP79" i="19"/>
  <c r="FP106" i="19" s="1"/>
  <c r="FO79" i="19"/>
  <c r="FO106" i="19" s="1"/>
  <c r="FN79" i="19"/>
  <c r="FN106" i="19" s="1"/>
  <c r="FM79" i="19"/>
  <c r="FM106" i="19" s="1"/>
  <c r="FL79" i="19"/>
  <c r="FL106" i="19" s="1"/>
  <c r="FK79" i="19"/>
  <c r="FK106" i="19" s="1"/>
  <c r="FJ79" i="19"/>
  <c r="FJ106" i="19" s="1"/>
  <c r="FI79" i="19"/>
  <c r="FI106" i="19" s="1"/>
  <c r="FH79" i="19"/>
  <c r="FH106" i="19" s="1"/>
  <c r="FG79" i="19"/>
  <c r="FG106" i="19" s="1"/>
  <c r="FF79" i="19"/>
  <c r="FF106" i="19" s="1"/>
  <c r="FE79" i="19"/>
  <c r="FE106" i="19" s="1"/>
  <c r="FD79" i="19"/>
  <c r="FD106" i="19" s="1"/>
  <c r="FC79" i="19"/>
  <c r="FC106" i="19" s="1"/>
  <c r="FB79" i="19"/>
  <c r="FB106" i="19" s="1"/>
  <c r="FA79" i="19"/>
  <c r="FA106" i="19" s="1"/>
  <c r="EZ79" i="19"/>
  <c r="EZ106" i="19" s="1"/>
  <c r="EY79" i="19"/>
  <c r="EY106" i="19" s="1"/>
  <c r="EX79" i="19"/>
  <c r="EX106" i="19" s="1"/>
  <c r="EW79" i="19"/>
  <c r="EW106" i="19" s="1"/>
  <c r="EV79" i="19"/>
  <c r="EV106" i="19" s="1"/>
  <c r="EU79" i="19"/>
  <c r="EU106" i="19" s="1"/>
  <c r="ET79" i="19"/>
  <c r="ET106" i="19" s="1"/>
  <c r="ES79" i="19"/>
  <c r="ES106" i="19" s="1"/>
  <c r="ER79" i="19"/>
  <c r="ER106" i="19" s="1"/>
  <c r="EQ79" i="19"/>
  <c r="EQ106" i="19" s="1"/>
  <c r="EP79" i="19"/>
  <c r="EP106" i="19" s="1"/>
  <c r="EO79" i="19"/>
  <c r="EO106" i="19" s="1"/>
  <c r="EN79" i="19"/>
  <c r="EN106" i="19" s="1"/>
  <c r="EM79" i="19"/>
  <c r="EM106" i="19" s="1"/>
  <c r="EL79" i="19"/>
  <c r="EL106" i="19" s="1"/>
  <c r="EK79" i="19"/>
  <c r="EK106" i="19" s="1"/>
  <c r="EJ79" i="19"/>
  <c r="EJ106" i="19" s="1"/>
  <c r="EI79" i="19"/>
  <c r="EI106" i="19" s="1"/>
  <c r="EH79" i="19"/>
  <c r="EH106" i="19" s="1"/>
  <c r="EG79" i="19"/>
  <c r="EG106" i="19" s="1"/>
  <c r="EF79" i="19"/>
  <c r="EF106" i="19" s="1"/>
  <c r="EE79" i="19"/>
  <c r="EE106" i="19" s="1"/>
  <c r="ED79" i="19"/>
  <c r="ED106" i="19" s="1"/>
  <c r="EC79" i="19"/>
  <c r="EC106" i="19" s="1"/>
  <c r="EB79" i="19"/>
  <c r="EB106" i="19" s="1"/>
  <c r="EA79" i="19"/>
  <c r="EA106" i="19" s="1"/>
  <c r="DZ79" i="19"/>
  <c r="DZ106" i="19" s="1"/>
  <c r="DY79" i="19"/>
  <c r="DY106" i="19" s="1"/>
  <c r="DX79" i="19"/>
  <c r="DX106" i="19" s="1"/>
  <c r="DW79" i="19"/>
  <c r="DW106" i="19" s="1"/>
  <c r="DV79" i="19"/>
  <c r="DV106" i="19" s="1"/>
  <c r="DU79" i="19"/>
  <c r="DU106" i="19" s="1"/>
  <c r="DT79" i="19"/>
  <c r="DT106" i="19" s="1"/>
  <c r="DS79" i="19"/>
  <c r="DS106" i="19" s="1"/>
  <c r="DR79" i="19"/>
  <c r="DR106" i="19" s="1"/>
  <c r="DQ79" i="19"/>
  <c r="DQ106" i="19" s="1"/>
  <c r="DP79" i="19"/>
  <c r="DP106" i="19" s="1"/>
  <c r="DO79" i="19"/>
  <c r="DO106" i="19" s="1"/>
  <c r="DN79" i="19"/>
  <c r="DN106" i="19" s="1"/>
  <c r="DM79" i="19"/>
  <c r="DM106" i="19" s="1"/>
  <c r="DL79" i="19"/>
  <c r="DL106" i="19" s="1"/>
  <c r="DK79" i="19"/>
  <c r="DK106" i="19" s="1"/>
  <c r="DJ79" i="19"/>
  <c r="DJ106" i="19" s="1"/>
  <c r="DI79" i="19"/>
  <c r="DI106" i="19" s="1"/>
  <c r="DH79" i="19"/>
  <c r="DH106" i="19" s="1"/>
  <c r="DG79" i="19"/>
  <c r="DG106" i="19" s="1"/>
  <c r="DF79" i="19"/>
  <c r="DF106" i="19" s="1"/>
  <c r="DE79" i="19"/>
  <c r="DE106" i="19" s="1"/>
  <c r="DD79" i="19"/>
  <c r="DD106" i="19" s="1"/>
  <c r="DC79" i="19"/>
  <c r="DC106" i="19" s="1"/>
  <c r="DB79" i="19"/>
  <c r="DB106" i="19" s="1"/>
  <c r="DA79" i="19"/>
  <c r="DA106" i="19" s="1"/>
  <c r="CZ79" i="19"/>
  <c r="CZ106" i="19" s="1"/>
  <c r="CY79" i="19"/>
  <c r="CY106" i="19" s="1"/>
  <c r="CX79" i="19"/>
  <c r="CX106" i="19" s="1"/>
  <c r="CW79" i="19"/>
  <c r="CW106" i="19" s="1"/>
  <c r="CV79" i="19"/>
  <c r="CV106" i="19" s="1"/>
  <c r="CU79" i="19"/>
  <c r="CU106" i="19" s="1"/>
  <c r="CT79" i="19"/>
  <c r="CT106" i="19" s="1"/>
  <c r="CS79" i="19"/>
  <c r="CS106" i="19" s="1"/>
  <c r="CR79" i="19"/>
  <c r="CR106" i="19" s="1"/>
  <c r="CQ79" i="19"/>
  <c r="CQ106" i="19" s="1"/>
  <c r="CP79" i="19"/>
  <c r="CP106" i="19" s="1"/>
  <c r="CO79" i="19"/>
  <c r="CO106" i="19" s="1"/>
  <c r="CN79" i="19"/>
  <c r="CN106" i="19" s="1"/>
  <c r="CM79" i="19"/>
  <c r="CM106" i="19" s="1"/>
  <c r="CL79" i="19"/>
  <c r="CL106" i="19" s="1"/>
  <c r="CK79" i="19"/>
  <c r="CK106" i="19" s="1"/>
  <c r="CJ79" i="19"/>
  <c r="CJ106" i="19" s="1"/>
  <c r="CI79" i="19"/>
  <c r="CI106" i="19" s="1"/>
  <c r="CH79" i="19"/>
  <c r="CH106" i="19" s="1"/>
  <c r="CG79" i="19"/>
  <c r="CG106" i="19" s="1"/>
  <c r="CF79" i="19"/>
  <c r="CF106" i="19" s="1"/>
  <c r="CE79" i="19"/>
  <c r="CE106" i="19" s="1"/>
  <c r="CD79" i="19"/>
  <c r="CD106" i="19" s="1"/>
  <c r="CC79" i="19"/>
  <c r="CC106" i="19" s="1"/>
  <c r="CB79" i="19"/>
  <c r="CB106" i="19" s="1"/>
  <c r="CA79" i="19"/>
  <c r="CA106" i="19" s="1"/>
  <c r="BZ79" i="19"/>
  <c r="BZ106" i="19" s="1"/>
  <c r="BY79" i="19"/>
  <c r="BY106" i="19" s="1"/>
  <c r="BX79" i="19"/>
  <c r="BX106" i="19" s="1"/>
  <c r="BW79" i="19"/>
  <c r="BW106" i="19" s="1"/>
  <c r="BV79" i="19"/>
  <c r="BV106" i="19" s="1"/>
  <c r="BU79" i="19"/>
  <c r="BU106" i="19" s="1"/>
  <c r="BT79" i="19"/>
  <c r="BT106" i="19" s="1"/>
  <c r="BS79" i="19"/>
  <c r="BS106" i="19" s="1"/>
  <c r="BR79" i="19"/>
  <c r="BR106" i="19" s="1"/>
  <c r="BQ79" i="19"/>
  <c r="BQ106" i="19" s="1"/>
  <c r="BP79" i="19"/>
  <c r="BP106" i="19" s="1"/>
  <c r="BO79" i="19"/>
  <c r="BO106" i="19" s="1"/>
  <c r="BN79" i="19"/>
  <c r="BN106" i="19" s="1"/>
  <c r="BM79" i="19"/>
  <c r="BM106" i="19" s="1"/>
  <c r="BL79" i="19"/>
  <c r="BL106" i="19" s="1"/>
  <c r="BK79" i="19"/>
  <c r="BK106" i="19" s="1"/>
  <c r="BJ79" i="19"/>
  <c r="BJ106" i="19" s="1"/>
  <c r="BI79" i="19"/>
  <c r="BI106" i="19" s="1"/>
  <c r="BH79" i="19"/>
  <c r="BH106" i="19" s="1"/>
  <c r="BG79" i="19"/>
  <c r="BG106" i="19" s="1"/>
  <c r="BF79" i="19"/>
  <c r="BF106" i="19" s="1"/>
  <c r="BE79" i="19"/>
  <c r="BE106" i="19" s="1"/>
  <c r="BD79" i="19"/>
  <c r="BD106" i="19" s="1"/>
  <c r="BC79" i="19"/>
  <c r="BC106" i="19" s="1"/>
  <c r="BB79" i="19"/>
  <c r="BB106" i="19" s="1"/>
  <c r="BA79" i="19"/>
  <c r="BA106" i="19" s="1"/>
  <c r="AZ79" i="19"/>
  <c r="AZ106" i="19" s="1"/>
  <c r="AY79" i="19"/>
  <c r="AY106" i="19" s="1"/>
  <c r="AX79" i="19"/>
  <c r="AX106" i="19" s="1"/>
  <c r="AW79" i="19"/>
  <c r="AW106" i="19" s="1"/>
  <c r="AV79" i="19"/>
  <c r="AV106" i="19" s="1"/>
  <c r="AU79" i="19"/>
  <c r="AU106" i="19" s="1"/>
  <c r="AT79" i="19"/>
  <c r="AT106" i="19" s="1"/>
  <c r="AS79" i="19"/>
  <c r="AS106" i="19" s="1"/>
  <c r="AR79" i="19"/>
  <c r="AR106" i="19" s="1"/>
  <c r="AQ79" i="19"/>
  <c r="AQ106" i="19" s="1"/>
  <c r="AP79" i="19"/>
  <c r="AP106" i="19" s="1"/>
  <c r="AO79" i="19"/>
  <c r="AO106" i="19" s="1"/>
  <c r="AN79" i="19"/>
  <c r="AN106" i="19" s="1"/>
  <c r="AM79" i="19"/>
  <c r="AM106" i="19" s="1"/>
  <c r="AL79" i="19"/>
  <c r="AL106" i="19" s="1"/>
  <c r="AK79" i="19"/>
  <c r="AJ79" i="19"/>
  <c r="AI79" i="19"/>
  <c r="AH79" i="19"/>
  <c r="AG79" i="19"/>
  <c r="AF79" i="19"/>
  <c r="AE79" i="19"/>
  <c r="AD79" i="19"/>
  <c r="AC79" i="19"/>
  <c r="AB79" i="19"/>
  <c r="AA79" i="19"/>
  <c r="Z79" i="19"/>
  <c r="Y79" i="19"/>
  <c r="X79" i="19"/>
  <c r="W79" i="19"/>
  <c r="V79" i="19"/>
  <c r="U79" i="19"/>
  <c r="T79" i="19"/>
  <c r="S79" i="19"/>
  <c r="R79" i="19"/>
  <c r="Q79" i="19"/>
  <c r="P79" i="19"/>
  <c r="O79" i="19"/>
  <c r="N79" i="19"/>
  <c r="M79" i="19"/>
  <c r="L79" i="19"/>
  <c r="K79" i="19"/>
  <c r="J79" i="19"/>
  <c r="I79" i="19"/>
  <c r="H79" i="19"/>
  <c r="G79" i="19"/>
  <c r="F79" i="19"/>
  <c r="GQ78" i="19"/>
  <c r="GQ105" i="19" s="1"/>
  <c r="GP78" i="19"/>
  <c r="GP105" i="19" s="1"/>
  <c r="GO78" i="19"/>
  <c r="GO105" i="19" s="1"/>
  <c r="GN78" i="19"/>
  <c r="GN105" i="19" s="1"/>
  <c r="GM78" i="19"/>
  <c r="GM105" i="19" s="1"/>
  <c r="GL78" i="19"/>
  <c r="GL105" i="19" s="1"/>
  <c r="GK78" i="19"/>
  <c r="GK105" i="19" s="1"/>
  <c r="GJ78" i="19"/>
  <c r="GJ105" i="19" s="1"/>
  <c r="GI78" i="19"/>
  <c r="GI105" i="19" s="1"/>
  <c r="GH78" i="19"/>
  <c r="GH105" i="19" s="1"/>
  <c r="GG78" i="19"/>
  <c r="GG105" i="19" s="1"/>
  <c r="GF78" i="19"/>
  <c r="GF105" i="19" s="1"/>
  <c r="GE78" i="19"/>
  <c r="GE105" i="19" s="1"/>
  <c r="GD78" i="19"/>
  <c r="GD105" i="19" s="1"/>
  <c r="GC78" i="19"/>
  <c r="GC105" i="19" s="1"/>
  <c r="GB78" i="19"/>
  <c r="GB105" i="19" s="1"/>
  <c r="GA78" i="19"/>
  <c r="GA105" i="19" s="1"/>
  <c r="FZ78" i="19"/>
  <c r="FZ105" i="19" s="1"/>
  <c r="FY78" i="19"/>
  <c r="FY105" i="19" s="1"/>
  <c r="FX78" i="19"/>
  <c r="FX105" i="19" s="1"/>
  <c r="FW78" i="19"/>
  <c r="FW105" i="19" s="1"/>
  <c r="FV78" i="19"/>
  <c r="FV105" i="19" s="1"/>
  <c r="FU78" i="19"/>
  <c r="FU105" i="19" s="1"/>
  <c r="FT78" i="19"/>
  <c r="FT105" i="19" s="1"/>
  <c r="FS78" i="19"/>
  <c r="FS105" i="19" s="1"/>
  <c r="FR78" i="19"/>
  <c r="FR105" i="19" s="1"/>
  <c r="FQ78" i="19"/>
  <c r="FQ105" i="19" s="1"/>
  <c r="FP78" i="19"/>
  <c r="FP105" i="19" s="1"/>
  <c r="FO78" i="19"/>
  <c r="FO105" i="19" s="1"/>
  <c r="FN78" i="19"/>
  <c r="FN105" i="19" s="1"/>
  <c r="FM78" i="19"/>
  <c r="FM105" i="19" s="1"/>
  <c r="FL78" i="19"/>
  <c r="FL105" i="19" s="1"/>
  <c r="FK78" i="19"/>
  <c r="FK105" i="19" s="1"/>
  <c r="FJ78" i="19"/>
  <c r="FJ105" i="19" s="1"/>
  <c r="FI78" i="19"/>
  <c r="FI105" i="19" s="1"/>
  <c r="FH78" i="19"/>
  <c r="FH105" i="19" s="1"/>
  <c r="FG78" i="19"/>
  <c r="FG105" i="19" s="1"/>
  <c r="FF78" i="19"/>
  <c r="FF105" i="19" s="1"/>
  <c r="FE78" i="19"/>
  <c r="FE105" i="19" s="1"/>
  <c r="FD78" i="19"/>
  <c r="FD105" i="19" s="1"/>
  <c r="FC78" i="19"/>
  <c r="FC105" i="19" s="1"/>
  <c r="FB78" i="19"/>
  <c r="FB105" i="19" s="1"/>
  <c r="FA78" i="19"/>
  <c r="FA105" i="19" s="1"/>
  <c r="EZ78" i="19"/>
  <c r="EZ105" i="19" s="1"/>
  <c r="EY78" i="19"/>
  <c r="EY105" i="19" s="1"/>
  <c r="EX78" i="19"/>
  <c r="EX105" i="19" s="1"/>
  <c r="EW78" i="19"/>
  <c r="EW105" i="19" s="1"/>
  <c r="EV78" i="19"/>
  <c r="EV105" i="19" s="1"/>
  <c r="EU78" i="19"/>
  <c r="EU105" i="19" s="1"/>
  <c r="ET78" i="19"/>
  <c r="ET105" i="19" s="1"/>
  <c r="ES78" i="19"/>
  <c r="ES105" i="19" s="1"/>
  <c r="ER78" i="19"/>
  <c r="ER105" i="19" s="1"/>
  <c r="EQ78" i="19"/>
  <c r="EQ105" i="19" s="1"/>
  <c r="EP78" i="19"/>
  <c r="EP105" i="19" s="1"/>
  <c r="EO78" i="19"/>
  <c r="EO105" i="19" s="1"/>
  <c r="EN78" i="19"/>
  <c r="EN105" i="19" s="1"/>
  <c r="EM78" i="19"/>
  <c r="EM105" i="19" s="1"/>
  <c r="EL78" i="19"/>
  <c r="EL105" i="19" s="1"/>
  <c r="EK78" i="19"/>
  <c r="EK105" i="19" s="1"/>
  <c r="EJ78" i="19"/>
  <c r="EJ105" i="19" s="1"/>
  <c r="EI78" i="19"/>
  <c r="EI105" i="19" s="1"/>
  <c r="EH78" i="19"/>
  <c r="EH105" i="19" s="1"/>
  <c r="EG78" i="19"/>
  <c r="EG105" i="19" s="1"/>
  <c r="EF78" i="19"/>
  <c r="EF105" i="19" s="1"/>
  <c r="EE78" i="19"/>
  <c r="EE105" i="19" s="1"/>
  <c r="ED78" i="19"/>
  <c r="ED105" i="19" s="1"/>
  <c r="EC78" i="19"/>
  <c r="EC105" i="19" s="1"/>
  <c r="EB78" i="19"/>
  <c r="EB105" i="19" s="1"/>
  <c r="EA78" i="19"/>
  <c r="EA105" i="19" s="1"/>
  <c r="DZ78" i="19"/>
  <c r="DZ105" i="19" s="1"/>
  <c r="DY78" i="19"/>
  <c r="DY105" i="19" s="1"/>
  <c r="DX78" i="19"/>
  <c r="DX105" i="19" s="1"/>
  <c r="DW78" i="19"/>
  <c r="DW105" i="19" s="1"/>
  <c r="DV78" i="19"/>
  <c r="DV105" i="19" s="1"/>
  <c r="DU78" i="19"/>
  <c r="DU105" i="19" s="1"/>
  <c r="DT78" i="19"/>
  <c r="DT105" i="19" s="1"/>
  <c r="DS78" i="19"/>
  <c r="DS105" i="19" s="1"/>
  <c r="DR78" i="19"/>
  <c r="DR105" i="19" s="1"/>
  <c r="DQ78" i="19"/>
  <c r="DQ105" i="19" s="1"/>
  <c r="DP78" i="19"/>
  <c r="DP105" i="19" s="1"/>
  <c r="DO78" i="19"/>
  <c r="DO105" i="19" s="1"/>
  <c r="DN78" i="19"/>
  <c r="DN105" i="19" s="1"/>
  <c r="DM78" i="19"/>
  <c r="DM105" i="19" s="1"/>
  <c r="DL78" i="19"/>
  <c r="DL105" i="19" s="1"/>
  <c r="DK78" i="19"/>
  <c r="DK105" i="19" s="1"/>
  <c r="DJ78" i="19"/>
  <c r="DJ105" i="19" s="1"/>
  <c r="DI78" i="19"/>
  <c r="DI105" i="19" s="1"/>
  <c r="DH78" i="19"/>
  <c r="DH105" i="19" s="1"/>
  <c r="DG78" i="19"/>
  <c r="DG105" i="19" s="1"/>
  <c r="DF78" i="19"/>
  <c r="DF105" i="19" s="1"/>
  <c r="DE78" i="19"/>
  <c r="DE105" i="19" s="1"/>
  <c r="DD78" i="19"/>
  <c r="DD105" i="19" s="1"/>
  <c r="DC78" i="19"/>
  <c r="DC105" i="19" s="1"/>
  <c r="DB78" i="19"/>
  <c r="DB105" i="19" s="1"/>
  <c r="DA78" i="19"/>
  <c r="DA105" i="19" s="1"/>
  <c r="CZ78" i="19"/>
  <c r="CZ105" i="19" s="1"/>
  <c r="CY78" i="19"/>
  <c r="CY105" i="19" s="1"/>
  <c r="CX78" i="19"/>
  <c r="CX105" i="19" s="1"/>
  <c r="CW78" i="19"/>
  <c r="CW105" i="19" s="1"/>
  <c r="CV78" i="19"/>
  <c r="CV105" i="19" s="1"/>
  <c r="CU78" i="19"/>
  <c r="CU105" i="19" s="1"/>
  <c r="CT78" i="19"/>
  <c r="CT105" i="19" s="1"/>
  <c r="CS78" i="19"/>
  <c r="CS105" i="19" s="1"/>
  <c r="CR78" i="19"/>
  <c r="CR105" i="19" s="1"/>
  <c r="CQ78" i="19"/>
  <c r="CQ105" i="19" s="1"/>
  <c r="CP78" i="19"/>
  <c r="CP105" i="19" s="1"/>
  <c r="CO78" i="19"/>
  <c r="CO105" i="19" s="1"/>
  <c r="CN78" i="19"/>
  <c r="CN105" i="19" s="1"/>
  <c r="CM78" i="19"/>
  <c r="CM105" i="19" s="1"/>
  <c r="CL78" i="19"/>
  <c r="CL105" i="19" s="1"/>
  <c r="CK78" i="19"/>
  <c r="CK105" i="19" s="1"/>
  <c r="CJ78" i="19"/>
  <c r="CJ105" i="19" s="1"/>
  <c r="CI78" i="19"/>
  <c r="CI105" i="19" s="1"/>
  <c r="CH78" i="19"/>
  <c r="CH105" i="19" s="1"/>
  <c r="CG78" i="19"/>
  <c r="CG105" i="19" s="1"/>
  <c r="CF78" i="19"/>
  <c r="CF105" i="19" s="1"/>
  <c r="CE78" i="19"/>
  <c r="CE105" i="19" s="1"/>
  <c r="CD78" i="19"/>
  <c r="CD105" i="19" s="1"/>
  <c r="CC78" i="19"/>
  <c r="CC105" i="19" s="1"/>
  <c r="CB78" i="19"/>
  <c r="CB105" i="19" s="1"/>
  <c r="CA78" i="19"/>
  <c r="CA105" i="19" s="1"/>
  <c r="BZ78" i="19"/>
  <c r="BZ105" i="19" s="1"/>
  <c r="BY78" i="19"/>
  <c r="BY105" i="19" s="1"/>
  <c r="BX78" i="19"/>
  <c r="BX105" i="19" s="1"/>
  <c r="BW78" i="19"/>
  <c r="BW105" i="19" s="1"/>
  <c r="BV78" i="19"/>
  <c r="BV105" i="19" s="1"/>
  <c r="BU78" i="19"/>
  <c r="BU105" i="19" s="1"/>
  <c r="BT78" i="19"/>
  <c r="BT105" i="19" s="1"/>
  <c r="BS78" i="19"/>
  <c r="BS105" i="19" s="1"/>
  <c r="BR78" i="19"/>
  <c r="BR105" i="19" s="1"/>
  <c r="BQ78" i="19"/>
  <c r="BQ105" i="19" s="1"/>
  <c r="BP78" i="19"/>
  <c r="BP105" i="19" s="1"/>
  <c r="BO78" i="19"/>
  <c r="BO105" i="19" s="1"/>
  <c r="BN78" i="19"/>
  <c r="BN105" i="19" s="1"/>
  <c r="BM78" i="19"/>
  <c r="BM105" i="19" s="1"/>
  <c r="BL78" i="19"/>
  <c r="BL105" i="19" s="1"/>
  <c r="BK78" i="19"/>
  <c r="BK105" i="19" s="1"/>
  <c r="BJ78" i="19"/>
  <c r="BJ105" i="19" s="1"/>
  <c r="BI78" i="19"/>
  <c r="BI105" i="19" s="1"/>
  <c r="BH78" i="19"/>
  <c r="BH105" i="19" s="1"/>
  <c r="BG78" i="19"/>
  <c r="BG105" i="19" s="1"/>
  <c r="BF78" i="19"/>
  <c r="BF105" i="19" s="1"/>
  <c r="BE78" i="19"/>
  <c r="BE105" i="19" s="1"/>
  <c r="BD78" i="19"/>
  <c r="BD105" i="19" s="1"/>
  <c r="BC78" i="19"/>
  <c r="BC105" i="19" s="1"/>
  <c r="BB78" i="19"/>
  <c r="BB105" i="19" s="1"/>
  <c r="BA78" i="19"/>
  <c r="BA105" i="19" s="1"/>
  <c r="AZ78" i="19"/>
  <c r="AZ105" i="19" s="1"/>
  <c r="AY78" i="19"/>
  <c r="AY105" i="19" s="1"/>
  <c r="AX78" i="19"/>
  <c r="AX105" i="19" s="1"/>
  <c r="AW78" i="19"/>
  <c r="AW105" i="19" s="1"/>
  <c r="AV78" i="19"/>
  <c r="AV105" i="19" s="1"/>
  <c r="AU78" i="19"/>
  <c r="AU105" i="19" s="1"/>
  <c r="AT78" i="19"/>
  <c r="AT105" i="19" s="1"/>
  <c r="AS78" i="19"/>
  <c r="AS105" i="19" s="1"/>
  <c r="AR78" i="19"/>
  <c r="AR105" i="19" s="1"/>
  <c r="AQ78" i="19"/>
  <c r="AQ105" i="19" s="1"/>
  <c r="AP78" i="19"/>
  <c r="AP105" i="19" s="1"/>
  <c r="AO78" i="19"/>
  <c r="AO105" i="19" s="1"/>
  <c r="AN78" i="19"/>
  <c r="AN105" i="19" s="1"/>
  <c r="AM78" i="19"/>
  <c r="AM105" i="19" s="1"/>
  <c r="AL78" i="19"/>
  <c r="AL105" i="19" s="1"/>
  <c r="AK78" i="19"/>
  <c r="AK105" i="19" s="1"/>
  <c r="AJ78" i="19"/>
  <c r="AJ105" i="19" s="1"/>
  <c r="AI78" i="19"/>
  <c r="AI105" i="19" s="1"/>
  <c r="AH78" i="19"/>
  <c r="AH105" i="19" s="1"/>
  <c r="AG78" i="19"/>
  <c r="AG105" i="19" s="1"/>
  <c r="AF78" i="19"/>
  <c r="AF105" i="19" s="1"/>
  <c r="AE78" i="19"/>
  <c r="AE105" i="19" s="1"/>
  <c r="AD78" i="19"/>
  <c r="AD105" i="19" s="1"/>
  <c r="AC78" i="19"/>
  <c r="AC105" i="19" s="1"/>
  <c r="AB78" i="19"/>
  <c r="AB105" i="19" s="1"/>
  <c r="AA78" i="19"/>
  <c r="AA105" i="19" s="1"/>
  <c r="Z78" i="19"/>
  <c r="Z105" i="19" s="1"/>
  <c r="Y78" i="19"/>
  <c r="Y105" i="19" s="1"/>
  <c r="X78" i="19"/>
  <c r="X105" i="19" s="1"/>
  <c r="W78" i="19"/>
  <c r="W105" i="19" s="1"/>
  <c r="V78" i="19"/>
  <c r="V105" i="19" s="1"/>
  <c r="GQ77" i="19"/>
  <c r="GQ104" i="19" s="1"/>
  <c r="GP77" i="19"/>
  <c r="GP104" i="19" s="1"/>
  <c r="GO77" i="19"/>
  <c r="GO104" i="19" s="1"/>
  <c r="GN77" i="19"/>
  <c r="GN104" i="19" s="1"/>
  <c r="GM77" i="19"/>
  <c r="GM104" i="19" s="1"/>
  <c r="GL77" i="19"/>
  <c r="GL104" i="19" s="1"/>
  <c r="GK77" i="19"/>
  <c r="GK104" i="19" s="1"/>
  <c r="GJ77" i="19"/>
  <c r="GJ104" i="19" s="1"/>
  <c r="GI77" i="19"/>
  <c r="GI104" i="19" s="1"/>
  <c r="GH77" i="19"/>
  <c r="GH104" i="19" s="1"/>
  <c r="GG77" i="19"/>
  <c r="GG104" i="19" s="1"/>
  <c r="GF77" i="19"/>
  <c r="GF104" i="19" s="1"/>
  <c r="GE77" i="19"/>
  <c r="GE104" i="19" s="1"/>
  <c r="GD77" i="19"/>
  <c r="GD104" i="19" s="1"/>
  <c r="GC77" i="19"/>
  <c r="GC104" i="19" s="1"/>
  <c r="GB77" i="19"/>
  <c r="GB104" i="19" s="1"/>
  <c r="GA77" i="19"/>
  <c r="GA104" i="19" s="1"/>
  <c r="FZ77" i="19"/>
  <c r="FZ104" i="19" s="1"/>
  <c r="FY77" i="19"/>
  <c r="FY104" i="19" s="1"/>
  <c r="FX77" i="19"/>
  <c r="FX104" i="19" s="1"/>
  <c r="FW77" i="19"/>
  <c r="FW104" i="19" s="1"/>
  <c r="FV77" i="19"/>
  <c r="FV104" i="19" s="1"/>
  <c r="FU77" i="19"/>
  <c r="FU104" i="19" s="1"/>
  <c r="FT77" i="19"/>
  <c r="FT104" i="19" s="1"/>
  <c r="FS77" i="19"/>
  <c r="FS104" i="19" s="1"/>
  <c r="FR77" i="19"/>
  <c r="FR104" i="19" s="1"/>
  <c r="FQ77" i="19"/>
  <c r="FQ104" i="19" s="1"/>
  <c r="FP77" i="19"/>
  <c r="FP104" i="19" s="1"/>
  <c r="FO77" i="19"/>
  <c r="FO104" i="19" s="1"/>
  <c r="FN77" i="19"/>
  <c r="FN104" i="19" s="1"/>
  <c r="FM77" i="19"/>
  <c r="FM104" i="19" s="1"/>
  <c r="FL77" i="19"/>
  <c r="FL104" i="19" s="1"/>
  <c r="FK77" i="19"/>
  <c r="FK104" i="19" s="1"/>
  <c r="FJ77" i="19"/>
  <c r="FJ104" i="19" s="1"/>
  <c r="FI77" i="19"/>
  <c r="FI104" i="19" s="1"/>
  <c r="FH77" i="19"/>
  <c r="FH104" i="19" s="1"/>
  <c r="FG77" i="19"/>
  <c r="FG104" i="19" s="1"/>
  <c r="FF77" i="19"/>
  <c r="FF104" i="19" s="1"/>
  <c r="FE77" i="19"/>
  <c r="FE104" i="19" s="1"/>
  <c r="FD77" i="19"/>
  <c r="FD104" i="19" s="1"/>
  <c r="FC77" i="19"/>
  <c r="FC104" i="19" s="1"/>
  <c r="FB77" i="19"/>
  <c r="FB104" i="19" s="1"/>
  <c r="FA77" i="19"/>
  <c r="FA104" i="19" s="1"/>
  <c r="EZ77" i="19"/>
  <c r="EZ104" i="19" s="1"/>
  <c r="EY77" i="19"/>
  <c r="EY104" i="19" s="1"/>
  <c r="EX77" i="19"/>
  <c r="EX104" i="19" s="1"/>
  <c r="EW77" i="19"/>
  <c r="EW104" i="19" s="1"/>
  <c r="EV77" i="19"/>
  <c r="EV104" i="19" s="1"/>
  <c r="EU77" i="19"/>
  <c r="EU104" i="19" s="1"/>
  <c r="ET77" i="19"/>
  <c r="ET104" i="19" s="1"/>
  <c r="ES77" i="19"/>
  <c r="ES104" i="19" s="1"/>
  <c r="ER77" i="19"/>
  <c r="ER104" i="19" s="1"/>
  <c r="EQ77" i="19"/>
  <c r="EQ104" i="19" s="1"/>
  <c r="EP77" i="19"/>
  <c r="EP104" i="19" s="1"/>
  <c r="EO77" i="19"/>
  <c r="EO104" i="19" s="1"/>
  <c r="EN77" i="19"/>
  <c r="EN104" i="19" s="1"/>
  <c r="EM77" i="19"/>
  <c r="EM104" i="19" s="1"/>
  <c r="EL77" i="19"/>
  <c r="EL104" i="19" s="1"/>
  <c r="EK77" i="19"/>
  <c r="EK104" i="19" s="1"/>
  <c r="EJ77" i="19"/>
  <c r="EJ104" i="19" s="1"/>
  <c r="EI77" i="19"/>
  <c r="EI104" i="19" s="1"/>
  <c r="EH77" i="19"/>
  <c r="EH104" i="19" s="1"/>
  <c r="EG77" i="19"/>
  <c r="EG104" i="19" s="1"/>
  <c r="EF77" i="19"/>
  <c r="EF104" i="19" s="1"/>
  <c r="EE77" i="19"/>
  <c r="EE104" i="19" s="1"/>
  <c r="ED77" i="19"/>
  <c r="ED104" i="19" s="1"/>
  <c r="EC77" i="19"/>
  <c r="EC104" i="19" s="1"/>
  <c r="EB77" i="19"/>
  <c r="EB104" i="19" s="1"/>
  <c r="EA77" i="19"/>
  <c r="EA104" i="19" s="1"/>
  <c r="DZ77" i="19"/>
  <c r="DZ104" i="19" s="1"/>
  <c r="DY77" i="19"/>
  <c r="DY104" i="19" s="1"/>
  <c r="DX77" i="19"/>
  <c r="DX104" i="19" s="1"/>
  <c r="DW77" i="19"/>
  <c r="DW104" i="19" s="1"/>
  <c r="DV77" i="19"/>
  <c r="DV104" i="19" s="1"/>
  <c r="DU77" i="19"/>
  <c r="DU104" i="19" s="1"/>
  <c r="DT77" i="19"/>
  <c r="DT104" i="19" s="1"/>
  <c r="DS77" i="19"/>
  <c r="DS104" i="19" s="1"/>
  <c r="DR77" i="19"/>
  <c r="DR104" i="19" s="1"/>
  <c r="DQ77" i="19"/>
  <c r="DQ104" i="19" s="1"/>
  <c r="DP77" i="19"/>
  <c r="DP104" i="19" s="1"/>
  <c r="DO77" i="19"/>
  <c r="DO104" i="19" s="1"/>
  <c r="DN77" i="19"/>
  <c r="DN104" i="19" s="1"/>
  <c r="DM77" i="19"/>
  <c r="DM104" i="19" s="1"/>
  <c r="DL77" i="19"/>
  <c r="DL104" i="19" s="1"/>
  <c r="DK77" i="19"/>
  <c r="DK104" i="19" s="1"/>
  <c r="DJ77" i="19"/>
  <c r="DJ104" i="19" s="1"/>
  <c r="DI77" i="19"/>
  <c r="DI104" i="19" s="1"/>
  <c r="DH77" i="19"/>
  <c r="DH104" i="19" s="1"/>
  <c r="DG77" i="19"/>
  <c r="DG104" i="19" s="1"/>
  <c r="DF77" i="19"/>
  <c r="DF104" i="19" s="1"/>
  <c r="DE77" i="19"/>
  <c r="DE104" i="19" s="1"/>
  <c r="DD77" i="19"/>
  <c r="DD104" i="19" s="1"/>
  <c r="DC77" i="19"/>
  <c r="DC104" i="19" s="1"/>
  <c r="DB77" i="19"/>
  <c r="DB104" i="19" s="1"/>
  <c r="DA77" i="19"/>
  <c r="DA104" i="19" s="1"/>
  <c r="CZ77" i="19"/>
  <c r="CZ104" i="19" s="1"/>
  <c r="CY77" i="19"/>
  <c r="CY104" i="19" s="1"/>
  <c r="CX77" i="19"/>
  <c r="CX104" i="19" s="1"/>
  <c r="CW77" i="19"/>
  <c r="CW104" i="19" s="1"/>
  <c r="CV77" i="19"/>
  <c r="CV104" i="19" s="1"/>
  <c r="CU77" i="19"/>
  <c r="CU104" i="19" s="1"/>
  <c r="CT77" i="19"/>
  <c r="CT104" i="19" s="1"/>
  <c r="CS77" i="19"/>
  <c r="CS104" i="19" s="1"/>
  <c r="CR77" i="19"/>
  <c r="CR104" i="19" s="1"/>
  <c r="CQ77" i="19"/>
  <c r="CQ104" i="19" s="1"/>
  <c r="CP77" i="19"/>
  <c r="CP104" i="19" s="1"/>
  <c r="CO77" i="19"/>
  <c r="CO104" i="19" s="1"/>
  <c r="CN77" i="19"/>
  <c r="CN104" i="19" s="1"/>
  <c r="CM77" i="19"/>
  <c r="CM104" i="19" s="1"/>
  <c r="CL77" i="19"/>
  <c r="CL104" i="19" s="1"/>
  <c r="CK77" i="19"/>
  <c r="CK104" i="19" s="1"/>
  <c r="CJ77" i="19"/>
  <c r="CJ104" i="19" s="1"/>
  <c r="CI77" i="19"/>
  <c r="CI104" i="19" s="1"/>
  <c r="CH77" i="19"/>
  <c r="CH104" i="19" s="1"/>
  <c r="CG77" i="19"/>
  <c r="CG104" i="19" s="1"/>
  <c r="CF77" i="19"/>
  <c r="CF104" i="19" s="1"/>
  <c r="CE77" i="19"/>
  <c r="CE104" i="19" s="1"/>
  <c r="CD77" i="19"/>
  <c r="CD104" i="19" s="1"/>
  <c r="CC77" i="19"/>
  <c r="CC104" i="19" s="1"/>
  <c r="CB77" i="19"/>
  <c r="CB104" i="19" s="1"/>
  <c r="CA77" i="19"/>
  <c r="CA104" i="19" s="1"/>
  <c r="BZ77" i="19"/>
  <c r="BZ104" i="19" s="1"/>
  <c r="BY77" i="19"/>
  <c r="BY104" i="19" s="1"/>
  <c r="BX77" i="19"/>
  <c r="BX104" i="19" s="1"/>
  <c r="BW77" i="19"/>
  <c r="BW104" i="19" s="1"/>
  <c r="BV77" i="19"/>
  <c r="BV104" i="19" s="1"/>
  <c r="BU77" i="19"/>
  <c r="BU104" i="19" s="1"/>
  <c r="BT77" i="19"/>
  <c r="BT104" i="19" s="1"/>
  <c r="BS77" i="19"/>
  <c r="BS104" i="19" s="1"/>
  <c r="BR77" i="19"/>
  <c r="BR104" i="19" s="1"/>
  <c r="BQ77" i="19"/>
  <c r="BQ104" i="19" s="1"/>
  <c r="BP77" i="19"/>
  <c r="BP104" i="19" s="1"/>
  <c r="BO77" i="19"/>
  <c r="BO104" i="19" s="1"/>
  <c r="BN77" i="19"/>
  <c r="BN104" i="19" s="1"/>
  <c r="BM77" i="19"/>
  <c r="BM104" i="19" s="1"/>
  <c r="BL77" i="19"/>
  <c r="BL104" i="19" s="1"/>
  <c r="BK77" i="19"/>
  <c r="BK104" i="19" s="1"/>
  <c r="BJ77" i="19"/>
  <c r="BJ104" i="19" s="1"/>
  <c r="BI77" i="19"/>
  <c r="BI104" i="19" s="1"/>
  <c r="BH77" i="19"/>
  <c r="BH104" i="19" s="1"/>
  <c r="BG77" i="19"/>
  <c r="BG104" i="19" s="1"/>
  <c r="BF77" i="19"/>
  <c r="BF104" i="19" s="1"/>
  <c r="BE77" i="19"/>
  <c r="BE104" i="19" s="1"/>
  <c r="BD77" i="19"/>
  <c r="BD104" i="19" s="1"/>
  <c r="BC77" i="19"/>
  <c r="BC104" i="19" s="1"/>
  <c r="BB77" i="19"/>
  <c r="BB104" i="19" s="1"/>
  <c r="BA77" i="19"/>
  <c r="BA104" i="19" s="1"/>
  <c r="AZ77" i="19"/>
  <c r="AZ104" i="19" s="1"/>
  <c r="AY77" i="19"/>
  <c r="AY104" i="19" s="1"/>
  <c r="AX77" i="19"/>
  <c r="AX104" i="19" s="1"/>
  <c r="AW77" i="19"/>
  <c r="AW104" i="19" s="1"/>
  <c r="AV77" i="19"/>
  <c r="AV104" i="19" s="1"/>
  <c r="AU77" i="19"/>
  <c r="AU104" i="19" s="1"/>
  <c r="AT77" i="19"/>
  <c r="AT104" i="19" s="1"/>
  <c r="AS77" i="19"/>
  <c r="AS104" i="19" s="1"/>
  <c r="AR77" i="19"/>
  <c r="AR104" i="19" s="1"/>
  <c r="AQ77" i="19"/>
  <c r="AQ104" i="19" s="1"/>
  <c r="AP77" i="19"/>
  <c r="AP104" i="19" s="1"/>
  <c r="AO77" i="19"/>
  <c r="AO104" i="19" s="1"/>
  <c r="AN77" i="19"/>
  <c r="AN104" i="19" s="1"/>
  <c r="AM77" i="19"/>
  <c r="AM104" i="19" s="1"/>
  <c r="AL77" i="19"/>
  <c r="AL104" i="19" s="1"/>
  <c r="AK77" i="19"/>
  <c r="AK104" i="19" s="1"/>
  <c r="AJ77" i="19"/>
  <c r="AJ104" i="19" s="1"/>
  <c r="AI77" i="19"/>
  <c r="AI104" i="19" s="1"/>
  <c r="AH77" i="19"/>
  <c r="AH104" i="19" s="1"/>
  <c r="AG77" i="19"/>
  <c r="AG104" i="19" s="1"/>
  <c r="AF77" i="19"/>
  <c r="AF104" i="19" s="1"/>
  <c r="AE77" i="19"/>
  <c r="AE104" i="19" s="1"/>
  <c r="AD77" i="19"/>
  <c r="AD104" i="19" s="1"/>
  <c r="AC77" i="19"/>
  <c r="AC104" i="19" s="1"/>
  <c r="AB77" i="19"/>
  <c r="AB104" i="19" s="1"/>
  <c r="AA77" i="19"/>
  <c r="AA104" i="19" s="1"/>
  <c r="Z77" i="19"/>
  <c r="Z104" i="19" s="1"/>
  <c r="Y77" i="19"/>
  <c r="Y104" i="19" s="1"/>
  <c r="X77" i="19"/>
  <c r="X104" i="19" s="1"/>
  <c r="W77" i="19"/>
  <c r="W104" i="19" s="1"/>
  <c r="V77" i="19"/>
  <c r="V104" i="19" s="1"/>
  <c r="U77" i="19"/>
  <c r="U104" i="19" s="1"/>
  <c r="T77" i="19"/>
  <c r="S77" i="19"/>
  <c r="R77" i="19"/>
  <c r="Q77" i="19"/>
  <c r="P77" i="19"/>
  <c r="O77" i="19"/>
  <c r="N77" i="19"/>
  <c r="M77" i="19"/>
  <c r="L77" i="19"/>
  <c r="K77" i="19"/>
  <c r="J77" i="19"/>
  <c r="I77" i="19"/>
  <c r="H77" i="19"/>
  <c r="G77" i="19"/>
  <c r="F77" i="19"/>
  <c r="GQ76" i="19"/>
  <c r="GQ103" i="19" s="1"/>
  <c r="GP76" i="19"/>
  <c r="GP103" i="19" s="1"/>
  <c r="GO76" i="19"/>
  <c r="GO103" i="19" s="1"/>
  <c r="GN76" i="19"/>
  <c r="GN103" i="19" s="1"/>
  <c r="GM76" i="19"/>
  <c r="GM103" i="19" s="1"/>
  <c r="GL76" i="19"/>
  <c r="GL103" i="19" s="1"/>
  <c r="GK76" i="19"/>
  <c r="GK103" i="19" s="1"/>
  <c r="GJ76" i="19"/>
  <c r="GJ103" i="19" s="1"/>
  <c r="GI76" i="19"/>
  <c r="GI103" i="19" s="1"/>
  <c r="GH76" i="19"/>
  <c r="GH103" i="19" s="1"/>
  <c r="GG76" i="19"/>
  <c r="GG103" i="19" s="1"/>
  <c r="GF76" i="19"/>
  <c r="GF103" i="19" s="1"/>
  <c r="GE76" i="19"/>
  <c r="GE103" i="19" s="1"/>
  <c r="GD76" i="19"/>
  <c r="GD103" i="19" s="1"/>
  <c r="GC76" i="19"/>
  <c r="GC103" i="19" s="1"/>
  <c r="GB76" i="19"/>
  <c r="GB103" i="19" s="1"/>
  <c r="GA76" i="19"/>
  <c r="GA103" i="19" s="1"/>
  <c r="FZ76" i="19"/>
  <c r="FZ103" i="19" s="1"/>
  <c r="FY76" i="19"/>
  <c r="FY103" i="19" s="1"/>
  <c r="FX76" i="19"/>
  <c r="FX103" i="19" s="1"/>
  <c r="FW76" i="19"/>
  <c r="FW103" i="19" s="1"/>
  <c r="FV76" i="19"/>
  <c r="FV103" i="19" s="1"/>
  <c r="FU76" i="19"/>
  <c r="FU103" i="19" s="1"/>
  <c r="FT76" i="19"/>
  <c r="FT103" i="19" s="1"/>
  <c r="FS76" i="19"/>
  <c r="FS103" i="19" s="1"/>
  <c r="FR76" i="19"/>
  <c r="FR103" i="19" s="1"/>
  <c r="FQ76" i="19"/>
  <c r="FQ103" i="19" s="1"/>
  <c r="FP76" i="19"/>
  <c r="FP103" i="19" s="1"/>
  <c r="FO76" i="19"/>
  <c r="FO103" i="19" s="1"/>
  <c r="FN76" i="19"/>
  <c r="FN103" i="19" s="1"/>
  <c r="FM76" i="19"/>
  <c r="FM103" i="19" s="1"/>
  <c r="FL76" i="19"/>
  <c r="FL103" i="19" s="1"/>
  <c r="FK76" i="19"/>
  <c r="FK103" i="19" s="1"/>
  <c r="FJ76" i="19"/>
  <c r="FJ103" i="19" s="1"/>
  <c r="FI76" i="19"/>
  <c r="FI103" i="19" s="1"/>
  <c r="FH76" i="19"/>
  <c r="FH103" i="19" s="1"/>
  <c r="FG76" i="19"/>
  <c r="FG103" i="19" s="1"/>
  <c r="FF76" i="19"/>
  <c r="FF103" i="19" s="1"/>
  <c r="FE76" i="19"/>
  <c r="FE103" i="19" s="1"/>
  <c r="FD76" i="19"/>
  <c r="FD103" i="19" s="1"/>
  <c r="FC76" i="19"/>
  <c r="FC103" i="19" s="1"/>
  <c r="FB76" i="19"/>
  <c r="FB103" i="19" s="1"/>
  <c r="FA76" i="19"/>
  <c r="FA103" i="19" s="1"/>
  <c r="EZ76" i="19"/>
  <c r="EZ103" i="19" s="1"/>
  <c r="EY76" i="19"/>
  <c r="EY103" i="19" s="1"/>
  <c r="EX76" i="19"/>
  <c r="EX103" i="19" s="1"/>
  <c r="EW76" i="19"/>
  <c r="EW103" i="19" s="1"/>
  <c r="EV76" i="19"/>
  <c r="EV103" i="19" s="1"/>
  <c r="EU76" i="19"/>
  <c r="EU103" i="19" s="1"/>
  <c r="ET76" i="19"/>
  <c r="ET103" i="19" s="1"/>
  <c r="ES76" i="19"/>
  <c r="ES103" i="19" s="1"/>
  <c r="ER76" i="19"/>
  <c r="ER103" i="19" s="1"/>
  <c r="EQ76" i="19"/>
  <c r="EQ103" i="19" s="1"/>
  <c r="EP76" i="19"/>
  <c r="EP103" i="19" s="1"/>
  <c r="EO76" i="19"/>
  <c r="EO103" i="19" s="1"/>
  <c r="EN76" i="19"/>
  <c r="EN103" i="19" s="1"/>
  <c r="EM76" i="19"/>
  <c r="EM103" i="19" s="1"/>
  <c r="EL76" i="19"/>
  <c r="EL103" i="19" s="1"/>
  <c r="EK76" i="19"/>
  <c r="EK103" i="19" s="1"/>
  <c r="EJ76" i="19"/>
  <c r="EJ103" i="19" s="1"/>
  <c r="EI76" i="19"/>
  <c r="EI103" i="19" s="1"/>
  <c r="EH76" i="19"/>
  <c r="EH103" i="19" s="1"/>
  <c r="EG76" i="19"/>
  <c r="EG103" i="19" s="1"/>
  <c r="EF76" i="19"/>
  <c r="EF103" i="19" s="1"/>
  <c r="EE76" i="19"/>
  <c r="EE103" i="19" s="1"/>
  <c r="ED76" i="19"/>
  <c r="ED103" i="19" s="1"/>
  <c r="EC76" i="19"/>
  <c r="EC103" i="19" s="1"/>
  <c r="EB76" i="19"/>
  <c r="EB103" i="19" s="1"/>
  <c r="EA76" i="19"/>
  <c r="EA103" i="19" s="1"/>
  <c r="DZ76" i="19"/>
  <c r="DZ103" i="19" s="1"/>
  <c r="DY76" i="19"/>
  <c r="DY103" i="19" s="1"/>
  <c r="DX76" i="19"/>
  <c r="DX103" i="19" s="1"/>
  <c r="DW76" i="19"/>
  <c r="DW103" i="19" s="1"/>
  <c r="DV76" i="19"/>
  <c r="DV103" i="19" s="1"/>
  <c r="DU76" i="19"/>
  <c r="DU103" i="19" s="1"/>
  <c r="DT76" i="19"/>
  <c r="DT103" i="19" s="1"/>
  <c r="DS76" i="19"/>
  <c r="DS103" i="19" s="1"/>
  <c r="DR76" i="19"/>
  <c r="DR103" i="19" s="1"/>
  <c r="DQ76" i="19"/>
  <c r="DQ103" i="19" s="1"/>
  <c r="DP76" i="19"/>
  <c r="DP103" i="19" s="1"/>
  <c r="DO76" i="19"/>
  <c r="DO103" i="19" s="1"/>
  <c r="DN76" i="19"/>
  <c r="DN103" i="19" s="1"/>
  <c r="DM76" i="19"/>
  <c r="DM103" i="19" s="1"/>
  <c r="DL76" i="19"/>
  <c r="DL103" i="19" s="1"/>
  <c r="DK76" i="19"/>
  <c r="DK103" i="19" s="1"/>
  <c r="DJ76" i="19"/>
  <c r="DJ103" i="19" s="1"/>
  <c r="DI76" i="19"/>
  <c r="DI103" i="19" s="1"/>
  <c r="DH76" i="19"/>
  <c r="DH103" i="19" s="1"/>
  <c r="DG76" i="19"/>
  <c r="DG103" i="19" s="1"/>
  <c r="DF76" i="19"/>
  <c r="DF103" i="19" s="1"/>
  <c r="DE76" i="19"/>
  <c r="DE103" i="19" s="1"/>
  <c r="DD76" i="19"/>
  <c r="DD103" i="19" s="1"/>
  <c r="DC76" i="19"/>
  <c r="DC103" i="19" s="1"/>
  <c r="DB76" i="19"/>
  <c r="DB103" i="19" s="1"/>
  <c r="DA76" i="19"/>
  <c r="DA103" i="19" s="1"/>
  <c r="CZ76" i="19"/>
  <c r="CZ103" i="19" s="1"/>
  <c r="CY76" i="19"/>
  <c r="CY103" i="19" s="1"/>
  <c r="CX76" i="19"/>
  <c r="CX103" i="19" s="1"/>
  <c r="CW76" i="19"/>
  <c r="CW103" i="19" s="1"/>
  <c r="CV76" i="19"/>
  <c r="CV103" i="19" s="1"/>
  <c r="CU76" i="19"/>
  <c r="CU103" i="19" s="1"/>
  <c r="CT76" i="19"/>
  <c r="CT103" i="19" s="1"/>
  <c r="CS76" i="19"/>
  <c r="CS103" i="19" s="1"/>
  <c r="CR76" i="19"/>
  <c r="CR103" i="19" s="1"/>
  <c r="CQ76" i="19"/>
  <c r="CQ103" i="19" s="1"/>
  <c r="CP76" i="19"/>
  <c r="CP103" i="19" s="1"/>
  <c r="CO76" i="19"/>
  <c r="CO103" i="19" s="1"/>
  <c r="CN76" i="19"/>
  <c r="CN103" i="19" s="1"/>
  <c r="CM76" i="19"/>
  <c r="CM103" i="19" s="1"/>
  <c r="CL76" i="19"/>
  <c r="CL103" i="19" s="1"/>
  <c r="CK76" i="19"/>
  <c r="CK103" i="19" s="1"/>
  <c r="CJ76" i="19"/>
  <c r="CJ103" i="19" s="1"/>
  <c r="CI76" i="19"/>
  <c r="CI103" i="19" s="1"/>
  <c r="CH76" i="19"/>
  <c r="CH103" i="19" s="1"/>
  <c r="CG76" i="19"/>
  <c r="CG103" i="19" s="1"/>
  <c r="CF76" i="19"/>
  <c r="CF103" i="19" s="1"/>
  <c r="CE76" i="19"/>
  <c r="CE103" i="19" s="1"/>
  <c r="CD76" i="19"/>
  <c r="CD103" i="19" s="1"/>
  <c r="CC76" i="19"/>
  <c r="CC103" i="19" s="1"/>
  <c r="CB76" i="19"/>
  <c r="CB103" i="19" s="1"/>
  <c r="CA76" i="19"/>
  <c r="CA103" i="19" s="1"/>
  <c r="BZ76" i="19"/>
  <c r="BZ103" i="19" s="1"/>
  <c r="BY76" i="19"/>
  <c r="BY103" i="19" s="1"/>
  <c r="BX76" i="19"/>
  <c r="BX103" i="19" s="1"/>
  <c r="BW76" i="19"/>
  <c r="BW103" i="19" s="1"/>
  <c r="BV76" i="19"/>
  <c r="BV103" i="19" s="1"/>
  <c r="BU76" i="19"/>
  <c r="BU103" i="19" s="1"/>
  <c r="BT76" i="19"/>
  <c r="BT103" i="19" s="1"/>
  <c r="BS76" i="19"/>
  <c r="BS103" i="19" s="1"/>
  <c r="BR76" i="19"/>
  <c r="BR103" i="19" s="1"/>
  <c r="BQ76" i="19"/>
  <c r="BQ103" i="19" s="1"/>
  <c r="BP76" i="19"/>
  <c r="BP103" i="19" s="1"/>
  <c r="BO76" i="19"/>
  <c r="BO103" i="19" s="1"/>
  <c r="BN76" i="19"/>
  <c r="BN103" i="19" s="1"/>
  <c r="BM76" i="19"/>
  <c r="BM103" i="19" s="1"/>
  <c r="BL76" i="19"/>
  <c r="BL103" i="19" s="1"/>
  <c r="BK76" i="19"/>
  <c r="BK103" i="19" s="1"/>
  <c r="BJ76" i="19"/>
  <c r="BJ103" i="19" s="1"/>
  <c r="BI76" i="19"/>
  <c r="BI103" i="19" s="1"/>
  <c r="BH76" i="19"/>
  <c r="BH103" i="19" s="1"/>
  <c r="BG76" i="19"/>
  <c r="BG103" i="19" s="1"/>
  <c r="BF76" i="19"/>
  <c r="BF103" i="19" s="1"/>
  <c r="BE76" i="19"/>
  <c r="BE103" i="19" s="1"/>
  <c r="BD76" i="19"/>
  <c r="BD103" i="19" s="1"/>
  <c r="BC76" i="19"/>
  <c r="BC103" i="19" s="1"/>
  <c r="BB76" i="19"/>
  <c r="BB103" i="19" s="1"/>
  <c r="BA76" i="19"/>
  <c r="BA103" i="19" s="1"/>
  <c r="AZ76" i="19"/>
  <c r="AZ103" i="19" s="1"/>
  <c r="AY76" i="19"/>
  <c r="AY103" i="19" s="1"/>
  <c r="AX76" i="19"/>
  <c r="AX103" i="19" s="1"/>
  <c r="AW76" i="19"/>
  <c r="AW103" i="19" s="1"/>
  <c r="AV76" i="19"/>
  <c r="AV103" i="19" s="1"/>
  <c r="AU76" i="19"/>
  <c r="AU103" i="19" s="1"/>
  <c r="AT76" i="19"/>
  <c r="AT103" i="19" s="1"/>
  <c r="AS76" i="19"/>
  <c r="AS103" i="19" s="1"/>
  <c r="AR76" i="19"/>
  <c r="AR103" i="19" s="1"/>
  <c r="AQ76" i="19"/>
  <c r="AQ103" i="19" s="1"/>
  <c r="AP76" i="19"/>
  <c r="AP103" i="19" s="1"/>
  <c r="AO76" i="19"/>
  <c r="AO103" i="19" s="1"/>
  <c r="AN76" i="19"/>
  <c r="AN103" i="19" s="1"/>
  <c r="AM76" i="19"/>
  <c r="AM103" i="19" s="1"/>
  <c r="AL76" i="19"/>
  <c r="AL103" i="19" s="1"/>
  <c r="AK76" i="19"/>
  <c r="AK103" i="19" s="1"/>
  <c r="AJ76" i="19"/>
  <c r="AJ103" i="19" s="1"/>
  <c r="AI76" i="19"/>
  <c r="AI103" i="19" s="1"/>
  <c r="AH76" i="19"/>
  <c r="AH103" i="19" s="1"/>
  <c r="AG76" i="19"/>
  <c r="AG103" i="19" s="1"/>
  <c r="AF76" i="19"/>
  <c r="AF103" i="19" s="1"/>
  <c r="AE76" i="19"/>
  <c r="AE103" i="19" s="1"/>
  <c r="AD76" i="19"/>
  <c r="AD103" i="19" s="1"/>
  <c r="AC76" i="19"/>
  <c r="AC103" i="19" s="1"/>
  <c r="AB76" i="19"/>
  <c r="AB103" i="19" s="1"/>
  <c r="AA76" i="19"/>
  <c r="AA103" i="19" s="1"/>
  <c r="Z76" i="19"/>
  <c r="Z103" i="19" s="1"/>
  <c r="Y76" i="19"/>
  <c r="Y103" i="19" s="1"/>
  <c r="X76" i="19"/>
  <c r="X103" i="19" s="1"/>
  <c r="W76" i="19"/>
  <c r="W103" i="19" s="1"/>
  <c r="V76" i="19"/>
  <c r="V103" i="19" s="1"/>
  <c r="U76" i="19"/>
  <c r="U103" i="19" s="1"/>
  <c r="T76" i="19"/>
  <c r="T103" i="19" s="1"/>
  <c r="S76" i="19"/>
  <c r="S103" i="19" s="1"/>
  <c r="R76" i="19"/>
  <c r="Q76" i="19"/>
  <c r="P76" i="19"/>
  <c r="O76" i="19"/>
  <c r="N76" i="19"/>
  <c r="M76" i="19"/>
  <c r="L76" i="19"/>
  <c r="K76" i="19"/>
  <c r="J76" i="19"/>
  <c r="I76" i="19"/>
  <c r="H76" i="19"/>
  <c r="G76" i="19"/>
  <c r="F76" i="19"/>
  <c r="GQ75" i="19"/>
  <c r="GQ102" i="19" s="1"/>
  <c r="GP75" i="19"/>
  <c r="GP102" i="19" s="1"/>
  <c r="GO75" i="19"/>
  <c r="GO102" i="19" s="1"/>
  <c r="GN75" i="19"/>
  <c r="GN102" i="19" s="1"/>
  <c r="GM75" i="19"/>
  <c r="GM102" i="19" s="1"/>
  <c r="GL75" i="19"/>
  <c r="GL102" i="19" s="1"/>
  <c r="GK75" i="19"/>
  <c r="GK102" i="19" s="1"/>
  <c r="GJ75" i="19"/>
  <c r="GJ102" i="19" s="1"/>
  <c r="GI75" i="19"/>
  <c r="GI102" i="19" s="1"/>
  <c r="GH75" i="19"/>
  <c r="GH102" i="19" s="1"/>
  <c r="GG75" i="19"/>
  <c r="GG102" i="19" s="1"/>
  <c r="GF75" i="19"/>
  <c r="GF102" i="19" s="1"/>
  <c r="GE75" i="19"/>
  <c r="GE102" i="19" s="1"/>
  <c r="GD75" i="19"/>
  <c r="GD102" i="19" s="1"/>
  <c r="GC75" i="19"/>
  <c r="GC102" i="19" s="1"/>
  <c r="GB75" i="19"/>
  <c r="GB102" i="19" s="1"/>
  <c r="GA75" i="19"/>
  <c r="GA102" i="19" s="1"/>
  <c r="FZ75" i="19"/>
  <c r="FZ102" i="19" s="1"/>
  <c r="FY75" i="19"/>
  <c r="FY102" i="19" s="1"/>
  <c r="FX75" i="19"/>
  <c r="FX102" i="19" s="1"/>
  <c r="FW75" i="19"/>
  <c r="FW102" i="19" s="1"/>
  <c r="FV75" i="19"/>
  <c r="FV102" i="19" s="1"/>
  <c r="FU75" i="19"/>
  <c r="FU102" i="19" s="1"/>
  <c r="FT75" i="19"/>
  <c r="FT102" i="19" s="1"/>
  <c r="FS75" i="19"/>
  <c r="FS102" i="19" s="1"/>
  <c r="FR75" i="19"/>
  <c r="FR102" i="19" s="1"/>
  <c r="FQ75" i="19"/>
  <c r="FQ102" i="19" s="1"/>
  <c r="FP75" i="19"/>
  <c r="FP102" i="19" s="1"/>
  <c r="FO75" i="19"/>
  <c r="FO102" i="19" s="1"/>
  <c r="FN75" i="19"/>
  <c r="FN102" i="19" s="1"/>
  <c r="FM75" i="19"/>
  <c r="FM102" i="19" s="1"/>
  <c r="FL75" i="19"/>
  <c r="FL102" i="19" s="1"/>
  <c r="FK75" i="19"/>
  <c r="FK102" i="19" s="1"/>
  <c r="FJ75" i="19"/>
  <c r="FJ102" i="19" s="1"/>
  <c r="FI75" i="19"/>
  <c r="FI102" i="19" s="1"/>
  <c r="FH75" i="19"/>
  <c r="FH102" i="19" s="1"/>
  <c r="FG75" i="19"/>
  <c r="FG102" i="19" s="1"/>
  <c r="FF75" i="19"/>
  <c r="FF102" i="19" s="1"/>
  <c r="FE75" i="19"/>
  <c r="FE102" i="19" s="1"/>
  <c r="FD75" i="19"/>
  <c r="FD102" i="19" s="1"/>
  <c r="FC75" i="19"/>
  <c r="FC102" i="19" s="1"/>
  <c r="FB75" i="19"/>
  <c r="FB102" i="19" s="1"/>
  <c r="FA75" i="19"/>
  <c r="FA102" i="19" s="1"/>
  <c r="EZ75" i="19"/>
  <c r="EZ102" i="19" s="1"/>
  <c r="EY75" i="19"/>
  <c r="EY102" i="19" s="1"/>
  <c r="EX75" i="19"/>
  <c r="EX102" i="19" s="1"/>
  <c r="EW75" i="19"/>
  <c r="EW102" i="19" s="1"/>
  <c r="EV75" i="19"/>
  <c r="EV102" i="19" s="1"/>
  <c r="EU75" i="19"/>
  <c r="EU102" i="19" s="1"/>
  <c r="ET75" i="19"/>
  <c r="ET102" i="19" s="1"/>
  <c r="ES75" i="19"/>
  <c r="ES102" i="19" s="1"/>
  <c r="ER75" i="19"/>
  <c r="ER102" i="19" s="1"/>
  <c r="EQ75" i="19"/>
  <c r="EQ102" i="19" s="1"/>
  <c r="EP75" i="19"/>
  <c r="EP102" i="19" s="1"/>
  <c r="EO75" i="19"/>
  <c r="EO102" i="19" s="1"/>
  <c r="EN75" i="19"/>
  <c r="EN102" i="19" s="1"/>
  <c r="EM75" i="19"/>
  <c r="EM102" i="19" s="1"/>
  <c r="EL75" i="19"/>
  <c r="EL102" i="19" s="1"/>
  <c r="EK75" i="19"/>
  <c r="EK102" i="19" s="1"/>
  <c r="EJ75" i="19"/>
  <c r="EJ102" i="19" s="1"/>
  <c r="EI75" i="19"/>
  <c r="EI102" i="19" s="1"/>
  <c r="EH75" i="19"/>
  <c r="EH102" i="19" s="1"/>
  <c r="EG75" i="19"/>
  <c r="EG102" i="19" s="1"/>
  <c r="EF75" i="19"/>
  <c r="EF102" i="19" s="1"/>
  <c r="EE75" i="19"/>
  <c r="EE102" i="19" s="1"/>
  <c r="ED75" i="19"/>
  <c r="ED102" i="19" s="1"/>
  <c r="EC75" i="19"/>
  <c r="EC102" i="19" s="1"/>
  <c r="EB75" i="19"/>
  <c r="EB102" i="19" s="1"/>
  <c r="EA75" i="19"/>
  <c r="EA102" i="19" s="1"/>
  <c r="DZ75" i="19"/>
  <c r="DZ102" i="19" s="1"/>
  <c r="DY75" i="19"/>
  <c r="DY102" i="19" s="1"/>
  <c r="DX75" i="19"/>
  <c r="DX102" i="19" s="1"/>
  <c r="DW75" i="19"/>
  <c r="DW102" i="19" s="1"/>
  <c r="DV75" i="19"/>
  <c r="DV102" i="19" s="1"/>
  <c r="DU75" i="19"/>
  <c r="DU102" i="19" s="1"/>
  <c r="DT75" i="19"/>
  <c r="DT102" i="19" s="1"/>
  <c r="DS75" i="19"/>
  <c r="DS102" i="19" s="1"/>
  <c r="DR75" i="19"/>
  <c r="DR102" i="19" s="1"/>
  <c r="DQ75" i="19"/>
  <c r="DQ102" i="19" s="1"/>
  <c r="DP75" i="19"/>
  <c r="DP102" i="19" s="1"/>
  <c r="DO75" i="19"/>
  <c r="DO102" i="19" s="1"/>
  <c r="DN75" i="19"/>
  <c r="DN102" i="19" s="1"/>
  <c r="DM75" i="19"/>
  <c r="DM102" i="19" s="1"/>
  <c r="DL75" i="19"/>
  <c r="DL102" i="19" s="1"/>
  <c r="DK75" i="19"/>
  <c r="DK102" i="19" s="1"/>
  <c r="DJ75" i="19"/>
  <c r="DJ102" i="19" s="1"/>
  <c r="DI75" i="19"/>
  <c r="DI102" i="19" s="1"/>
  <c r="DH75" i="19"/>
  <c r="DH102" i="19" s="1"/>
  <c r="DG75" i="19"/>
  <c r="DG102" i="19" s="1"/>
  <c r="DF75" i="19"/>
  <c r="DF102" i="19" s="1"/>
  <c r="DE75" i="19"/>
  <c r="DE102" i="19" s="1"/>
  <c r="DD75" i="19"/>
  <c r="DD102" i="19" s="1"/>
  <c r="DC75" i="19"/>
  <c r="DC102" i="19" s="1"/>
  <c r="DB75" i="19"/>
  <c r="DB102" i="19" s="1"/>
  <c r="DA75" i="19"/>
  <c r="DA102" i="19" s="1"/>
  <c r="CZ75" i="19"/>
  <c r="CZ102" i="19" s="1"/>
  <c r="CY75" i="19"/>
  <c r="CY102" i="19" s="1"/>
  <c r="CX75" i="19"/>
  <c r="CX102" i="19" s="1"/>
  <c r="CW75" i="19"/>
  <c r="CW102" i="19" s="1"/>
  <c r="CV75" i="19"/>
  <c r="CV102" i="19" s="1"/>
  <c r="CU75" i="19"/>
  <c r="CU102" i="19" s="1"/>
  <c r="CT75" i="19"/>
  <c r="CT102" i="19" s="1"/>
  <c r="CS75" i="19"/>
  <c r="CS102" i="19" s="1"/>
  <c r="CR75" i="19"/>
  <c r="CR102" i="19" s="1"/>
  <c r="CQ75" i="19"/>
  <c r="CQ102" i="19" s="1"/>
  <c r="CP75" i="19"/>
  <c r="CP102" i="19" s="1"/>
  <c r="CO75" i="19"/>
  <c r="CO102" i="19" s="1"/>
  <c r="CN75" i="19"/>
  <c r="CN102" i="19" s="1"/>
  <c r="CM75" i="19"/>
  <c r="CM102" i="19" s="1"/>
  <c r="CL75" i="19"/>
  <c r="CL102" i="19" s="1"/>
  <c r="CK75" i="19"/>
  <c r="CK102" i="19" s="1"/>
  <c r="CJ75" i="19"/>
  <c r="CJ102" i="19" s="1"/>
  <c r="CI75" i="19"/>
  <c r="CI102" i="19" s="1"/>
  <c r="CH75" i="19"/>
  <c r="CH102" i="19" s="1"/>
  <c r="CG75" i="19"/>
  <c r="CG102" i="19" s="1"/>
  <c r="CF75" i="19"/>
  <c r="CF102" i="19" s="1"/>
  <c r="CE75" i="19"/>
  <c r="CE102" i="19" s="1"/>
  <c r="CD75" i="19"/>
  <c r="CD102" i="19" s="1"/>
  <c r="CC75" i="19"/>
  <c r="CC102" i="19" s="1"/>
  <c r="CB75" i="19"/>
  <c r="CB102" i="19" s="1"/>
  <c r="CA75" i="19"/>
  <c r="CA102" i="19" s="1"/>
  <c r="BZ75" i="19"/>
  <c r="BZ102" i="19" s="1"/>
  <c r="BY75" i="19"/>
  <c r="BY102" i="19" s="1"/>
  <c r="BX75" i="19"/>
  <c r="BX102" i="19" s="1"/>
  <c r="BW75" i="19"/>
  <c r="BW102" i="19" s="1"/>
  <c r="BV75" i="19"/>
  <c r="BV102" i="19" s="1"/>
  <c r="BU75" i="19"/>
  <c r="BU102" i="19" s="1"/>
  <c r="BT75" i="19"/>
  <c r="BT102" i="19" s="1"/>
  <c r="BS75" i="19"/>
  <c r="BS102" i="19" s="1"/>
  <c r="BR75" i="19"/>
  <c r="BR102" i="19" s="1"/>
  <c r="BQ75" i="19"/>
  <c r="BQ102" i="19" s="1"/>
  <c r="BP75" i="19"/>
  <c r="BP102" i="19" s="1"/>
  <c r="BO75" i="19"/>
  <c r="BO102" i="19" s="1"/>
  <c r="BN75" i="19"/>
  <c r="BN102" i="19" s="1"/>
  <c r="BM75" i="19"/>
  <c r="BM102" i="19" s="1"/>
  <c r="BL75" i="19"/>
  <c r="BL102" i="19" s="1"/>
  <c r="BK75" i="19"/>
  <c r="BK102" i="19" s="1"/>
  <c r="BJ75" i="19"/>
  <c r="BJ102" i="19" s="1"/>
  <c r="BI75" i="19"/>
  <c r="BI102" i="19" s="1"/>
  <c r="BH75" i="19"/>
  <c r="BH102" i="19" s="1"/>
  <c r="BG75" i="19"/>
  <c r="BG102" i="19" s="1"/>
  <c r="BF75" i="19"/>
  <c r="BF102" i="19" s="1"/>
  <c r="BE75" i="19"/>
  <c r="BE102" i="19" s="1"/>
  <c r="BD75" i="19"/>
  <c r="BD102" i="19" s="1"/>
  <c r="BC75" i="19"/>
  <c r="BC102" i="19" s="1"/>
  <c r="BB75" i="19"/>
  <c r="BB102" i="19" s="1"/>
  <c r="BA75" i="19"/>
  <c r="BA102" i="19" s="1"/>
  <c r="AZ75" i="19"/>
  <c r="AZ102" i="19" s="1"/>
  <c r="AY75" i="19"/>
  <c r="AY102" i="19" s="1"/>
  <c r="AX75" i="19"/>
  <c r="AX102" i="19" s="1"/>
  <c r="AW75" i="19"/>
  <c r="AW102" i="19" s="1"/>
  <c r="AV75" i="19"/>
  <c r="AV102" i="19" s="1"/>
  <c r="AU75" i="19"/>
  <c r="AU102" i="19" s="1"/>
  <c r="AT75" i="19"/>
  <c r="AT102" i="19" s="1"/>
  <c r="AS75" i="19"/>
  <c r="AS102" i="19" s="1"/>
  <c r="AR75" i="19"/>
  <c r="AR102" i="19" s="1"/>
  <c r="AQ75" i="19"/>
  <c r="AQ102" i="19" s="1"/>
  <c r="AP75" i="19"/>
  <c r="AP102" i="19" s="1"/>
  <c r="AO75" i="19"/>
  <c r="AO102" i="19" s="1"/>
  <c r="AN75" i="19"/>
  <c r="AN102" i="19" s="1"/>
  <c r="AM75" i="19"/>
  <c r="AM102" i="19" s="1"/>
  <c r="AL75" i="19"/>
  <c r="AL102" i="19" s="1"/>
  <c r="AK75" i="19"/>
  <c r="AK102" i="19" s="1"/>
  <c r="AJ75" i="19"/>
  <c r="AJ102" i="19" s="1"/>
  <c r="AI75" i="19"/>
  <c r="AI102" i="19" s="1"/>
  <c r="AH75" i="19"/>
  <c r="AH102" i="19" s="1"/>
  <c r="AG75" i="19"/>
  <c r="AG102" i="19" s="1"/>
  <c r="AF75" i="19"/>
  <c r="AF102" i="19" s="1"/>
  <c r="AE75" i="19"/>
  <c r="AE102" i="19" s="1"/>
  <c r="AD75" i="19"/>
  <c r="AD102" i="19" s="1"/>
  <c r="AC75" i="19"/>
  <c r="AC102" i="19" s="1"/>
  <c r="AB75" i="19"/>
  <c r="AB102" i="19" s="1"/>
  <c r="AA75" i="19"/>
  <c r="AA102" i="19" s="1"/>
  <c r="Z75" i="19"/>
  <c r="Z102" i="19" s="1"/>
  <c r="Y75" i="19"/>
  <c r="Y102" i="19" s="1"/>
  <c r="X75" i="19"/>
  <c r="X102" i="19" s="1"/>
  <c r="W75" i="19"/>
  <c r="W102" i="19" s="1"/>
  <c r="V75" i="19"/>
  <c r="V102" i="19" s="1"/>
  <c r="U75" i="19"/>
  <c r="U102" i="19" s="1"/>
  <c r="T75" i="19"/>
  <c r="T102" i="19" s="1"/>
  <c r="S75" i="19"/>
  <c r="S102" i="19" s="1"/>
  <c r="R75" i="19"/>
  <c r="R102" i="19" s="1"/>
  <c r="Q75" i="19"/>
  <c r="P75" i="19"/>
  <c r="O75" i="19"/>
  <c r="N75" i="19"/>
  <c r="M75" i="19"/>
  <c r="L75" i="19"/>
  <c r="K75" i="19"/>
  <c r="J75" i="19"/>
  <c r="I75" i="19"/>
  <c r="H75" i="19"/>
  <c r="G75" i="19"/>
  <c r="F75" i="19"/>
  <c r="GQ74" i="19"/>
  <c r="GQ101" i="19" s="1"/>
  <c r="GP74" i="19"/>
  <c r="GP101" i="19" s="1"/>
  <c r="GO74" i="19"/>
  <c r="GO101" i="19" s="1"/>
  <c r="GN74" i="19"/>
  <c r="GN101" i="19" s="1"/>
  <c r="GM74" i="19"/>
  <c r="GM101" i="19" s="1"/>
  <c r="GL74" i="19"/>
  <c r="GL101" i="19" s="1"/>
  <c r="GK74" i="19"/>
  <c r="GK101" i="19" s="1"/>
  <c r="GJ74" i="19"/>
  <c r="GJ101" i="19" s="1"/>
  <c r="GI74" i="19"/>
  <c r="GI101" i="19" s="1"/>
  <c r="GH74" i="19"/>
  <c r="GH101" i="19" s="1"/>
  <c r="GG74" i="19"/>
  <c r="GG101" i="19" s="1"/>
  <c r="GF74" i="19"/>
  <c r="GF101" i="19" s="1"/>
  <c r="GE74" i="19"/>
  <c r="GE101" i="19" s="1"/>
  <c r="GD74" i="19"/>
  <c r="GD101" i="19" s="1"/>
  <c r="GC74" i="19"/>
  <c r="GC101" i="19" s="1"/>
  <c r="GB74" i="19"/>
  <c r="GB101" i="19" s="1"/>
  <c r="GA74" i="19"/>
  <c r="GA101" i="19" s="1"/>
  <c r="FZ74" i="19"/>
  <c r="FZ101" i="19" s="1"/>
  <c r="FY74" i="19"/>
  <c r="FY101" i="19" s="1"/>
  <c r="FX74" i="19"/>
  <c r="FX101" i="19" s="1"/>
  <c r="FW74" i="19"/>
  <c r="FW101" i="19" s="1"/>
  <c r="FV74" i="19"/>
  <c r="FV101" i="19" s="1"/>
  <c r="FU74" i="19"/>
  <c r="FU101" i="19" s="1"/>
  <c r="FT74" i="19"/>
  <c r="FT101" i="19" s="1"/>
  <c r="FS74" i="19"/>
  <c r="FS101" i="19" s="1"/>
  <c r="FR74" i="19"/>
  <c r="FR101" i="19" s="1"/>
  <c r="FQ74" i="19"/>
  <c r="FQ101" i="19" s="1"/>
  <c r="FP74" i="19"/>
  <c r="FP101" i="19" s="1"/>
  <c r="FO74" i="19"/>
  <c r="FO101" i="19" s="1"/>
  <c r="FN74" i="19"/>
  <c r="FN101" i="19" s="1"/>
  <c r="FM74" i="19"/>
  <c r="FM101" i="19" s="1"/>
  <c r="FL74" i="19"/>
  <c r="FL101" i="19" s="1"/>
  <c r="FK74" i="19"/>
  <c r="FK101" i="19" s="1"/>
  <c r="FJ74" i="19"/>
  <c r="FJ101" i="19" s="1"/>
  <c r="FI74" i="19"/>
  <c r="FI101" i="19" s="1"/>
  <c r="FH74" i="19"/>
  <c r="FH101" i="19" s="1"/>
  <c r="FG74" i="19"/>
  <c r="FG101" i="19" s="1"/>
  <c r="FF74" i="19"/>
  <c r="FF101" i="19" s="1"/>
  <c r="FE74" i="19"/>
  <c r="FE101" i="19" s="1"/>
  <c r="FD74" i="19"/>
  <c r="FD101" i="19" s="1"/>
  <c r="FC74" i="19"/>
  <c r="FC101" i="19" s="1"/>
  <c r="FB74" i="19"/>
  <c r="FB101" i="19" s="1"/>
  <c r="FA74" i="19"/>
  <c r="FA101" i="19" s="1"/>
  <c r="EZ74" i="19"/>
  <c r="EZ101" i="19" s="1"/>
  <c r="EY74" i="19"/>
  <c r="EY101" i="19" s="1"/>
  <c r="EX74" i="19"/>
  <c r="EX101" i="19" s="1"/>
  <c r="EW74" i="19"/>
  <c r="EW101" i="19" s="1"/>
  <c r="EV74" i="19"/>
  <c r="EV101" i="19" s="1"/>
  <c r="EU74" i="19"/>
  <c r="EU101" i="19" s="1"/>
  <c r="ET74" i="19"/>
  <c r="ET101" i="19" s="1"/>
  <c r="ES74" i="19"/>
  <c r="ES101" i="19" s="1"/>
  <c r="ER74" i="19"/>
  <c r="ER101" i="19" s="1"/>
  <c r="EQ74" i="19"/>
  <c r="EQ101" i="19" s="1"/>
  <c r="EP74" i="19"/>
  <c r="EP101" i="19" s="1"/>
  <c r="EO74" i="19"/>
  <c r="EO101" i="19" s="1"/>
  <c r="EN74" i="19"/>
  <c r="EN101" i="19" s="1"/>
  <c r="EM74" i="19"/>
  <c r="EM101" i="19" s="1"/>
  <c r="EL74" i="19"/>
  <c r="EL101" i="19" s="1"/>
  <c r="EK74" i="19"/>
  <c r="EK101" i="19" s="1"/>
  <c r="EJ74" i="19"/>
  <c r="EJ101" i="19" s="1"/>
  <c r="EI74" i="19"/>
  <c r="EI101" i="19" s="1"/>
  <c r="EH74" i="19"/>
  <c r="EH101" i="19" s="1"/>
  <c r="EG74" i="19"/>
  <c r="EG101" i="19" s="1"/>
  <c r="EF74" i="19"/>
  <c r="EF101" i="19" s="1"/>
  <c r="EE74" i="19"/>
  <c r="EE101" i="19" s="1"/>
  <c r="ED74" i="19"/>
  <c r="ED101" i="19" s="1"/>
  <c r="EC74" i="19"/>
  <c r="EC101" i="19" s="1"/>
  <c r="EB74" i="19"/>
  <c r="EB101" i="19" s="1"/>
  <c r="EA74" i="19"/>
  <c r="EA101" i="19" s="1"/>
  <c r="DZ74" i="19"/>
  <c r="DZ101" i="19" s="1"/>
  <c r="DY74" i="19"/>
  <c r="DY101" i="19" s="1"/>
  <c r="DX74" i="19"/>
  <c r="DX101" i="19" s="1"/>
  <c r="DW74" i="19"/>
  <c r="DW101" i="19" s="1"/>
  <c r="DV74" i="19"/>
  <c r="DV101" i="19" s="1"/>
  <c r="DU74" i="19"/>
  <c r="DU101" i="19" s="1"/>
  <c r="DT74" i="19"/>
  <c r="DT101" i="19" s="1"/>
  <c r="DS74" i="19"/>
  <c r="DS101" i="19" s="1"/>
  <c r="DR74" i="19"/>
  <c r="DR101" i="19" s="1"/>
  <c r="DQ74" i="19"/>
  <c r="DQ101" i="19" s="1"/>
  <c r="DP74" i="19"/>
  <c r="DP101" i="19" s="1"/>
  <c r="DO74" i="19"/>
  <c r="DO101" i="19" s="1"/>
  <c r="DN74" i="19"/>
  <c r="DN101" i="19" s="1"/>
  <c r="DM74" i="19"/>
  <c r="DM101" i="19" s="1"/>
  <c r="DL74" i="19"/>
  <c r="DL101" i="19" s="1"/>
  <c r="DK74" i="19"/>
  <c r="DK101" i="19" s="1"/>
  <c r="DJ74" i="19"/>
  <c r="DJ101" i="19" s="1"/>
  <c r="DI74" i="19"/>
  <c r="DI101" i="19" s="1"/>
  <c r="DH74" i="19"/>
  <c r="DH101" i="19" s="1"/>
  <c r="DG74" i="19"/>
  <c r="DG101" i="19" s="1"/>
  <c r="DF74" i="19"/>
  <c r="DF101" i="19" s="1"/>
  <c r="DE74" i="19"/>
  <c r="DE101" i="19" s="1"/>
  <c r="DD74" i="19"/>
  <c r="DD101" i="19" s="1"/>
  <c r="DC74" i="19"/>
  <c r="DC101" i="19" s="1"/>
  <c r="DB74" i="19"/>
  <c r="DB101" i="19" s="1"/>
  <c r="DA74" i="19"/>
  <c r="DA101" i="19" s="1"/>
  <c r="CZ74" i="19"/>
  <c r="CZ101" i="19" s="1"/>
  <c r="CY74" i="19"/>
  <c r="CY101" i="19" s="1"/>
  <c r="CX74" i="19"/>
  <c r="CX101" i="19" s="1"/>
  <c r="CW74" i="19"/>
  <c r="CW101" i="19" s="1"/>
  <c r="CV74" i="19"/>
  <c r="CV101" i="19" s="1"/>
  <c r="CU74" i="19"/>
  <c r="CU101" i="19" s="1"/>
  <c r="CT74" i="19"/>
  <c r="CT101" i="19" s="1"/>
  <c r="CS74" i="19"/>
  <c r="CS101" i="19" s="1"/>
  <c r="CR74" i="19"/>
  <c r="CR101" i="19" s="1"/>
  <c r="CQ74" i="19"/>
  <c r="CQ101" i="19" s="1"/>
  <c r="CP74" i="19"/>
  <c r="CP101" i="19" s="1"/>
  <c r="CO74" i="19"/>
  <c r="CO101" i="19" s="1"/>
  <c r="CN74" i="19"/>
  <c r="CN101" i="19" s="1"/>
  <c r="CM74" i="19"/>
  <c r="CM101" i="19" s="1"/>
  <c r="CL74" i="19"/>
  <c r="CL101" i="19" s="1"/>
  <c r="CK74" i="19"/>
  <c r="CK101" i="19" s="1"/>
  <c r="CJ74" i="19"/>
  <c r="CJ101" i="19" s="1"/>
  <c r="CI74" i="19"/>
  <c r="CI101" i="19" s="1"/>
  <c r="CH74" i="19"/>
  <c r="CH101" i="19" s="1"/>
  <c r="CG74" i="19"/>
  <c r="CG101" i="19" s="1"/>
  <c r="CF74" i="19"/>
  <c r="CF101" i="19" s="1"/>
  <c r="CE74" i="19"/>
  <c r="CE101" i="19" s="1"/>
  <c r="CD74" i="19"/>
  <c r="CD101" i="19" s="1"/>
  <c r="CC74" i="19"/>
  <c r="CC101" i="19" s="1"/>
  <c r="CB74" i="19"/>
  <c r="CB101" i="19" s="1"/>
  <c r="CA74" i="19"/>
  <c r="CA101" i="19" s="1"/>
  <c r="BZ74" i="19"/>
  <c r="BZ101" i="19" s="1"/>
  <c r="BY74" i="19"/>
  <c r="BY101" i="19" s="1"/>
  <c r="BX74" i="19"/>
  <c r="BX101" i="19" s="1"/>
  <c r="BW74" i="19"/>
  <c r="BW101" i="19" s="1"/>
  <c r="BV74" i="19"/>
  <c r="BV101" i="19" s="1"/>
  <c r="BU74" i="19"/>
  <c r="BU101" i="19" s="1"/>
  <c r="BT74" i="19"/>
  <c r="BT101" i="19" s="1"/>
  <c r="BS74" i="19"/>
  <c r="BS101" i="19" s="1"/>
  <c r="BR74" i="19"/>
  <c r="BR101" i="19" s="1"/>
  <c r="BQ74" i="19"/>
  <c r="BQ101" i="19" s="1"/>
  <c r="BP74" i="19"/>
  <c r="BP101" i="19" s="1"/>
  <c r="BO74" i="19"/>
  <c r="BO101" i="19" s="1"/>
  <c r="BN74" i="19"/>
  <c r="BN101" i="19" s="1"/>
  <c r="BM74" i="19"/>
  <c r="BM101" i="19" s="1"/>
  <c r="BL74" i="19"/>
  <c r="BL101" i="19" s="1"/>
  <c r="BK74" i="19"/>
  <c r="BK101" i="19" s="1"/>
  <c r="BJ74" i="19"/>
  <c r="BJ101" i="19" s="1"/>
  <c r="BI74" i="19"/>
  <c r="BI101" i="19" s="1"/>
  <c r="BH74" i="19"/>
  <c r="BH101" i="19" s="1"/>
  <c r="BG74" i="19"/>
  <c r="BG101" i="19" s="1"/>
  <c r="BF74" i="19"/>
  <c r="BF101" i="19" s="1"/>
  <c r="BE74" i="19"/>
  <c r="BE101" i="19" s="1"/>
  <c r="BD74" i="19"/>
  <c r="BD101" i="19" s="1"/>
  <c r="BC74" i="19"/>
  <c r="BC101" i="19" s="1"/>
  <c r="BB74" i="19"/>
  <c r="BB101" i="19" s="1"/>
  <c r="BA74" i="19"/>
  <c r="BA101" i="19" s="1"/>
  <c r="AZ74" i="19"/>
  <c r="AZ101" i="19" s="1"/>
  <c r="AY74" i="19"/>
  <c r="AY101" i="19" s="1"/>
  <c r="AX74" i="19"/>
  <c r="AX101" i="19" s="1"/>
  <c r="AW74" i="19"/>
  <c r="AW101" i="19" s="1"/>
  <c r="AV74" i="19"/>
  <c r="AV101" i="19" s="1"/>
  <c r="AU74" i="19"/>
  <c r="AU101" i="19" s="1"/>
  <c r="AT74" i="19"/>
  <c r="AT101" i="19" s="1"/>
  <c r="AS74" i="19"/>
  <c r="AS101" i="19" s="1"/>
  <c r="AR74" i="19"/>
  <c r="AR101" i="19" s="1"/>
  <c r="AQ74" i="19"/>
  <c r="AQ101" i="19" s="1"/>
  <c r="AP74" i="19"/>
  <c r="AP101" i="19" s="1"/>
  <c r="AO74" i="19"/>
  <c r="AO101" i="19" s="1"/>
  <c r="AN74" i="19"/>
  <c r="AN101" i="19" s="1"/>
  <c r="AM74" i="19"/>
  <c r="AM101" i="19" s="1"/>
  <c r="AL74" i="19"/>
  <c r="AL101" i="19" s="1"/>
  <c r="AK74" i="19"/>
  <c r="AK101" i="19" s="1"/>
  <c r="AJ74" i="19"/>
  <c r="AJ101" i="19" s="1"/>
  <c r="AI74" i="19"/>
  <c r="AI101" i="19" s="1"/>
  <c r="AH74" i="19"/>
  <c r="AH101" i="19" s="1"/>
  <c r="AG74" i="19"/>
  <c r="AG101" i="19" s="1"/>
  <c r="AF74" i="19"/>
  <c r="AF101" i="19" s="1"/>
  <c r="AE74" i="19"/>
  <c r="AE101" i="19" s="1"/>
  <c r="AD74" i="19"/>
  <c r="AD101" i="19" s="1"/>
  <c r="AC74" i="19"/>
  <c r="AC101" i="19" s="1"/>
  <c r="AB74" i="19"/>
  <c r="AB101" i="19" s="1"/>
  <c r="AA74" i="19"/>
  <c r="AA101" i="19" s="1"/>
  <c r="Z74" i="19"/>
  <c r="Z101" i="19" s="1"/>
  <c r="Y74" i="19"/>
  <c r="Y101" i="19" s="1"/>
  <c r="X74" i="19"/>
  <c r="X101" i="19" s="1"/>
  <c r="W74" i="19"/>
  <c r="W101" i="19" s="1"/>
  <c r="V74" i="19"/>
  <c r="V101" i="19" s="1"/>
  <c r="U74" i="19"/>
  <c r="U101" i="19" s="1"/>
  <c r="T74" i="19"/>
  <c r="T101" i="19" s="1"/>
  <c r="S74" i="19"/>
  <c r="S101" i="19" s="1"/>
  <c r="R74" i="19"/>
  <c r="R101" i="19" s="1"/>
  <c r="Q74" i="19"/>
  <c r="Q101" i="19" s="1"/>
  <c r="P74" i="19"/>
  <c r="P101" i="19" s="1"/>
  <c r="O74" i="19"/>
  <c r="O101" i="19" s="1"/>
  <c r="N74" i="19"/>
  <c r="N101" i="19" s="1"/>
  <c r="M74" i="19"/>
  <c r="M101" i="19" s="1"/>
  <c r="L74" i="19"/>
  <c r="L101" i="19" s="1"/>
  <c r="K74" i="19"/>
  <c r="K101" i="19" s="1"/>
  <c r="J74" i="19"/>
  <c r="I74" i="19"/>
  <c r="H74" i="19"/>
  <c r="G74" i="19"/>
  <c r="F74" i="19"/>
  <c r="GQ73" i="19"/>
  <c r="GQ100" i="19" s="1"/>
  <c r="GP73" i="19"/>
  <c r="GP100" i="19" s="1"/>
  <c r="GO73" i="19"/>
  <c r="GO100" i="19" s="1"/>
  <c r="GN73" i="19"/>
  <c r="GN100" i="19" s="1"/>
  <c r="GM73" i="19"/>
  <c r="GM100" i="19" s="1"/>
  <c r="GL73" i="19"/>
  <c r="GL100" i="19" s="1"/>
  <c r="GK73" i="19"/>
  <c r="GK100" i="19" s="1"/>
  <c r="GJ73" i="19"/>
  <c r="GJ100" i="19" s="1"/>
  <c r="GI73" i="19"/>
  <c r="GI100" i="19" s="1"/>
  <c r="GH73" i="19"/>
  <c r="GH100" i="19" s="1"/>
  <c r="GG73" i="19"/>
  <c r="GG100" i="19" s="1"/>
  <c r="GF73" i="19"/>
  <c r="GF100" i="19" s="1"/>
  <c r="GE73" i="19"/>
  <c r="GE100" i="19" s="1"/>
  <c r="GD73" i="19"/>
  <c r="GD100" i="19" s="1"/>
  <c r="GC73" i="19"/>
  <c r="GC100" i="19" s="1"/>
  <c r="GB73" i="19"/>
  <c r="GB100" i="19" s="1"/>
  <c r="GA73" i="19"/>
  <c r="GA100" i="19" s="1"/>
  <c r="FZ73" i="19"/>
  <c r="FZ100" i="19" s="1"/>
  <c r="FY73" i="19"/>
  <c r="FY100" i="19" s="1"/>
  <c r="FX73" i="19"/>
  <c r="FX100" i="19" s="1"/>
  <c r="FW73" i="19"/>
  <c r="FW100" i="19" s="1"/>
  <c r="FV73" i="19"/>
  <c r="FV100" i="19" s="1"/>
  <c r="FU73" i="19"/>
  <c r="FU100" i="19" s="1"/>
  <c r="FT73" i="19"/>
  <c r="FT100" i="19" s="1"/>
  <c r="FS73" i="19"/>
  <c r="FS100" i="19" s="1"/>
  <c r="FR73" i="19"/>
  <c r="FR100" i="19" s="1"/>
  <c r="FQ73" i="19"/>
  <c r="FQ100" i="19" s="1"/>
  <c r="FP73" i="19"/>
  <c r="FP100" i="19" s="1"/>
  <c r="FO73" i="19"/>
  <c r="FO100" i="19" s="1"/>
  <c r="FN73" i="19"/>
  <c r="FN100" i="19" s="1"/>
  <c r="FM73" i="19"/>
  <c r="FM100" i="19" s="1"/>
  <c r="FL73" i="19"/>
  <c r="FL100" i="19" s="1"/>
  <c r="FK73" i="19"/>
  <c r="FK100" i="19" s="1"/>
  <c r="FJ73" i="19"/>
  <c r="FJ100" i="19" s="1"/>
  <c r="FI73" i="19"/>
  <c r="FI100" i="19" s="1"/>
  <c r="FH73" i="19"/>
  <c r="FH100" i="19" s="1"/>
  <c r="FG73" i="19"/>
  <c r="FG100" i="19" s="1"/>
  <c r="FF73" i="19"/>
  <c r="FF100" i="19" s="1"/>
  <c r="FE73" i="19"/>
  <c r="FE100" i="19" s="1"/>
  <c r="FD73" i="19"/>
  <c r="FD100" i="19" s="1"/>
  <c r="FC73" i="19"/>
  <c r="FC100" i="19" s="1"/>
  <c r="FB73" i="19"/>
  <c r="FB100" i="19" s="1"/>
  <c r="FA73" i="19"/>
  <c r="FA100" i="19" s="1"/>
  <c r="EZ73" i="19"/>
  <c r="EZ100" i="19" s="1"/>
  <c r="EY73" i="19"/>
  <c r="EY100" i="19" s="1"/>
  <c r="EX73" i="19"/>
  <c r="EX100" i="19" s="1"/>
  <c r="EW73" i="19"/>
  <c r="EW100" i="19" s="1"/>
  <c r="EV73" i="19"/>
  <c r="EV100" i="19" s="1"/>
  <c r="EU73" i="19"/>
  <c r="EU100" i="19" s="1"/>
  <c r="ET73" i="19"/>
  <c r="ET100" i="19" s="1"/>
  <c r="ES73" i="19"/>
  <c r="ES100" i="19" s="1"/>
  <c r="ER73" i="19"/>
  <c r="ER100" i="19" s="1"/>
  <c r="EQ73" i="19"/>
  <c r="EQ100" i="19" s="1"/>
  <c r="EP73" i="19"/>
  <c r="EP100" i="19" s="1"/>
  <c r="EO73" i="19"/>
  <c r="EO100" i="19" s="1"/>
  <c r="EN73" i="19"/>
  <c r="EN100" i="19" s="1"/>
  <c r="EM73" i="19"/>
  <c r="EM100" i="19" s="1"/>
  <c r="EL73" i="19"/>
  <c r="EL100" i="19" s="1"/>
  <c r="EK73" i="19"/>
  <c r="EK100" i="19" s="1"/>
  <c r="EJ73" i="19"/>
  <c r="EJ100" i="19" s="1"/>
  <c r="EI73" i="19"/>
  <c r="EI100" i="19" s="1"/>
  <c r="EH73" i="19"/>
  <c r="EH100" i="19" s="1"/>
  <c r="EG73" i="19"/>
  <c r="EG100" i="19" s="1"/>
  <c r="EF73" i="19"/>
  <c r="EF100" i="19" s="1"/>
  <c r="EE73" i="19"/>
  <c r="EE100" i="19" s="1"/>
  <c r="ED73" i="19"/>
  <c r="ED100" i="19" s="1"/>
  <c r="EC73" i="19"/>
  <c r="EC100" i="19" s="1"/>
  <c r="EB73" i="19"/>
  <c r="EB100" i="19" s="1"/>
  <c r="EA73" i="19"/>
  <c r="EA100" i="19" s="1"/>
  <c r="DZ73" i="19"/>
  <c r="DZ100" i="19" s="1"/>
  <c r="DY73" i="19"/>
  <c r="DY100" i="19" s="1"/>
  <c r="DX73" i="19"/>
  <c r="DX100" i="19" s="1"/>
  <c r="DW73" i="19"/>
  <c r="DW100" i="19" s="1"/>
  <c r="DV73" i="19"/>
  <c r="DV100" i="19" s="1"/>
  <c r="DU73" i="19"/>
  <c r="DU100" i="19" s="1"/>
  <c r="DT73" i="19"/>
  <c r="DT100" i="19" s="1"/>
  <c r="DS73" i="19"/>
  <c r="DS100" i="19" s="1"/>
  <c r="DR73" i="19"/>
  <c r="DR100" i="19" s="1"/>
  <c r="DQ73" i="19"/>
  <c r="DQ100" i="19" s="1"/>
  <c r="DP73" i="19"/>
  <c r="DP100" i="19" s="1"/>
  <c r="DO73" i="19"/>
  <c r="DO100" i="19" s="1"/>
  <c r="DN73" i="19"/>
  <c r="DN100" i="19" s="1"/>
  <c r="DM73" i="19"/>
  <c r="DM100" i="19" s="1"/>
  <c r="DL73" i="19"/>
  <c r="DL100" i="19" s="1"/>
  <c r="DK73" i="19"/>
  <c r="DK100" i="19" s="1"/>
  <c r="DJ73" i="19"/>
  <c r="DJ100" i="19" s="1"/>
  <c r="DI73" i="19"/>
  <c r="DI100" i="19" s="1"/>
  <c r="DH73" i="19"/>
  <c r="DH100" i="19" s="1"/>
  <c r="DG73" i="19"/>
  <c r="DG100" i="19" s="1"/>
  <c r="DF73" i="19"/>
  <c r="DF100" i="19" s="1"/>
  <c r="DE73" i="19"/>
  <c r="DE100" i="19" s="1"/>
  <c r="DD73" i="19"/>
  <c r="DD100" i="19" s="1"/>
  <c r="DC73" i="19"/>
  <c r="DC100" i="19" s="1"/>
  <c r="DB73" i="19"/>
  <c r="DB100" i="19" s="1"/>
  <c r="DA73" i="19"/>
  <c r="DA100" i="19" s="1"/>
  <c r="CZ73" i="19"/>
  <c r="CZ100" i="19" s="1"/>
  <c r="CY73" i="19"/>
  <c r="CY100" i="19" s="1"/>
  <c r="CX73" i="19"/>
  <c r="CX100" i="19" s="1"/>
  <c r="CW73" i="19"/>
  <c r="CW100" i="19" s="1"/>
  <c r="CV73" i="19"/>
  <c r="CV100" i="19" s="1"/>
  <c r="CU73" i="19"/>
  <c r="CU100" i="19" s="1"/>
  <c r="CT73" i="19"/>
  <c r="CT100" i="19" s="1"/>
  <c r="CS73" i="19"/>
  <c r="CS100" i="19" s="1"/>
  <c r="CR73" i="19"/>
  <c r="CR100" i="19" s="1"/>
  <c r="CQ73" i="19"/>
  <c r="CQ100" i="19" s="1"/>
  <c r="CP73" i="19"/>
  <c r="CP100" i="19" s="1"/>
  <c r="CO73" i="19"/>
  <c r="CO100" i="19" s="1"/>
  <c r="CN73" i="19"/>
  <c r="CN100" i="19" s="1"/>
  <c r="CM73" i="19"/>
  <c r="CM100" i="19" s="1"/>
  <c r="CL73" i="19"/>
  <c r="CL100" i="19" s="1"/>
  <c r="CK73" i="19"/>
  <c r="CK100" i="19" s="1"/>
  <c r="CJ73" i="19"/>
  <c r="CJ100" i="19" s="1"/>
  <c r="CI73" i="19"/>
  <c r="CI100" i="19" s="1"/>
  <c r="CH73" i="19"/>
  <c r="CH100" i="19" s="1"/>
  <c r="CG73" i="19"/>
  <c r="CG100" i="19" s="1"/>
  <c r="CF73" i="19"/>
  <c r="CF100" i="19" s="1"/>
  <c r="CE73" i="19"/>
  <c r="CE100" i="19" s="1"/>
  <c r="CD73" i="19"/>
  <c r="CD100" i="19" s="1"/>
  <c r="CC73" i="19"/>
  <c r="CC100" i="19" s="1"/>
  <c r="CB73" i="19"/>
  <c r="CB100" i="19" s="1"/>
  <c r="CA73" i="19"/>
  <c r="CA100" i="19" s="1"/>
  <c r="BZ73" i="19"/>
  <c r="BZ100" i="19" s="1"/>
  <c r="BY73" i="19"/>
  <c r="BY100" i="19" s="1"/>
  <c r="BX73" i="19"/>
  <c r="BX100" i="19" s="1"/>
  <c r="BW73" i="19"/>
  <c r="BW100" i="19" s="1"/>
  <c r="BV73" i="19"/>
  <c r="BV100" i="19" s="1"/>
  <c r="BU73" i="19"/>
  <c r="BU100" i="19" s="1"/>
  <c r="BT73" i="19"/>
  <c r="BT100" i="19" s="1"/>
  <c r="BS73" i="19"/>
  <c r="BS100" i="19" s="1"/>
  <c r="BR73" i="19"/>
  <c r="BR100" i="19" s="1"/>
  <c r="BQ73" i="19"/>
  <c r="BQ100" i="19" s="1"/>
  <c r="BP73" i="19"/>
  <c r="BP100" i="19" s="1"/>
  <c r="BO73" i="19"/>
  <c r="BO100" i="19" s="1"/>
  <c r="BN73" i="19"/>
  <c r="BN100" i="19" s="1"/>
  <c r="BM73" i="19"/>
  <c r="BM100" i="19" s="1"/>
  <c r="BL73" i="19"/>
  <c r="BL100" i="19" s="1"/>
  <c r="BK73" i="19"/>
  <c r="BK100" i="19" s="1"/>
  <c r="BJ73" i="19"/>
  <c r="BJ100" i="19" s="1"/>
  <c r="BI73" i="19"/>
  <c r="BI100" i="19" s="1"/>
  <c r="BH73" i="19"/>
  <c r="BH100" i="19" s="1"/>
  <c r="BG73" i="19"/>
  <c r="BG100" i="19" s="1"/>
  <c r="BF73" i="19"/>
  <c r="BF100" i="19" s="1"/>
  <c r="BE73" i="19"/>
  <c r="BE100" i="19" s="1"/>
  <c r="BD73" i="19"/>
  <c r="BD100" i="19" s="1"/>
  <c r="BC73" i="19"/>
  <c r="BC100" i="19" s="1"/>
  <c r="BB73" i="19"/>
  <c r="BB100" i="19" s="1"/>
  <c r="BA73" i="19"/>
  <c r="BA100" i="19" s="1"/>
  <c r="AZ73" i="19"/>
  <c r="AZ100" i="19" s="1"/>
  <c r="AY73" i="19"/>
  <c r="AY100" i="19" s="1"/>
  <c r="AX73" i="19"/>
  <c r="AX100" i="19" s="1"/>
  <c r="AW73" i="19"/>
  <c r="AW100" i="19" s="1"/>
  <c r="AV73" i="19"/>
  <c r="AV100" i="19" s="1"/>
  <c r="AU73" i="19"/>
  <c r="AU100" i="19" s="1"/>
  <c r="AT73" i="19"/>
  <c r="AT100" i="19" s="1"/>
  <c r="AS73" i="19"/>
  <c r="AS100" i="19" s="1"/>
  <c r="AR73" i="19"/>
  <c r="AR100" i="19" s="1"/>
  <c r="AQ73" i="19"/>
  <c r="AQ100" i="19" s="1"/>
  <c r="AP73" i="19"/>
  <c r="AP100" i="19" s="1"/>
  <c r="AO73" i="19"/>
  <c r="AO100" i="19" s="1"/>
  <c r="AN73" i="19"/>
  <c r="AN100" i="19" s="1"/>
  <c r="AM73" i="19"/>
  <c r="AM100" i="19" s="1"/>
  <c r="AL73" i="19"/>
  <c r="AL100" i="19" s="1"/>
  <c r="AK73" i="19"/>
  <c r="AK100" i="19" s="1"/>
  <c r="AJ73" i="19"/>
  <c r="AJ100" i="19" s="1"/>
  <c r="AI73" i="19"/>
  <c r="AI100" i="19" s="1"/>
  <c r="AH73" i="19"/>
  <c r="AH100" i="19" s="1"/>
  <c r="AG73" i="19"/>
  <c r="AG100" i="19" s="1"/>
  <c r="AF73" i="19"/>
  <c r="AF100" i="19" s="1"/>
  <c r="AE73" i="19"/>
  <c r="AE100" i="19" s="1"/>
  <c r="AD73" i="19"/>
  <c r="AD100" i="19" s="1"/>
  <c r="AC73" i="19"/>
  <c r="AC100" i="19" s="1"/>
  <c r="AB73" i="19"/>
  <c r="AB100" i="19" s="1"/>
  <c r="AA73" i="19"/>
  <c r="AA100" i="19" s="1"/>
  <c r="Z73" i="19"/>
  <c r="Z100" i="19" s="1"/>
  <c r="Y73" i="19"/>
  <c r="Y100" i="19" s="1"/>
  <c r="X73" i="19"/>
  <c r="X100" i="19" s="1"/>
  <c r="W73" i="19"/>
  <c r="W100" i="19" s="1"/>
  <c r="V73" i="19"/>
  <c r="V100" i="19" s="1"/>
  <c r="U73" i="19"/>
  <c r="U100" i="19" s="1"/>
  <c r="T73" i="19"/>
  <c r="T100" i="19" s="1"/>
  <c r="S73" i="19"/>
  <c r="S100" i="19" s="1"/>
  <c r="R73" i="19"/>
  <c r="R100" i="19" s="1"/>
  <c r="Q73" i="19"/>
  <c r="Q100" i="19" s="1"/>
  <c r="P73" i="19"/>
  <c r="P100" i="19" s="1"/>
  <c r="O73" i="19"/>
  <c r="O100" i="19" s="1"/>
  <c r="N73" i="19"/>
  <c r="N100" i="19" s="1"/>
  <c r="M73" i="19"/>
  <c r="M100" i="19" s="1"/>
  <c r="L73" i="19"/>
  <c r="L100" i="19" s="1"/>
  <c r="K73" i="19"/>
  <c r="K100" i="19" s="1"/>
  <c r="J73" i="19"/>
  <c r="J100" i="19" s="1"/>
  <c r="I73" i="19"/>
  <c r="I100" i="19" s="1"/>
  <c r="H73" i="19"/>
  <c r="G73" i="19"/>
  <c r="F73" i="19"/>
  <c r="GQ72" i="19"/>
  <c r="GQ99" i="19" s="1"/>
  <c r="GP72" i="19"/>
  <c r="GP99" i="19" s="1"/>
  <c r="GO72" i="19"/>
  <c r="GO99" i="19" s="1"/>
  <c r="GN72" i="19"/>
  <c r="GN99" i="19" s="1"/>
  <c r="GM72" i="19"/>
  <c r="GM99" i="19" s="1"/>
  <c r="GL72" i="19"/>
  <c r="GL99" i="19" s="1"/>
  <c r="GK72" i="19"/>
  <c r="GK99" i="19" s="1"/>
  <c r="GJ72" i="19"/>
  <c r="GJ99" i="19" s="1"/>
  <c r="GI72" i="19"/>
  <c r="GI99" i="19" s="1"/>
  <c r="GH72" i="19"/>
  <c r="GH99" i="19" s="1"/>
  <c r="GG72" i="19"/>
  <c r="GG99" i="19" s="1"/>
  <c r="GF72" i="19"/>
  <c r="GF99" i="19" s="1"/>
  <c r="GE72" i="19"/>
  <c r="GE99" i="19" s="1"/>
  <c r="GD72" i="19"/>
  <c r="GD99" i="19" s="1"/>
  <c r="GC72" i="19"/>
  <c r="GC99" i="19" s="1"/>
  <c r="GB72" i="19"/>
  <c r="GB99" i="19" s="1"/>
  <c r="GA72" i="19"/>
  <c r="GA99" i="19" s="1"/>
  <c r="FZ72" i="19"/>
  <c r="FZ99" i="19" s="1"/>
  <c r="FY72" i="19"/>
  <c r="FY99" i="19" s="1"/>
  <c r="FX72" i="19"/>
  <c r="FX99" i="19" s="1"/>
  <c r="FW72" i="19"/>
  <c r="FW99" i="19" s="1"/>
  <c r="FV72" i="19"/>
  <c r="FV99" i="19" s="1"/>
  <c r="FU72" i="19"/>
  <c r="FU99" i="19" s="1"/>
  <c r="FT72" i="19"/>
  <c r="FT99" i="19" s="1"/>
  <c r="FS72" i="19"/>
  <c r="FS99" i="19" s="1"/>
  <c r="FR72" i="19"/>
  <c r="FR99" i="19" s="1"/>
  <c r="FQ72" i="19"/>
  <c r="FQ99" i="19" s="1"/>
  <c r="FP72" i="19"/>
  <c r="FP99" i="19" s="1"/>
  <c r="FO72" i="19"/>
  <c r="FO99" i="19" s="1"/>
  <c r="FN72" i="19"/>
  <c r="FN99" i="19" s="1"/>
  <c r="FM72" i="19"/>
  <c r="FM99" i="19" s="1"/>
  <c r="FL72" i="19"/>
  <c r="FL99" i="19" s="1"/>
  <c r="FK72" i="19"/>
  <c r="FK99" i="19" s="1"/>
  <c r="FJ72" i="19"/>
  <c r="FJ99" i="19" s="1"/>
  <c r="FI72" i="19"/>
  <c r="FI99" i="19" s="1"/>
  <c r="FH72" i="19"/>
  <c r="FH99" i="19" s="1"/>
  <c r="FG72" i="19"/>
  <c r="FG99" i="19" s="1"/>
  <c r="FF72" i="19"/>
  <c r="FF99" i="19" s="1"/>
  <c r="FE72" i="19"/>
  <c r="FE99" i="19" s="1"/>
  <c r="FD72" i="19"/>
  <c r="FD99" i="19" s="1"/>
  <c r="FC72" i="19"/>
  <c r="FC99" i="19" s="1"/>
  <c r="FB72" i="19"/>
  <c r="FB99" i="19" s="1"/>
  <c r="FA72" i="19"/>
  <c r="FA99" i="19" s="1"/>
  <c r="EZ72" i="19"/>
  <c r="EZ99" i="19" s="1"/>
  <c r="EY72" i="19"/>
  <c r="EY99" i="19" s="1"/>
  <c r="EX72" i="19"/>
  <c r="EX99" i="19" s="1"/>
  <c r="EW72" i="19"/>
  <c r="EW99" i="19" s="1"/>
  <c r="EV72" i="19"/>
  <c r="EV99" i="19" s="1"/>
  <c r="EU72" i="19"/>
  <c r="EU99" i="19" s="1"/>
  <c r="ET72" i="19"/>
  <c r="ET99" i="19" s="1"/>
  <c r="ES72" i="19"/>
  <c r="ES99" i="19" s="1"/>
  <c r="ER72" i="19"/>
  <c r="ER99" i="19" s="1"/>
  <c r="EQ72" i="19"/>
  <c r="EQ99" i="19" s="1"/>
  <c r="EP72" i="19"/>
  <c r="EP99" i="19" s="1"/>
  <c r="EO72" i="19"/>
  <c r="EO99" i="19" s="1"/>
  <c r="EN72" i="19"/>
  <c r="EN99" i="19" s="1"/>
  <c r="EM72" i="19"/>
  <c r="EM99" i="19" s="1"/>
  <c r="EL72" i="19"/>
  <c r="EL99" i="19" s="1"/>
  <c r="EK72" i="19"/>
  <c r="EK99" i="19" s="1"/>
  <c r="EJ72" i="19"/>
  <c r="EJ99" i="19" s="1"/>
  <c r="EI72" i="19"/>
  <c r="EI99" i="19" s="1"/>
  <c r="EH72" i="19"/>
  <c r="EH99" i="19" s="1"/>
  <c r="EG72" i="19"/>
  <c r="EG99" i="19" s="1"/>
  <c r="EF72" i="19"/>
  <c r="EF99" i="19" s="1"/>
  <c r="EE72" i="19"/>
  <c r="EE99" i="19" s="1"/>
  <c r="ED72" i="19"/>
  <c r="ED99" i="19" s="1"/>
  <c r="EC72" i="19"/>
  <c r="EC99" i="19" s="1"/>
  <c r="EB72" i="19"/>
  <c r="EB99" i="19" s="1"/>
  <c r="EA72" i="19"/>
  <c r="EA99" i="19" s="1"/>
  <c r="DZ72" i="19"/>
  <c r="DZ99" i="19" s="1"/>
  <c r="DY72" i="19"/>
  <c r="DY99" i="19" s="1"/>
  <c r="DX72" i="19"/>
  <c r="DX99" i="19" s="1"/>
  <c r="DW72" i="19"/>
  <c r="DW99" i="19" s="1"/>
  <c r="DV72" i="19"/>
  <c r="DV99" i="19" s="1"/>
  <c r="DU72" i="19"/>
  <c r="DU99" i="19" s="1"/>
  <c r="DT72" i="19"/>
  <c r="DT99" i="19" s="1"/>
  <c r="DS72" i="19"/>
  <c r="DS99" i="19" s="1"/>
  <c r="DR72" i="19"/>
  <c r="DR99" i="19" s="1"/>
  <c r="DQ72" i="19"/>
  <c r="DQ99" i="19" s="1"/>
  <c r="DP72" i="19"/>
  <c r="DP99" i="19" s="1"/>
  <c r="DO72" i="19"/>
  <c r="DO99" i="19" s="1"/>
  <c r="DN72" i="19"/>
  <c r="DN99" i="19" s="1"/>
  <c r="DM72" i="19"/>
  <c r="DM99" i="19" s="1"/>
  <c r="DL72" i="19"/>
  <c r="DL99" i="19" s="1"/>
  <c r="DK72" i="19"/>
  <c r="DK99" i="19" s="1"/>
  <c r="DJ72" i="19"/>
  <c r="DJ99" i="19" s="1"/>
  <c r="DI72" i="19"/>
  <c r="DI99" i="19" s="1"/>
  <c r="DH72" i="19"/>
  <c r="DH99" i="19" s="1"/>
  <c r="DG72" i="19"/>
  <c r="DG99" i="19" s="1"/>
  <c r="DF72" i="19"/>
  <c r="DF99" i="19" s="1"/>
  <c r="DE72" i="19"/>
  <c r="DE99" i="19" s="1"/>
  <c r="DD72" i="19"/>
  <c r="DD99" i="19" s="1"/>
  <c r="DC72" i="19"/>
  <c r="DC99" i="19" s="1"/>
  <c r="DB72" i="19"/>
  <c r="DB99" i="19" s="1"/>
  <c r="DA72" i="19"/>
  <c r="DA99" i="19" s="1"/>
  <c r="CZ72" i="19"/>
  <c r="CZ99" i="19" s="1"/>
  <c r="CY72" i="19"/>
  <c r="CY99" i="19" s="1"/>
  <c r="CX72" i="19"/>
  <c r="CX99" i="19" s="1"/>
  <c r="CW72" i="19"/>
  <c r="CW99" i="19" s="1"/>
  <c r="CV72" i="19"/>
  <c r="CV99" i="19" s="1"/>
  <c r="CU72" i="19"/>
  <c r="CU99" i="19" s="1"/>
  <c r="CT72" i="19"/>
  <c r="CT99" i="19" s="1"/>
  <c r="CS72" i="19"/>
  <c r="CS99" i="19" s="1"/>
  <c r="CR72" i="19"/>
  <c r="CR99" i="19" s="1"/>
  <c r="CQ72" i="19"/>
  <c r="CQ99" i="19" s="1"/>
  <c r="CP72" i="19"/>
  <c r="CP99" i="19" s="1"/>
  <c r="CO72" i="19"/>
  <c r="CO99" i="19" s="1"/>
  <c r="CN72" i="19"/>
  <c r="CN99" i="19" s="1"/>
  <c r="CM72" i="19"/>
  <c r="CM99" i="19" s="1"/>
  <c r="CL72" i="19"/>
  <c r="CL99" i="19" s="1"/>
  <c r="CK72" i="19"/>
  <c r="CK99" i="19" s="1"/>
  <c r="CJ72" i="19"/>
  <c r="CJ99" i="19" s="1"/>
  <c r="CI72" i="19"/>
  <c r="CI99" i="19" s="1"/>
  <c r="CH72" i="19"/>
  <c r="CH99" i="19" s="1"/>
  <c r="CG72" i="19"/>
  <c r="CG99" i="19" s="1"/>
  <c r="CF72" i="19"/>
  <c r="CF99" i="19" s="1"/>
  <c r="CE72" i="19"/>
  <c r="CE99" i="19" s="1"/>
  <c r="CD72" i="19"/>
  <c r="CD99" i="19" s="1"/>
  <c r="CC72" i="19"/>
  <c r="CC99" i="19" s="1"/>
  <c r="CB72" i="19"/>
  <c r="CB99" i="19" s="1"/>
  <c r="CA72" i="19"/>
  <c r="CA99" i="19" s="1"/>
  <c r="BZ72" i="19"/>
  <c r="BZ99" i="19" s="1"/>
  <c r="BY72" i="19"/>
  <c r="BY99" i="19" s="1"/>
  <c r="BX72" i="19"/>
  <c r="BX99" i="19" s="1"/>
  <c r="BW72" i="19"/>
  <c r="BW99" i="19" s="1"/>
  <c r="BV72" i="19"/>
  <c r="BV99" i="19" s="1"/>
  <c r="BU72" i="19"/>
  <c r="BU99" i="19" s="1"/>
  <c r="BT72" i="19"/>
  <c r="BT99" i="19" s="1"/>
  <c r="BS72" i="19"/>
  <c r="BS99" i="19" s="1"/>
  <c r="BR72" i="19"/>
  <c r="BR99" i="19" s="1"/>
  <c r="BQ72" i="19"/>
  <c r="BQ99" i="19" s="1"/>
  <c r="BP72" i="19"/>
  <c r="BP99" i="19" s="1"/>
  <c r="BO72" i="19"/>
  <c r="BO99" i="19" s="1"/>
  <c r="BN72" i="19"/>
  <c r="BN99" i="19" s="1"/>
  <c r="BM72" i="19"/>
  <c r="BM99" i="19" s="1"/>
  <c r="BL72" i="19"/>
  <c r="BL99" i="19" s="1"/>
  <c r="BK72" i="19"/>
  <c r="BK99" i="19" s="1"/>
  <c r="BJ72" i="19"/>
  <c r="BJ99" i="19" s="1"/>
  <c r="BI72" i="19"/>
  <c r="BI99" i="19" s="1"/>
  <c r="BH72" i="19"/>
  <c r="BH99" i="19" s="1"/>
  <c r="BG72" i="19"/>
  <c r="BG99" i="19" s="1"/>
  <c r="BF72" i="19"/>
  <c r="BF99" i="19" s="1"/>
  <c r="BE72" i="19"/>
  <c r="BE99" i="19" s="1"/>
  <c r="BD72" i="19"/>
  <c r="BD99" i="19" s="1"/>
  <c r="BC72" i="19"/>
  <c r="BC99" i="19" s="1"/>
  <c r="BB72" i="19"/>
  <c r="BB99" i="19" s="1"/>
  <c r="BA72" i="19"/>
  <c r="BA99" i="19" s="1"/>
  <c r="AZ72" i="19"/>
  <c r="AZ99" i="19" s="1"/>
  <c r="AY72" i="19"/>
  <c r="AY99" i="19" s="1"/>
  <c r="AX72" i="19"/>
  <c r="AX99" i="19" s="1"/>
  <c r="AW72" i="19"/>
  <c r="AW99" i="19" s="1"/>
  <c r="AV72" i="19"/>
  <c r="AV99" i="19" s="1"/>
  <c r="AU72" i="19"/>
  <c r="AU99" i="19" s="1"/>
  <c r="AT72" i="19"/>
  <c r="AT99" i="19" s="1"/>
  <c r="AS72" i="19"/>
  <c r="AS99" i="19" s="1"/>
  <c r="AR72" i="19"/>
  <c r="AR99" i="19" s="1"/>
  <c r="AQ72" i="19"/>
  <c r="AQ99" i="19" s="1"/>
  <c r="AP72" i="19"/>
  <c r="AP99" i="19" s="1"/>
  <c r="AO72" i="19"/>
  <c r="AO99" i="19" s="1"/>
  <c r="AN72" i="19"/>
  <c r="AN99" i="19" s="1"/>
  <c r="AM72" i="19"/>
  <c r="AM99" i="19" s="1"/>
  <c r="AL72" i="19"/>
  <c r="AL99" i="19" s="1"/>
  <c r="AK72" i="19"/>
  <c r="AK99" i="19" s="1"/>
  <c r="AJ72" i="19"/>
  <c r="AJ99" i="19" s="1"/>
  <c r="AI72" i="19"/>
  <c r="AI99" i="19" s="1"/>
  <c r="AH72" i="19"/>
  <c r="AH99" i="19" s="1"/>
  <c r="AG72" i="19"/>
  <c r="AG99" i="19" s="1"/>
  <c r="AF72" i="19"/>
  <c r="AF99" i="19" s="1"/>
  <c r="AE72" i="19"/>
  <c r="AE99" i="19" s="1"/>
  <c r="AD72" i="19"/>
  <c r="AD99" i="19" s="1"/>
  <c r="AC72" i="19"/>
  <c r="AC99" i="19" s="1"/>
  <c r="AB72" i="19"/>
  <c r="AB99" i="19" s="1"/>
  <c r="AA72" i="19"/>
  <c r="AA99" i="19" s="1"/>
  <c r="Z72" i="19"/>
  <c r="Z99" i="19" s="1"/>
  <c r="Y72" i="19"/>
  <c r="Y99" i="19" s="1"/>
  <c r="X72" i="19"/>
  <c r="X99" i="19" s="1"/>
  <c r="W72" i="19"/>
  <c r="W99" i="19" s="1"/>
  <c r="V72" i="19"/>
  <c r="V99" i="19" s="1"/>
  <c r="U72" i="19"/>
  <c r="U99" i="19" s="1"/>
  <c r="T72" i="19"/>
  <c r="T99" i="19" s="1"/>
  <c r="S72" i="19"/>
  <c r="S99" i="19" s="1"/>
  <c r="R72" i="19"/>
  <c r="R99" i="19" s="1"/>
  <c r="Q72" i="19"/>
  <c r="Q99" i="19" s="1"/>
  <c r="P72" i="19"/>
  <c r="P99" i="19" s="1"/>
  <c r="O72" i="19"/>
  <c r="O99" i="19" s="1"/>
  <c r="N72" i="19"/>
  <c r="N99" i="19" s="1"/>
  <c r="M72" i="19"/>
  <c r="M99" i="19" s="1"/>
  <c r="L72" i="19"/>
  <c r="L99" i="19" s="1"/>
  <c r="K72" i="19"/>
  <c r="K99" i="19" s="1"/>
  <c r="J72" i="19"/>
  <c r="J99" i="19" s="1"/>
  <c r="I72" i="19"/>
  <c r="I99" i="19" s="1"/>
  <c r="H72" i="19"/>
  <c r="H99" i="19" s="1"/>
  <c r="G72" i="19"/>
  <c r="F72" i="19"/>
  <c r="GQ71" i="19"/>
  <c r="GQ98" i="19" s="1"/>
  <c r="GP71" i="19"/>
  <c r="GP98" i="19" s="1"/>
  <c r="GO71" i="19"/>
  <c r="GO98" i="19" s="1"/>
  <c r="GN71" i="19"/>
  <c r="GN98" i="19" s="1"/>
  <c r="GM71" i="19"/>
  <c r="GM98" i="19" s="1"/>
  <c r="GL71" i="19"/>
  <c r="GL98" i="19" s="1"/>
  <c r="GK71" i="19"/>
  <c r="GK98" i="19" s="1"/>
  <c r="GJ71" i="19"/>
  <c r="GJ98" i="19" s="1"/>
  <c r="GI71" i="19"/>
  <c r="GI98" i="19" s="1"/>
  <c r="GH71" i="19"/>
  <c r="GH98" i="19" s="1"/>
  <c r="GG71" i="19"/>
  <c r="GG98" i="19" s="1"/>
  <c r="GF71" i="19"/>
  <c r="GF98" i="19" s="1"/>
  <c r="GE71" i="19"/>
  <c r="GE98" i="19" s="1"/>
  <c r="GD71" i="19"/>
  <c r="GD98" i="19" s="1"/>
  <c r="GC71" i="19"/>
  <c r="GC98" i="19" s="1"/>
  <c r="GB71" i="19"/>
  <c r="GB98" i="19" s="1"/>
  <c r="GA71" i="19"/>
  <c r="GA98" i="19" s="1"/>
  <c r="FZ71" i="19"/>
  <c r="FZ98" i="19" s="1"/>
  <c r="FY71" i="19"/>
  <c r="FY98" i="19" s="1"/>
  <c r="FX71" i="19"/>
  <c r="FX98" i="19" s="1"/>
  <c r="FW71" i="19"/>
  <c r="FW98" i="19" s="1"/>
  <c r="FV71" i="19"/>
  <c r="FV98" i="19" s="1"/>
  <c r="FU71" i="19"/>
  <c r="FU98" i="19" s="1"/>
  <c r="FT71" i="19"/>
  <c r="FT98" i="19" s="1"/>
  <c r="FS71" i="19"/>
  <c r="FS98" i="19" s="1"/>
  <c r="FR71" i="19"/>
  <c r="FR98" i="19" s="1"/>
  <c r="FQ71" i="19"/>
  <c r="FQ98" i="19" s="1"/>
  <c r="FP71" i="19"/>
  <c r="FP98" i="19" s="1"/>
  <c r="FO71" i="19"/>
  <c r="FO98" i="19" s="1"/>
  <c r="FN71" i="19"/>
  <c r="FN98" i="19" s="1"/>
  <c r="FM71" i="19"/>
  <c r="FM98" i="19" s="1"/>
  <c r="FL71" i="19"/>
  <c r="FL98" i="19" s="1"/>
  <c r="FK71" i="19"/>
  <c r="FK98" i="19" s="1"/>
  <c r="FJ71" i="19"/>
  <c r="FJ98" i="19" s="1"/>
  <c r="FI71" i="19"/>
  <c r="FI98" i="19" s="1"/>
  <c r="FH71" i="19"/>
  <c r="FH98" i="19" s="1"/>
  <c r="FG71" i="19"/>
  <c r="FG98" i="19" s="1"/>
  <c r="FF71" i="19"/>
  <c r="FF98" i="19" s="1"/>
  <c r="FE71" i="19"/>
  <c r="FE98" i="19" s="1"/>
  <c r="FD71" i="19"/>
  <c r="FD98" i="19" s="1"/>
  <c r="FC71" i="19"/>
  <c r="FC98" i="19" s="1"/>
  <c r="FB71" i="19"/>
  <c r="FB98" i="19" s="1"/>
  <c r="FA71" i="19"/>
  <c r="FA98" i="19" s="1"/>
  <c r="EZ71" i="19"/>
  <c r="EZ98" i="19" s="1"/>
  <c r="EY71" i="19"/>
  <c r="EY98" i="19" s="1"/>
  <c r="EX71" i="19"/>
  <c r="EX98" i="19" s="1"/>
  <c r="EW71" i="19"/>
  <c r="EW98" i="19" s="1"/>
  <c r="EV71" i="19"/>
  <c r="EV98" i="19" s="1"/>
  <c r="EU71" i="19"/>
  <c r="EU98" i="19" s="1"/>
  <c r="ET71" i="19"/>
  <c r="ET98" i="19" s="1"/>
  <c r="ES71" i="19"/>
  <c r="ES98" i="19" s="1"/>
  <c r="ER71" i="19"/>
  <c r="ER98" i="19" s="1"/>
  <c r="EQ71" i="19"/>
  <c r="EQ98" i="19" s="1"/>
  <c r="EP71" i="19"/>
  <c r="EP98" i="19" s="1"/>
  <c r="EO71" i="19"/>
  <c r="EO98" i="19" s="1"/>
  <c r="EN71" i="19"/>
  <c r="EN98" i="19" s="1"/>
  <c r="EM71" i="19"/>
  <c r="EM98" i="19" s="1"/>
  <c r="EL71" i="19"/>
  <c r="EL98" i="19" s="1"/>
  <c r="EK71" i="19"/>
  <c r="EK98" i="19" s="1"/>
  <c r="EJ71" i="19"/>
  <c r="EJ98" i="19" s="1"/>
  <c r="EI71" i="19"/>
  <c r="EI98" i="19" s="1"/>
  <c r="EH71" i="19"/>
  <c r="EH98" i="19" s="1"/>
  <c r="EG71" i="19"/>
  <c r="EG98" i="19" s="1"/>
  <c r="EF71" i="19"/>
  <c r="EF98" i="19" s="1"/>
  <c r="EE71" i="19"/>
  <c r="EE98" i="19" s="1"/>
  <c r="ED71" i="19"/>
  <c r="ED98" i="19" s="1"/>
  <c r="EC71" i="19"/>
  <c r="EC98" i="19" s="1"/>
  <c r="EB71" i="19"/>
  <c r="EB98" i="19" s="1"/>
  <c r="EA71" i="19"/>
  <c r="EA98" i="19" s="1"/>
  <c r="DZ71" i="19"/>
  <c r="DZ98" i="19" s="1"/>
  <c r="DY71" i="19"/>
  <c r="DY98" i="19" s="1"/>
  <c r="DX71" i="19"/>
  <c r="DX98" i="19" s="1"/>
  <c r="DW71" i="19"/>
  <c r="DW98" i="19" s="1"/>
  <c r="DV71" i="19"/>
  <c r="DV98" i="19" s="1"/>
  <c r="DU71" i="19"/>
  <c r="DU98" i="19" s="1"/>
  <c r="DT71" i="19"/>
  <c r="DT98" i="19" s="1"/>
  <c r="DS71" i="19"/>
  <c r="DS98" i="19" s="1"/>
  <c r="DR71" i="19"/>
  <c r="DR98" i="19" s="1"/>
  <c r="DQ71" i="19"/>
  <c r="DQ98" i="19" s="1"/>
  <c r="DP71" i="19"/>
  <c r="DP98" i="19" s="1"/>
  <c r="DO71" i="19"/>
  <c r="DO98" i="19" s="1"/>
  <c r="DN71" i="19"/>
  <c r="DN98" i="19" s="1"/>
  <c r="DM71" i="19"/>
  <c r="DM98" i="19" s="1"/>
  <c r="DL71" i="19"/>
  <c r="DL98" i="19" s="1"/>
  <c r="DK71" i="19"/>
  <c r="DK98" i="19" s="1"/>
  <c r="DJ71" i="19"/>
  <c r="DJ98" i="19" s="1"/>
  <c r="DI71" i="19"/>
  <c r="DI98" i="19" s="1"/>
  <c r="DH71" i="19"/>
  <c r="DH98" i="19" s="1"/>
  <c r="DG71" i="19"/>
  <c r="DG98" i="19" s="1"/>
  <c r="DF71" i="19"/>
  <c r="DF98" i="19" s="1"/>
  <c r="DE71" i="19"/>
  <c r="DE98" i="19" s="1"/>
  <c r="DD71" i="19"/>
  <c r="DD98" i="19" s="1"/>
  <c r="DC71" i="19"/>
  <c r="DC98" i="19" s="1"/>
  <c r="DB71" i="19"/>
  <c r="DB98" i="19" s="1"/>
  <c r="DA71" i="19"/>
  <c r="DA98" i="19" s="1"/>
  <c r="CZ71" i="19"/>
  <c r="CZ98" i="19" s="1"/>
  <c r="CY71" i="19"/>
  <c r="CY98" i="19" s="1"/>
  <c r="CX71" i="19"/>
  <c r="CX98" i="19" s="1"/>
  <c r="CW71" i="19"/>
  <c r="CW98" i="19" s="1"/>
  <c r="CV71" i="19"/>
  <c r="CV98" i="19" s="1"/>
  <c r="CU71" i="19"/>
  <c r="CU98" i="19" s="1"/>
  <c r="CT71" i="19"/>
  <c r="CT98" i="19" s="1"/>
  <c r="CS71" i="19"/>
  <c r="CS98" i="19" s="1"/>
  <c r="CR71" i="19"/>
  <c r="CR98" i="19" s="1"/>
  <c r="CQ71" i="19"/>
  <c r="CQ98" i="19" s="1"/>
  <c r="CP71" i="19"/>
  <c r="CP98" i="19" s="1"/>
  <c r="CO71" i="19"/>
  <c r="CO98" i="19" s="1"/>
  <c r="CN71" i="19"/>
  <c r="CN98" i="19" s="1"/>
  <c r="CM71" i="19"/>
  <c r="CM98" i="19" s="1"/>
  <c r="CL71" i="19"/>
  <c r="CL98" i="19" s="1"/>
  <c r="CK71" i="19"/>
  <c r="CK98" i="19" s="1"/>
  <c r="CJ71" i="19"/>
  <c r="CJ98" i="19" s="1"/>
  <c r="CI71" i="19"/>
  <c r="CI98" i="19" s="1"/>
  <c r="CH71" i="19"/>
  <c r="CH98" i="19" s="1"/>
  <c r="CG71" i="19"/>
  <c r="CG98" i="19" s="1"/>
  <c r="CF71" i="19"/>
  <c r="CF98" i="19" s="1"/>
  <c r="CE71" i="19"/>
  <c r="CE98" i="19" s="1"/>
  <c r="CD71" i="19"/>
  <c r="CD98" i="19" s="1"/>
  <c r="CC71" i="19"/>
  <c r="CC98" i="19" s="1"/>
  <c r="CB71" i="19"/>
  <c r="CB98" i="19" s="1"/>
  <c r="CA71" i="19"/>
  <c r="CA98" i="19" s="1"/>
  <c r="BZ71" i="19"/>
  <c r="BZ98" i="19" s="1"/>
  <c r="BY71" i="19"/>
  <c r="BY98" i="19" s="1"/>
  <c r="BX71" i="19"/>
  <c r="BX98" i="19" s="1"/>
  <c r="BW71" i="19"/>
  <c r="BW98" i="19" s="1"/>
  <c r="BV71" i="19"/>
  <c r="BV98" i="19" s="1"/>
  <c r="BU71" i="19"/>
  <c r="BU98" i="19" s="1"/>
  <c r="BT71" i="19"/>
  <c r="BT98" i="19" s="1"/>
  <c r="BS71" i="19"/>
  <c r="BS98" i="19" s="1"/>
  <c r="BR71" i="19"/>
  <c r="BR98" i="19" s="1"/>
  <c r="BQ71" i="19"/>
  <c r="BQ98" i="19" s="1"/>
  <c r="BP71" i="19"/>
  <c r="BP98" i="19" s="1"/>
  <c r="BO71" i="19"/>
  <c r="BO98" i="19" s="1"/>
  <c r="BN71" i="19"/>
  <c r="BN98" i="19" s="1"/>
  <c r="BM71" i="19"/>
  <c r="BM98" i="19" s="1"/>
  <c r="BL71" i="19"/>
  <c r="BL98" i="19" s="1"/>
  <c r="BK71" i="19"/>
  <c r="BK98" i="19" s="1"/>
  <c r="BJ71" i="19"/>
  <c r="BJ98" i="19" s="1"/>
  <c r="BI71" i="19"/>
  <c r="BI98" i="19" s="1"/>
  <c r="BH71" i="19"/>
  <c r="BH98" i="19" s="1"/>
  <c r="BG71" i="19"/>
  <c r="BG98" i="19" s="1"/>
  <c r="BF71" i="19"/>
  <c r="BF98" i="19" s="1"/>
  <c r="BE71" i="19"/>
  <c r="BE98" i="19" s="1"/>
  <c r="BD71" i="19"/>
  <c r="BD98" i="19" s="1"/>
  <c r="BC71" i="19"/>
  <c r="BC98" i="19" s="1"/>
  <c r="BB71" i="19"/>
  <c r="BB98" i="19" s="1"/>
  <c r="BA71" i="19"/>
  <c r="BA98" i="19" s="1"/>
  <c r="AZ71" i="19"/>
  <c r="AZ98" i="19" s="1"/>
  <c r="AY71" i="19"/>
  <c r="AY98" i="19" s="1"/>
  <c r="AX71" i="19"/>
  <c r="AX98" i="19" s="1"/>
  <c r="AW71" i="19"/>
  <c r="AW98" i="19" s="1"/>
  <c r="AV71" i="19"/>
  <c r="AV98" i="19" s="1"/>
  <c r="AU71" i="19"/>
  <c r="AU98" i="19" s="1"/>
  <c r="AT71" i="19"/>
  <c r="AT98" i="19" s="1"/>
  <c r="AS71" i="19"/>
  <c r="AS98" i="19" s="1"/>
  <c r="AR71" i="19"/>
  <c r="AR98" i="19" s="1"/>
  <c r="AQ71" i="19"/>
  <c r="AP71" i="19"/>
  <c r="AO71" i="19"/>
  <c r="AN71" i="19"/>
  <c r="AM71" i="19"/>
  <c r="AL71" i="19"/>
  <c r="AK71" i="19"/>
  <c r="AJ71" i="19"/>
  <c r="AI71" i="19"/>
  <c r="AH71" i="19"/>
  <c r="AG71" i="19"/>
  <c r="AF71" i="19"/>
  <c r="AE71" i="19"/>
  <c r="AD71" i="19"/>
  <c r="AC71" i="19"/>
  <c r="AB71" i="19"/>
  <c r="AA71" i="19"/>
  <c r="Z71" i="19"/>
  <c r="Y71" i="19"/>
  <c r="X71" i="19"/>
  <c r="W71" i="19"/>
  <c r="V71" i="19"/>
  <c r="U71" i="19"/>
  <c r="T71" i="19"/>
  <c r="S71" i="19"/>
  <c r="R71" i="19"/>
  <c r="Q71" i="19"/>
  <c r="P71" i="19"/>
  <c r="O71" i="19"/>
  <c r="N71" i="19"/>
  <c r="M71" i="19"/>
  <c r="L71" i="19"/>
  <c r="K71" i="19"/>
  <c r="J71" i="19"/>
  <c r="I71" i="19"/>
  <c r="H71" i="19"/>
  <c r="G71" i="19"/>
  <c r="F71" i="19"/>
  <c r="GQ70" i="19"/>
  <c r="GQ97" i="19" s="1"/>
  <c r="GP70" i="19"/>
  <c r="GP97" i="19" s="1"/>
  <c r="GO70" i="19"/>
  <c r="GO97" i="19" s="1"/>
  <c r="GN70" i="19"/>
  <c r="GN97" i="19" s="1"/>
  <c r="GM70" i="19"/>
  <c r="GM97" i="19" s="1"/>
  <c r="GL70" i="19"/>
  <c r="GL97" i="19" s="1"/>
  <c r="GK70" i="19"/>
  <c r="GK97" i="19" s="1"/>
  <c r="GJ70" i="19"/>
  <c r="GJ97" i="19" s="1"/>
  <c r="GI70" i="19"/>
  <c r="GI97" i="19" s="1"/>
  <c r="GH70" i="19"/>
  <c r="GH97" i="19" s="1"/>
  <c r="GG70" i="19"/>
  <c r="GG97" i="19" s="1"/>
  <c r="GF70" i="19"/>
  <c r="GF97" i="19" s="1"/>
  <c r="GE70" i="19"/>
  <c r="GE97" i="19" s="1"/>
  <c r="GD70" i="19"/>
  <c r="GD97" i="19" s="1"/>
  <c r="GC70" i="19"/>
  <c r="GC97" i="19" s="1"/>
  <c r="GB70" i="19"/>
  <c r="GB97" i="19" s="1"/>
  <c r="GA70" i="19"/>
  <c r="GA97" i="19" s="1"/>
  <c r="FZ70" i="19"/>
  <c r="FZ97" i="19" s="1"/>
  <c r="FY70" i="19"/>
  <c r="FY97" i="19" s="1"/>
  <c r="FX70" i="19"/>
  <c r="FX97" i="19" s="1"/>
  <c r="FW70" i="19"/>
  <c r="FW97" i="19" s="1"/>
  <c r="FV70" i="19"/>
  <c r="FV97" i="19" s="1"/>
  <c r="FU70" i="19"/>
  <c r="FU97" i="19" s="1"/>
  <c r="FT70" i="19"/>
  <c r="FT97" i="19" s="1"/>
  <c r="FS70" i="19"/>
  <c r="FS97" i="19" s="1"/>
  <c r="FR70" i="19"/>
  <c r="FR97" i="19" s="1"/>
  <c r="FQ70" i="19"/>
  <c r="FQ97" i="19" s="1"/>
  <c r="FP70" i="19"/>
  <c r="FP97" i="19" s="1"/>
  <c r="FO70" i="19"/>
  <c r="FO97" i="19" s="1"/>
  <c r="FN70" i="19"/>
  <c r="FN97" i="19" s="1"/>
  <c r="FM70" i="19"/>
  <c r="FM97" i="19" s="1"/>
  <c r="FL70" i="19"/>
  <c r="FL97" i="19" s="1"/>
  <c r="FK70" i="19"/>
  <c r="FK97" i="19" s="1"/>
  <c r="FJ70" i="19"/>
  <c r="FJ97" i="19" s="1"/>
  <c r="FI70" i="19"/>
  <c r="FI97" i="19" s="1"/>
  <c r="FH70" i="19"/>
  <c r="FH97" i="19" s="1"/>
  <c r="FG70" i="19"/>
  <c r="FG97" i="19" s="1"/>
  <c r="FF70" i="19"/>
  <c r="FF97" i="19" s="1"/>
  <c r="FE70" i="19"/>
  <c r="FE97" i="19" s="1"/>
  <c r="FD70" i="19"/>
  <c r="FD97" i="19" s="1"/>
  <c r="FC70" i="19"/>
  <c r="FC97" i="19" s="1"/>
  <c r="FB70" i="19"/>
  <c r="FB97" i="19" s="1"/>
  <c r="FA70" i="19"/>
  <c r="FA97" i="19" s="1"/>
  <c r="EZ70" i="19"/>
  <c r="EZ97" i="19" s="1"/>
  <c r="EY70" i="19"/>
  <c r="EY97" i="19" s="1"/>
  <c r="EX70" i="19"/>
  <c r="EX97" i="19" s="1"/>
  <c r="EW70" i="19"/>
  <c r="EW97" i="19" s="1"/>
  <c r="EV70" i="19"/>
  <c r="EV97" i="19" s="1"/>
  <c r="EU70" i="19"/>
  <c r="EU97" i="19" s="1"/>
  <c r="ET70" i="19"/>
  <c r="ET97" i="19" s="1"/>
  <c r="ES70" i="19"/>
  <c r="ES97" i="19" s="1"/>
  <c r="ER70" i="19"/>
  <c r="ER97" i="19" s="1"/>
  <c r="EQ70" i="19"/>
  <c r="EQ97" i="19" s="1"/>
  <c r="EP70" i="19"/>
  <c r="EP97" i="19" s="1"/>
  <c r="EO70" i="19"/>
  <c r="EO97" i="19" s="1"/>
  <c r="EN70" i="19"/>
  <c r="EN97" i="19" s="1"/>
  <c r="EM70" i="19"/>
  <c r="EM97" i="19" s="1"/>
  <c r="EL70" i="19"/>
  <c r="EL97" i="19" s="1"/>
  <c r="EK70" i="19"/>
  <c r="EK97" i="19" s="1"/>
  <c r="EJ70" i="19"/>
  <c r="EJ97" i="19" s="1"/>
  <c r="EI70" i="19"/>
  <c r="EI97" i="19" s="1"/>
  <c r="EH70" i="19"/>
  <c r="EH97" i="19" s="1"/>
  <c r="EG70" i="19"/>
  <c r="EG97" i="19" s="1"/>
  <c r="EF70" i="19"/>
  <c r="EF97" i="19" s="1"/>
  <c r="EE70" i="19"/>
  <c r="EE97" i="19" s="1"/>
  <c r="ED70" i="19"/>
  <c r="ED97" i="19" s="1"/>
  <c r="EC70" i="19"/>
  <c r="EC97" i="19" s="1"/>
  <c r="EB70" i="19"/>
  <c r="EB97" i="19" s="1"/>
  <c r="EA70" i="19"/>
  <c r="EA97" i="19" s="1"/>
  <c r="DZ70" i="19"/>
  <c r="DZ97" i="19" s="1"/>
  <c r="DY70" i="19"/>
  <c r="DY97" i="19" s="1"/>
  <c r="DX70" i="19"/>
  <c r="DX97" i="19" s="1"/>
  <c r="DW70" i="19"/>
  <c r="DW97" i="19" s="1"/>
  <c r="DV70" i="19"/>
  <c r="DV97" i="19" s="1"/>
  <c r="DU70" i="19"/>
  <c r="DU97" i="19" s="1"/>
  <c r="DT70" i="19"/>
  <c r="DT97" i="19" s="1"/>
  <c r="DS70" i="19"/>
  <c r="DS97" i="19" s="1"/>
  <c r="DR70" i="19"/>
  <c r="DR97" i="19" s="1"/>
  <c r="DQ70" i="19"/>
  <c r="DQ97" i="19" s="1"/>
  <c r="DP70" i="19"/>
  <c r="DP97" i="19" s="1"/>
  <c r="DO70" i="19"/>
  <c r="DO97" i="19" s="1"/>
  <c r="DN70" i="19"/>
  <c r="DN97" i="19" s="1"/>
  <c r="DM70" i="19"/>
  <c r="DM97" i="19" s="1"/>
  <c r="DL70" i="19"/>
  <c r="DL97" i="19" s="1"/>
  <c r="DK70" i="19"/>
  <c r="DK97" i="19" s="1"/>
  <c r="DJ70" i="19"/>
  <c r="DJ97" i="19" s="1"/>
  <c r="DI70" i="19"/>
  <c r="DI97" i="19" s="1"/>
  <c r="DH70" i="19"/>
  <c r="DH97" i="19" s="1"/>
  <c r="DG70" i="19"/>
  <c r="DG97" i="19" s="1"/>
  <c r="DF70" i="19"/>
  <c r="DF97" i="19" s="1"/>
  <c r="DE70" i="19"/>
  <c r="DE97" i="19" s="1"/>
  <c r="DD70" i="19"/>
  <c r="DD97" i="19" s="1"/>
  <c r="DC70" i="19"/>
  <c r="DC97" i="19" s="1"/>
  <c r="DB70" i="19"/>
  <c r="DB97" i="19" s="1"/>
  <c r="DA70" i="19"/>
  <c r="DA97" i="19" s="1"/>
  <c r="CZ70" i="19"/>
  <c r="CZ97" i="19" s="1"/>
  <c r="CY70" i="19"/>
  <c r="CY97" i="19" s="1"/>
  <c r="CX70" i="19"/>
  <c r="CX97" i="19" s="1"/>
  <c r="CW70" i="19"/>
  <c r="CW97" i="19" s="1"/>
  <c r="CV70" i="19"/>
  <c r="CV97" i="19" s="1"/>
  <c r="CU70" i="19"/>
  <c r="CU97" i="19" s="1"/>
  <c r="CT70" i="19"/>
  <c r="CT97" i="19" s="1"/>
  <c r="CS70" i="19"/>
  <c r="CS97" i="19" s="1"/>
  <c r="CR70" i="19"/>
  <c r="CR97" i="19" s="1"/>
  <c r="CQ70" i="19"/>
  <c r="CQ97" i="19" s="1"/>
  <c r="CP70" i="19"/>
  <c r="CP97" i="19" s="1"/>
  <c r="CO70" i="19"/>
  <c r="CO97" i="19" s="1"/>
  <c r="CN70" i="19"/>
  <c r="CN97" i="19" s="1"/>
  <c r="CM70" i="19"/>
  <c r="CM97" i="19" s="1"/>
  <c r="CL70" i="19"/>
  <c r="CL97" i="19" s="1"/>
  <c r="CK70" i="19"/>
  <c r="CK97" i="19" s="1"/>
  <c r="CJ70" i="19"/>
  <c r="CJ97" i="19" s="1"/>
  <c r="CI70" i="19"/>
  <c r="CI97" i="19" s="1"/>
  <c r="CH70" i="19"/>
  <c r="CH97" i="19" s="1"/>
  <c r="CG70" i="19"/>
  <c r="CG97" i="19" s="1"/>
  <c r="CF70" i="19"/>
  <c r="CF97" i="19" s="1"/>
  <c r="CE70" i="19"/>
  <c r="CE97" i="19" s="1"/>
  <c r="CD70" i="19"/>
  <c r="CD97" i="19" s="1"/>
  <c r="CC70" i="19"/>
  <c r="CC97" i="19" s="1"/>
  <c r="CB70" i="19"/>
  <c r="CB97" i="19" s="1"/>
  <c r="CA70" i="19"/>
  <c r="CA97" i="19" s="1"/>
  <c r="BZ70" i="19"/>
  <c r="BZ97" i="19" s="1"/>
  <c r="BY70" i="19"/>
  <c r="BY97" i="19" s="1"/>
  <c r="BX70" i="19"/>
  <c r="BX97" i="19" s="1"/>
  <c r="BW70" i="19"/>
  <c r="BW97" i="19" s="1"/>
  <c r="BV70" i="19"/>
  <c r="BV97" i="19" s="1"/>
  <c r="BU70" i="19"/>
  <c r="BU97" i="19" s="1"/>
  <c r="BT70" i="19"/>
  <c r="BT97" i="19" s="1"/>
  <c r="BS70" i="19"/>
  <c r="BS97" i="19" s="1"/>
  <c r="BR70" i="19"/>
  <c r="BR97" i="19" s="1"/>
  <c r="BQ70" i="19"/>
  <c r="BQ97" i="19" s="1"/>
  <c r="BP70" i="19"/>
  <c r="BP97" i="19" s="1"/>
  <c r="BO70" i="19"/>
  <c r="BO97" i="19" s="1"/>
  <c r="BN70" i="19"/>
  <c r="BN97" i="19" s="1"/>
  <c r="BM70" i="19"/>
  <c r="BM97" i="19" s="1"/>
  <c r="BL70" i="19"/>
  <c r="BL97" i="19" s="1"/>
  <c r="BK70" i="19"/>
  <c r="BK97" i="19" s="1"/>
  <c r="BJ70" i="19"/>
  <c r="BJ97" i="19" s="1"/>
  <c r="BI70" i="19"/>
  <c r="BI97" i="19" s="1"/>
  <c r="BH70" i="19"/>
  <c r="BH97" i="19" s="1"/>
  <c r="BG70" i="19"/>
  <c r="BG97" i="19" s="1"/>
  <c r="BF70" i="19"/>
  <c r="BF97" i="19" s="1"/>
  <c r="BE70" i="19"/>
  <c r="BE97" i="19" s="1"/>
  <c r="BD70" i="19"/>
  <c r="BD97" i="19" s="1"/>
  <c r="BC70" i="19"/>
  <c r="BC97" i="19" s="1"/>
  <c r="BB70" i="19"/>
  <c r="BB97" i="19" s="1"/>
  <c r="BA70" i="19"/>
  <c r="BA97" i="19" s="1"/>
  <c r="AZ70" i="19"/>
  <c r="AZ97" i="19" s="1"/>
  <c r="AY70" i="19"/>
  <c r="AY97" i="19" s="1"/>
  <c r="AX70" i="19"/>
  <c r="AX97" i="19" s="1"/>
  <c r="AW70" i="19"/>
  <c r="AW97" i="19" s="1"/>
  <c r="AV70" i="19"/>
  <c r="AV97" i="19" s="1"/>
  <c r="AU70" i="19"/>
  <c r="AU97" i="19" s="1"/>
  <c r="AT70" i="19"/>
  <c r="AT97" i="19" s="1"/>
  <c r="AS70" i="19"/>
  <c r="AS97" i="19" s="1"/>
  <c r="AR70" i="19"/>
  <c r="AR97" i="19" s="1"/>
  <c r="AQ70" i="19"/>
  <c r="AP70" i="19"/>
  <c r="AO70" i="19"/>
  <c r="AN70" i="19"/>
  <c r="AM70" i="19"/>
  <c r="AL70" i="19"/>
  <c r="AK70" i="19"/>
  <c r="AJ70" i="19"/>
  <c r="AI70" i="19"/>
  <c r="AH70" i="19"/>
  <c r="AG70" i="19"/>
  <c r="AF70" i="19"/>
  <c r="AE70" i="19"/>
  <c r="AD70" i="19"/>
  <c r="AC70" i="19"/>
  <c r="AB70" i="19"/>
  <c r="AA70" i="19"/>
  <c r="Z70" i="19"/>
  <c r="Y70" i="19"/>
  <c r="X70" i="19"/>
  <c r="W70" i="19"/>
  <c r="V70" i="19"/>
  <c r="U70" i="19"/>
  <c r="T70" i="19"/>
  <c r="S70" i="19"/>
  <c r="R70" i="19"/>
  <c r="Q70" i="19"/>
  <c r="P70" i="19"/>
  <c r="O70" i="19"/>
  <c r="N70" i="19"/>
  <c r="M70" i="19"/>
  <c r="L70" i="19"/>
  <c r="K70" i="19"/>
  <c r="J70" i="19"/>
  <c r="I70" i="19"/>
  <c r="H70" i="19"/>
  <c r="G70" i="19"/>
  <c r="F70" i="19"/>
  <c r="GQ69" i="19"/>
  <c r="GQ96" i="19" s="1"/>
  <c r="GP69" i="19"/>
  <c r="GP96" i="19" s="1"/>
  <c r="GO69" i="19"/>
  <c r="GO96" i="19" s="1"/>
  <c r="GN69" i="19"/>
  <c r="GN96" i="19" s="1"/>
  <c r="GM69" i="19"/>
  <c r="GM96" i="19" s="1"/>
  <c r="GL69" i="19"/>
  <c r="GL96" i="19" s="1"/>
  <c r="GK69" i="19"/>
  <c r="GK96" i="19" s="1"/>
  <c r="GJ69" i="19"/>
  <c r="GJ96" i="19" s="1"/>
  <c r="GI69" i="19"/>
  <c r="GI96" i="19" s="1"/>
  <c r="GH69" i="19"/>
  <c r="GH96" i="19" s="1"/>
  <c r="GG69" i="19"/>
  <c r="GG96" i="19" s="1"/>
  <c r="GF69" i="19"/>
  <c r="GF96" i="19" s="1"/>
  <c r="GE69" i="19"/>
  <c r="GE96" i="19" s="1"/>
  <c r="GD69" i="19"/>
  <c r="GD96" i="19" s="1"/>
  <c r="GC69" i="19"/>
  <c r="GC96" i="19" s="1"/>
  <c r="GB69" i="19"/>
  <c r="GB96" i="19" s="1"/>
  <c r="GA69" i="19"/>
  <c r="GA96" i="19" s="1"/>
  <c r="FZ69" i="19"/>
  <c r="FZ96" i="19" s="1"/>
  <c r="FY69" i="19"/>
  <c r="FY96" i="19" s="1"/>
  <c r="FX69" i="19"/>
  <c r="FX96" i="19" s="1"/>
  <c r="FW69" i="19"/>
  <c r="FW96" i="19" s="1"/>
  <c r="FV69" i="19"/>
  <c r="FV96" i="19" s="1"/>
  <c r="FU69" i="19"/>
  <c r="FU96" i="19" s="1"/>
  <c r="FT69" i="19"/>
  <c r="FT96" i="19" s="1"/>
  <c r="FS69" i="19"/>
  <c r="FS96" i="19" s="1"/>
  <c r="FR69" i="19"/>
  <c r="FR96" i="19" s="1"/>
  <c r="FQ69" i="19"/>
  <c r="FQ96" i="19" s="1"/>
  <c r="FP69" i="19"/>
  <c r="FP96" i="19" s="1"/>
  <c r="FO69" i="19"/>
  <c r="FO96" i="19" s="1"/>
  <c r="FN69" i="19"/>
  <c r="FN96" i="19" s="1"/>
  <c r="FM69" i="19"/>
  <c r="FM96" i="19" s="1"/>
  <c r="FL69" i="19"/>
  <c r="FL96" i="19" s="1"/>
  <c r="FK69" i="19"/>
  <c r="FK96" i="19" s="1"/>
  <c r="FJ69" i="19"/>
  <c r="FJ96" i="19" s="1"/>
  <c r="FI69" i="19"/>
  <c r="FI96" i="19" s="1"/>
  <c r="FH69" i="19"/>
  <c r="FH96" i="19" s="1"/>
  <c r="FG69" i="19"/>
  <c r="FG96" i="19" s="1"/>
  <c r="FF69" i="19"/>
  <c r="FF96" i="19" s="1"/>
  <c r="FE69" i="19"/>
  <c r="FE96" i="19" s="1"/>
  <c r="FD69" i="19"/>
  <c r="FD96" i="19" s="1"/>
  <c r="FC69" i="19"/>
  <c r="FC96" i="19" s="1"/>
  <c r="FB69" i="19"/>
  <c r="FB96" i="19" s="1"/>
  <c r="FA69" i="19"/>
  <c r="FA96" i="19" s="1"/>
  <c r="EZ69" i="19"/>
  <c r="EZ96" i="19" s="1"/>
  <c r="EY69" i="19"/>
  <c r="EY96" i="19" s="1"/>
  <c r="EX69" i="19"/>
  <c r="EX96" i="19" s="1"/>
  <c r="EW69" i="19"/>
  <c r="EW96" i="19" s="1"/>
  <c r="EV69" i="19"/>
  <c r="EV96" i="19" s="1"/>
  <c r="EU69" i="19"/>
  <c r="EU96" i="19" s="1"/>
  <c r="ET69" i="19"/>
  <c r="ET96" i="19" s="1"/>
  <c r="ES69" i="19"/>
  <c r="ES96" i="19" s="1"/>
  <c r="ER69" i="19"/>
  <c r="ER96" i="19" s="1"/>
  <c r="EQ69" i="19"/>
  <c r="EQ96" i="19" s="1"/>
  <c r="EP69" i="19"/>
  <c r="EP96" i="19" s="1"/>
  <c r="EO69" i="19"/>
  <c r="EO96" i="19" s="1"/>
  <c r="EN69" i="19"/>
  <c r="EN96" i="19" s="1"/>
  <c r="EM69" i="19"/>
  <c r="EM96" i="19" s="1"/>
  <c r="EL69" i="19"/>
  <c r="EL96" i="19" s="1"/>
  <c r="EK69" i="19"/>
  <c r="EK96" i="19" s="1"/>
  <c r="EJ69" i="19"/>
  <c r="EJ96" i="19" s="1"/>
  <c r="EI69" i="19"/>
  <c r="EI96" i="19" s="1"/>
  <c r="EH69" i="19"/>
  <c r="EH96" i="19" s="1"/>
  <c r="EG69" i="19"/>
  <c r="EG96" i="19" s="1"/>
  <c r="EF69" i="19"/>
  <c r="EF96" i="19" s="1"/>
  <c r="EE69" i="19"/>
  <c r="EE96" i="19" s="1"/>
  <c r="ED69" i="19"/>
  <c r="ED96" i="19" s="1"/>
  <c r="EC69" i="19"/>
  <c r="EC96" i="19" s="1"/>
  <c r="EB69" i="19"/>
  <c r="EB96" i="19" s="1"/>
  <c r="EA69" i="19"/>
  <c r="EA96" i="19" s="1"/>
  <c r="DZ69" i="19"/>
  <c r="DZ96" i="19" s="1"/>
  <c r="DY69" i="19"/>
  <c r="DY96" i="19" s="1"/>
  <c r="DX69" i="19"/>
  <c r="DX96" i="19" s="1"/>
  <c r="DW69" i="19"/>
  <c r="DW96" i="19" s="1"/>
  <c r="DV69" i="19"/>
  <c r="DV96" i="19" s="1"/>
  <c r="DU69" i="19"/>
  <c r="DU96" i="19" s="1"/>
  <c r="DT69" i="19"/>
  <c r="DT96" i="19" s="1"/>
  <c r="DS69" i="19"/>
  <c r="DS96" i="19" s="1"/>
  <c r="DR69" i="19"/>
  <c r="DR96" i="19" s="1"/>
  <c r="DQ69" i="19"/>
  <c r="DQ96" i="19" s="1"/>
  <c r="DP69" i="19"/>
  <c r="DP96" i="19" s="1"/>
  <c r="DO69" i="19"/>
  <c r="DO96" i="19" s="1"/>
  <c r="DN69" i="19"/>
  <c r="DN96" i="19" s="1"/>
  <c r="DM69" i="19"/>
  <c r="DM96" i="19" s="1"/>
  <c r="DL69" i="19"/>
  <c r="DL96" i="19" s="1"/>
  <c r="DK69" i="19"/>
  <c r="DK96" i="19" s="1"/>
  <c r="DJ69" i="19"/>
  <c r="DJ96" i="19" s="1"/>
  <c r="DI69" i="19"/>
  <c r="DI96" i="19" s="1"/>
  <c r="DH69" i="19"/>
  <c r="DH96" i="19" s="1"/>
  <c r="DG69" i="19"/>
  <c r="DG96" i="19" s="1"/>
  <c r="DF69" i="19"/>
  <c r="DF96" i="19" s="1"/>
  <c r="DE69" i="19"/>
  <c r="DE96" i="19" s="1"/>
  <c r="DD69" i="19"/>
  <c r="DD96" i="19" s="1"/>
  <c r="DC69" i="19"/>
  <c r="DC96" i="19" s="1"/>
  <c r="DB69" i="19"/>
  <c r="DB96" i="19" s="1"/>
  <c r="DA69" i="19"/>
  <c r="DA96" i="19" s="1"/>
  <c r="CZ69" i="19"/>
  <c r="CZ96" i="19" s="1"/>
  <c r="CY69" i="19"/>
  <c r="CY96" i="19" s="1"/>
  <c r="CX69" i="19"/>
  <c r="CX96" i="19" s="1"/>
  <c r="CW69" i="19"/>
  <c r="CW96" i="19" s="1"/>
  <c r="CV69" i="19"/>
  <c r="CV96" i="19" s="1"/>
  <c r="CU69" i="19"/>
  <c r="CU96" i="19" s="1"/>
  <c r="CT69" i="19"/>
  <c r="CT96" i="19" s="1"/>
  <c r="CS69" i="19"/>
  <c r="CS96" i="19" s="1"/>
  <c r="CR69" i="19"/>
  <c r="CR96" i="19" s="1"/>
  <c r="CQ69" i="19"/>
  <c r="CQ96" i="19" s="1"/>
  <c r="CP69" i="19"/>
  <c r="CP96" i="19" s="1"/>
  <c r="CO69" i="19"/>
  <c r="CO96" i="19" s="1"/>
  <c r="CN69" i="19"/>
  <c r="CN96" i="19" s="1"/>
  <c r="CM69" i="19"/>
  <c r="CM96" i="19" s="1"/>
  <c r="CL69" i="19"/>
  <c r="CL96" i="19" s="1"/>
  <c r="CK69" i="19"/>
  <c r="CK96" i="19" s="1"/>
  <c r="CJ69" i="19"/>
  <c r="CJ96" i="19" s="1"/>
  <c r="CI69" i="19"/>
  <c r="CI96" i="19" s="1"/>
  <c r="CH69" i="19"/>
  <c r="CH96" i="19" s="1"/>
  <c r="CG69" i="19"/>
  <c r="CG96" i="19" s="1"/>
  <c r="CF69" i="19"/>
  <c r="CF96" i="19" s="1"/>
  <c r="CE69" i="19"/>
  <c r="CE96" i="19" s="1"/>
  <c r="CD69" i="19"/>
  <c r="CD96" i="19" s="1"/>
  <c r="CC69" i="19"/>
  <c r="CC96" i="19" s="1"/>
  <c r="CB69" i="19"/>
  <c r="CB96" i="19" s="1"/>
  <c r="CA69" i="19"/>
  <c r="CA96" i="19" s="1"/>
  <c r="BZ69" i="19"/>
  <c r="BZ96" i="19" s="1"/>
  <c r="BY69" i="19"/>
  <c r="BY96" i="19" s="1"/>
  <c r="BX69" i="19"/>
  <c r="BX96" i="19" s="1"/>
  <c r="BW69" i="19"/>
  <c r="BW96" i="19" s="1"/>
  <c r="BV69" i="19"/>
  <c r="BV96" i="19" s="1"/>
  <c r="BU69" i="19"/>
  <c r="BU96" i="19" s="1"/>
  <c r="BT69" i="19"/>
  <c r="BT96" i="19" s="1"/>
  <c r="BS69" i="19"/>
  <c r="BS96" i="19" s="1"/>
  <c r="BR69" i="19"/>
  <c r="BR96" i="19" s="1"/>
  <c r="BQ69" i="19"/>
  <c r="BQ96" i="19" s="1"/>
  <c r="BP69" i="19"/>
  <c r="BP96" i="19" s="1"/>
  <c r="BO69" i="19"/>
  <c r="BO96" i="19" s="1"/>
  <c r="BN69" i="19"/>
  <c r="BN96" i="19" s="1"/>
  <c r="BM69" i="19"/>
  <c r="BM96" i="19" s="1"/>
  <c r="BL69" i="19"/>
  <c r="BL96" i="19" s="1"/>
  <c r="BK69" i="19"/>
  <c r="BK96" i="19" s="1"/>
  <c r="BJ69" i="19"/>
  <c r="BJ96" i="19" s="1"/>
  <c r="BI69" i="19"/>
  <c r="BI96" i="19" s="1"/>
  <c r="BH69" i="19"/>
  <c r="BH96" i="19" s="1"/>
  <c r="BG69" i="19"/>
  <c r="BG96" i="19" s="1"/>
  <c r="BF69" i="19"/>
  <c r="BF96" i="19" s="1"/>
  <c r="BE69" i="19"/>
  <c r="BE96" i="19" s="1"/>
  <c r="BD69" i="19"/>
  <c r="BD96" i="19" s="1"/>
  <c r="BC69" i="19"/>
  <c r="BC96" i="19" s="1"/>
  <c r="BB69" i="19"/>
  <c r="BB96" i="19" s="1"/>
  <c r="BA69" i="19"/>
  <c r="BA96" i="19" s="1"/>
  <c r="AZ69" i="19"/>
  <c r="AZ96" i="19" s="1"/>
  <c r="AY69" i="19"/>
  <c r="AY96" i="19" s="1"/>
  <c r="AX69" i="19"/>
  <c r="AX96" i="19" s="1"/>
  <c r="AW69" i="19"/>
  <c r="AW96" i="19" s="1"/>
  <c r="AV69" i="19"/>
  <c r="AV96" i="19" s="1"/>
  <c r="AU69" i="19"/>
  <c r="AU96" i="19" s="1"/>
  <c r="AT69" i="19"/>
  <c r="AT96" i="19" s="1"/>
  <c r="AS69" i="19"/>
  <c r="AS96" i="19" s="1"/>
  <c r="AR69" i="19"/>
  <c r="AR96" i="19" s="1"/>
  <c r="AQ69" i="19"/>
  <c r="AQ96" i="19" s="1"/>
  <c r="AP69" i="19"/>
  <c r="AP96" i="19" s="1"/>
  <c r="AO69" i="19"/>
  <c r="AO96" i="19" s="1"/>
  <c r="AN69" i="19"/>
  <c r="AN96" i="19" s="1"/>
  <c r="AM69" i="19"/>
  <c r="AM96" i="19" s="1"/>
  <c r="AL69" i="19"/>
  <c r="AL96" i="19" s="1"/>
  <c r="AK69" i="19"/>
  <c r="AK96" i="19" s="1"/>
  <c r="AJ69" i="19"/>
  <c r="AJ96" i="19" s="1"/>
  <c r="AI69" i="19"/>
  <c r="AI96" i="19" s="1"/>
  <c r="AH69" i="19"/>
  <c r="AH96" i="19" s="1"/>
  <c r="AG69" i="19"/>
  <c r="AG96" i="19" s="1"/>
  <c r="AF69" i="19"/>
  <c r="AE69" i="19"/>
  <c r="AD69" i="19"/>
  <c r="AC69" i="19"/>
  <c r="AB69" i="19"/>
  <c r="AA69" i="19"/>
  <c r="Z69" i="19"/>
  <c r="Y69" i="19"/>
  <c r="X69" i="19"/>
  <c r="W69" i="19"/>
  <c r="V69" i="19"/>
  <c r="U69" i="19"/>
  <c r="T69" i="19"/>
  <c r="S69" i="19"/>
  <c r="R69" i="19"/>
  <c r="Q69" i="19"/>
  <c r="P69" i="19"/>
  <c r="O69" i="19"/>
  <c r="N69" i="19"/>
  <c r="M69" i="19"/>
  <c r="L69" i="19"/>
  <c r="K69" i="19"/>
  <c r="J69" i="19"/>
  <c r="I69" i="19"/>
  <c r="H69" i="19"/>
  <c r="G69" i="19"/>
  <c r="F69" i="19"/>
  <c r="GQ68" i="19"/>
  <c r="GQ95" i="19" s="1"/>
  <c r="GP68" i="19"/>
  <c r="GP95" i="19" s="1"/>
  <c r="GO68" i="19"/>
  <c r="GO95" i="19" s="1"/>
  <c r="GN68" i="19"/>
  <c r="GN95" i="19" s="1"/>
  <c r="GM68" i="19"/>
  <c r="GM95" i="19" s="1"/>
  <c r="GL68" i="19"/>
  <c r="GL95" i="19" s="1"/>
  <c r="GK68" i="19"/>
  <c r="GK95" i="19" s="1"/>
  <c r="GJ68" i="19"/>
  <c r="GJ95" i="19" s="1"/>
  <c r="GI68" i="19"/>
  <c r="GI95" i="19" s="1"/>
  <c r="GH68" i="19"/>
  <c r="GH95" i="19" s="1"/>
  <c r="GG68" i="19"/>
  <c r="GG95" i="19" s="1"/>
  <c r="GF68" i="19"/>
  <c r="GF95" i="19" s="1"/>
  <c r="GE68" i="19"/>
  <c r="GE95" i="19" s="1"/>
  <c r="GD68" i="19"/>
  <c r="GD95" i="19" s="1"/>
  <c r="GC68" i="19"/>
  <c r="GC95" i="19" s="1"/>
  <c r="GB68" i="19"/>
  <c r="GB95" i="19" s="1"/>
  <c r="GA68" i="19"/>
  <c r="GA95" i="19" s="1"/>
  <c r="FZ68" i="19"/>
  <c r="FZ95" i="19" s="1"/>
  <c r="FY68" i="19"/>
  <c r="FY95" i="19" s="1"/>
  <c r="FX68" i="19"/>
  <c r="FX95" i="19" s="1"/>
  <c r="FW68" i="19"/>
  <c r="FW95" i="19" s="1"/>
  <c r="FV68" i="19"/>
  <c r="FV95" i="19" s="1"/>
  <c r="FU68" i="19"/>
  <c r="FU95" i="19" s="1"/>
  <c r="FT68" i="19"/>
  <c r="FT95" i="19" s="1"/>
  <c r="FS68" i="19"/>
  <c r="FS95" i="19" s="1"/>
  <c r="FR68" i="19"/>
  <c r="FR95" i="19" s="1"/>
  <c r="FQ68" i="19"/>
  <c r="FQ95" i="19" s="1"/>
  <c r="FP68" i="19"/>
  <c r="FP95" i="19" s="1"/>
  <c r="FO68" i="19"/>
  <c r="FO95" i="19" s="1"/>
  <c r="FN68" i="19"/>
  <c r="FN95" i="19" s="1"/>
  <c r="FM68" i="19"/>
  <c r="FM95" i="19" s="1"/>
  <c r="FL68" i="19"/>
  <c r="FL95" i="19" s="1"/>
  <c r="FK68" i="19"/>
  <c r="FK95" i="19" s="1"/>
  <c r="FJ68" i="19"/>
  <c r="FJ95" i="19" s="1"/>
  <c r="FI68" i="19"/>
  <c r="FI95" i="19" s="1"/>
  <c r="FH68" i="19"/>
  <c r="FH95" i="19" s="1"/>
  <c r="FG68" i="19"/>
  <c r="FG95" i="19" s="1"/>
  <c r="FF68" i="19"/>
  <c r="FF95" i="19" s="1"/>
  <c r="FE68" i="19"/>
  <c r="FE95" i="19" s="1"/>
  <c r="FD68" i="19"/>
  <c r="FD95" i="19" s="1"/>
  <c r="FC68" i="19"/>
  <c r="FC95" i="19" s="1"/>
  <c r="FB68" i="19"/>
  <c r="FB95" i="19" s="1"/>
  <c r="FA68" i="19"/>
  <c r="FA95" i="19" s="1"/>
  <c r="EZ68" i="19"/>
  <c r="EZ95" i="19" s="1"/>
  <c r="EY68" i="19"/>
  <c r="EY95" i="19" s="1"/>
  <c r="EX68" i="19"/>
  <c r="EX95" i="19" s="1"/>
  <c r="EW68" i="19"/>
  <c r="EW95" i="19" s="1"/>
  <c r="EV68" i="19"/>
  <c r="EV95" i="19" s="1"/>
  <c r="EU68" i="19"/>
  <c r="EU95" i="19" s="1"/>
  <c r="ET68" i="19"/>
  <c r="ET95" i="19" s="1"/>
  <c r="ES68" i="19"/>
  <c r="ES95" i="19" s="1"/>
  <c r="ER68" i="19"/>
  <c r="ER95" i="19" s="1"/>
  <c r="EQ68" i="19"/>
  <c r="EQ95" i="19" s="1"/>
  <c r="EP68" i="19"/>
  <c r="EP95" i="19" s="1"/>
  <c r="EO68" i="19"/>
  <c r="EO95" i="19" s="1"/>
  <c r="EN68" i="19"/>
  <c r="EN95" i="19" s="1"/>
  <c r="EM68" i="19"/>
  <c r="EM95" i="19" s="1"/>
  <c r="EL68" i="19"/>
  <c r="EL95" i="19" s="1"/>
  <c r="EK68" i="19"/>
  <c r="EK95" i="19" s="1"/>
  <c r="EJ68" i="19"/>
  <c r="EJ95" i="19" s="1"/>
  <c r="EI68" i="19"/>
  <c r="EI95" i="19" s="1"/>
  <c r="EH68" i="19"/>
  <c r="EH95" i="19" s="1"/>
  <c r="EG68" i="19"/>
  <c r="EG95" i="19" s="1"/>
  <c r="EF68" i="19"/>
  <c r="EF95" i="19" s="1"/>
  <c r="EE68" i="19"/>
  <c r="EE95" i="19" s="1"/>
  <c r="ED68" i="19"/>
  <c r="ED95" i="19" s="1"/>
  <c r="EC68" i="19"/>
  <c r="EC95" i="19" s="1"/>
  <c r="EB68" i="19"/>
  <c r="EB95" i="19" s="1"/>
  <c r="EA68" i="19"/>
  <c r="EA95" i="19" s="1"/>
  <c r="DZ68" i="19"/>
  <c r="DZ95" i="19" s="1"/>
  <c r="DY68" i="19"/>
  <c r="DY95" i="19" s="1"/>
  <c r="DX68" i="19"/>
  <c r="DX95" i="19" s="1"/>
  <c r="DW68" i="19"/>
  <c r="DW95" i="19" s="1"/>
  <c r="DV68" i="19"/>
  <c r="DV95" i="19" s="1"/>
  <c r="DU68" i="19"/>
  <c r="DU95" i="19" s="1"/>
  <c r="DT68" i="19"/>
  <c r="DT95" i="19" s="1"/>
  <c r="DS68" i="19"/>
  <c r="DS95" i="19" s="1"/>
  <c r="DR68" i="19"/>
  <c r="DR95" i="19" s="1"/>
  <c r="DQ68" i="19"/>
  <c r="DQ95" i="19" s="1"/>
  <c r="DP68" i="19"/>
  <c r="DP95" i="19" s="1"/>
  <c r="DO68" i="19"/>
  <c r="DO95" i="19" s="1"/>
  <c r="DN68" i="19"/>
  <c r="DN95" i="19" s="1"/>
  <c r="DM68" i="19"/>
  <c r="DM95" i="19" s="1"/>
  <c r="DL68" i="19"/>
  <c r="DL95" i="19" s="1"/>
  <c r="DK68" i="19"/>
  <c r="DK95" i="19" s="1"/>
  <c r="DJ68" i="19"/>
  <c r="DJ95" i="19" s="1"/>
  <c r="DI68" i="19"/>
  <c r="DI95" i="19" s="1"/>
  <c r="DH68" i="19"/>
  <c r="DH95" i="19" s="1"/>
  <c r="DG68" i="19"/>
  <c r="DG95" i="19" s="1"/>
  <c r="DF68" i="19"/>
  <c r="DF95" i="19" s="1"/>
  <c r="DE68" i="19"/>
  <c r="DE95" i="19" s="1"/>
  <c r="DD68" i="19"/>
  <c r="DD95" i="19" s="1"/>
  <c r="DC68" i="19"/>
  <c r="DC95" i="19" s="1"/>
  <c r="DB68" i="19"/>
  <c r="DB95" i="19" s="1"/>
  <c r="DA68" i="19"/>
  <c r="DA95" i="19" s="1"/>
  <c r="CZ68" i="19"/>
  <c r="CZ95" i="19" s="1"/>
  <c r="CY68" i="19"/>
  <c r="CY95" i="19" s="1"/>
  <c r="CX68" i="19"/>
  <c r="CX95" i="19" s="1"/>
  <c r="CW68" i="19"/>
  <c r="CW95" i="19" s="1"/>
  <c r="CV68" i="19"/>
  <c r="CV95" i="19" s="1"/>
  <c r="CU68" i="19"/>
  <c r="CU95" i="19" s="1"/>
  <c r="CT68" i="19"/>
  <c r="CT95" i="19" s="1"/>
  <c r="CS68" i="19"/>
  <c r="CS95" i="19" s="1"/>
  <c r="CR68" i="19"/>
  <c r="CR95" i="19" s="1"/>
  <c r="CQ68" i="19"/>
  <c r="CQ95" i="19" s="1"/>
  <c r="CP68" i="19"/>
  <c r="CP95" i="19" s="1"/>
  <c r="CO68" i="19"/>
  <c r="CO95" i="19" s="1"/>
  <c r="CN68" i="19"/>
  <c r="CN95" i="19" s="1"/>
  <c r="CM68" i="19"/>
  <c r="CM95" i="19" s="1"/>
  <c r="CL68" i="19"/>
  <c r="CL95" i="19" s="1"/>
  <c r="CK68" i="19"/>
  <c r="CK95" i="19" s="1"/>
  <c r="CJ68" i="19"/>
  <c r="CJ95" i="19" s="1"/>
  <c r="CI68" i="19"/>
  <c r="CI95" i="19" s="1"/>
  <c r="CH68" i="19"/>
  <c r="CH95" i="19" s="1"/>
  <c r="CG68" i="19"/>
  <c r="CG95" i="19" s="1"/>
  <c r="CF68" i="19"/>
  <c r="CF95" i="19" s="1"/>
  <c r="CE68" i="19"/>
  <c r="CE95" i="19" s="1"/>
  <c r="CD68" i="19"/>
  <c r="CD95" i="19" s="1"/>
  <c r="CC68" i="19"/>
  <c r="CC95" i="19" s="1"/>
  <c r="CB68" i="19"/>
  <c r="CB95" i="19" s="1"/>
  <c r="CA68" i="19"/>
  <c r="CA95" i="19" s="1"/>
  <c r="BZ68" i="19"/>
  <c r="BZ95" i="19" s="1"/>
  <c r="BY68" i="19"/>
  <c r="BY95" i="19" s="1"/>
  <c r="BX68" i="19"/>
  <c r="BX95" i="19" s="1"/>
  <c r="BW68" i="19"/>
  <c r="BW95" i="19" s="1"/>
  <c r="BV68" i="19"/>
  <c r="BV95" i="19" s="1"/>
  <c r="BU68" i="19"/>
  <c r="BU95" i="19" s="1"/>
  <c r="BT68" i="19"/>
  <c r="BT95" i="19" s="1"/>
  <c r="BS68" i="19"/>
  <c r="BS95" i="19" s="1"/>
  <c r="BR68" i="19"/>
  <c r="BR95" i="19" s="1"/>
  <c r="BQ68" i="19"/>
  <c r="BQ95" i="19" s="1"/>
  <c r="BP68" i="19"/>
  <c r="BP95" i="19" s="1"/>
  <c r="BO68" i="19"/>
  <c r="BO95" i="19" s="1"/>
  <c r="BN68" i="19"/>
  <c r="BN95" i="19" s="1"/>
  <c r="BM68" i="19"/>
  <c r="BM95" i="19" s="1"/>
  <c r="BL68" i="19"/>
  <c r="BL95" i="19" s="1"/>
  <c r="BK68" i="19"/>
  <c r="BK95" i="19" s="1"/>
  <c r="BJ68" i="19"/>
  <c r="BJ95" i="19" s="1"/>
  <c r="BI68" i="19"/>
  <c r="BI95" i="19" s="1"/>
  <c r="BH68" i="19"/>
  <c r="BH95" i="19" s="1"/>
  <c r="BG68" i="19"/>
  <c r="BG95" i="19" s="1"/>
  <c r="BF68" i="19"/>
  <c r="BF95" i="19" s="1"/>
  <c r="BE68" i="19"/>
  <c r="BE95" i="19" s="1"/>
  <c r="BD68" i="19"/>
  <c r="BD95" i="19" s="1"/>
  <c r="BC68" i="19"/>
  <c r="BC95" i="19" s="1"/>
  <c r="BB68" i="19"/>
  <c r="BB95" i="19" s="1"/>
  <c r="BA68" i="19"/>
  <c r="BA95" i="19" s="1"/>
  <c r="AZ68" i="19"/>
  <c r="AZ95" i="19" s="1"/>
  <c r="AY68" i="19"/>
  <c r="AY95" i="19" s="1"/>
  <c r="AX68" i="19"/>
  <c r="AX95" i="19" s="1"/>
  <c r="AW68" i="19"/>
  <c r="AW95" i="19" s="1"/>
  <c r="AV68" i="19"/>
  <c r="AV95" i="19" s="1"/>
  <c r="AU68" i="19"/>
  <c r="AU95" i="19" s="1"/>
  <c r="AT68" i="19"/>
  <c r="AT95" i="19" s="1"/>
  <c r="AS68" i="19"/>
  <c r="AS95" i="19" s="1"/>
  <c r="AR68" i="19"/>
  <c r="AR95" i="19" s="1"/>
  <c r="AQ68" i="19"/>
  <c r="AQ95" i="19" s="1"/>
  <c r="AP68" i="19"/>
  <c r="AP95" i="19" s="1"/>
  <c r="AO68" i="19"/>
  <c r="AO95" i="19" s="1"/>
  <c r="AN68" i="19"/>
  <c r="AN95" i="19" s="1"/>
  <c r="AM68" i="19"/>
  <c r="AM95" i="19" s="1"/>
  <c r="AL68" i="19"/>
  <c r="AL95" i="19" s="1"/>
  <c r="AK68" i="19"/>
  <c r="AK95" i="19" s="1"/>
  <c r="AJ68" i="19"/>
  <c r="AJ95" i="19" s="1"/>
  <c r="AI68" i="19"/>
  <c r="AI95" i="19" s="1"/>
  <c r="AH68" i="19"/>
  <c r="AH95" i="19" s="1"/>
  <c r="AG68" i="19"/>
  <c r="AG95" i="19" s="1"/>
  <c r="AF68" i="19"/>
  <c r="AE68" i="19"/>
  <c r="AD68" i="19"/>
  <c r="AC68" i="19"/>
  <c r="AB68" i="19"/>
  <c r="AA68" i="19"/>
  <c r="Z68" i="19"/>
  <c r="Y68" i="19"/>
  <c r="X68" i="19"/>
  <c r="W68" i="19"/>
  <c r="V68" i="19"/>
  <c r="U68" i="19"/>
  <c r="T68" i="19"/>
  <c r="S68" i="19"/>
  <c r="R68" i="19"/>
  <c r="Q68" i="19"/>
  <c r="P68" i="19"/>
  <c r="O68" i="19"/>
  <c r="N68" i="19"/>
  <c r="M68" i="19"/>
  <c r="L68" i="19"/>
  <c r="K68" i="19"/>
  <c r="J68" i="19"/>
  <c r="I68" i="19"/>
  <c r="H68" i="19"/>
  <c r="G68" i="19"/>
  <c r="F68" i="19"/>
  <c r="GQ67" i="19"/>
  <c r="GQ94" i="19" s="1"/>
  <c r="GP67" i="19"/>
  <c r="GP94" i="19" s="1"/>
  <c r="GO67" i="19"/>
  <c r="GO94" i="19" s="1"/>
  <c r="GN67" i="19"/>
  <c r="GN94" i="19" s="1"/>
  <c r="GM67" i="19"/>
  <c r="GM94" i="19" s="1"/>
  <c r="GL67" i="19"/>
  <c r="GL94" i="19" s="1"/>
  <c r="GK67" i="19"/>
  <c r="GK94" i="19" s="1"/>
  <c r="GJ67" i="19"/>
  <c r="GJ94" i="19" s="1"/>
  <c r="GI67" i="19"/>
  <c r="GI94" i="19" s="1"/>
  <c r="GH67" i="19"/>
  <c r="GH94" i="19" s="1"/>
  <c r="GG67" i="19"/>
  <c r="GG94" i="19" s="1"/>
  <c r="GF67" i="19"/>
  <c r="GF94" i="19" s="1"/>
  <c r="GE67" i="19"/>
  <c r="GE94" i="19" s="1"/>
  <c r="GD67" i="19"/>
  <c r="GD94" i="19" s="1"/>
  <c r="GC67" i="19"/>
  <c r="GC94" i="19" s="1"/>
  <c r="GB67" i="19"/>
  <c r="GB94" i="19" s="1"/>
  <c r="GA67" i="19"/>
  <c r="GA94" i="19" s="1"/>
  <c r="FZ67" i="19"/>
  <c r="FZ94" i="19" s="1"/>
  <c r="FY67" i="19"/>
  <c r="FY94" i="19" s="1"/>
  <c r="FX67" i="19"/>
  <c r="FX94" i="19" s="1"/>
  <c r="FW67" i="19"/>
  <c r="FW94" i="19" s="1"/>
  <c r="FV67" i="19"/>
  <c r="FV94" i="19" s="1"/>
  <c r="FU67" i="19"/>
  <c r="FU94" i="19" s="1"/>
  <c r="FT67" i="19"/>
  <c r="FT94" i="19" s="1"/>
  <c r="FS67" i="19"/>
  <c r="FS94" i="19" s="1"/>
  <c r="FR67" i="19"/>
  <c r="FR94" i="19" s="1"/>
  <c r="FQ67" i="19"/>
  <c r="FQ94" i="19" s="1"/>
  <c r="FP67" i="19"/>
  <c r="FP94" i="19" s="1"/>
  <c r="FO67" i="19"/>
  <c r="FO94" i="19" s="1"/>
  <c r="FN67" i="19"/>
  <c r="FN94" i="19" s="1"/>
  <c r="FM67" i="19"/>
  <c r="FM94" i="19" s="1"/>
  <c r="FL67" i="19"/>
  <c r="FL94" i="19" s="1"/>
  <c r="FK67" i="19"/>
  <c r="FK94" i="19" s="1"/>
  <c r="FJ67" i="19"/>
  <c r="FJ94" i="19" s="1"/>
  <c r="FI67" i="19"/>
  <c r="FI94" i="19" s="1"/>
  <c r="FH67" i="19"/>
  <c r="FH94" i="19" s="1"/>
  <c r="FG67" i="19"/>
  <c r="FG94" i="19" s="1"/>
  <c r="FF67" i="19"/>
  <c r="FF94" i="19" s="1"/>
  <c r="FE67" i="19"/>
  <c r="FE94" i="19" s="1"/>
  <c r="FD67" i="19"/>
  <c r="FD94" i="19" s="1"/>
  <c r="FC67" i="19"/>
  <c r="FC94" i="19" s="1"/>
  <c r="FB67" i="19"/>
  <c r="FB94" i="19" s="1"/>
  <c r="FA67" i="19"/>
  <c r="FA94" i="19" s="1"/>
  <c r="EZ67" i="19"/>
  <c r="EZ94" i="19" s="1"/>
  <c r="EY67" i="19"/>
  <c r="EY94" i="19" s="1"/>
  <c r="EX67" i="19"/>
  <c r="EX94" i="19" s="1"/>
  <c r="EW67" i="19"/>
  <c r="EW94" i="19" s="1"/>
  <c r="EV67" i="19"/>
  <c r="EV94" i="19" s="1"/>
  <c r="EU67" i="19"/>
  <c r="EU94" i="19" s="1"/>
  <c r="ET67" i="19"/>
  <c r="ET94" i="19" s="1"/>
  <c r="ES67" i="19"/>
  <c r="ES94" i="19" s="1"/>
  <c r="ER67" i="19"/>
  <c r="ER94" i="19" s="1"/>
  <c r="EQ67" i="19"/>
  <c r="EQ94" i="19" s="1"/>
  <c r="EP67" i="19"/>
  <c r="EP94" i="19" s="1"/>
  <c r="EO67" i="19"/>
  <c r="EO94" i="19" s="1"/>
  <c r="EN67" i="19"/>
  <c r="EN94" i="19" s="1"/>
  <c r="EM67" i="19"/>
  <c r="EM94" i="19" s="1"/>
  <c r="EL67" i="19"/>
  <c r="EL94" i="19" s="1"/>
  <c r="EK67" i="19"/>
  <c r="EK94" i="19" s="1"/>
  <c r="EJ67" i="19"/>
  <c r="EJ94" i="19" s="1"/>
  <c r="EI67" i="19"/>
  <c r="EI94" i="19" s="1"/>
  <c r="EH67" i="19"/>
  <c r="EH94" i="19" s="1"/>
  <c r="EG67" i="19"/>
  <c r="EG94" i="19" s="1"/>
  <c r="EF67" i="19"/>
  <c r="EF94" i="19" s="1"/>
  <c r="EE67" i="19"/>
  <c r="EE94" i="19" s="1"/>
  <c r="ED67" i="19"/>
  <c r="ED94" i="19" s="1"/>
  <c r="EC67" i="19"/>
  <c r="EC94" i="19" s="1"/>
  <c r="EB67" i="19"/>
  <c r="EB94" i="19" s="1"/>
  <c r="EA67" i="19"/>
  <c r="EA94" i="19" s="1"/>
  <c r="DZ67" i="19"/>
  <c r="DZ94" i="19" s="1"/>
  <c r="DY67" i="19"/>
  <c r="DY94" i="19" s="1"/>
  <c r="DX67" i="19"/>
  <c r="DX94" i="19" s="1"/>
  <c r="DW67" i="19"/>
  <c r="DW94" i="19" s="1"/>
  <c r="DV67" i="19"/>
  <c r="DV94" i="19" s="1"/>
  <c r="DU67" i="19"/>
  <c r="DU94" i="19" s="1"/>
  <c r="DT67" i="19"/>
  <c r="DT94" i="19" s="1"/>
  <c r="DS67" i="19"/>
  <c r="DS94" i="19" s="1"/>
  <c r="DR67" i="19"/>
  <c r="DR94" i="19" s="1"/>
  <c r="DQ67" i="19"/>
  <c r="DQ94" i="19" s="1"/>
  <c r="DP67" i="19"/>
  <c r="DP94" i="19" s="1"/>
  <c r="DO67" i="19"/>
  <c r="DO94" i="19" s="1"/>
  <c r="DN67" i="19"/>
  <c r="DN94" i="19" s="1"/>
  <c r="DM67" i="19"/>
  <c r="DM94" i="19" s="1"/>
  <c r="DL67" i="19"/>
  <c r="DL94" i="19" s="1"/>
  <c r="DK67" i="19"/>
  <c r="DK94" i="19" s="1"/>
  <c r="DJ67" i="19"/>
  <c r="DJ94" i="19" s="1"/>
  <c r="DI67" i="19"/>
  <c r="DI94" i="19" s="1"/>
  <c r="DH67" i="19"/>
  <c r="DH94" i="19" s="1"/>
  <c r="DG67" i="19"/>
  <c r="DG94" i="19" s="1"/>
  <c r="DF67" i="19"/>
  <c r="DF94" i="19" s="1"/>
  <c r="DE67" i="19"/>
  <c r="DE94" i="19" s="1"/>
  <c r="DD67" i="19"/>
  <c r="DD94" i="19" s="1"/>
  <c r="DC67" i="19"/>
  <c r="DC94" i="19" s="1"/>
  <c r="DB67" i="19"/>
  <c r="DB94" i="19" s="1"/>
  <c r="DA67" i="19"/>
  <c r="DA94" i="19" s="1"/>
  <c r="CZ67" i="19"/>
  <c r="CZ94" i="19" s="1"/>
  <c r="CY67" i="19"/>
  <c r="CY94" i="19" s="1"/>
  <c r="CX67" i="19"/>
  <c r="CX94" i="19" s="1"/>
  <c r="CW67" i="19"/>
  <c r="CW94" i="19" s="1"/>
  <c r="CV67" i="19"/>
  <c r="CV94" i="19" s="1"/>
  <c r="CU67" i="19"/>
  <c r="CU94" i="19" s="1"/>
  <c r="CT67" i="19"/>
  <c r="CT94" i="19" s="1"/>
  <c r="CS67" i="19"/>
  <c r="CS94" i="19" s="1"/>
  <c r="CR67" i="19"/>
  <c r="CR94" i="19" s="1"/>
  <c r="CQ67" i="19"/>
  <c r="CQ94" i="19" s="1"/>
  <c r="CP67" i="19"/>
  <c r="CP94" i="19" s="1"/>
  <c r="CO67" i="19"/>
  <c r="CO94" i="19" s="1"/>
  <c r="CN67" i="19"/>
  <c r="CN94" i="19" s="1"/>
  <c r="CM67" i="19"/>
  <c r="CM94" i="19" s="1"/>
  <c r="CL67" i="19"/>
  <c r="CL94" i="19" s="1"/>
  <c r="CK67" i="19"/>
  <c r="CK94" i="19" s="1"/>
  <c r="CJ67" i="19"/>
  <c r="CJ94" i="19" s="1"/>
  <c r="CI67" i="19"/>
  <c r="CI94" i="19" s="1"/>
  <c r="CH67" i="19"/>
  <c r="CH94" i="19" s="1"/>
  <c r="CG67" i="19"/>
  <c r="CG94" i="19" s="1"/>
  <c r="CF67" i="19"/>
  <c r="CF94" i="19" s="1"/>
  <c r="CE67" i="19"/>
  <c r="CE94" i="19" s="1"/>
  <c r="CD67" i="19"/>
  <c r="CD94" i="19" s="1"/>
  <c r="CC67" i="19"/>
  <c r="CC94" i="19" s="1"/>
  <c r="CB67" i="19"/>
  <c r="CB94" i="19" s="1"/>
  <c r="CA67" i="19"/>
  <c r="CA94" i="19" s="1"/>
  <c r="BZ67" i="19"/>
  <c r="BZ94" i="19" s="1"/>
  <c r="BY67" i="19"/>
  <c r="BY94" i="19" s="1"/>
  <c r="BX67" i="19"/>
  <c r="BX94" i="19" s="1"/>
  <c r="BW67" i="19"/>
  <c r="BW94" i="19" s="1"/>
  <c r="BV67" i="19"/>
  <c r="BV94" i="19" s="1"/>
  <c r="BU67" i="19"/>
  <c r="BU94" i="19" s="1"/>
  <c r="BT67" i="19"/>
  <c r="BT94" i="19" s="1"/>
  <c r="BS67" i="19"/>
  <c r="BS94" i="19" s="1"/>
  <c r="BR67" i="19"/>
  <c r="BR94" i="19" s="1"/>
  <c r="BQ67" i="19"/>
  <c r="BQ94" i="19" s="1"/>
  <c r="BP67" i="19"/>
  <c r="BP94" i="19" s="1"/>
  <c r="BO67" i="19"/>
  <c r="BO94" i="19" s="1"/>
  <c r="BN67" i="19"/>
  <c r="BN94" i="19" s="1"/>
  <c r="BM67" i="19"/>
  <c r="BM94" i="19" s="1"/>
  <c r="BL67" i="19"/>
  <c r="BL94" i="19" s="1"/>
  <c r="BK67" i="19"/>
  <c r="BK94" i="19" s="1"/>
  <c r="BJ67" i="19"/>
  <c r="BJ94" i="19" s="1"/>
  <c r="BI67" i="19"/>
  <c r="BI94" i="19" s="1"/>
  <c r="BH67" i="19"/>
  <c r="BH94" i="19" s="1"/>
  <c r="BG67" i="19"/>
  <c r="BG94" i="19" s="1"/>
  <c r="BF67" i="19"/>
  <c r="BF94" i="19" s="1"/>
  <c r="BE67" i="19"/>
  <c r="BE94" i="19" s="1"/>
  <c r="BD67" i="19"/>
  <c r="BD94" i="19" s="1"/>
  <c r="BC67" i="19"/>
  <c r="BC94" i="19" s="1"/>
  <c r="BB67" i="19"/>
  <c r="BB94" i="19" s="1"/>
  <c r="BA67" i="19"/>
  <c r="BA94" i="19" s="1"/>
  <c r="AZ67" i="19"/>
  <c r="AZ94" i="19" s="1"/>
  <c r="AY67" i="19"/>
  <c r="AY94" i="19" s="1"/>
  <c r="AX67" i="19"/>
  <c r="AX94" i="19" s="1"/>
  <c r="AW67" i="19"/>
  <c r="AW94" i="19" s="1"/>
  <c r="AV67" i="19"/>
  <c r="AV94" i="19" s="1"/>
  <c r="AU67" i="19"/>
  <c r="AU94" i="19" s="1"/>
  <c r="AT67" i="19"/>
  <c r="AT94" i="19" s="1"/>
  <c r="AS67" i="19"/>
  <c r="AS94" i="19" s="1"/>
  <c r="AR67" i="19"/>
  <c r="AR94" i="19" s="1"/>
  <c r="AQ67" i="19"/>
  <c r="AP67" i="19"/>
  <c r="AO67" i="19"/>
  <c r="AN67" i="19"/>
  <c r="AM67" i="19"/>
  <c r="AL67" i="19"/>
  <c r="AK67" i="19"/>
  <c r="AJ67" i="19"/>
  <c r="AI67" i="19"/>
  <c r="AH67" i="19"/>
  <c r="AG67" i="19"/>
  <c r="AF67" i="19"/>
  <c r="AE67" i="19"/>
  <c r="AD67" i="19"/>
  <c r="AC67" i="19"/>
  <c r="AB67" i="19"/>
  <c r="AA67" i="19"/>
  <c r="Z67" i="19"/>
  <c r="Y67" i="19"/>
  <c r="X67" i="19"/>
  <c r="W67" i="19"/>
  <c r="V67" i="19"/>
  <c r="U67" i="19"/>
  <c r="T67" i="19"/>
  <c r="S67" i="19"/>
  <c r="R67" i="19"/>
  <c r="Q67" i="19"/>
  <c r="P67" i="19"/>
  <c r="O67" i="19"/>
  <c r="N67" i="19"/>
  <c r="M67" i="19"/>
  <c r="L67" i="19"/>
  <c r="K67" i="19"/>
  <c r="J67" i="19"/>
  <c r="I67" i="19"/>
  <c r="H67" i="19"/>
  <c r="G67" i="19"/>
  <c r="F67" i="19"/>
  <c r="GQ66" i="19"/>
  <c r="GQ93" i="19" s="1"/>
  <c r="GP66" i="19"/>
  <c r="GP93" i="19" s="1"/>
  <c r="GO66" i="19"/>
  <c r="GO93" i="19" s="1"/>
  <c r="GN66" i="19"/>
  <c r="GN93" i="19" s="1"/>
  <c r="GM66" i="19"/>
  <c r="GM93" i="19" s="1"/>
  <c r="GL66" i="19"/>
  <c r="GL93" i="19" s="1"/>
  <c r="GK66" i="19"/>
  <c r="GK93" i="19" s="1"/>
  <c r="GJ66" i="19"/>
  <c r="GJ93" i="19" s="1"/>
  <c r="GI66" i="19"/>
  <c r="GI93" i="19" s="1"/>
  <c r="GH66" i="19"/>
  <c r="GH93" i="19" s="1"/>
  <c r="GG66" i="19"/>
  <c r="GG93" i="19" s="1"/>
  <c r="GF66" i="19"/>
  <c r="GF93" i="19" s="1"/>
  <c r="GE66" i="19"/>
  <c r="GE93" i="19" s="1"/>
  <c r="GD66" i="19"/>
  <c r="GD93" i="19" s="1"/>
  <c r="GC66" i="19"/>
  <c r="GC93" i="19" s="1"/>
  <c r="GB66" i="19"/>
  <c r="GB93" i="19" s="1"/>
  <c r="GA66" i="19"/>
  <c r="GA93" i="19" s="1"/>
  <c r="FZ66" i="19"/>
  <c r="FZ93" i="19" s="1"/>
  <c r="FY66" i="19"/>
  <c r="FY93" i="19" s="1"/>
  <c r="FX66" i="19"/>
  <c r="FX93" i="19" s="1"/>
  <c r="FW66" i="19"/>
  <c r="FW93" i="19" s="1"/>
  <c r="FV66" i="19"/>
  <c r="FV93" i="19" s="1"/>
  <c r="FU66" i="19"/>
  <c r="FU93" i="19" s="1"/>
  <c r="FT66" i="19"/>
  <c r="FT93" i="19" s="1"/>
  <c r="FS66" i="19"/>
  <c r="FS93" i="19" s="1"/>
  <c r="FR66" i="19"/>
  <c r="FR93" i="19" s="1"/>
  <c r="FQ66" i="19"/>
  <c r="FQ93" i="19" s="1"/>
  <c r="FP66" i="19"/>
  <c r="FP93" i="19" s="1"/>
  <c r="FO66" i="19"/>
  <c r="FO93" i="19" s="1"/>
  <c r="FN66" i="19"/>
  <c r="FN93" i="19" s="1"/>
  <c r="FM66" i="19"/>
  <c r="FM93" i="19" s="1"/>
  <c r="FL66" i="19"/>
  <c r="FL93" i="19" s="1"/>
  <c r="FK66" i="19"/>
  <c r="FK93" i="19" s="1"/>
  <c r="FJ66" i="19"/>
  <c r="FJ93" i="19" s="1"/>
  <c r="FI66" i="19"/>
  <c r="FI93" i="19" s="1"/>
  <c r="FH66" i="19"/>
  <c r="FH93" i="19" s="1"/>
  <c r="FG66" i="19"/>
  <c r="FG93" i="19" s="1"/>
  <c r="FF66" i="19"/>
  <c r="FF93" i="19" s="1"/>
  <c r="FE66" i="19"/>
  <c r="FE93" i="19" s="1"/>
  <c r="FD66" i="19"/>
  <c r="FD93" i="19" s="1"/>
  <c r="FC66" i="19"/>
  <c r="FC93" i="19" s="1"/>
  <c r="FB66" i="19"/>
  <c r="FB93" i="19" s="1"/>
  <c r="FA66" i="19"/>
  <c r="FA93" i="19" s="1"/>
  <c r="EZ66" i="19"/>
  <c r="EZ93" i="19" s="1"/>
  <c r="EY66" i="19"/>
  <c r="EY93" i="19" s="1"/>
  <c r="EX66" i="19"/>
  <c r="EX93" i="19" s="1"/>
  <c r="EW66" i="19"/>
  <c r="EW93" i="19" s="1"/>
  <c r="EV66" i="19"/>
  <c r="EV93" i="19" s="1"/>
  <c r="EU66" i="19"/>
  <c r="EU93" i="19" s="1"/>
  <c r="ET66" i="19"/>
  <c r="ET93" i="19" s="1"/>
  <c r="ES66" i="19"/>
  <c r="ES93" i="19" s="1"/>
  <c r="ER66" i="19"/>
  <c r="ER93" i="19" s="1"/>
  <c r="EQ66" i="19"/>
  <c r="EQ93" i="19" s="1"/>
  <c r="EP66" i="19"/>
  <c r="EP93" i="19" s="1"/>
  <c r="EO66" i="19"/>
  <c r="EO93" i="19" s="1"/>
  <c r="EN66" i="19"/>
  <c r="EN93" i="19" s="1"/>
  <c r="EM66" i="19"/>
  <c r="EM93" i="19" s="1"/>
  <c r="EL66" i="19"/>
  <c r="EL93" i="19" s="1"/>
  <c r="EK66" i="19"/>
  <c r="EK93" i="19" s="1"/>
  <c r="EJ66" i="19"/>
  <c r="EJ93" i="19" s="1"/>
  <c r="EI66" i="19"/>
  <c r="EI93" i="19" s="1"/>
  <c r="EH66" i="19"/>
  <c r="EH93" i="19" s="1"/>
  <c r="EG66" i="19"/>
  <c r="EG93" i="19" s="1"/>
  <c r="EF66" i="19"/>
  <c r="EF93" i="19" s="1"/>
  <c r="EE66" i="19"/>
  <c r="EE93" i="19" s="1"/>
  <c r="ED66" i="19"/>
  <c r="ED93" i="19" s="1"/>
  <c r="EC66" i="19"/>
  <c r="EC93" i="19" s="1"/>
  <c r="EB66" i="19"/>
  <c r="EB93" i="19" s="1"/>
  <c r="EA66" i="19"/>
  <c r="EA93" i="19" s="1"/>
  <c r="DZ66" i="19"/>
  <c r="DZ93" i="19" s="1"/>
  <c r="DY66" i="19"/>
  <c r="DY93" i="19" s="1"/>
  <c r="DX66" i="19"/>
  <c r="DX93" i="19" s="1"/>
  <c r="DW66" i="19"/>
  <c r="DW93" i="19" s="1"/>
  <c r="DV66" i="19"/>
  <c r="DV93" i="19" s="1"/>
  <c r="DU66" i="19"/>
  <c r="DU93" i="19" s="1"/>
  <c r="DT66" i="19"/>
  <c r="DT93" i="19" s="1"/>
  <c r="DS66" i="19"/>
  <c r="DS93" i="19" s="1"/>
  <c r="DR66" i="19"/>
  <c r="DR93" i="19" s="1"/>
  <c r="DQ66" i="19"/>
  <c r="DQ93" i="19" s="1"/>
  <c r="DP66" i="19"/>
  <c r="DP93" i="19" s="1"/>
  <c r="DO66" i="19"/>
  <c r="DO93" i="19" s="1"/>
  <c r="DN66" i="19"/>
  <c r="DN93" i="19" s="1"/>
  <c r="DM66" i="19"/>
  <c r="DM93" i="19" s="1"/>
  <c r="DL66" i="19"/>
  <c r="DL93" i="19" s="1"/>
  <c r="DK66" i="19"/>
  <c r="DK93" i="19" s="1"/>
  <c r="DJ66" i="19"/>
  <c r="DJ93" i="19" s="1"/>
  <c r="DI66" i="19"/>
  <c r="DI93" i="19" s="1"/>
  <c r="DH66" i="19"/>
  <c r="DH93" i="19" s="1"/>
  <c r="DG66" i="19"/>
  <c r="DG93" i="19" s="1"/>
  <c r="DF66" i="19"/>
  <c r="DF93" i="19" s="1"/>
  <c r="DE66" i="19"/>
  <c r="DE93" i="19" s="1"/>
  <c r="DD66" i="19"/>
  <c r="DD93" i="19" s="1"/>
  <c r="DC66" i="19"/>
  <c r="DC93" i="19" s="1"/>
  <c r="DB66" i="19"/>
  <c r="DB93" i="19" s="1"/>
  <c r="DA66" i="19"/>
  <c r="DA93" i="19" s="1"/>
  <c r="CZ66" i="19"/>
  <c r="CZ93" i="19" s="1"/>
  <c r="CY66" i="19"/>
  <c r="CY93" i="19" s="1"/>
  <c r="CX66" i="19"/>
  <c r="CX93" i="19" s="1"/>
  <c r="CW66" i="19"/>
  <c r="CW93" i="19" s="1"/>
  <c r="CV66" i="19"/>
  <c r="CV93" i="19" s="1"/>
  <c r="CU66" i="19"/>
  <c r="CU93" i="19" s="1"/>
  <c r="CT66" i="19"/>
  <c r="CT93" i="19" s="1"/>
  <c r="CS66" i="19"/>
  <c r="CS93" i="19" s="1"/>
  <c r="CR66" i="19"/>
  <c r="CR93" i="19" s="1"/>
  <c r="CQ66" i="19"/>
  <c r="CQ93" i="19" s="1"/>
  <c r="CP66" i="19"/>
  <c r="CP93" i="19" s="1"/>
  <c r="CO66" i="19"/>
  <c r="CO93" i="19" s="1"/>
  <c r="CN66" i="19"/>
  <c r="CN93" i="19" s="1"/>
  <c r="CM66" i="19"/>
  <c r="CM93" i="19" s="1"/>
  <c r="CL66" i="19"/>
  <c r="CL93" i="19" s="1"/>
  <c r="CK66" i="19"/>
  <c r="CK93" i="19" s="1"/>
  <c r="CJ66" i="19"/>
  <c r="CJ93" i="19" s="1"/>
  <c r="CI66" i="19"/>
  <c r="CI93" i="19" s="1"/>
  <c r="CH66" i="19"/>
  <c r="CH93" i="19" s="1"/>
  <c r="CG66" i="19"/>
  <c r="CG93" i="19" s="1"/>
  <c r="CF66" i="19"/>
  <c r="CF93" i="19" s="1"/>
  <c r="CE66" i="19"/>
  <c r="CE93" i="19" s="1"/>
  <c r="CD66" i="19"/>
  <c r="CD93" i="19" s="1"/>
  <c r="CC66" i="19"/>
  <c r="CC93" i="19" s="1"/>
  <c r="CB66" i="19"/>
  <c r="CB93" i="19" s="1"/>
  <c r="CA66" i="19"/>
  <c r="CA93" i="19" s="1"/>
  <c r="BZ66" i="19"/>
  <c r="BZ93" i="19" s="1"/>
  <c r="BY66" i="19"/>
  <c r="BY93" i="19" s="1"/>
  <c r="BX66" i="19"/>
  <c r="BX93" i="19" s="1"/>
  <c r="BW66" i="19"/>
  <c r="BW93" i="19" s="1"/>
  <c r="BV66" i="19"/>
  <c r="BV93" i="19" s="1"/>
  <c r="BU66" i="19"/>
  <c r="BU93" i="19" s="1"/>
  <c r="BT66" i="19"/>
  <c r="BT93" i="19" s="1"/>
  <c r="BS66" i="19"/>
  <c r="BS93" i="19" s="1"/>
  <c r="BR66" i="19"/>
  <c r="BR93" i="19" s="1"/>
  <c r="BQ66" i="19"/>
  <c r="BQ93" i="19" s="1"/>
  <c r="BP66" i="19"/>
  <c r="BP93" i="19" s="1"/>
  <c r="BO66" i="19"/>
  <c r="BO93" i="19" s="1"/>
  <c r="BN66" i="19"/>
  <c r="BN93" i="19" s="1"/>
  <c r="BM66" i="19"/>
  <c r="BM93" i="19" s="1"/>
  <c r="BL66" i="19"/>
  <c r="BL93" i="19" s="1"/>
  <c r="BK66" i="19"/>
  <c r="BK93" i="19" s="1"/>
  <c r="BJ66" i="19"/>
  <c r="BJ93" i="19" s="1"/>
  <c r="BI66" i="19"/>
  <c r="BI93" i="19" s="1"/>
  <c r="BH66" i="19"/>
  <c r="BH93" i="19" s="1"/>
  <c r="BG66" i="19"/>
  <c r="BG93" i="19" s="1"/>
  <c r="BF66" i="19"/>
  <c r="BF93" i="19" s="1"/>
  <c r="BE66" i="19"/>
  <c r="BE93" i="19" s="1"/>
  <c r="BD66" i="19"/>
  <c r="BD93" i="19" s="1"/>
  <c r="BC66" i="19"/>
  <c r="BC93" i="19" s="1"/>
  <c r="BB66" i="19"/>
  <c r="BB93" i="19" s="1"/>
  <c r="BA66" i="19"/>
  <c r="BA93" i="19" s="1"/>
  <c r="AZ66" i="19"/>
  <c r="AZ93" i="19" s="1"/>
  <c r="AY66" i="19"/>
  <c r="AY93" i="19" s="1"/>
  <c r="AX66" i="19"/>
  <c r="AX93" i="19" s="1"/>
  <c r="AW66" i="19"/>
  <c r="AW93" i="19" s="1"/>
  <c r="AV66" i="19"/>
  <c r="AV93" i="19" s="1"/>
  <c r="AU66" i="19"/>
  <c r="AU93" i="19" s="1"/>
  <c r="AT66" i="19"/>
  <c r="AT93" i="19" s="1"/>
  <c r="AS66" i="19"/>
  <c r="AS93" i="19" s="1"/>
  <c r="AR66" i="19"/>
  <c r="AR93" i="19" s="1"/>
  <c r="AQ66" i="19"/>
  <c r="AP66" i="19"/>
  <c r="AO66" i="19"/>
  <c r="AN66" i="19"/>
  <c r="AM66" i="19"/>
  <c r="AL66" i="19"/>
  <c r="AK66" i="19"/>
  <c r="AJ66" i="19"/>
  <c r="AI66" i="19"/>
  <c r="AH66" i="19"/>
  <c r="AG66" i="19"/>
  <c r="AF66" i="19"/>
  <c r="AE66" i="19"/>
  <c r="AD66" i="19"/>
  <c r="AC66" i="19"/>
  <c r="AB66" i="19"/>
  <c r="AA66" i="19"/>
  <c r="Z66" i="19"/>
  <c r="Y66" i="19"/>
  <c r="X66" i="19"/>
  <c r="W66" i="19"/>
  <c r="V66" i="19"/>
  <c r="U66" i="19"/>
  <c r="T66" i="19"/>
  <c r="S66" i="19"/>
  <c r="R66" i="19"/>
  <c r="Q66" i="19"/>
  <c r="P66" i="19"/>
  <c r="O66" i="19"/>
  <c r="N66" i="19"/>
  <c r="M66" i="19"/>
  <c r="L66" i="19"/>
  <c r="K66" i="19"/>
  <c r="J66" i="19"/>
  <c r="I66" i="19"/>
  <c r="H66" i="19"/>
  <c r="G66" i="19"/>
  <c r="F66" i="19"/>
  <c r="GQ65" i="19"/>
  <c r="GQ92" i="19" s="1"/>
  <c r="GP65" i="19"/>
  <c r="GP92" i="19" s="1"/>
  <c r="GO65" i="19"/>
  <c r="GO92" i="19" s="1"/>
  <c r="GN65" i="19"/>
  <c r="GN92" i="19" s="1"/>
  <c r="GM65" i="19"/>
  <c r="GM92" i="19" s="1"/>
  <c r="GL65" i="19"/>
  <c r="GL92" i="19" s="1"/>
  <c r="GK65" i="19"/>
  <c r="GK92" i="19" s="1"/>
  <c r="GJ65" i="19"/>
  <c r="GJ92" i="19" s="1"/>
  <c r="GI65" i="19"/>
  <c r="GI92" i="19" s="1"/>
  <c r="GH65" i="19"/>
  <c r="GH92" i="19" s="1"/>
  <c r="GG65" i="19"/>
  <c r="GG92" i="19" s="1"/>
  <c r="GF65" i="19"/>
  <c r="GF92" i="19" s="1"/>
  <c r="GE65" i="19"/>
  <c r="GE92" i="19" s="1"/>
  <c r="GD65" i="19"/>
  <c r="GD92" i="19" s="1"/>
  <c r="GC65" i="19"/>
  <c r="GC92" i="19" s="1"/>
  <c r="GB65" i="19"/>
  <c r="GB92" i="19" s="1"/>
  <c r="GA65" i="19"/>
  <c r="GA92" i="19" s="1"/>
  <c r="FZ65" i="19"/>
  <c r="FZ92" i="19" s="1"/>
  <c r="FY65" i="19"/>
  <c r="FY92" i="19" s="1"/>
  <c r="FX65" i="19"/>
  <c r="FX92" i="19" s="1"/>
  <c r="FW65" i="19"/>
  <c r="FW92" i="19" s="1"/>
  <c r="FV65" i="19"/>
  <c r="FV92" i="19" s="1"/>
  <c r="FU65" i="19"/>
  <c r="FU92" i="19" s="1"/>
  <c r="FT65" i="19"/>
  <c r="FT92" i="19" s="1"/>
  <c r="FS65" i="19"/>
  <c r="FS92" i="19" s="1"/>
  <c r="FR65" i="19"/>
  <c r="FR92" i="19" s="1"/>
  <c r="FQ65" i="19"/>
  <c r="FQ92" i="19" s="1"/>
  <c r="FP65" i="19"/>
  <c r="FP92" i="19" s="1"/>
  <c r="FO65" i="19"/>
  <c r="FO92" i="19" s="1"/>
  <c r="FN65" i="19"/>
  <c r="FN92" i="19" s="1"/>
  <c r="FM65" i="19"/>
  <c r="FM92" i="19" s="1"/>
  <c r="FL65" i="19"/>
  <c r="FL92" i="19" s="1"/>
  <c r="FK65" i="19"/>
  <c r="FK92" i="19" s="1"/>
  <c r="FJ65" i="19"/>
  <c r="FJ92" i="19" s="1"/>
  <c r="FI65" i="19"/>
  <c r="FI92" i="19" s="1"/>
  <c r="FH65" i="19"/>
  <c r="FH92" i="19" s="1"/>
  <c r="FG65" i="19"/>
  <c r="FG92" i="19" s="1"/>
  <c r="FF65" i="19"/>
  <c r="FF92" i="19" s="1"/>
  <c r="FE65" i="19"/>
  <c r="FE92" i="19" s="1"/>
  <c r="FD65" i="19"/>
  <c r="FD92" i="19" s="1"/>
  <c r="FC65" i="19"/>
  <c r="FC92" i="19" s="1"/>
  <c r="FB65" i="19"/>
  <c r="FB92" i="19" s="1"/>
  <c r="FA65" i="19"/>
  <c r="FA92" i="19" s="1"/>
  <c r="EZ65" i="19"/>
  <c r="EZ92" i="19" s="1"/>
  <c r="EY65" i="19"/>
  <c r="EY92" i="19" s="1"/>
  <c r="EX65" i="19"/>
  <c r="EX92" i="19" s="1"/>
  <c r="EW65" i="19"/>
  <c r="EW92" i="19" s="1"/>
  <c r="EV65" i="19"/>
  <c r="EV92" i="19" s="1"/>
  <c r="EU65" i="19"/>
  <c r="EU92" i="19" s="1"/>
  <c r="ET65" i="19"/>
  <c r="ET92" i="19" s="1"/>
  <c r="ES65" i="19"/>
  <c r="ES92" i="19" s="1"/>
  <c r="ER65" i="19"/>
  <c r="ER92" i="19" s="1"/>
  <c r="EQ65" i="19"/>
  <c r="EQ92" i="19" s="1"/>
  <c r="EP65" i="19"/>
  <c r="EP92" i="19" s="1"/>
  <c r="EO65" i="19"/>
  <c r="EO92" i="19" s="1"/>
  <c r="EN65" i="19"/>
  <c r="EN92" i="19" s="1"/>
  <c r="EM65" i="19"/>
  <c r="EM92" i="19" s="1"/>
  <c r="EL65" i="19"/>
  <c r="EL92" i="19" s="1"/>
  <c r="EK65" i="19"/>
  <c r="EK92" i="19" s="1"/>
  <c r="EJ65" i="19"/>
  <c r="EJ92" i="19" s="1"/>
  <c r="EI65" i="19"/>
  <c r="EI92" i="19" s="1"/>
  <c r="EH65" i="19"/>
  <c r="EH92" i="19" s="1"/>
  <c r="EG65" i="19"/>
  <c r="EG92" i="19" s="1"/>
  <c r="EF65" i="19"/>
  <c r="EF92" i="19" s="1"/>
  <c r="EE65" i="19"/>
  <c r="EE92" i="19" s="1"/>
  <c r="ED65" i="19"/>
  <c r="ED92" i="19" s="1"/>
  <c r="EC65" i="19"/>
  <c r="EC92" i="19" s="1"/>
  <c r="EB65" i="19"/>
  <c r="EB92" i="19" s="1"/>
  <c r="EA65" i="19"/>
  <c r="EA92" i="19" s="1"/>
  <c r="DZ65" i="19"/>
  <c r="DZ92" i="19" s="1"/>
  <c r="DY65" i="19"/>
  <c r="DY92" i="19" s="1"/>
  <c r="DX65" i="19"/>
  <c r="DX92" i="19" s="1"/>
  <c r="DW65" i="19"/>
  <c r="DW92" i="19" s="1"/>
  <c r="DV65" i="19"/>
  <c r="DV92" i="19" s="1"/>
  <c r="DU65" i="19"/>
  <c r="DU92" i="19" s="1"/>
  <c r="DT65" i="19"/>
  <c r="DT92" i="19" s="1"/>
  <c r="DS65" i="19"/>
  <c r="DS92" i="19" s="1"/>
  <c r="DR65" i="19"/>
  <c r="DR92" i="19" s="1"/>
  <c r="DQ65" i="19"/>
  <c r="DQ92" i="19" s="1"/>
  <c r="DP65" i="19"/>
  <c r="DP92" i="19" s="1"/>
  <c r="DO65" i="19"/>
  <c r="DO92" i="19" s="1"/>
  <c r="DN65" i="19"/>
  <c r="DN92" i="19" s="1"/>
  <c r="DM65" i="19"/>
  <c r="DM92" i="19" s="1"/>
  <c r="DL65" i="19"/>
  <c r="DL92" i="19" s="1"/>
  <c r="DK65" i="19"/>
  <c r="DK92" i="19" s="1"/>
  <c r="DJ65" i="19"/>
  <c r="DJ92" i="19" s="1"/>
  <c r="DI65" i="19"/>
  <c r="DI92" i="19" s="1"/>
  <c r="DH65" i="19"/>
  <c r="DH92" i="19" s="1"/>
  <c r="DG65" i="19"/>
  <c r="DG92" i="19" s="1"/>
  <c r="DF65" i="19"/>
  <c r="DF92" i="19" s="1"/>
  <c r="DE65" i="19"/>
  <c r="DE92" i="19" s="1"/>
  <c r="DD65" i="19"/>
  <c r="DD92" i="19" s="1"/>
  <c r="DC65" i="19"/>
  <c r="DC92" i="19" s="1"/>
  <c r="DB65" i="19"/>
  <c r="DB92" i="19" s="1"/>
  <c r="DA65" i="19"/>
  <c r="DA92" i="19" s="1"/>
  <c r="CZ65" i="19"/>
  <c r="CZ92" i="19" s="1"/>
  <c r="CY65" i="19"/>
  <c r="CY92" i="19" s="1"/>
  <c r="CX65" i="19"/>
  <c r="CX92" i="19" s="1"/>
  <c r="CW65" i="19"/>
  <c r="CW92" i="19" s="1"/>
  <c r="CV65" i="19"/>
  <c r="CV92" i="19" s="1"/>
  <c r="CU65" i="19"/>
  <c r="CU92" i="19" s="1"/>
  <c r="CT65" i="19"/>
  <c r="CT92" i="19" s="1"/>
  <c r="CS65" i="19"/>
  <c r="CS92" i="19" s="1"/>
  <c r="CR65" i="19"/>
  <c r="CR92" i="19" s="1"/>
  <c r="CQ65" i="19"/>
  <c r="CQ92" i="19" s="1"/>
  <c r="CP65" i="19"/>
  <c r="CP92" i="19" s="1"/>
  <c r="CO65" i="19"/>
  <c r="CO92" i="19" s="1"/>
  <c r="CN65" i="19"/>
  <c r="CN92" i="19" s="1"/>
  <c r="CM65" i="19"/>
  <c r="CM92" i="19" s="1"/>
  <c r="CL65" i="19"/>
  <c r="CL92" i="19" s="1"/>
  <c r="CK65" i="19"/>
  <c r="CK92" i="19" s="1"/>
  <c r="CJ65" i="19"/>
  <c r="CJ92" i="19" s="1"/>
  <c r="CI65" i="19"/>
  <c r="CI92" i="19" s="1"/>
  <c r="CH65" i="19"/>
  <c r="CH92" i="19" s="1"/>
  <c r="CG65" i="19"/>
  <c r="CG92" i="19" s="1"/>
  <c r="CF65" i="19"/>
  <c r="CF92" i="19" s="1"/>
  <c r="CE65" i="19"/>
  <c r="CE92" i="19" s="1"/>
  <c r="CD65" i="19"/>
  <c r="CD92" i="19" s="1"/>
  <c r="CC65" i="19"/>
  <c r="CC92" i="19" s="1"/>
  <c r="CB65" i="19"/>
  <c r="CB92" i="19" s="1"/>
  <c r="CA65" i="19"/>
  <c r="CA92" i="19" s="1"/>
  <c r="BZ65" i="19"/>
  <c r="BZ92" i="19" s="1"/>
  <c r="BY65" i="19"/>
  <c r="BY92" i="19" s="1"/>
  <c r="BX65" i="19"/>
  <c r="BX92" i="19" s="1"/>
  <c r="BW65" i="19"/>
  <c r="BW92" i="19" s="1"/>
  <c r="BV65" i="19"/>
  <c r="BV92" i="19" s="1"/>
  <c r="BU65" i="19"/>
  <c r="BU92" i="19" s="1"/>
  <c r="BT65" i="19"/>
  <c r="BT92" i="19" s="1"/>
  <c r="BS65" i="19"/>
  <c r="BS92" i="19" s="1"/>
  <c r="BR65" i="19"/>
  <c r="BR92" i="19" s="1"/>
  <c r="BQ65" i="19"/>
  <c r="BQ92" i="19" s="1"/>
  <c r="BP65" i="19"/>
  <c r="BP92" i="19" s="1"/>
  <c r="BO65" i="19"/>
  <c r="BO92" i="19" s="1"/>
  <c r="BN65" i="19"/>
  <c r="BN92" i="19" s="1"/>
  <c r="BM65" i="19"/>
  <c r="BM92" i="19" s="1"/>
  <c r="BL65" i="19"/>
  <c r="BL92" i="19" s="1"/>
  <c r="BK65" i="19"/>
  <c r="BK92" i="19" s="1"/>
  <c r="BJ65" i="19"/>
  <c r="BJ92" i="19" s="1"/>
  <c r="BI65" i="19"/>
  <c r="BI92" i="19" s="1"/>
  <c r="BH65" i="19"/>
  <c r="BH92" i="19" s="1"/>
  <c r="BG65" i="19"/>
  <c r="BG92" i="19" s="1"/>
  <c r="BF65" i="19"/>
  <c r="BF92" i="19" s="1"/>
  <c r="BE65" i="19"/>
  <c r="BE92" i="19" s="1"/>
  <c r="BD65" i="19"/>
  <c r="BD92" i="19" s="1"/>
  <c r="BC65" i="19"/>
  <c r="BC92" i="19" s="1"/>
  <c r="BB65" i="19"/>
  <c r="BB92" i="19" s="1"/>
  <c r="BA65" i="19"/>
  <c r="BA92" i="19" s="1"/>
  <c r="AZ65" i="19"/>
  <c r="AZ92" i="19" s="1"/>
  <c r="AY65" i="19"/>
  <c r="AY92" i="19" s="1"/>
  <c r="AX65" i="19"/>
  <c r="AX92" i="19" s="1"/>
  <c r="AW65" i="19"/>
  <c r="AW92" i="19" s="1"/>
  <c r="AV65" i="19"/>
  <c r="AV92" i="19" s="1"/>
  <c r="AU65" i="19"/>
  <c r="AU92" i="19" s="1"/>
  <c r="AT65" i="19"/>
  <c r="AT92" i="19" s="1"/>
  <c r="AS65" i="19"/>
  <c r="AS92" i="19" s="1"/>
  <c r="AR65" i="19"/>
  <c r="AR92" i="19" s="1"/>
  <c r="AQ65" i="19"/>
  <c r="AQ92" i="19" s="1"/>
  <c r="AP65" i="19"/>
  <c r="AP92" i="19" s="1"/>
  <c r="AO65" i="19"/>
  <c r="AO92" i="19" s="1"/>
  <c r="AN65" i="19"/>
  <c r="AN92" i="19" s="1"/>
  <c r="AM65" i="19"/>
  <c r="AM92" i="19" s="1"/>
  <c r="AL65" i="19"/>
  <c r="AL92" i="19" s="1"/>
  <c r="AK65" i="19"/>
  <c r="AK92" i="19" s="1"/>
  <c r="AJ65" i="19"/>
  <c r="AJ92" i="19" s="1"/>
  <c r="AI65" i="19"/>
  <c r="AI92" i="19" s="1"/>
  <c r="AH65" i="19"/>
  <c r="AH92" i="19" s="1"/>
  <c r="AG65" i="19"/>
  <c r="AG92" i="19" s="1"/>
  <c r="AF65" i="19"/>
  <c r="AE65" i="19"/>
  <c r="AD65" i="19"/>
  <c r="AC65" i="19"/>
  <c r="AB65" i="19"/>
  <c r="AA65" i="19"/>
  <c r="Z65" i="19"/>
  <c r="Y65" i="19"/>
  <c r="X65" i="19"/>
  <c r="W65" i="19"/>
  <c r="V65" i="19"/>
  <c r="U65" i="19"/>
  <c r="T65" i="19"/>
  <c r="S65" i="19"/>
  <c r="R65" i="19"/>
  <c r="Q65" i="19"/>
  <c r="P65" i="19"/>
  <c r="O65" i="19"/>
  <c r="N65" i="19"/>
  <c r="M65" i="19"/>
  <c r="L65" i="19"/>
  <c r="K65" i="19"/>
  <c r="J65" i="19"/>
  <c r="I65" i="19"/>
  <c r="H65" i="19"/>
  <c r="G65" i="19"/>
  <c r="F65" i="19"/>
  <c r="GQ64" i="19"/>
  <c r="GQ91" i="19" s="1"/>
  <c r="GP64" i="19"/>
  <c r="GP91" i="19" s="1"/>
  <c r="GO64" i="19"/>
  <c r="GO91" i="19" s="1"/>
  <c r="GN64" i="19"/>
  <c r="GN91" i="19" s="1"/>
  <c r="GM64" i="19"/>
  <c r="GM91" i="19" s="1"/>
  <c r="GL64" i="19"/>
  <c r="GL91" i="19" s="1"/>
  <c r="GK64" i="19"/>
  <c r="GK91" i="19" s="1"/>
  <c r="GJ64" i="19"/>
  <c r="GJ91" i="19" s="1"/>
  <c r="GI64" i="19"/>
  <c r="GI91" i="19" s="1"/>
  <c r="GH64" i="19"/>
  <c r="GH91" i="19" s="1"/>
  <c r="GG64" i="19"/>
  <c r="GG91" i="19" s="1"/>
  <c r="GF64" i="19"/>
  <c r="GF91" i="19" s="1"/>
  <c r="GE64" i="19"/>
  <c r="GE91" i="19" s="1"/>
  <c r="GD64" i="19"/>
  <c r="GD91" i="19" s="1"/>
  <c r="GC64" i="19"/>
  <c r="GC91" i="19" s="1"/>
  <c r="GB64" i="19"/>
  <c r="GB91" i="19" s="1"/>
  <c r="GA64" i="19"/>
  <c r="GA91" i="19" s="1"/>
  <c r="FZ64" i="19"/>
  <c r="FZ91" i="19" s="1"/>
  <c r="FY64" i="19"/>
  <c r="FY91" i="19" s="1"/>
  <c r="FX64" i="19"/>
  <c r="FX91" i="19" s="1"/>
  <c r="FW64" i="19"/>
  <c r="FW91" i="19" s="1"/>
  <c r="FV64" i="19"/>
  <c r="FV91" i="19" s="1"/>
  <c r="FU64" i="19"/>
  <c r="FU91" i="19" s="1"/>
  <c r="FT64" i="19"/>
  <c r="FT91" i="19" s="1"/>
  <c r="FS64" i="19"/>
  <c r="FS91" i="19" s="1"/>
  <c r="FR64" i="19"/>
  <c r="FR91" i="19" s="1"/>
  <c r="FQ64" i="19"/>
  <c r="FQ91" i="19" s="1"/>
  <c r="FP64" i="19"/>
  <c r="FP91" i="19" s="1"/>
  <c r="FO64" i="19"/>
  <c r="FO91" i="19" s="1"/>
  <c r="FN64" i="19"/>
  <c r="FN91" i="19" s="1"/>
  <c r="FM64" i="19"/>
  <c r="FM91" i="19" s="1"/>
  <c r="FL64" i="19"/>
  <c r="FL91" i="19" s="1"/>
  <c r="FK64" i="19"/>
  <c r="FK91" i="19" s="1"/>
  <c r="FJ64" i="19"/>
  <c r="FJ91" i="19" s="1"/>
  <c r="FI64" i="19"/>
  <c r="FI91" i="19" s="1"/>
  <c r="FH64" i="19"/>
  <c r="FH91" i="19" s="1"/>
  <c r="FG64" i="19"/>
  <c r="FG91" i="19" s="1"/>
  <c r="FF64" i="19"/>
  <c r="FF91" i="19" s="1"/>
  <c r="FE64" i="19"/>
  <c r="FE91" i="19" s="1"/>
  <c r="FD64" i="19"/>
  <c r="FD91" i="19" s="1"/>
  <c r="FC64" i="19"/>
  <c r="FC91" i="19" s="1"/>
  <c r="FB64" i="19"/>
  <c r="FB91" i="19" s="1"/>
  <c r="FA64" i="19"/>
  <c r="FA91" i="19" s="1"/>
  <c r="EZ64" i="19"/>
  <c r="EZ91" i="19" s="1"/>
  <c r="EY64" i="19"/>
  <c r="EY91" i="19" s="1"/>
  <c r="EX64" i="19"/>
  <c r="EX91" i="19" s="1"/>
  <c r="EW64" i="19"/>
  <c r="EW91" i="19" s="1"/>
  <c r="EV64" i="19"/>
  <c r="EV91" i="19" s="1"/>
  <c r="EU64" i="19"/>
  <c r="EU91" i="19" s="1"/>
  <c r="ET64" i="19"/>
  <c r="ET91" i="19" s="1"/>
  <c r="ES64" i="19"/>
  <c r="ES91" i="19" s="1"/>
  <c r="ER64" i="19"/>
  <c r="ER91" i="19" s="1"/>
  <c r="EQ64" i="19"/>
  <c r="EQ91" i="19" s="1"/>
  <c r="EP64" i="19"/>
  <c r="EP91" i="19" s="1"/>
  <c r="EO64" i="19"/>
  <c r="EO91" i="19" s="1"/>
  <c r="EN64" i="19"/>
  <c r="EN91" i="19" s="1"/>
  <c r="EM64" i="19"/>
  <c r="EM91" i="19" s="1"/>
  <c r="EL64" i="19"/>
  <c r="EL91" i="19" s="1"/>
  <c r="EK64" i="19"/>
  <c r="EK91" i="19" s="1"/>
  <c r="EJ64" i="19"/>
  <c r="EJ91" i="19" s="1"/>
  <c r="EI64" i="19"/>
  <c r="EI91" i="19" s="1"/>
  <c r="EH64" i="19"/>
  <c r="EH91" i="19" s="1"/>
  <c r="EG64" i="19"/>
  <c r="EG91" i="19" s="1"/>
  <c r="EF64" i="19"/>
  <c r="EF91" i="19" s="1"/>
  <c r="EE64" i="19"/>
  <c r="EE91" i="19" s="1"/>
  <c r="ED64" i="19"/>
  <c r="ED91" i="19" s="1"/>
  <c r="EC64" i="19"/>
  <c r="EC91" i="19" s="1"/>
  <c r="EB64" i="19"/>
  <c r="EB91" i="19" s="1"/>
  <c r="EA64" i="19"/>
  <c r="EA91" i="19" s="1"/>
  <c r="DZ64" i="19"/>
  <c r="DZ91" i="19" s="1"/>
  <c r="DY64" i="19"/>
  <c r="DY91" i="19" s="1"/>
  <c r="DX64" i="19"/>
  <c r="DX91" i="19" s="1"/>
  <c r="DW64" i="19"/>
  <c r="DW91" i="19" s="1"/>
  <c r="DV64" i="19"/>
  <c r="DV91" i="19" s="1"/>
  <c r="DU64" i="19"/>
  <c r="DU91" i="19" s="1"/>
  <c r="DT64" i="19"/>
  <c r="DT91" i="19" s="1"/>
  <c r="DS64" i="19"/>
  <c r="DS91" i="19" s="1"/>
  <c r="DR64" i="19"/>
  <c r="DR91" i="19" s="1"/>
  <c r="DQ64" i="19"/>
  <c r="DQ91" i="19" s="1"/>
  <c r="DP64" i="19"/>
  <c r="DP91" i="19" s="1"/>
  <c r="DO64" i="19"/>
  <c r="DO91" i="19" s="1"/>
  <c r="DN64" i="19"/>
  <c r="DN91" i="19" s="1"/>
  <c r="DM64" i="19"/>
  <c r="DM91" i="19" s="1"/>
  <c r="DL64" i="19"/>
  <c r="DL91" i="19" s="1"/>
  <c r="DK64" i="19"/>
  <c r="DK91" i="19" s="1"/>
  <c r="DJ64" i="19"/>
  <c r="DJ91" i="19" s="1"/>
  <c r="DI64" i="19"/>
  <c r="DI91" i="19" s="1"/>
  <c r="DH64" i="19"/>
  <c r="DH91" i="19" s="1"/>
  <c r="DG64" i="19"/>
  <c r="DG91" i="19" s="1"/>
  <c r="DF64" i="19"/>
  <c r="DF91" i="19" s="1"/>
  <c r="DE64" i="19"/>
  <c r="DE91" i="19" s="1"/>
  <c r="DD64" i="19"/>
  <c r="DD91" i="19" s="1"/>
  <c r="DC64" i="19"/>
  <c r="DC91" i="19" s="1"/>
  <c r="DB64" i="19"/>
  <c r="DB91" i="19" s="1"/>
  <c r="DA64" i="19"/>
  <c r="DA91" i="19" s="1"/>
  <c r="CZ64" i="19"/>
  <c r="CZ91" i="19" s="1"/>
  <c r="CY64" i="19"/>
  <c r="CY91" i="19" s="1"/>
  <c r="CX64" i="19"/>
  <c r="CX91" i="19" s="1"/>
  <c r="CW64" i="19"/>
  <c r="CW91" i="19" s="1"/>
  <c r="CV64" i="19"/>
  <c r="CV91" i="19" s="1"/>
  <c r="CU64" i="19"/>
  <c r="CU91" i="19" s="1"/>
  <c r="CT64" i="19"/>
  <c r="CT91" i="19" s="1"/>
  <c r="CS64" i="19"/>
  <c r="CS91" i="19" s="1"/>
  <c r="CR64" i="19"/>
  <c r="CR91" i="19" s="1"/>
  <c r="CQ64" i="19"/>
  <c r="CQ91" i="19" s="1"/>
  <c r="CP64" i="19"/>
  <c r="CP91" i="19" s="1"/>
  <c r="CO64" i="19"/>
  <c r="CO91" i="19" s="1"/>
  <c r="CN64" i="19"/>
  <c r="CN91" i="19" s="1"/>
  <c r="CM64" i="19"/>
  <c r="CM91" i="19" s="1"/>
  <c r="CL64" i="19"/>
  <c r="CL91" i="19" s="1"/>
  <c r="CK64" i="19"/>
  <c r="CK91" i="19" s="1"/>
  <c r="CJ64" i="19"/>
  <c r="CJ91" i="19" s="1"/>
  <c r="CI64" i="19"/>
  <c r="CI91" i="19" s="1"/>
  <c r="CH64" i="19"/>
  <c r="CH91" i="19" s="1"/>
  <c r="CG64" i="19"/>
  <c r="CG91" i="19" s="1"/>
  <c r="CF64" i="19"/>
  <c r="CF91" i="19" s="1"/>
  <c r="CE64" i="19"/>
  <c r="CE91" i="19" s="1"/>
  <c r="CD64" i="19"/>
  <c r="CD91" i="19" s="1"/>
  <c r="CC64" i="19"/>
  <c r="CC91" i="19" s="1"/>
  <c r="CB64" i="19"/>
  <c r="CB91" i="19" s="1"/>
  <c r="CA64" i="19"/>
  <c r="CA91" i="19" s="1"/>
  <c r="BZ64" i="19"/>
  <c r="BZ91" i="19" s="1"/>
  <c r="BY64" i="19"/>
  <c r="BY91" i="19" s="1"/>
  <c r="BX64" i="19"/>
  <c r="BX91" i="19" s="1"/>
  <c r="BW64" i="19"/>
  <c r="BW91" i="19" s="1"/>
  <c r="BV64" i="19"/>
  <c r="BV91" i="19" s="1"/>
  <c r="BU64" i="19"/>
  <c r="BU91" i="19" s="1"/>
  <c r="BT64" i="19"/>
  <c r="BT91" i="19" s="1"/>
  <c r="BS64" i="19"/>
  <c r="BS91" i="19" s="1"/>
  <c r="BR64" i="19"/>
  <c r="BR91" i="19" s="1"/>
  <c r="BQ64" i="19"/>
  <c r="BQ91" i="19" s="1"/>
  <c r="BP64" i="19"/>
  <c r="BP91" i="19" s="1"/>
  <c r="BO64" i="19"/>
  <c r="BO91" i="19" s="1"/>
  <c r="BN64" i="19"/>
  <c r="BN91" i="19" s="1"/>
  <c r="BM64" i="19"/>
  <c r="BM91" i="19" s="1"/>
  <c r="BL64" i="19"/>
  <c r="BL91" i="19" s="1"/>
  <c r="BK64" i="19"/>
  <c r="BK91" i="19" s="1"/>
  <c r="BJ64" i="19"/>
  <c r="BJ91" i="19" s="1"/>
  <c r="BI64" i="19"/>
  <c r="BI91" i="19" s="1"/>
  <c r="BH64" i="19"/>
  <c r="BH91" i="19" s="1"/>
  <c r="BG64" i="19"/>
  <c r="BG91" i="19" s="1"/>
  <c r="BF64" i="19"/>
  <c r="BF91" i="19" s="1"/>
  <c r="BE64" i="19"/>
  <c r="BE91" i="19" s="1"/>
  <c r="BD64" i="19"/>
  <c r="BD91" i="19" s="1"/>
  <c r="BC64" i="19"/>
  <c r="BC91" i="19" s="1"/>
  <c r="BB64" i="19"/>
  <c r="BB91" i="19" s="1"/>
  <c r="BA64" i="19"/>
  <c r="BA91" i="19" s="1"/>
  <c r="AZ64" i="19"/>
  <c r="AZ91" i="19" s="1"/>
  <c r="AY64" i="19"/>
  <c r="AY91" i="19" s="1"/>
  <c r="AX64" i="19"/>
  <c r="AX91" i="19" s="1"/>
  <c r="AW64" i="19"/>
  <c r="AW91" i="19" s="1"/>
  <c r="AV64" i="19"/>
  <c r="AV91" i="19" s="1"/>
  <c r="AU64" i="19"/>
  <c r="AU91" i="19" s="1"/>
  <c r="AT64" i="19"/>
  <c r="AT91" i="19" s="1"/>
  <c r="AS64" i="19"/>
  <c r="AS91" i="19" s="1"/>
  <c r="AR64" i="19"/>
  <c r="AR91" i="19" s="1"/>
  <c r="AQ64" i="19"/>
  <c r="AQ91" i="19" s="1"/>
  <c r="AP64" i="19"/>
  <c r="AP91" i="19" s="1"/>
  <c r="AO64" i="19"/>
  <c r="AO91" i="19" s="1"/>
  <c r="AN64" i="19"/>
  <c r="AN91" i="19" s="1"/>
  <c r="AM64" i="19"/>
  <c r="AM91" i="19" s="1"/>
  <c r="AL64" i="19"/>
  <c r="AL91" i="19" s="1"/>
  <c r="AK64" i="19"/>
  <c r="AK91" i="19" s="1"/>
  <c r="AJ64" i="19"/>
  <c r="AJ91" i="19" s="1"/>
  <c r="AI64" i="19"/>
  <c r="AI91" i="19" s="1"/>
  <c r="AH64" i="19"/>
  <c r="AH91" i="19" s="1"/>
  <c r="AG64" i="19"/>
  <c r="AG91" i="19" s="1"/>
  <c r="AF64" i="19"/>
  <c r="AE64" i="19"/>
  <c r="AD64" i="19"/>
  <c r="AC64" i="19"/>
  <c r="AB64" i="19"/>
  <c r="AA64" i="19"/>
  <c r="Z64" i="19"/>
  <c r="Y64" i="19"/>
  <c r="X64" i="19"/>
  <c r="W64" i="19"/>
  <c r="V64" i="19"/>
  <c r="U64" i="19"/>
  <c r="T64" i="19"/>
  <c r="S64" i="19"/>
  <c r="R64" i="19"/>
  <c r="Q64" i="19"/>
  <c r="P64" i="19"/>
  <c r="O64" i="19"/>
  <c r="N64" i="19"/>
  <c r="M64" i="19"/>
  <c r="L64" i="19"/>
  <c r="K64" i="19"/>
  <c r="J64" i="19"/>
  <c r="I64" i="19"/>
  <c r="H64" i="19"/>
  <c r="G64" i="19"/>
  <c r="E108" i="19"/>
  <c r="E107" i="19"/>
  <c r="E106" i="19"/>
  <c r="E105" i="19"/>
  <c r="E104" i="19"/>
  <c r="E102" i="19"/>
  <c r="E94" i="19"/>
  <c r="E93" i="19"/>
  <c r="F61" i="19"/>
  <c r="G56" i="19"/>
  <c r="F56" i="19"/>
  <c r="L58" i="19"/>
  <c r="K58" i="19"/>
  <c r="J58" i="19"/>
  <c r="I58" i="19"/>
  <c r="H58" i="19"/>
  <c r="G58" i="19"/>
  <c r="F58" i="19"/>
  <c r="F33" i="19"/>
  <c r="D33" i="19" s="1"/>
  <c r="F30" i="19"/>
  <c r="F28" i="19"/>
  <c r="D28" i="19" s="1"/>
  <c r="AG60" i="19"/>
  <c r="M59" i="19"/>
  <c r="H57" i="19"/>
  <c r="F32" i="19"/>
  <c r="F31" i="19"/>
  <c r="F29" i="19"/>
  <c r="D29" i="19" s="1"/>
  <c r="F23" i="19"/>
  <c r="D23" i="19" s="1"/>
  <c r="F27" i="19"/>
  <c r="D27" i="19" s="1"/>
  <c r="E26" i="40" l="1"/>
  <c r="E56" i="40" s="1"/>
  <c r="F17" i="40"/>
  <c r="E20" i="40"/>
  <c r="E50" i="40" s="1"/>
  <c r="E25" i="40"/>
  <c r="E55" i="40" s="1"/>
  <c r="E19" i="40"/>
  <c r="E18" i="40"/>
  <c r="E48" i="40" s="1"/>
  <c r="E22" i="40"/>
  <c r="E24" i="40"/>
  <c r="E29" i="40"/>
  <c r="E59" i="40" s="1"/>
  <c r="E27" i="40"/>
  <c r="E57" i="40" s="1"/>
  <c r="E21" i="40"/>
  <c r="E51" i="40" s="1"/>
  <c r="E54" i="40"/>
  <c r="E52" i="40"/>
  <c r="H24" i="29"/>
  <c r="H27" i="29" s="1"/>
  <c r="H7" i="29"/>
  <c r="H25" i="29"/>
  <c r="I23" i="29" s="1"/>
  <c r="I5" i="29"/>
  <c r="H6" i="29"/>
  <c r="H9" i="29" s="1"/>
  <c r="I33" i="29"/>
  <c r="I35" i="29" s="1"/>
  <c r="J32" i="29"/>
  <c r="L12" i="29"/>
  <c r="I14" i="29"/>
  <c r="H15" i="29"/>
  <c r="H17" i="29" s="1"/>
  <c r="K21" i="26"/>
  <c r="F85" i="19"/>
  <c r="D30" i="19"/>
  <c r="K26" i="26"/>
  <c r="G32" i="19"/>
  <c r="G87" i="19" s="1"/>
  <c r="D32" i="19"/>
  <c r="K16" i="26"/>
  <c r="K20" i="26"/>
  <c r="K22" i="26"/>
  <c r="F86" i="19"/>
  <c r="D31" i="19"/>
  <c r="E53" i="40"/>
  <c r="E28" i="40"/>
  <c r="E58" i="40" s="1"/>
  <c r="E49" i="40"/>
  <c r="F21" i="40"/>
  <c r="F51" i="40" s="1"/>
  <c r="F29" i="40"/>
  <c r="F59" i="40" s="1"/>
  <c r="F25" i="40"/>
  <c r="F55" i="40" s="1"/>
  <c r="F28" i="40"/>
  <c r="F24" i="40"/>
  <c r="F26" i="40"/>
  <c r="F22" i="40"/>
  <c r="F52" i="40" s="1"/>
  <c r="F20" i="40"/>
  <c r="F50" i="40" s="1"/>
  <c r="F18" i="40"/>
  <c r="F48" i="40" s="1"/>
  <c r="F23" i="40"/>
  <c r="F53" i="40" s="1"/>
  <c r="F19" i="40"/>
  <c r="F49" i="40" s="1"/>
  <c r="F27" i="40"/>
  <c r="G17" i="40"/>
  <c r="N49" i="25"/>
  <c r="S50" i="25"/>
  <c r="N50" i="25"/>
  <c r="N51" i="25"/>
  <c r="N52" i="25"/>
  <c r="N53" i="25"/>
  <c r="U40" i="25"/>
  <c r="N40" i="25"/>
  <c r="AA54" i="25"/>
  <c r="N54" i="25"/>
  <c r="F41" i="25"/>
  <c r="N41" i="25"/>
  <c r="N55" i="25"/>
  <c r="S56" i="25"/>
  <c r="N56" i="25"/>
  <c r="O44" i="25"/>
  <c r="N44" i="25"/>
  <c r="I57" i="25"/>
  <c r="O57" i="25"/>
  <c r="N57" i="25"/>
  <c r="O45" i="25"/>
  <c r="N45" i="25"/>
  <c r="O58" i="25"/>
  <c r="N58" i="25"/>
  <c r="M59" i="25"/>
  <c r="O59" i="25"/>
  <c r="N59" i="25"/>
  <c r="S46" i="25"/>
  <c r="N46" i="25"/>
  <c r="O60" i="25"/>
  <c r="N60" i="25"/>
  <c r="AA47" i="25"/>
  <c r="N47" i="25"/>
  <c r="F61" i="25"/>
  <c r="O61" i="25"/>
  <c r="N61" i="25"/>
  <c r="AA48" i="25"/>
  <c r="N48" i="25"/>
  <c r="AB62" i="25"/>
  <c r="I62" i="25"/>
  <c r="J62" i="25"/>
  <c r="M62" i="25"/>
  <c r="AB61" i="25"/>
  <c r="S48" i="25"/>
  <c r="X76" i="22"/>
  <c r="X83" i="22"/>
  <c r="X75" i="22"/>
  <c r="X82" i="22"/>
  <c r="X78" i="22"/>
  <c r="X85" i="22"/>
  <c r="X72" i="22"/>
  <c r="X79" i="22"/>
  <c r="X86" i="22"/>
  <c r="X73" i="22"/>
  <c r="X80" i="22"/>
  <c r="X87" i="22"/>
  <c r="X70" i="22"/>
  <c r="AA46" i="25"/>
  <c r="J60" i="25"/>
  <c r="D62" i="25"/>
  <c r="E48" i="25"/>
  <c r="F48" i="25"/>
  <c r="E59" i="25"/>
  <c r="Z59" i="25"/>
  <c r="D46" i="25"/>
  <c r="E46" i="25"/>
  <c r="F46" i="25"/>
  <c r="AA53" i="25"/>
  <c r="S55" i="25"/>
  <c r="E54" i="25"/>
  <c r="F54" i="25"/>
  <c r="AA52" i="25"/>
  <c r="S54" i="25"/>
  <c r="Z60" i="25"/>
  <c r="D51" i="25"/>
  <c r="J57" i="25"/>
  <c r="AB60" i="25"/>
  <c r="E52" i="25"/>
  <c r="S49" i="25"/>
  <c r="F52" i="25"/>
  <c r="AA41" i="25"/>
  <c r="S53" i="25"/>
  <c r="D50" i="25"/>
  <c r="E50" i="25"/>
  <c r="E55" i="25"/>
  <c r="AA40" i="25"/>
  <c r="F50" i="25"/>
  <c r="D53" i="25"/>
  <c r="F40" i="25"/>
  <c r="S52" i="25"/>
  <c r="E53" i="25"/>
  <c r="D52" i="25"/>
  <c r="H41" i="25"/>
  <c r="D48" i="25"/>
  <c r="I60" i="25"/>
  <c r="H45" i="25"/>
  <c r="F56" i="25"/>
  <c r="I58" i="25"/>
  <c r="Z58" i="25"/>
  <c r="S47" i="25"/>
  <c r="M60" i="25"/>
  <c r="D57" i="25"/>
  <c r="J58" i="25"/>
  <c r="Y44" i="25"/>
  <c r="AA51" i="25"/>
  <c r="J61" i="25"/>
  <c r="AB45" i="25"/>
  <c r="Z57" i="25"/>
  <c r="AB58" i="25"/>
  <c r="M44" i="25"/>
  <c r="AB59" i="25"/>
  <c r="E60" i="25"/>
  <c r="L45" i="25"/>
  <c r="AA50" i="25"/>
  <c r="E56" i="25"/>
  <c r="Y45" i="25"/>
  <c r="D47" i="25"/>
  <c r="D49" i="25"/>
  <c r="M45" i="25"/>
  <c r="M58" i="25"/>
  <c r="AB44" i="25"/>
  <c r="AB57" i="25"/>
  <c r="M57" i="25"/>
  <c r="I59" i="25"/>
  <c r="AA49" i="25"/>
  <c r="AA56" i="25"/>
  <c r="H40" i="25"/>
  <c r="F47" i="25"/>
  <c r="F49" i="25"/>
  <c r="F51" i="25"/>
  <c r="F53" i="25"/>
  <c r="F55" i="25"/>
  <c r="D58" i="25"/>
  <c r="J59" i="25"/>
  <c r="U41" i="25"/>
  <c r="S51" i="25"/>
  <c r="AA55" i="25"/>
  <c r="O62" i="25"/>
  <c r="L44" i="25"/>
  <c r="E47" i="25"/>
  <c r="E51" i="25"/>
  <c r="M61" i="25"/>
  <c r="H44" i="25"/>
  <c r="N62" i="25"/>
  <c r="Z61" i="25"/>
  <c r="Z62" i="25"/>
  <c r="E49" i="25"/>
  <c r="E99" i="19"/>
  <c r="E100" i="19"/>
  <c r="E101" i="19"/>
  <c r="F6" i="19"/>
  <c r="E103" i="19"/>
  <c r="E97" i="19"/>
  <c r="E98" i="19"/>
  <c r="E111" i="19"/>
  <c r="E112" i="19"/>
  <c r="E110" i="19"/>
  <c r="G28" i="19"/>
  <c r="G83" i="19" s="1"/>
  <c r="E115" i="19"/>
  <c r="F88" i="19"/>
  <c r="E109" i="19"/>
  <c r="F82" i="19"/>
  <c r="G30" i="19"/>
  <c r="G27" i="19"/>
  <c r="F83" i="19"/>
  <c r="F78" i="19"/>
  <c r="G23" i="19"/>
  <c r="F84" i="19"/>
  <c r="G29" i="19"/>
  <c r="G31" i="19"/>
  <c r="E113" i="19"/>
  <c r="E114" i="19"/>
  <c r="F87" i="19"/>
  <c r="A57" i="22"/>
  <c r="A56" i="22"/>
  <c r="A55" i="22"/>
  <c r="A54" i="22"/>
  <c r="A53" i="22"/>
  <c r="A52" i="22"/>
  <c r="A51" i="22"/>
  <c r="A50" i="22"/>
  <c r="A49" i="22"/>
  <c r="A48" i="22"/>
  <c r="A47" i="22"/>
  <c r="A46" i="22"/>
  <c r="A45" i="22"/>
  <c r="A44" i="22"/>
  <c r="A43" i="22"/>
  <c r="A42" i="22"/>
  <c r="A41" i="22"/>
  <c r="A39" i="22"/>
  <c r="A37" i="22"/>
  <c r="A35" i="22"/>
  <c r="A33" i="22"/>
  <c r="F57" i="40" l="1"/>
  <c r="F56" i="40"/>
  <c r="F54" i="40"/>
  <c r="F58" i="40"/>
  <c r="I24" i="29"/>
  <c r="I27" i="29" s="1"/>
  <c r="I7" i="29"/>
  <c r="I25" i="29"/>
  <c r="J23" i="29" s="1"/>
  <c r="J5" i="29"/>
  <c r="I6" i="29"/>
  <c r="I9" i="29" s="1"/>
  <c r="J14" i="29"/>
  <c r="I15" i="29"/>
  <c r="I17" i="29" s="1"/>
  <c r="J33" i="29"/>
  <c r="J35" i="29" s="1"/>
  <c r="K32" i="29"/>
  <c r="N12" i="29"/>
  <c r="H32" i="19"/>
  <c r="K25" i="26"/>
  <c r="K23" i="26"/>
  <c r="K24" i="26"/>
  <c r="G24" i="40"/>
  <c r="G54" i="40" s="1"/>
  <c r="G26" i="40"/>
  <c r="G56" i="40" s="1"/>
  <c r="G28" i="40"/>
  <c r="G58" i="40" s="1"/>
  <c r="G21" i="40"/>
  <c r="G51" i="40" s="1"/>
  <c r="G22" i="40"/>
  <c r="G52" i="40" s="1"/>
  <c r="G23" i="40"/>
  <c r="G53" i="40" s="1"/>
  <c r="G19" i="40"/>
  <c r="G49" i="40" s="1"/>
  <c r="G27" i="40"/>
  <c r="G57" i="40" s="1"/>
  <c r="G18" i="40"/>
  <c r="G48" i="40" s="1"/>
  <c r="G29" i="40"/>
  <c r="G59" i="40" s="1"/>
  <c r="G25" i="40"/>
  <c r="G55" i="40" s="1"/>
  <c r="G20" i="40"/>
  <c r="G50" i="40" s="1"/>
  <c r="H17" i="40"/>
  <c r="AF43" i="22"/>
  <c r="AF49" i="22"/>
  <c r="AF45" i="22"/>
  <c r="AF44" i="22"/>
  <c r="AF46" i="22"/>
  <c r="AF48" i="22"/>
  <c r="AF52" i="22"/>
  <c r="AF39" i="22"/>
  <c r="AF54" i="22"/>
  <c r="AF47" i="22"/>
  <c r="AF50" i="22"/>
  <c r="AF35" i="22"/>
  <c r="AF53" i="22"/>
  <c r="AF41" i="22"/>
  <c r="AF55" i="22"/>
  <c r="AF57" i="22"/>
  <c r="AF51" i="22"/>
  <c r="AF42" i="22"/>
  <c r="AF56" i="22"/>
  <c r="H27" i="19"/>
  <c r="G82" i="19"/>
  <c r="H30" i="19"/>
  <c r="G85" i="19"/>
  <c r="H31" i="19"/>
  <c r="G86" i="19"/>
  <c r="H29" i="19"/>
  <c r="G84" i="19"/>
  <c r="G78" i="19"/>
  <c r="H23" i="19"/>
  <c r="I32" i="19"/>
  <c r="H87" i="19"/>
  <c r="A62" i="25"/>
  <c r="A61" i="25"/>
  <c r="A60" i="25"/>
  <c r="A59" i="25"/>
  <c r="A58" i="25"/>
  <c r="A57" i="25"/>
  <c r="A56" i="25"/>
  <c r="A55" i="25"/>
  <c r="A54" i="25"/>
  <c r="A53" i="25"/>
  <c r="A52" i="25"/>
  <c r="A51" i="25"/>
  <c r="A50" i="25"/>
  <c r="A49" i="25"/>
  <c r="A48" i="25"/>
  <c r="A47" i="25"/>
  <c r="A46" i="25"/>
  <c r="A44" i="25"/>
  <c r="A42" i="25"/>
  <c r="A40" i="25"/>
  <c r="A38" i="25"/>
  <c r="J24" i="29" l="1"/>
  <c r="J27" i="29" s="1"/>
  <c r="P12" i="29"/>
  <c r="K33" i="29"/>
  <c r="K35" i="29" s="1"/>
  <c r="L32" i="29"/>
  <c r="K14" i="29"/>
  <c r="J15" i="29"/>
  <c r="J17" i="29" s="1"/>
  <c r="J7" i="29"/>
  <c r="K5" i="29" s="1"/>
  <c r="J25" i="29"/>
  <c r="K23" i="29" s="1"/>
  <c r="J6" i="29"/>
  <c r="J9" i="29" s="1"/>
  <c r="H84" i="19"/>
  <c r="H22" i="40"/>
  <c r="H52" i="40" s="1"/>
  <c r="H28" i="40"/>
  <c r="H58" i="40" s="1"/>
  <c r="H21" i="40"/>
  <c r="H51" i="40" s="1"/>
  <c r="H24" i="40"/>
  <c r="H54" i="40" s="1"/>
  <c r="H18" i="40"/>
  <c r="H48" i="40" s="1"/>
  <c r="H23" i="40"/>
  <c r="H53" i="40" s="1"/>
  <c r="H19" i="40"/>
  <c r="H49" i="40" s="1"/>
  <c r="H27" i="40"/>
  <c r="H57" i="40" s="1"/>
  <c r="H29" i="40"/>
  <c r="H59" i="40" s="1"/>
  <c r="H25" i="40"/>
  <c r="H55" i="40" s="1"/>
  <c r="H20" i="40"/>
  <c r="H50" i="40" s="1"/>
  <c r="H26" i="40"/>
  <c r="H56" i="40" s="1"/>
  <c r="I17" i="40"/>
  <c r="L45" i="22"/>
  <c r="L35" i="22"/>
  <c r="I51" i="22"/>
  <c r="F35" i="22"/>
  <c r="F66" i="22" s="1"/>
  <c r="K33" i="22"/>
  <c r="F47" i="22"/>
  <c r="F78" i="22" s="1"/>
  <c r="M33" i="22"/>
  <c r="E33" i="22"/>
  <c r="E64" i="22" s="1"/>
  <c r="F36" i="22"/>
  <c r="F67" i="22" s="1"/>
  <c r="H35" i="22"/>
  <c r="H66" i="22" s="1"/>
  <c r="M43" i="22"/>
  <c r="L57" i="22"/>
  <c r="L88" i="22" s="1"/>
  <c r="G40" i="22"/>
  <c r="G71" i="22" s="1"/>
  <c r="H36" i="22"/>
  <c r="H67" i="22" s="1"/>
  <c r="D33" i="22"/>
  <c r="D64" i="22" s="1"/>
  <c r="E51" i="22"/>
  <c r="E82" i="22" s="1"/>
  <c r="E44" i="22"/>
  <c r="E75" i="22" s="1"/>
  <c r="F50" i="22"/>
  <c r="F81" i="22" s="1"/>
  <c r="F49" i="22"/>
  <c r="F80" i="22" s="1"/>
  <c r="L41" i="22"/>
  <c r="H38" i="22"/>
  <c r="H69" i="22" s="1"/>
  <c r="L53" i="22"/>
  <c r="L84" i="22" s="1"/>
  <c r="M47" i="22"/>
  <c r="D35" i="22"/>
  <c r="D66" i="22" s="1"/>
  <c r="L55" i="22"/>
  <c r="L86" i="22" s="1"/>
  <c r="G50" i="22"/>
  <c r="G81" i="22" s="1"/>
  <c r="G42" i="22"/>
  <c r="G73" i="22" s="1"/>
  <c r="H49" i="22"/>
  <c r="H80" i="22" s="1"/>
  <c r="F54" i="22"/>
  <c r="F85" i="22" s="1"/>
  <c r="F38" i="22"/>
  <c r="F69" i="22" s="1"/>
  <c r="D51" i="22"/>
  <c r="H52" i="22"/>
  <c r="H83" i="22" s="1"/>
  <c r="E42" i="22"/>
  <c r="E73" i="22" s="1"/>
  <c r="I45" i="22"/>
  <c r="G56" i="22"/>
  <c r="G87" i="22" s="1"/>
  <c r="E38" i="22"/>
  <c r="E69" i="22" s="1"/>
  <c r="G52" i="22"/>
  <c r="G83" i="22" s="1"/>
  <c r="E39" i="22"/>
  <c r="E70" i="22" s="1"/>
  <c r="H47" i="22"/>
  <c r="H78" i="22" s="1"/>
  <c r="G41" i="22"/>
  <c r="G72" i="22" s="1"/>
  <c r="F40" i="22"/>
  <c r="F71" i="22" s="1"/>
  <c r="F37" i="22"/>
  <c r="F68" i="22" s="1"/>
  <c r="K50" i="22"/>
  <c r="G51" i="22"/>
  <c r="G82" i="22" s="1"/>
  <c r="F41" i="22"/>
  <c r="F72" i="22" s="1"/>
  <c r="D44" i="22"/>
  <c r="E43" i="22"/>
  <c r="E74" i="22" s="1"/>
  <c r="D48" i="22"/>
  <c r="L48" i="22"/>
  <c r="H50" i="22"/>
  <c r="H81" i="22" s="1"/>
  <c r="G46" i="22"/>
  <c r="G77" i="22" s="1"/>
  <c r="L56" i="22"/>
  <c r="L87" i="22" s="1"/>
  <c r="L54" i="22"/>
  <c r="L85" i="22" s="1"/>
  <c r="J50" i="22"/>
  <c r="E37" i="22"/>
  <c r="E68" i="22" s="1"/>
  <c r="K52" i="22"/>
  <c r="K83" i="22" s="1"/>
  <c r="M50" i="22"/>
  <c r="F55" i="22"/>
  <c r="F86" i="22" s="1"/>
  <c r="H48" i="22"/>
  <c r="H79" i="22" s="1"/>
  <c r="L40" i="22"/>
  <c r="L71" i="22" s="1"/>
  <c r="H55" i="22"/>
  <c r="H86" i="22" s="1"/>
  <c r="D38" i="22"/>
  <c r="D69" i="22" s="1"/>
  <c r="J38" i="22"/>
  <c r="J69" i="22" s="1"/>
  <c r="M46" i="22"/>
  <c r="F53" i="22"/>
  <c r="F84" i="22" s="1"/>
  <c r="M44" i="22"/>
  <c r="M35" i="22"/>
  <c r="I39" i="22"/>
  <c r="I70" i="22" s="1"/>
  <c r="D42" i="22"/>
  <c r="J56" i="22"/>
  <c r="J87" i="22" s="1"/>
  <c r="F44" i="22"/>
  <c r="F75" i="22" s="1"/>
  <c r="L39" i="22"/>
  <c r="L70" i="22" s="1"/>
  <c r="I54" i="22"/>
  <c r="I85" i="22" s="1"/>
  <c r="H46" i="22"/>
  <c r="H77" i="22" s="1"/>
  <c r="K42" i="22"/>
  <c r="M41" i="22"/>
  <c r="G57" i="22"/>
  <c r="G88" i="22" s="1"/>
  <c r="L43" i="22"/>
  <c r="I41" i="22"/>
  <c r="I49" i="22"/>
  <c r="I34" i="22"/>
  <c r="K54" i="22"/>
  <c r="K85" i="22" s="1"/>
  <c r="J45" i="22"/>
  <c r="I35" i="22"/>
  <c r="H43" i="22"/>
  <c r="H74" i="22" s="1"/>
  <c r="M48" i="22"/>
  <c r="J55" i="22"/>
  <c r="J86" i="22" s="1"/>
  <c r="E41" i="22"/>
  <c r="E72" i="22" s="1"/>
  <c r="M53" i="22"/>
  <c r="M84" i="22" s="1"/>
  <c r="F43" i="22"/>
  <c r="F74" i="22" s="1"/>
  <c r="L49" i="22"/>
  <c r="G47" i="22"/>
  <c r="G78" i="22" s="1"/>
  <c r="K57" i="22"/>
  <c r="K88" i="22" s="1"/>
  <c r="L46" i="22"/>
  <c r="K48" i="22"/>
  <c r="J44" i="22"/>
  <c r="E57" i="22"/>
  <c r="E88" i="22" s="1"/>
  <c r="K44" i="22"/>
  <c r="D36" i="22"/>
  <c r="D67" i="22" s="1"/>
  <c r="M45" i="22"/>
  <c r="I43" i="22"/>
  <c r="M34" i="22"/>
  <c r="J39" i="22"/>
  <c r="J70" i="22" s="1"/>
  <c r="J57" i="22"/>
  <c r="J88" i="22" s="1"/>
  <c r="H39" i="22"/>
  <c r="H70" i="22" s="1"/>
  <c r="J52" i="22"/>
  <c r="J83" i="22" s="1"/>
  <c r="E46" i="22"/>
  <c r="E77" i="22" s="1"/>
  <c r="F45" i="22"/>
  <c r="F76" i="22" s="1"/>
  <c r="J36" i="22"/>
  <c r="J37" i="22"/>
  <c r="J68" i="22" s="1"/>
  <c r="I36" i="22"/>
  <c r="G43" i="22"/>
  <c r="G74" i="22" s="1"/>
  <c r="G55" i="22"/>
  <c r="G86" i="22" s="1"/>
  <c r="K34" i="22"/>
  <c r="H57" i="22"/>
  <c r="H88" i="22" s="1"/>
  <c r="J35" i="22"/>
  <c r="J51" i="22"/>
  <c r="D37" i="22"/>
  <c r="D68" i="22" s="1"/>
  <c r="E52" i="22"/>
  <c r="E83" i="22" s="1"/>
  <c r="L42" i="22"/>
  <c r="H42" i="22"/>
  <c r="H73" i="22" s="1"/>
  <c r="D41" i="22"/>
  <c r="D45" i="22"/>
  <c r="M52" i="22"/>
  <c r="M83" i="22" s="1"/>
  <c r="J53" i="22"/>
  <c r="J84" i="22" s="1"/>
  <c r="F52" i="22"/>
  <c r="F83" i="22" s="1"/>
  <c r="J40" i="22"/>
  <c r="J71" i="22" s="1"/>
  <c r="J46" i="22"/>
  <c r="H44" i="22"/>
  <c r="H75" i="22" s="1"/>
  <c r="K53" i="22"/>
  <c r="K84" i="22" s="1"/>
  <c r="E53" i="22"/>
  <c r="E84" i="22" s="1"/>
  <c r="G53" i="22"/>
  <c r="G84" i="22" s="1"/>
  <c r="M42" i="22"/>
  <c r="I50" i="22"/>
  <c r="L47" i="22"/>
  <c r="I56" i="22"/>
  <c r="I87" i="22" s="1"/>
  <c r="L36" i="22"/>
  <c r="F48" i="22"/>
  <c r="F79" i="22" s="1"/>
  <c r="I55" i="22"/>
  <c r="I86" i="22" s="1"/>
  <c r="E50" i="22"/>
  <c r="E81" i="22" s="1"/>
  <c r="F46" i="22"/>
  <c r="F77" i="22" s="1"/>
  <c r="E49" i="22"/>
  <c r="E80" i="22" s="1"/>
  <c r="D47" i="22"/>
  <c r="K40" i="22"/>
  <c r="K71" i="22" s="1"/>
  <c r="H56" i="22"/>
  <c r="H87" i="22" s="1"/>
  <c r="H41" i="22"/>
  <c r="H72" i="22" s="1"/>
  <c r="G44" i="22"/>
  <c r="G75" i="22" s="1"/>
  <c r="F57" i="22"/>
  <c r="F88" i="22" s="1"/>
  <c r="K46" i="22"/>
  <c r="K43" i="22"/>
  <c r="D52" i="22"/>
  <c r="D83" i="22" s="1"/>
  <c r="D46" i="22"/>
  <c r="I53" i="22"/>
  <c r="I84" i="22" s="1"/>
  <c r="D43" i="22"/>
  <c r="M39" i="22"/>
  <c r="M70" i="22" s="1"/>
  <c r="G35" i="22"/>
  <c r="G66" i="22" s="1"/>
  <c r="E35" i="22"/>
  <c r="E66" i="22" s="1"/>
  <c r="D50" i="22"/>
  <c r="K47" i="22"/>
  <c r="G49" i="22"/>
  <c r="G80" i="22" s="1"/>
  <c r="L51" i="22"/>
  <c r="L50" i="22"/>
  <c r="M51" i="22"/>
  <c r="I42" i="22"/>
  <c r="F56" i="22"/>
  <c r="F87" i="22" s="1"/>
  <c r="M49" i="22"/>
  <c r="D39" i="22"/>
  <c r="D70" i="22" s="1"/>
  <c r="H37" i="22"/>
  <c r="H68" i="22" s="1"/>
  <c r="G54" i="22"/>
  <c r="G85" i="22" s="1"/>
  <c r="H40" i="22"/>
  <c r="H71" i="22" s="1"/>
  <c r="E55" i="22"/>
  <c r="E86" i="22" s="1"/>
  <c r="D57" i="22"/>
  <c r="D88" i="22" s="1"/>
  <c r="D53" i="22"/>
  <c r="D84" i="22" s="1"/>
  <c r="J42" i="22"/>
  <c r="L44" i="22"/>
  <c r="H53" i="22"/>
  <c r="H84" i="22" s="1"/>
  <c r="I52" i="22"/>
  <c r="I83" i="22" s="1"/>
  <c r="K45" i="22"/>
  <c r="J34" i="22"/>
  <c r="K51" i="22"/>
  <c r="I44" i="22"/>
  <c r="K39" i="22"/>
  <c r="K70" i="22" s="1"/>
  <c r="I48" i="22"/>
  <c r="E40" i="22"/>
  <c r="E71" i="22" s="1"/>
  <c r="H51" i="22"/>
  <c r="H82" i="22" s="1"/>
  <c r="F42" i="22"/>
  <c r="F73" i="22" s="1"/>
  <c r="J54" i="22"/>
  <c r="J85" i="22" s="1"/>
  <c r="E47" i="22"/>
  <c r="E78" i="22" s="1"/>
  <c r="M56" i="22"/>
  <c r="M87" i="22" s="1"/>
  <c r="L52" i="22"/>
  <c r="L83" i="22" s="1"/>
  <c r="K55" i="22"/>
  <c r="K86" i="22" s="1"/>
  <c r="D54" i="22"/>
  <c r="D85" i="22" s="1"/>
  <c r="I46" i="22"/>
  <c r="I33" i="22"/>
  <c r="J48" i="22"/>
  <c r="D40" i="22"/>
  <c r="D71" i="22" s="1"/>
  <c r="J47" i="22"/>
  <c r="H45" i="22"/>
  <c r="H76" i="22" s="1"/>
  <c r="F39" i="22"/>
  <c r="F70" i="22" s="1"/>
  <c r="M54" i="22"/>
  <c r="M85" i="22" s="1"/>
  <c r="D55" i="22"/>
  <c r="D86" i="22" s="1"/>
  <c r="M57" i="22"/>
  <c r="M88" i="22" s="1"/>
  <c r="E45" i="22"/>
  <c r="E76" i="22" s="1"/>
  <c r="M55" i="22"/>
  <c r="M86" i="22" s="1"/>
  <c r="I57" i="22"/>
  <c r="I88" i="22" s="1"/>
  <c r="K56" i="22"/>
  <c r="K87" i="22" s="1"/>
  <c r="J43" i="22"/>
  <c r="L34" i="22"/>
  <c r="K35" i="22"/>
  <c r="E34" i="22"/>
  <c r="E65" i="22" s="1"/>
  <c r="I47" i="22"/>
  <c r="D56" i="22"/>
  <c r="D87" i="22" s="1"/>
  <c r="K36" i="22"/>
  <c r="G45" i="22"/>
  <c r="G76" i="22" s="1"/>
  <c r="J49" i="22"/>
  <c r="I40" i="22"/>
  <c r="I71" i="22" s="1"/>
  <c r="D49" i="22"/>
  <c r="J41" i="22"/>
  <c r="E36" i="22"/>
  <c r="E67" i="22" s="1"/>
  <c r="F51" i="22"/>
  <c r="F82" i="22" s="1"/>
  <c r="E48" i="22"/>
  <c r="E79" i="22" s="1"/>
  <c r="M40" i="22"/>
  <c r="M71" i="22" s="1"/>
  <c r="E54" i="22"/>
  <c r="E85" i="22" s="1"/>
  <c r="D34" i="22"/>
  <c r="D65" i="22" s="1"/>
  <c r="L33" i="22"/>
  <c r="K41" i="22"/>
  <c r="E56" i="22"/>
  <c r="E87" i="22" s="1"/>
  <c r="K49" i="22"/>
  <c r="G36" i="22"/>
  <c r="G67" i="22" s="1"/>
  <c r="G39" i="22"/>
  <c r="G70" i="22" s="1"/>
  <c r="M36" i="22"/>
  <c r="H54" i="22"/>
  <c r="H85" i="22" s="1"/>
  <c r="J33" i="22"/>
  <c r="I38" i="22"/>
  <c r="I69" i="22" s="1"/>
  <c r="I37" i="22"/>
  <c r="I68" i="22" s="1"/>
  <c r="G48" i="22"/>
  <c r="G79" i="22" s="1"/>
  <c r="J32" i="19"/>
  <c r="I87" i="19"/>
  <c r="I23" i="19"/>
  <c r="H78" i="19"/>
  <c r="I31" i="19"/>
  <c r="H86" i="19"/>
  <c r="I30" i="19"/>
  <c r="H85" i="19"/>
  <c r="I27" i="19"/>
  <c r="H82" i="19"/>
  <c r="G46" i="24"/>
  <c r="G45" i="24"/>
  <c r="G44" i="24"/>
  <c r="K24" i="29" l="1"/>
  <c r="K27" i="29" s="1"/>
  <c r="L14" i="29"/>
  <c r="K15" i="29"/>
  <c r="K17" i="29" s="1"/>
  <c r="R12" i="29"/>
  <c r="L33" i="29"/>
  <c r="L35" i="29" s="1"/>
  <c r="M32" i="29"/>
  <c r="K7" i="29"/>
  <c r="K25" i="29"/>
  <c r="L23" i="29" s="1"/>
  <c r="L5" i="29"/>
  <c r="K6" i="29"/>
  <c r="K9" i="29" s="1"/>
  <c r="D72" i="22"/>
  <c r="D80" i="22"/>
  <c r="D79" i="22"/>
  <c r="D81" i="22"/>
  <c r="D75" i="22"/>
  <c r="D78" i="22"/>
  <c r="D82" i="22"/>
  <c r="D74" i="22"/>
  <c r="D73" i="22"/>
  <c r="D77" i="22"/>
  <c r="D76" i="22"/>
  <c r="I25" i="40"/>
  <c r="I55" i="40" s="1"/>
  <c r="I21" i="40"/>
  <c r="I51" i="40" s="1"/>
  <c r="I24" i="40"/>
  <c r="I54" i="40" s="1"/>
  <c r="I23" i="40"/>
  <c r="I53" i="40" s="1"/>
  <c r="I19" i="40"/>
  <c r="I49" i="40" s="1"/>
  <c r="I27" i="40"/>
  <c r="I29" i="40"/>
  <c r="I20" i="40"/>
  <c r="I50" i="40" s="1"/>
  <c r="I26" i="40"/>
  <c r="I56" i="40" s="1"/>
  <c r="I18" i="40"/>
  <c r="I48" i="40" s="1"/>
  <c r="I28" i="40"/>
  <c r="I58" i="40" s="1"/>
  <c r="I22" i="40"/>
  <c r="J17" i="40"/>
  <c r="K76" i="22"/>
  <c r="I73" i="22"/>
  <c r="K74" i="22"/>
  <c r="L77" i="22"/>
  <c r="I80" i="22"/>
  <c r="M75" i="22"/>
  <c r="M82" i="22"/>
  <c r="K77" i="22"/>
  <c r="L78" i="22"/>
  <c r="I72" i="22"/>
  <c r="M78" i="22"/>
  <c r="J72" i="22"/>
  <c r="L81" i="22"/>
  <c r="I81" i="22"/>
  <c r="L73" i="22"/>
  <c r="L74" i="22"/>
  <c r="M77" i="22"/>
  <c r="L75" i="22"/>
  <c r="L82" i="22"/>
  <c r="M73" i="22"/>
  <c r="L80" i="22"/>
  <c r="L79" i="22"/>
  <c r="M64" i="22"/>
  <c r="M72" i="22"/>
  <c r="I76" i="22"/>
  <c r="L72" i="22"/>
  <c r="K78" i="22"/>
  <c r="J82" i="22"/>
  <c r="K73" i="22"/>
  <c r="K64" i="22"/>
  <c r="K80" i="22"/>
  <c r="J66" i="22"/>
  <c r="M65" i="22"/>
  <c r="J73" i="22"/>
  <c r="K67" i="22"/>
  <c r="I74" i="22"/>
  <c r="I82" i="22"/>
  <c r="J64" i="22"/>
  <c r="M67" i="22"/>
  <c r="K72" i="22"/>
  <c r="J77" i="22"/>
  <c r="K65" i="22"/>
  <c r="M76" i="22"/>
  <c r="M79" i="22"/>
  <c r="L66" i="22"/>
  <c r="L64" i="22"/>
  <c r="I78" i="22"/>
  <c r="J78" i="22"/>
  <c r="I79" i="22"/>
  <c r="M81" i="22"/>
  <c r="K81" i="22"/>
  <c r="L76" i="22"/>
  <c r="J80" i="22"/>
  <c r="K75" i="22"/>
  <c r="I66" i="22"/>
  <c r="K66" i="22"/>
  <c r="J79" i="22"/>
  <c r="I75" i="22"/>
  <c r="I67" i="22"/>
  <c r="J76" i="22"/>
  <c r="L65" i="22"/>
  <c r="I64" i="22"/>
  <c r="K82" i="22"/>
  <c r="M80" i="22"/>
  <c r="J75" i="22"/>
  <c r="J81" i="22"/>
  <c r="J74" i="22"/>
  <c r="I77" i="22"/>
  <c r="J65" i="22"/>
  <c r="L67" i="22"/>
  <c r="J67" i="22"/>
  <c r="K79" i="22"/>
  <c r="I65" i="22"/>
  <c r="M66" i="22"/>
  <c r="M74" i="22"/>
  <c r="J27" i="19"/>
  <c r="I82" i="19"/>
  <c r="J30" i="19"/>
  <c r="I85" i="19"/>
  <c r="J31" i="19"/>
  <c r="I86" i="19"/>
  <c r="J23" i="19"/>
  <c r="I78" i="19"/>
  <c r="K32" i="19"/>
  <c r="J87" i="19"/>
  <c r="G49" i="24"/>
  <c r="C3" i="19" s="1"/>
  <c r="H89" i="19" s="1"/>
  <c r="G50" i="24"/>
  <c r="C4" i="19" s="1"/>
  <c r="G52" i="24"/>
  <c r="C6" i="19" s="1"/>
  <c r="I114" i="19" s="1"/>
  <c r="G51" i="24"/>
  <c r="C5" i="19" s="1"/>
  <c r="H105" i="19" s="1"/>
  <c r="L24" i="29" l="1"/>
  <c r="L27" i="29" s="1"/>
  <c r="L7" i="29"/>
  <c r="M5" i="29" s="1"/>
  <c r="L25" i="29"/>
  <c r="M23" i="29" s="1"/>
  <c r="L6" i="29"/>
  <c r="L9" i="29" s="1"/>
  <c r="T12" i="29"/>
  <c r="M14" i="29"/>
  <c r="L15" i="29"/>
  <c r="L17" i="29" s="1"/>
  <c r="M33" i="29"/>
  <c r="M35" i="29" s="1"/>
  <c r="N32" i="29"/>
  <c r="J22" i="40"/>
  <c r="J52" i="40" s="1"/>
  <c r="I52" i="40"/>
  <c r="J29" i="40"/>
  <c r="J59" i="40" s="1"/>
  <c r="I59" i="40"/>
  <c r="J27" i="40"/>
  <c r="J57" i="40" s="1"/>
  <c r="I57" i="40"/>
  <c r="J24" i="40"/>
  <c r="J54" i="40" s="1"/>
  <c r="J21" i="40"/>
  <c r="J51" i="40" s="1"/>
  <c r="J20" i="40"/>
  <c r="J50" i="40" s="1"/>
  <c r="J23" i="40"/>
  <c r="J53" i="40" s="1"/>
  <c r="J19" i="40"/>
  <c r="J49" i="40" s="1"/>
  <c r="J26" i="40"/>
  <c r="J56" i="40" s="1"/>
  <c r="J18" i="40"/>
  <c r="J48" i="40" s="1"/>
  <c r="J28" i="40"/>
  <c r="J58" i="40" s="1"/>
  <c r="J25" i="40"/>
  <c r="J55" i="40" s="1"/>
  <c r="K17" i="40"/>
  <c r="I113" i="19"/>
  <c r="I112" i="19"/>
  <c r="I105" i="19"/>
  <c r="H112" i="19"/>
  <c r="H109" i="19"/>
  <c r="I109" i="19"/>
  <c r="N102" i="19"/>
  <c r="Q103" i="19"/>
  <c r="F104" i="19"/>
  <c r="M106" i="19"/>
  <c r="P107" i="19"/>
  <c r="S108" i="19"/>
  <c r="AH108" i="19"/>
  <c r="R106" i="19"/>
  <c r="U107" i="19"/>
  <c r="N104" i="19"/>
  <c r="K102" i="19"/>
  <c r="H108" i="19"/>
  <c r="AN108" i="19"/>
  <c r="K107" i="19"/>
  <c r="AC108" i="19"/>
  <c r="X107" i="19"/>
  <c r="AC106" i="19"/>
  <c r="F100" i="19"/>
  <c r="BE108" i="19"/>
  <c r="AZ107" i="19"/>
  <c r="P102" i="19"/>
  <c r="G100" i="19"/>
  <c r="P103" i="19"/>
  <c r="S104" i="19"/>
  <c r="T104" i="19"/>
  <c r="AA106" i="19"/>
  <c r="AD107" i="19"/>
  <c r="AG108" i="19"/>
  <c r="AV108" i="19"/>
  <c r="AF106" i="19"/>
  <c r="AI107" i="19"/>
  <c r="F106" i="19"/>
  <c r="M103" i="19"/>
  <c r="V108" i="19"/>
  <c r="BB108" i="19"/>
  <c r="Y107" i="19"/>
  <c r="AR108" i="19"/>
  <c r="BF108" i="19"/>
  <c r="H101" i="19"/>
  <c r="Q102" i="19"/>
  <c r="J102" i="19"/>
  <c r="R104" i="19"/>
  <c r="K106" i="19"/>
  <c r="L106" i="19"/>
  <c r="O107" i="19"/>
  <c r="AR107" i="19"/>
  <c r="AU108" i="19"/>
  <c r="G102" i="19"/>
  <c r="F107" i="19"/>
  <c r="AW107" i="19"/>
  <c r="T106" i="19"/>
  <c r="O104" i="19"/>
  <c r="AJ108" i="19"/>
  <c r="L104" i="19"/>
  <c r="AM107" i="19"/>
  <c r="M108" i="19"/>
  <c r="M102" i="19"/>
  <c r="N108" i="19"/>
  <c r="G101" i="19"/>
  <c r="O103" i="19"/>
  <c r="AE107" i="19"/>
  <c r="J106" i="19"/>
  <c r="Y106" i="19"/>
  <c r="Z106" i="19"/>
  <c r="AC107" i="19"/>
  <c r="R108" i="19"/>
  <c r="I103" i="19"/>
  <c r="T107" i="19"/>
  <c r="I108" i="19"/>
  <c r="AH106" i="19"/>
  <c r="G106" i="19"/>
  <c r="H100" i="19"/>
  <c r="F99" i="19"/>
  <c r="BA107" i="19"/>
  <c r="AL107" i="19"/>
  <c r="Q107" i="19"/>
  <c r="N106" i="19"/>
  <c r="AM108" i="19"/>
  <c r="X106" i="19"/>
  <c r="M107" i="19"/>
  <c r="N107" i="19"/>
  <c r="AQ107" i="19"/>
  <c r="AF108" i="19"/>
  <c r="F102" i="19"/>
  <c r="Q106" i="19"/>
  <c r="AH107" i="19"/>
  <c r="W108" i="19"/>
  <c r="H107" i="19"/>
  <c r="U106" i="19"/>
  <c r="P104" i="19"/>
  <c r="J101" i="19"/>
  <c r="O106" i="19"/>
  <c r="X108" i="19"/>
  <c r="AQ108" i="19"/>
  <c r="I102" i="19"/>
  <c r="AP108" i="19"/>
  <c r="S106" i="19"/>
  <c r="L107" i="19"/>
  <c r="AA107" i="19"/>
  <c r="AB107" i="19"/>
  <c r="BE107" i="19"/>
  <c r="AT108" i="19"/>
  <c r="H103" i="19"/>
  <c r="AE106" i="19"/>
  <c r="AV107" i="19"/>
  <c r="AK108" i="19"/>
  <c r="V107" i="19"/>
  <c r="AI106" i="19"/>
  <c r="H106" i="19"/>
  <c r="L102" i="19"/>
  <c r="AA108" i="19"/>
  <c r="BG108" i="19"/>
  <c r="AY107" i="19"/>
  <c r="AF107" i="19"/>
  <c r="Q104" i="19"/>
  <c r="AI108" i="19"/>
  <c r="Y108" i="19"/>
  <c r="BD108" i="19"/>
  <c r="W106" i="19"/>
  <c r="Z107" i="19"/>
  <c r="AO107" i="19"/>
  <c r="AP107" i="19"/>
  <c r="Q108" i="19"/>
  <c r="BH108" i="19"/>
  <c r="J104" i="19"/>
  <c r="S107" i="19"/>
  <c r="AX108" i="19"/>
  <c r="AY108" i="19"/>
  <c r="AJ107" i="19"/>
  <c r="I107" i="19"/>
  <c r="V106" i="19"/>
  <c r="N103" i="19"/>
  <c r="AO108" i="19"/>
  <c r="K108" i="19"/>
  <c r="K103" i="19"/>
  <c r="AZ108" i="19"/>
  <c r="AN107" i="19"/>
  <c r="BC107" i="19"/>
  <c r="BD107" i="19"/>
  <c r="AE108" i="19"/>
  <c r="G103" i="19"/>
  <c r="P106" i="19"/>
  <c r="AG107" i="19"/>
  <c r="K104" i="19"/>
  <c r="J103" i="19"/>
  <c r="AX107" i="19"/>
  <c r="W107" i="19"/>
  <c r="AJ106" i="19"/>
  <c r="G99" i="19"/>
  <c r="BC108" i="19"/>
  <c r="AD108" i="19"/>
  <c r="AG106" i="19"/>
  <c r="AB108" i="19"/>
  <c r="AL108" i="19"/>
  <c r="H104" i="19"/>
  <c r="F108" i="19"/>
  <c r="BB107" i="19"/>
  <c r="O108" i="19"/>
  <c r="P108" i="19"/>
  <c r="AS108" i="19"/>
  <c r="I104" i="19"/>
  <c r="AD106" i="19"/>
  <c r="AU107" i="19"/>
  <c r="F101" i="19"/>
  <c r="M104" i="19"/>
  <c r="J108" i="19"/>
  <c r="AK107" i="19"/>
  <c r="J107" i="19"/>
  <c r="G108" i="19"/>
  <c r="F103" i="19"/>
  <c r="U108" i="19"/>
  <c r="AT107" i="19"/>
  <c r="I106" i="19"/>
  <c r="AW108" i="19"/>
  <c r="L108" i="19"/>
  <c r="R107" i="19"/>
  <c r="O102" i="19"/>
  <c r="R103" i="19"/>
  <c r="G104" i="19"/>
  <c r="AB106" i="19"/>
  <c r="AS107" i="19"/>
  <c r="T108" i="19"/>
  <c r="H102" i="19"/>
  <c r="G107" i="19"/>
  <c r="L103" i="19"/>
  <c r="I101" i="19"/>
  <c r="BA108" i="19"/>
  <c r="Z108" i="19"/>
  <c r="AK106" i="19"/>
  <c r="F105" i="19"/>
  <c r="F109" i="19"/>
  <c r="G105" i="19"/>
  <c r="G109" i="19"/>
  <c r="F113" i="19"/>
  <c r="F112" i="19"/>
  <c r="G114" i="19"/>
  <c r="F111" i="19"/>
  <c r="F115" i="19"/>
  <c r="F110" i="19"/>
  <c r="G110" i="19"/>
  <c r="F114" i="19"/>
  <c r="H114" i="19"/>
  <c r="G113" i="19"/>
  <c r="H111" i="19"/>
  <c r="G112" i="19"/>
  <c r="G111" i="19"/>
  <c r="J114" i="19"/>
  <c r="H113" i="19"/>
  <c r="K23" i="19"/>
  <c r="J78" i="19"/>
  <c r="J105" i="19" s="1"/>
  <c r="K30" i="19"/>
  <c r="J85" i="19"/>
  <c r="J112" i="19" s="1"/>
  <c r="L32" i="19"/>
  <c r="K87" i="19"/>
  <c r="K114" i="19" s="1"/>
  <c r="K31" i="19"/>
  <c r="J86" i="19"/>
  <c r="J113" i="19" s="1"/>
  <c r="K27" i="19"/>
  <c r="J82" i="19"/>
  <c r="J109" i="19" s="1"/>
  <c r="M24" i="29" l="1"/>
  <c r="M27" i="29" s="1"/>
  <c r="M25" i="29"/>
  <c r="N23" i="29" s="1"/>
  <c r="M7" i="29"/>
  <c r="N5" i="29" s="1"/>
  <c r="M6" i="29"/>
  <c r="M9" i="29" s="1"/>
  <c r="N33" i="29"/>
  <c r="N35" i="29" s="1"/>
  <c r="O32" i="29"/>
  <c r="N14" i="29"/>
  <c r="M15" i="29"/>
  <c r="M17" i="29" s="1"/>
  <c r="V12" i="29"/>
  <c r="X12" i="29" s="1"/>
  <c r="Z12" i="29" s="1"/>
  <c r="AB12" i="29" s="1"/>
  <c r="AD12" i="29" s="1"/>
  <c r="AF12" i="29" s="1"/>
  <c r="AH12" i="29" s="1"/>
  <c r="AJ12" i="29" s="1"/>
  <c r="AL12" i="29" s="1"/>
  <c r="AN12" i="29" s="1"/>
  <c r="AP12" i="29" s="1"/>
  <c r="AR12" i="29" s="1"/>
  <c r="AT12" i="29" s="1"/>
  <c r="AV12" i="29" s="1"/>
  <c r="AX12" i="29" s="1"/>
  <c r="AZ12" i="29" s="1"/>
  <c r="BB12" i="29" s="1"/>
  <c r="BD12" i="29" s="1"/>
  <c r="BF12" i="29" s="1"/>
  <c r="BH12" i="29" s="1"/>
  <c r="BJ12" i="29" s="1"/>
  <c r="BL12" i="29" s="1"/>
  <c r="BN12" i="29" s="1"/>
  <c r="BP12" i="29" s="1"/>
  <c r="BR12" i="29" s="1"/>
  <c r="BT12" i="29" s="1"/>
  <c r="K28" i="40"/>
  <c r="K58" i="40" s="1"/>
  <c r="K25" i="40"/>
  <c r="K55" i="40" s="1"/>
  <c r="K20" i="40"/>
  <c r="K50" i="40" s="1"/>
  <c r="K23" i="40"/>
  <c r="K53" i="40" s="1"/>
  <c r="K19" i="40"/>
  <c r="K49" i="40" s="1"/>
  <c r="K26" i="40"/>
  <c r="K56" i="40" s="1"/>
  <c r="K18" i="40"/>
  <c r="K48" i="40" s="1"/>
  <c r="K21" i="40"/>
  <c r="K51" i="40" s="1"/>
  <c r="K29" i="40"/>
  <c r="K27" i="40"/>
  <c r="K24" i="40"/>
  <c r="K22" i="40"/>
  <c r="L17" i="40"/>
  <c r="E141" i="19"/>
  <c r="F141" i="19"/>
  <c r="E137" i="19"/>
  <c r="F137" i="19"/>
  <c r="E140" i="19"/>
  <c r="F140" i="19"/>
  <c r="E145" i="19"/>
  <c r="F145" i="19"/>
  <c r="F136" i="19"/>
  <c r="E136" i="19"/>
  <c r="E130" i="19"/>
  <c r="F130" i="19"/>
  <c r="F129" i="19"/>
  <c r="E129" i="19"/>
  <c r="E134" i="19"/>
  <c r="F134" i="19"/>
  <c r="E133" i="19"/>
  <c r="F133" i="19"/>
  <c r="F138" i="19"/>
  <c r="F132" i="19"/>
  <c r="E132" i="19"/>
  <c r="F131" i="19"/>
  <c r="E131" i="19"/>
  <c r="L31" i="19"/>
  <c r="K86" i="19"/>
  <c r="K113" i="19" s="1"/>
  <c r="L30" i="19"/>
  <c r="K85" i="19"/>
  <c r="K112" i="19" s="1"/>
  <c r="L27" i="19"/>
  <c r="K82" i="19"/>
  <c r="K109" i="19" s="1"/>
  <c r="M32" i="19"/>
  <c r="L87" i="19"/>
  <c r="L114" i="19" s="1"/>
  <c r="L23" i="19"/>
  <c r="K78" i="19"/>
  <c r="K105" i="19" s="1"/>
  <c r="N24" i="29" l="1"/>
  <c r="N27" i="29" s="1"/>
  <c r="N6" i="29"/>
  <c r="N9" i="29" s="1"/>
  <c r="N25" i="29"/>
  <c r="O23" i="29" s="1"/>
  <c r="N7" i="29"/>
  <c r="O5" i="29" s="1"/>
  <c r="P32" i="29"/>
  <c r="O33" i="29"/>
  <c r="O35" i="29" s="1"/>
  <c r="O14" i="29"/>
  <c r="N15" i="29"/>
  <c r="N17" i="29" s="1"/>
  <c r="L85" i="19"/>
  <c r="L112" i="19" s="1"/>
  <c r="L29" i="40"/>
  <c r="L59" i="40" s="1"/>
  <c r="K59" i="40"/>
  <c r="L27" i="40"/>
  <c r="L57" i="40" s="1"/>
  <c r="K57" i="40"/>
  <c r="L22" i="40"/>
  <c r="L52" i="40" s="1"/>
  <c r="K52" i="40"/>
  <c r="L24" i="40"/>
  <c r="L54" i="40" s="1"/>
  <c r="K54" i="40"/>
  <c r="L25" i="40"/>
  <c r="L55" i="40" s="1"/>
  <c r="L23" i="40"/>
  <c r="L53" i="40" s="1"/>
  <c r="L19" i="40"/>
  <c r="L49" i="40" s="1"/>
  <c r="L26" i="40"/>
  <c r="L56" i="40" s="1"/>
  <c r="L20" i="40"/>
  <c r="L50" i="40" s="1"/>
  <c r="L18" i="40"/>
  <c r="L48" i="40" s="1"/>
  <c r="L21" i="40"/>
  <c r="L51" i="40" s="1"/>
  <c r="L28" i="40"/>
  <c r="L58" i="40" s="1"/>
  <c r="M17" i="40"/>
  <c r="V74" i="22"/>
  <c r="R74" i="22"/>
  <c r="Q74" i="22"/>
  <c r="T74" i="22"/>
  <c r="W74" i="22"/>
  <c r="S74" i="22"/>
  <c r="U74" i="22"/>
  <c r="U81" i="22"/>
  <c r="Q81" i="22"/>
  <c r="N81" i="22"/>
  <c r="R81" i="22"/>
  <c r="S81" i="22"/>
  <c r="T81" i="22"/>
  <c r="W81" i="22"/>
  <c r="V81" i="22"/>
  <c r="Q80" i="22"/>
  <c r="N80" i="22"/>
  <c r="R80" i="22"/>
  <c r="W80" i="22"/>
  <c r="U80" i="22"/>
  <c r="S80" i="22"/>
  <c r="V80" i="22"/>
  <c r="T80" i="22"/>
  <c r="W79" i="22"/>
  <c r="U79" i="22"/>
  <c r="Q79" i="22"/>
  <c r="R79" i="22"/>
  <c r="T79" i="22"/>
  <c r="V79" i="22"/>
  <c r="S79" i="22"/>
  <c r="O88" i="22"/>
  <c r="U88" i="22"/>
  <c r="P88" i="22"/>
  <c r="V88" i="22"/>
  <c r="Q88" i="22"/>
  <c r="R88" i="22"/>
  <c r="Q77" i="22"/>
  <c r="R77" i="22"/>
  <c r="V77" i="22"/>
  <c r="W77" i="22"/>
  <c r="T77" i="22"/>
  <c r="U77" i="22"/>
  <c r="S77" i="22"/>
  <c r="O84" i="22"/>
  <c r="Q84" i="22"/>
  <c r="R84" i="22"/>
  <c r="P84" i="22"/>
  <c r="U84" i="22"/>
  <c r="V84" i="22"/>
  <c r="Q72" i="22"/>
  <c r="R72" i="22"/>
  <c r="T72" i="22"/>
  <c r="S72" i="22"/>
  <c r="W72" i="22"/>
  <c r="U72" i="22"/>
  <c r="V72" i="22"/>
  <c r="S75" i="22"/>
  <c r="T75" i="22"/>
  <c r="Q75" i="22"/>
  <c r="R75" i="22"/>
  <c r="W75" i="22"/>
  <c r="U75" i="22"/>
  <c r="V75" i="22"/>
  <c r="R76" i="22"/>
  <c r="Q76" i="22"/>
  <c r="V76" i="22"/>
  <c r="W76" i="22"/>
  <c r="U76" i="22"/>
  <c r="S76" i="22"/>
  <c r="T76" i="22"/>
  <c r="S73" i="22"/>
  <c r="Q73" i="22"/>
  <c r="R73" i="22"/>
  <c r="T73" i="22"/>
  <c r="W73" i="22"/>
  <c r="U73" i="22"/>
  <c r="V73" i="22"/>
  <c r="Q83" i="22"/>
  <c r="O83" i="22"/>
  <c r="R83" i="22"/>
  <c r="V83" i="22"/>
  <c r="U83" i="22"/>
  <c r="P83" i="22"/>
  <c r="T53" i="22"/>
  <c r="W53" i="22"/>
  <c r="S84" i="22"/>
  <c r="R53" i="22"/>
  <c r="AA53" i="22"/>
  <c r="S53" i="22"/>
  <c r="W84" i="22"/>
  <c r="T84" i="22"/>
  <c r="Y53" i="22"/>
  <c r="U53" i="22"/>
  <c r="X53" i="22"/>
  <c r="N84" i="22"/>
  <c r="Z53" i="22"/>
  <c r="V53" i="22"/>
  <c r="AA41" i="22"/>
  <c r="R41" i="22"/>
  <c r="W41" i="22"/>
  <c r="T41" i="22"/>
  <c r="X41" i="22"/>
  <c r="Y41" i="22"/>
  <c r="V41" i="22"/>
  <c r="Z41" i="22"/>
  <c r="U41" i="22"/>
  <c r="S41" i="22"/>
  <c r="R48" i="22"/>
  <c r="V48" i="22"/>
  <c r="Z48" i="22"/>
  <c r="U48" i="22"/>
  <c r="AA48" i="22"/>
  <c r="T48" i="22"/>
  <c r="S48" i="22"/>
  <c r="X48" i="22"/>
  <c r="W48" i="22"/>
  <c r="Y48" i="22"/>
  <c r="O79" i="22"/>
  <c r="N79" i="22"/>
  <c r="P79" i="22"/>
  <c r="T42" i="22"/>
  <c r="AA42" i="22"/>
  <c r="U42" i="22"/>
  <c r="V42" i="22"/>
  <c r="X42" i="22"/>
  <c r="Z42" i="22"/>
  <c r="S42" i="22"/>
  <c r="W42" i="22"/>
  <c r="Y42" i="22"/>
  <c r="P73" i="22"/>
  <c r="O73" i="22"/>
  <c r="R42" i="22"/>
  <c r="N73" i="22"/>
  <c r="Z57" i="22"/>
  <c r="Y57" i="22"/>
  <c r="R57" i="22"/>
  <c r="V57" i="22"/>
  <c r="U57" i="22"/>
  <c r="X57" i="22"/>
  <c r="W57" i="22"/>
  <c r="T57" i="22"/>
  <c r="W88" i="22"/>
  <c r="S57" i="22"/>
  <c r="AA57" i="22"/>
  <c r="N88" i="22"/>
  <c r="T88" i="22"/>
  <c r="S88" i="22"/>
  <c r="T44" i="22"/>
  <c r="U44" i="22"/>
  <c r="R44" i="22"/>
  <c r="V44" i="22"/>
  <c r="S44" i="22"/>
  <c r="Z44" i="22"/>
  <c r="AA44" i="22"/>
  <c r="Y44" i="22"/>
  <c r="X44" i="22"/>
  <c r="O75" i="22"/>
  <c r="P75" i="22"/>
  <c r="W44" i="22"/>
  <c r="N75" i="22"/>
  <c r="U52" i="22"/>
  <c r="W52" i="22"/>
  <c r="X52" i="22"/>
  <c r="S52" i="22"/>
  <c r="V52" i="22"/>
  <c r="T52" i="22"/>
  <c r="Z52" i="22"/>
  <c r="AA52" i="22"/>
  <c r="Y52" i="22"/>
  <c r="R52" i="22"/>
  <c r="T83" i="22"/>
  <c r="W83" i="22"/>
  <c r="N83" i="22"/>
  <c r="S83" i="22"/>
  <c r="E138" i="19"/>
  <c r="X50" i="22"/>
  <c r="W50" i="22"/>
  <c r="V50" i="22"/>
  <c r="R50" i="22"/>
  <c r="T50" i="22"/>
  <c r="U50" i="22"/>
  <c r="Y50" i="22"/>
  <c r="S50" i="22"/>
  <c r="Z50" i="22"/>
  <c r="P81" i="22"/>
  <c r="AA50" i="22"/>
  <c r="O81" i="22"/>
  <c r="X46" i="22"/>
  <c r="S46" i="22"/>
  <c r="Y46" i="22"/>
  <c r="Z46" i="22"/>
  <c r="U46" i="22"/>
  <c r="T46" i="22"/>
  <c r="W46" i="22"/>
  <c r="V46" i="22"/>
  <c r="AA46" i="22"/>
  <c r="R46" i="22"/>
  <c r="O77" i="22"/>
  <c r="N77" i="22"/>
  <c r="P77" i="22"/>
  <c r="W43" i="22"/>
  <c r="Y43" i="22"/>
  <c r="AA43" i="22"/>
  <c r="S43" i="22"/>
  <c r="Z43" i="22"/>
  <c r="T43" i="22"/>
  <c r="U43" i="22"/>
  <c r="X43" i="22"/>
  <c r="V43" i="22"/>
  <c r="R43" i="22"/>
  <c r="P74" i="22"/>
  <c r="N74" i="22"/>
  <c r="O74" i="22"/>
  <c r="Y45" i="22"/>
  <c r="W45" i="22"/>
  <c r="Z45" i="22"/>
  <c r="T45" i="22"/>
  <c r="AA45" i="22"/>
  <c r="S45" i="22"/>
  <c r="U45" i="22"/>
  <c r="V45" i="22"/>
  <c r="X45" i="22"/>
  <c r="R45" i="22"/>
  <c r="N76" i="22"/>
  <c r="O76" i="22"/>
  <c r="P76" i="22"/>
  <c r="W49" i="22"/>
  <c r="T49" i="22"/>
  <c r="Y49" i="22"/>
  <c r="X49" i="22"/>
  <c r="U49" i="22"/>
  <c r="S49" i="22"/>
  <c r="V49" i="22"/>
  <c r="Z49" i="22"/>
  <c r="O80" i="22"/>
  <c r="R49" i="22"/>
  <c r="AA49" i="22"/>
  <c r="P80" i="22"/>
  <c r="E142" i="19"/>
  <c r="F142" i="19"/>
  <c r="M23" i="19"/>
  <c r="L78" i="19"/>
  <c r="L105" i="19" s="1"/>
  <c r="N32" i="19"/>
  <c r="M87" i="19"/>
  <c r="M114" i="19" s="1"/>
  <c r="M27" i="19"/>
  <c r="L82" i="19"/>
  <c r="L109" i="19" s="1"/>
  <c r="M31" i="19"/>
  <c r="M86" i="19" s="1"/>
  <c r="M113" i="19" s="1"/>
  <c r="L86" i="19"/>
  <c r="L113" i="19" s="1"/>
  <c r="N40" i="22"/>
  <c r="N36" i="22"/>
  <c r="O6" i="29" l="1"/>
  <c r="O9" i="29" s="1"/>
  <c r="O25" i="29"/>
  <c r="P23" i="29" s="1"/>
  <c r="O7" i="29"/>
  <c r="P5" i="29" s="1"/>
  <c r="O24" i="29"/>
  <c r="O27" i="29" s="1"/>
  <c r="P14" i="29"/>
  <c r="O15" i="29"/>
  <c r="O17" i="29" s="1"/>
  <c r="Q32" i="29"/>
  <c r="P33" i="29"/>
  <c r="P35" i="29" s="1"/>
  <c r="M24" i="40"/>
  <c r="M54" i="40" s="1"/>
  <c r="M22" i="40"/>
  <c r="M52" i="40" s="1"/>
  <c r="M28" i="40"/>
  <c r="M58" i="40" s="1"/>
  <c r="M25" i="40"/>
  <c r="M55" i="40" s="1"/>
  <c r="M27" i="40"/>
  <c r="M57" i="40" s="1"/>
  <c r="M23" i="40"/>
  <c r="M53" i="40" s="1"/>
  <c r="M19" i="40"/>
  <c r="M49" i="40" s="1"/>
  <c r="M18" i="40"/>
  <c r="M48" i="40" s="1"/>
  <c r="M20" i="40"/>
  <c r="M50" i="40" s="1"/>
  <c r="M26" i="40"/>
  <c r="M56" i="40" s="1"/>
  <c r="M21" i="40"/>
  <c r="M51" i="40" s="1"/>
  <c r="M29" i="40"/>
  <c r="N17" i="40"/>
  <c r="P85" i="22"/>
  <c r="Q85" i="22"/>
  <c r="U85" i="22"/>
  <c r="R85" i="22"/>
  <c r="V85" i="22"/>
  <c r="N85" i="22"/>
  <c r="AB53" i="22"/>
  <c r="AB49" i="22"/>
  <c r="AB50" i="22"/>
  <c r="AB44" i="22"/>
  <c r="AB57" i="22"/>
  <c r="AB48" i="22"/>
  <c r="AB42" i="22"/>
  <c r="AB52" i="22"/>
  <c r="AB46" i="22"/>
  <c r="AB43" i="22"/>
  <c r="AB41" i="22"/>
  <c r="AB45" i="22"/>
  <c r="F143" i="19"/>
  <c r="S54" i="22"/>
  <c r="Z54" i="22"/>
  <c r="V54" i="22"/>
  <c r="U54" i="22"/>
  <c r="T54" i="22"/>
  <c r="X54" i="22"/>
  <c r="Y54" i="22"/>
  <c r="AA54" i="22"/>
  <c r="R54" i="22"/>
  <c r="W54" i="22"/>
  <c r="S85" i="22"/>
  <c r="W85" i="22"/>
  <c r="T85" i="22"/>
  <c r="O85" i="22"/>
  <c r="E143" i="19"/>
  <c r="O32" i="19"/>
  <c r="N87" i="19"/>
  <c r="N114" i="19" s="1"/>
  <c r="N27" i="19"/>
  <c r="M82" i="19"/>
  <c r="M109" i="19" s="1"/>
  <c r="N23" i="19"/>
  <c r="M78" i="19"/>
  <c r="M105" i="19" s="1"/>
  <c r="N46" i="22"/>
  <c r="N45" i="22"/>
  <c r="N56" i="22"/>
  <c r="N50" i="22"/>
  <c r="N43" i="22"/>
  <c r="N42" i="22"/>
  <c r="N49" i="22"/>
  <c r="N35" i="22"/>
  <c r="N41" i="22"/>
  <c r="N54" i="22"/>
  <c r="N47" i="22"/>
  <c r="N52" i="22"/>
  <c r="N51" i="22"/>
  <c r="N53" i="22"/>
  <c r="N44" i="22"/>
  <c r="N39" i="22"/>
  <c r="N48" i="22"/>
  <c r="N55" i="22"/>
  <c r="N57" i="22"/>
  <c r="P6" i="29" l="1"/>
  <c r="P9" i="29" s="1"/>
  <c r="P25" i="29"/>
  <c r="P7" i="29"/>
  <c r="Q5" i="29" s="1"/>
  <c r="R32" i="29"/>
  <c r="Q33" i="29"/>
  <c r="Q35" i="29" s="1"/>
  <c r="P24" i="29"/>
  <c r="P27" i="29" s="1"/>
  <c r="Q23" i="29"/>
  <c r="Q14" i="29"/>
  <c r="P15" i="29"/>
  <c r="P17" i="29" s="1"/>
  <c r="N29" i="40"/>
  <c r="N59" i="40" s="1"/>
  <c r="M59" i="40"/>
  <c r="N20" i="40"/>
  <c r="N50" i="40" s="1"/>
  <c r="N26" i="40"/>
  <c r="N56" i="40" s="1"/>
  <c r="N18" i="40"/>
  <c r="N48" i="40" s="1"/>
  <c r="N21" i="40"/>
  <c r="N51" i="40" s="1"/>
  <c r="N23" i="40"/>
  <c r="N53" i="40" s="1"/>
  <c r="N19" i="40"/>
  <c r="N49" i="40" s="1"/>
  <c r="N24" i="40"/>
  <c r="N27" i="40"/>
  <c r="N25" i="40"/>
  <c r="N22" i="40"/>
  <c r="N28" i="40"/>
  <c r="O17" i="40"/>
  <c r="V86" i="22"/>
  <c r="U86" i="22"/>
  <c r="N86" i="22"/>
  <c r="R86" i="22"/>
  <c r="P86" i="22"/>
  <c r="Q86" i="22"/>
  <c r="R55" i="22"/>
  <c r="V55" i="22"/>
  <c r="AA55" i="22"/>
  <c r="U55" i="22"/>
  <c r="S55" i="22"/>
  <c r="Z55" i="22"/>
  <c r="Y55" i="22"/>
  <c r="T55" i="22"/>
  <c r="W55" i="22"/>
  <c r="X55" i="22"/>
  <c r="T86" i="22"/>
  <c r="O86" i="22"/>
  <c r="S86" i="22"/>
  <c r="W86" i="22"/>
  <c r="AB54" i="22"/>
  <c r="O27" i="19"/>
  <c r="N82" i="19"/>
  <c r="N109" i="19" s="1"/>
  <c r="O23" i="19"/>
  <c r="N78" i="19"/>
  <c r="N105" i="19" s="1"/>
  <c r="P32" i="19"/>
  <c r="O87" i="19"/>
  <c r="O114" i="19" s="1"/>
  <c r="O29" i="40" l="1"/>
  <c r="O59" i="40" s="1"/>
  <c r="Q6" i="29"/>
  <c r="Q9" i="29" s="1"/>
  <c r="Q25" i="29"/>
  <c r="Q7" i="29"/>
  <c r="R5" i="29" s="1"/>
  <c r="R14" i="29"/>
  <c r="Q15" i="29"/>
  <c r="Q17" i="29" s="1"/>
  <c r="R23" i="29"/>
  <c r="Q24" i="29"/>
  <c r="Q27" i="29" s="1"/>
  <c r="S32" i="29"/>
  <c r="R33" i="29"/>
  <c r="R35" i="29" s="1"/>
  <c r="O28" i="40"/>
  <c r="O58" i="40" s="1"/>
  <c r="N58" i="40"/>
  <c r="O22" i="40"/>
  <c r="O52" i="40" s="1"/>
  <c r="N52" i="40"/>
  <c r="O24" i="40"/>
  <c r="O54" i="40" s="1"/>
  <c r="N54" i="40"/>
  <c r="O25" i="40"/>
  <c r="O55" i="40" s="1"/>
  <c r="N55" i="40"/>
  <c r="O27" i="40"/>
  <c r="O57" i="40" s="1"/>
  <c r="N57" i="40"/>
  <c r="O20" i="40"/>
  <c r="O50" i="40" s="1"/>
  <c r="O26" i="40"/>
  <c r="O56" i="40" s="1"/>
  <c r="O21" i="40"/>
  <c r="O51" i="40" s="1"/>
  <c r="O19" i="40"/>
  <c r="O49" i="40" s="1"/>
  <c r="O23" i="40"/>
  <c r="O53" i="40" s="1"/>
  <c r="O18" i="40"/>
  <c r="O48" i="40" s="1"/>
  <c r="P17" i="40"/>
  <c r="AB55" i="22"/>
  <c r="P23" i="19"/>
  <c r="O78" i="19"/>
  <c r="O105" i="19" s="1"/>
  <c r="Q32" i="19"/>
  <c r="P87" i="19"/>
  <c r="P114" i="19" s="1"/>
  <c r="P27" i="19"/>
  <c r="O82" i="19"/>
  <c r="O109" i="19" s="1"/>
  <c r="R7" i="29" l="1"/>
  <c r="S5" i="29" s="1"/>
  <c r="R6" i="29"/>
  <c r="R9" i="29" s="1"/>
  <c r="R25" i="29"/>
  <c r="T32" i="29"/>
  <c r="S33" i="29"/>
  <c r="S35" i="29" s="1"/>
  <c r="S23" i="29"/>
  <c r="R24" i="29"/>
  <c r="R27" i="29" s="1"/>
  <c r="S14" i="29"/>
  <c r="R15" i="29"/>
  <c r="R17" i="29" s="1"/>
  <c r="P27" i="40"/>
  <c r="P57" i="40" s="1"/>
  <c r="P18" i="40"/>
  <c r="P48" i="40" s="1"/>
  <c r="P21" i="40"/>
  <c r="P51" i="40" s="1"/>
  <c r="P24" i="40"/>
  <c r="P54" i="40" s="1"/>
  <c r="P25" i="40"/>
  <c r="P55" i="40" s="1"/>
  <c r="P19" i="40"/>
  <c r="P49" i="40" s="1"/>
  <c r="P20" i="40"/>
  <c r="P50" i="40" s="1"/>
  <c r="P26" i="40"/>
  <c r="P56" i="40" s="1"/>
  <c r="P23" i="40"/>
  <c r="P53" i="40" s="1"/>
  <c r="P28" i="40"/>
  <c r="P58" i="40" s="1"/>
  <c r="P29" i="40"/>
  <c r="P59" i="40" s="1"/>
  <c r="P22" i="40"/>
  <c r="P52" i="40" s="1"/>
  <c r="Q17" i="40"/>
  <c r="R32" i="19"/>
  <c r="Q87" i="19"/>
  <c r="Q114" i="19" s="1"/>
  <c r="Q27" i="19"/>
  <c r="P82" i="19"/>
  <c r="P109" i="19" s="1"/>
  <c r="Q23" i="19"/>
  <c r="P78" i="19"/>
  <c r="P105" i="19" s="1"/>
  <c r="AN15" i="22"/>
  <c r="AN16" i="22"/>
  <c r="AN17" i="22"/>
  <c r="AN19" i="22"/>
  <c r="AN18" i="22"/>
  <c r="F64" i="19"/>
  <c r="S7" i="29" l="1"/>
  <c r="T5" i="29" s="1"/>
  <c r="S25" i="29"/>
  <c r="S6" i="29"/>
  <c r="S9" i="29" s="1"/>
  <c r="T23" i="29"/>
  <c r="S24" i="29"/>
  <c r="S27" i="29" s="1"/>
  <c r="T14" i="29"/>
  <c r="S15" i="29"/>
  <c r="S17" i="29" s="1"/>
  <c r="U32" i="29"/>
  <c r="T33" i="29"/>
  <c r="T35" i="29" s="1"/>
  <c r="Q26" i="40"/>
  <c r="Q56" i="40" s="1"/>
  <c r="Q23" i="40"/>
  <c r="Q53" i="40" s="1"/>
  <c r="Q22" i="40"/>
  <c r="Q52" i="40" s="1"/>
  <c r="Q18" i="40"/>
  <c r="Q48" i="40" s="1"/>
  <c r="Q21" i="40"/>
  <c r="Q51" i="40" s="1"/>
  <c r="Q28" i="40"/>
  <c r="Q58" i="40" s="1"/>
  <c r="Q25" i="40"/>
  <c r="Q55" i="40" s="1"/>
  <c r="Q20" i="40"/>
  <c r="Q50" i="40" s="1"/>
  <c r="Q19" i="40"/>
  <c r="Q49" i="40" s="1"/>
  <c r="Q29" i="40"/>
  <c r="Q24" i="40"/>
  <c r="Q27" i="40"/>
  <c r="R17" i="40"/>
  <c r="R27" i="19"/>
  <c r="Q82" i="19"/>
  <c r="Q109" i="19" s="1"/>
  <c r="R23" i="19"/>
  <c r="Q78" i="19"/>
  <c r="Q105" i="19" s="1"/>
  <c r="S32" i="19"/>
  <c r="R87" i="19"/>
  <c r="R114" i="19" s="1"/>
  <c r="AC4" i="22"/>
  <c r="AH23" i="22"/>
  <c r="AS23" i="22"/>
  <c r="AL23" i="22"/>
  <c r="AP23" i="22"/>
  <c r="AI23" i="22"/>
  <c r="AU23" i="22"/>
  <c r="AD23" i="22"/>
  <c r="AK23" i="22"/>
  <c r="AE23" i="22"/>
  <c r="AJ23" i="22"/>
  <c r="AG23" i="22"/>
  <c r="AO23" i="22"/>
  <c r="AQ23" i="22"/>
  <c r="AM23" i="22"/>
  <c r="AF23" i="22"/>
  <c r="AT23" i="22"/>
  <c r="AV23" i="22"/>
  <c r="AR23" i="22"/>
  <c r="AC23" i="22"/>
  <c r="AN23" i="22"/>
  <c r="AJ22" i="22"/>
  <c r="AF22" i="22"/>
  <c r="AS22" i="22"/>
  <c r="AK22" i="22"/>
  <c r="AC22" i="22"/>
  <c r="AN22" i="22"/>
  <c r="AL22" i="22"/>
  <c r="AU22" i="22"/>
  <c r="AI22" i="22"/>
  <c r="AM22" i="22"/>
  <c r="AE22" i="22"/>
  <c r="AD22" i="22"/>
  <c r="AV22" i="22"/>
  <c r="AP22" i="22"/>
  <c r="AG22" i="22"/>
  <c r="AH22" i="22"/>
  <c r="AQ22" i="22"/>
  <c r="AR22" i="22"/>
  <c r="AO22" i="22"/>
  <c r="AT22" i="22"/>
  <c r="AO21" i="22"/>
  <c r="AN21" i="22"/>
  <c r="AC21" i="22"/>
  <c r="AF21" i="22"/>
  <c r="AD21" i="22"/>
  <c r="AL21" i="22"/>
  <c r="AJ21" i="22"/>
  <c r="AH21" i="22"/>
  <c r="AP21" i="22"/>
  <c r="AV21" i="22"/>
  <c r="AG21" i="22"/>
  <c r="AK21" i="22"/>
  <c r="AR21" i="22"/>
  <c r="AT21" i="22"/>
  <c r="AQ21" i="22"/>
  <c r="AU21" i="22"/>
  <c r="AI21" i="22"/>
  <c r="AM21" i="22"/>
  <c r="AE21" i="22"/>
  <c r="AS21" i="22"/>
  <c r="AF8" i="22"/>
  <c r="AL8" i="22"/>
  <c r="AP8" i="22"/>
  <c r="AV8" i="22"/>
  <c r="AH8" i="22"/>
  <c r="AD8" i="22"/>
  <c r="AR8" i="22"/>
  <c r="AN8" i="22"/>
  <c r="AM8" i="22"/>
  <c r="AE8" i="22"/>
  <c r="AU8" i="22"/>
  <c r="AS8" i="22"/>
  <c r="AJ8" i="22"/>
  <c r="AK8" i="22"/>
  <c r="AO8" i="22"/>
  <c r="AG8" i="22"/>
  <c r="AQ8" i="22"/>
  <c r="AC8" i="22"/>
  <c r="AT8" i="22"/>
  <c r="AI8" i="22"/>
  <c r="AD18" i="22"/>
  <c r="AK18" i="22"/>
  <c r="AS18" i="22"/>
  <c r="AF18" i="22"/>
  <c r="AE18" i="22"/>
  <c r="AT18" i="22"/>
  <c r="AO18" i="22"/>
  <c r="AJ18" i="22"/>
  <c r="AM18" i="22"/>
  <c r="AV18" i="22"/>
  <c r="AI18" i="22"/>
  <c r="AQ18" i="22"/>
  <c r="AG18" i="22"/>
  <c r="AU18" i="22"/>
  <c r="AP18" i="22"/>
  <c r="AC18" i="22"/>
  <c r="AR18" i="22"/>
  <c r="AH18" i="22"/>
  <c r="AL18" i="22"/>
  <c r="AN7" i="22"/>
  <c r="AQ7" i="22"/>
  <c r="AL7" i="22"/>
  <c r="AF7" i="22"/>
  <c r="AK7" i="22"/>
  <c r="AO7" i="22"/>
  <c r="AJ7" i="22"/>
  <c r="AU7" i="22"/>
  <c r="AR7" i="22"/>
  <c r="AD7" i="22"/>
  <c r="AG7" i="22"/>
  <c r="AT7" i="22"/>
  <c r="AH7" i="22"/>
  <c r="AI7" i="22"/>
  <c r="AC7" i="22"/>
  <c r="AM7" i="22"/>
  <c r="AS7" i="22"/>
  <c r="AV7" i="22"/>
  <c r="AE7" i="22"/>
  <c r="AP7" i="22"/>
  <c r="AD20" i="22"/>
  <c r="AT20" i="22"/>
  <c r="AH20" i="22"/>
  <c r="AL20" i="22"/>
  <c r="AG20" i="22"/>
  <c r="AU20" i="22"/>
  <c r="AE20" i="22"/>
  <c r="AQ20" i="22"/>
  <c r="AC20" i="22"/>
  <c r="AF20" i="22"/>
  <c r="AK20" i="22"/>
  <c r="AP20" i="22"/>
  <c r="AM20" i="22"/>
  <c r="AR20" i="22"/>
  <c r="AJ20" i="22"/>
  <c r="AV20" i="22"/>
  <c r="AI20" i="22"/>
  <c r="AS20" i="22"/>
  <c r="AN20" i="22"/>
  <c r="AO20" i="22"/>
  <c r="AI14" i="22"/>
  <c r="AK14" i="22"/>
  <c r="AH14" i="22"/>
  <c r="AL14" i="22"/>
  <c r="AQ14" i="22"/>
  <c r="AM14" i="22"/>
  <c r="AF14" i="22"/>
  <c r="AD14" i="22"/>
  <c r="AO14" i="22"/>
  <c r="AP14" i="22"/>
  <c r="AE14" i="22"/>
  <c r="AJ14" i="22"/>
  <c r="AG14" i="22"/>
  <c r="AC14" i="22"/>
  <c r="AN14" i="22"/>
  <c r="AU14" i="22"/>
  <c r="AT14" i="22"/>
  <c r="AV14" i="22"/>
  <c r="AS14" i="22"/>
  <c r="AR14" i="22"/>
  <c r="AG12" i="22"/>
  <c r="AD12" i="22"/>
  <c r="AU12" i="22"/>
  <c r="AS12" i="22"/>
  <c r="AL12" i="22"/>
  <c r="AC12" i="22"/>
  <c r="AE12" i="22"/>
  <c r="AK12" i="22"/>
  <c r="AT12" i="22"/>
  <c r="AF12" i="22"/>
  <c r="AN12" i="22"/>
  <c r="AO12" i="22"/>
  <c r="AH12" i="22"/>
  <c r="AI12" i="22"/>
  <c r="AP12" i="22"/>
  <c r="AM12" i="22"/>
  <c r="AR12" i="22"/>
  <c r="AV12" i="22"/>
  <c r="AJ12" i="22"/>
  <c r="AQ12" i="22"/>
  <c r="AR26" i="22"/>
  <c r="AG26" i="22"/>
  <c r="AH26" i="22"/>
  <c r="AL26" i="22"/>
  <c r="AO26" i="22"/>
  <c r="AE26" i="22"/>
  <c r="AS26" i="22"/>
  <c r="AF26" i="22"/>
  <c r="AK26" i="22"/>
  <c r="AV26" i="22"/>
  <c r="AP26" i="22"/>
  <c r="AD26" i="22"/>
  <c r="AC26" i="22"/>
  <c r="AT26" i="22"/>
  <c r="AQ26" i="22"/>
  <c r="AM26" i="22"/>
  <c r="AJ26" i="22"/>
  <c r="AN26" i="22"/>
  <c r="AI26" i="22"/>
  <c r="AU26" i="22"/>
  <c r="AH10" i="22"/>
  <c r="AC10" i="22"/>
  <c r="AO10" i="22"/>
  <c r="AP10" i="22"/>
  <c r="AG10" i="22"/>
  <c r="AT10" i="22"/>
  <c r="AE10" i="22"/>
  <c r="AR10" i="22"/>
  <c r="AF10" i="22"/>
  <c r="AJ10" i="22"/>
  <c r="AM10" i="22"/>
  <c r="AQ10" i="22"/>
  <c r="AU10" i="22"/>
  <c r="AS10" i="22"/>
  <c r="AK10" i="22"/>
  <c r="AD10" i="22"/>
  <c r="AV10" i="22"/>
  <c r="AI10" i="22"/>
  <c r="AL10" i="22"/>
  <c r="AN10" i="22"/>
  <c r="AQ5" i="22"/>
  <c r="AS5" i="22"/>
  <c r="AE5" i="22"/>
  <c r="AM5" i="22"/>
  <c r="AR5" i="22"/>
  <c r="AU5" i="22"/>
  <c r="AH5" i="22"/>
  <c r="AI5" i="22"/>
  <c r="AG5" i="22"/>
  <c r="AJ5" i="22"/>
  <c r="AN5" i="22"/>
  <c r="AT5" i="22"/>
  <c r="AF5" i="22"/>
  <c r="AD5" i="22"/>
  <c r="AV5" i="22"/>
  <c r="AC5" i="22"/>
  <c r="AP5" i="22"/>
  <c r="AL5" i="22"/>
  <c r="AK5" i="22"/>
  <c r="AO5" i="22"/>
  <c r="AO19" i="22"/>
  <c r="AL19" i="22"/>
  <c r="AQ19" i="22"/>
  <c r="AS19" i="22"/>
  <c r="AD19" i="22"/>
  <c r="AE19" i="22"/>
  <c r="AH19" i="22"/>
  <c r="AM19" i="22"/>
  <c r="AU19" i="22"/>
  <c r="AR19" i="22"/>
  <c r="AJ19" i="22"/>
  <c r="AI19" i="22"/>
  <c r="AK19" i="22"/>
  <c r="AC19" i="22"/>
  <c r="AG19" i="22"/>
  <c r="AF19" i="22"/>
  <c r="AP19" i="22"/>
  <c r="AT19" i="22"/>
  <c r="AV19" i="22"/>
  <c r="AH13" i="22"/>
  <c r="AM13" i="22"/>
  <c r="AQ13" i="22"/>
  <c r="AN13" i="22"/>
  <c r="AD13" i="22"/>
  <c r="AT13" i="22"/>
  <c r="AS13" i="22"/>
  <c r="AJ13" i="22"/>
  <c r="AU13" i="22"/>
  <c r="AG13" i="22"/>
  <c r="AF13" i="22"/>
  <c r="AK13" i="22"/>
  <c r="AL13" i="22"/>
  <c r="AO13" i="22"/>
  <c r="AP13" i="22"/>
  <c r="AC13" i="22"/>
  <c r="AI13" i="22"/>
  <c r="AV13" i="22"/>
  <c r="AR13" i="22"/>
  <c r="AE13" i="22"/>
  <c r="AI11" i="22"/>
  <c r="AC11" i="22"/>
  <c r="AO11" i="22"/>
  <c r="AU11" i="22"/>
  <c r="AD11" i="22"/>
  <c r="AH11" i="22"/>
  <c r="AV11" i="22"/>
  <c r="AT11" i="22"/>
  <c r="AE11" i="22"/>
  <c r="AP11" i="22"/>
  <c r="AR11" i="22"/>
  <c r="AS11" i="22"/>
  <c r="AG11" i="22"/>
  <c r="AQ11" i="22"/>
  <c r="AK11" i="22"/>
  <c r="AL11" i="22"/>
  <c r="AN11" i="22"/>
  <c r="AJ11" i="22"/>
  <c r="AF11" i="22"/>
  <c r="AM11" i="22"/>
  <c r="AR28" i="22"/>
  <c r="AP28" i="22"/>
  <c r="AI28" i="22"/>
  <c r="AN28" i="22"/>
  <c r="AK28" i="22"/>
  <c r="AU28" i="22"/>
  <c r="AM28" i="22"/>
  <c r="AD28" i="22"/>
  <c r="AL28" i="22"/>
  <c r="AH28" i="22"/>
  <c r="AG28" i="22"/>
  <c r="AE28" i="22"/>
  <c r="AJ28" i="22"/>
  <c r="AQ28" i="22"/>
  <c r="AS28" i="22"/>
  <c r="AV28" i="22"/>
  <c r="AT28" i="22"/>
  <c r="AO28" i="22"/>
  <c r="AF28" i="22"/>
  <c r="AC28" i="22"/>
  <c r="AJ27" i="22"/>
  <c r="AT27" i="22"/>
  <c r="AF27" i="22"/>
  <c r="AI27" i="22"/>
  <c r="AD27" i="22"/>
  <c r="AG27" i="22"/>
  <c r="AN27" i="22"/>
  <c r="AC27" i="22"/>
  <c r="AH27" i="22"/>
  <c r="AR27" i="22"/>
  <c r="AS27" i="22"/>
  <c r="AL27" i="22"/>
  <c r="AK27" i="22"/>
  <c r="AU27" i="22"/>
  <c r="AV27" i="22"/>
  <c r="AM27" i="22"/>
  <c r="AO27" i="22"/>
  <c r="AP27" i="22"/>
  <c r="AE27" i="22"/>
  <c r="AQ27" i="22"/>
  <c r="AL24" i="22"/>
  <c r="AE24" i="22"/>
  <c r="AK24" i="22"/>
  <c r="AT24" i="22"/>
  <c r="AD24" i="22"/>
  <c r="AQ24" i="22"/>
  <c r="AM24" i="22"/>
  <c r="AH24" i="22"/>
  <c r="AN24" i="22"/>
  <c r="AO24" i="22"/>
  <c r="AV24" i="22"/>
  <c r="AF24" i="22"/>
  <c r="AU24" i="22"/>
  <c r="AC24" i="22"/>
  <c r="AR24" i="22"/>
  <c r="AP24" i="22"/>
  <c r="AI24" i="22"/>
  <c r="AG24" i="22"/>
  <c r="AS24" i="22"/>
  <c r="AJ24" i="22"/>
  <c r="AD25" i="22"/>
  <c r="AU25" i="22"/>
  <c r="AE25" i="22"/>
  <c r="AO25" i="22"/>
  <c r="AP25" i="22"/>
  <c r="AC25" i="22"/>
  <c r="AV25" i="22"/>
  <c r="AM25" i="22"/>
  <c r="AN25" i="22"/>
  <c r="AR25" i="22"/>
  <c r="AF25" i="22"/>
  <c r="AJ25" i="22"/>
  <c r="AI25" i="22"/>
  <c r="AG25" i="22"/>
  <c r="AH25" i="22"/>
  <c r="AS25" i="22"/>
  <c r="AQ25" i="22"/>
  <c r="AK25" i="22"/>
  <c r="AL25" i="22"/>
  <c r="AT25" i="22"/>
  <c r="AD6" i="22"/>
  <c r="AU6" i="22"/>
  <c r="AK6" i="22"/>
  <c r="AP6" i="22"/>
  <c r="AG6" i="22"/>
  <c r="AS6" i="22"/>
  <c r="AF6" i="22"/>
  <c r="AC6" i="22"/>
  <c r="AH6" i="22"/>
  <c r="AT6" i="22"/>
  <c r="AV6" i="22"/>
  <c r="AL6" i="22"/>
  <c r="AN6" i="22"/>
  <c r="AQ6" i="22"/>
  <c r="AE6" i="22"/>
  <c r="AR6" i="22"/>
  <c r="AO6" i="22"/>
  <c r="AI6" i="22"/>
  <c r="AJ6" i="22"/>
  <c r="AM6" i="22"/>
  <c r="AU15" i="22"/>
  <c r="AJ15" i="22"/>
  <c r="AT15" i="22"/>
  <c r="AF15" i="22"/>
  <c r="AD15" i="22"/>
  <c r="AX15" i="22" s="1"/>
  <c r="AV15" i="22"/>
  <c r="AL15" i="22"/>
  <c r="AI15" i="22"/>
  <c r="AK15" i="22"/>
  <c r="AS15" i="22"/>
  <c r="AE15" i="22"/>
  <c r="AQ15" i="22"/>
  <c r="AC15" i="22"/>
  <c r="AM15" i="22"/>
  <c r="AO15" i="22"/>
  <c r="AR15" i="22"/>
  <c r="AH15" i="22"/>
  <c r="AG15" i="22"/>
  <c r="AP15" i="22"/>
  <c r="AJ16" i="22"/>
  <c r="AK16" i="22"/>
  <c r="AG16" i="22"/>
  <c r="AM16" i="22"/>
  <c r="AD16" i="22"/>
  <c r="AH16" i="22"/>
  <c r="AC16" i="22"/>
  <c r="AE16" i="22"/>
  <c r="AV16" i="22"/>
  <c r="AO16" i="22"/>
  <c r="AL16" i="22"/>
  <c r="AP16" i="22"/>
  <c r="AI16" i="22"/>
  <c r="AU16" i="22"/>
  <c r="AT16" i="22"/>
  <c r="AF16" i="22"/>
  <c r="AQ16" i="22"/>
  <c r="AR16" i="22"/>
  <c r="AS16" i="22"/>
  <c r="AD17" i="22"/>
  <c r="AI17" i="22"/>
  <c r="AL17" i="22"/>
  <c r="AH17" i="22"/>
  <c r="AE17" i="22"/>
  <c r="AP17" i="22"/>
  <c r="AF17" i="22"/>
  <c r="AJ17" i="22"/>
  <c r="AR17" i="22"/>
  <c r="AV17" i="22"/>
  <c r="AG17" i="22"/>
  <c r="AK17" i="22"/>
  <c r="AQ17" i="22"/>
  <c r="AS17" i="22"/>
  <c r="AO17" i="22"/>
  <c r="AM17" i="22"/>
  <c r="AU17" i="22"/>
  <c r="AC17" i="22"/>
  <c r="AT17" i="22"/>
  <c r="AO9" i="22"/>
  <c r="AN9" i="22"/>
  <c r="AR9" i="22"/>
  <c r="AK9" i="22"/>
  <c r="AG9" i="22"/>
  <c r="AC9" i="22"/>
  <c r="AF9" i="22"/>
  <c r="AE9" i="22"/>
  <c r="AM9" i="22"/>
  <c r="AS9" i="22"/>
  <c r="AJ9" i="22"/>
  <c r="AL9" i="22"/>
  <c r="AP9" i="22"/>
  <c r="AQ9" i="22"/>
  <c r="AT9" i="22"/>
  <c r="AH9" i="22"/>
  <c r="AD9" i="22"/>
  <c r="AI9" i="22"/>
  <c r="AU9" i="22"/>
  <c r="AV9" i="22"/>
  <c r="AG4" i="22"/>
  <c r="AU4" i="22"/>
  <c r="AS4" i="22"/>
  <c r="AE4" i="22"/>
  <c r="AK4" i="22"/>
  <c r="AF4" i="22"/>
  <c r="AJ4" i="22"/>
  <c r="AT4" i="22"/>
  <c r="AQ4" i="22"/>
  <c r="AO4" i="22"/>
  <c r="AN4" i="22"/>
  <c r="AP4" i="22"/>
  <c r="AI4" i="22"/>
  <c r="AR4" i="22"/>
  <c r="AM4" i="22"/>
  <c r="AH4" i="22"/>
  <c r="AV4" i="22"/>
  <c r="AL4" i="22"/>
  <c r="AD4" i="22"/>
  <c r="T25" i="29" l="1"/>
  <c r="T7" i="29"/>
  <c r="U5" i="29" s="1"/>
  <c r="T6" i="29"/>
  <c r="T9" i="29" s="1"/>
  <c r="U14" i="29"/>
  <c r="T15" i="29"/>
  <c r="T17" i="29" s="1"/>
  <c r="U23" i="29"/>
  <c r="T24" i="29"/>
  <c r="T27" i="29" s="1"/>
  <c r="V32" i="29"/>
  <c r="U33" i="29"/>
  <c r="U35" i="29" s="1"/>
  <c r="R24" i="40"/>
  <c r="R54" i="40" s="1"/>
  <c r="Q54" i="40"/>
  <c r="R29" i="40"/>
  <c r="R59" i="40" s="1"/>
  <c r="Q59" i="40"/>
  <c r="R27" i="40"/>
  <c r="R57" i="40" s="1"/>
  <c r="Q57" i="40"/>
  <c r="R26" i="40"/>
  <c r="R56" i="40" s="1"/>
  <c r="R23" i="40"/>
  <c r="R53" i="40" s="1"/>
  <c r="R19" i="40"/>
  <c r="R49" i="40" s="1"/>
  <c r="R20" i="40"/>
  <c r="R50" i="40" s="1"/>
  <c r="R25" i="40"/>
  <c r="R55" i="40" s="1"/>
  <c r="R28" i="40"/>
  <c r="R58" i="40" s="1"/>
  <c r="R21" i="40"/>
  <c r="R51" i="40" s="1"/>
  <c r="R18" i="40"/>
  <c r="R48" i="40" s="1"/>
  <c r="R22" i="40"/>
  <c r="R52" i="40" s="1"/>
  <c r="S17" i="40"/>
  <c r="S24" i="40" s="1"/>
  <c r="S54" i="40" s="1"/>
  <c r="AX27" i="22"/>
  <c r="BA7" i="22"/>
  <c r="BA11" i="22"/>
  <c r="BD11" i="22"/>
  <c r="AZ9" i="22"/>
  <c r="BB12" i="22"/>
  <c r="BD20" i="22"/>
  <c r="BC24" i="22"/>
  <c r="AY22" i="22"/>
  <c r="BF22" i="22"/>
  <c r="BA4" i="22"/>
  <c r="BB15" i="22"/>
  <c r="BF8" i="22"/>
  <c r="BF21" i="22"/>
  <c r="BF18" i="22"/>
  <c r="BB23" i="22"/>
  <c r="AC57" i="22"/>
  <c r="AC55" i="22"/>
  <c r="BC20" i="22"/>
  <c r="AX5" i="22"/>
  <c r="BF10" i="22"/>
  <c r="AZ7" i="22"/>
  <c r="AY7" i="22"/>
  <c r="AC42" i="22"/>
  <c r="AC45" i="22"/>
  <c r="AD49" i="22"/>
  <c r="AZ22" i="22"/>
  <c r="AD42" i="22"/>
  <c r="AD43" i="22"/>
  <c r="BF7" i="22"/>
  <c r="AC52" i="22"/>
  <c r="AC46" i="22"/>
  <c r="AY26" i="22"/>
  <c r="AW15" i="22"/>
  <c r="AD44" i="22"/>
  <c r="AC48" i="22"/>
  <c r="AC49" i="22"/>
  <c r="AW21" i="22"/>
  <c r="AD50" i="22"/>
  <c r="BC23" i="22"/>
  <c r="BF4" i="22"/>
  <c r="AX25" i="22"/>
  <c r="AX11" i="22"/>
  <c r="AC54" i="22"/>
  <c r="BB5" i="22"/>
  <c r="BD12" i="22"/>
  <c r="AC50" i="22"/>
  <c r="AC44" i="22"/>
  <c r="AW17" i="22"/>
  <c r="AD46" i="22"/>
  <c r="AD45" i="22"/>
  <c r="AX6" i="22"/>
  <c r="BF24" i="22"/>
  <c r="AY27" i="22"/>
  <c r="AD55" i="22"/>
  <c r="AX21" i="22"/>
  <c r="AD52" i="22"/>
  <c r="AD53" i="22"/>
  <c r="AD48" i="22"/>
  <c r="AD41" i="22"/>
  <c r="AC53" i="22"/>
  <c r="BB17" i="22"/>
  <c r="AY24" i="22"/>
  <c r="AW27" i="22"/>
  <c r="AC43" i="22"/>
  <c r="BB18" i="22"/>
  <c r="AD54" i="22"/>
  <c r="BD25" i="22"/>
  <c r="BB9" i="22"/>
  <c r="BF27" i="22"/>
  <c r="AD57" i="22"/>
  <c r="BB13" i="22"/>
  <c r="AC41" i="22"/>
  <c r="AX22" i="22"/>
  <c r="T32" i="19"/>
  <c r="S87" i="19"/>
  <c r="S114" i="19" s="1"/>
  <c r="S23" i="19"/>
  <c r="R78" i="19"/>
  <c r="R105" i="19" s="1"/>
  <c r="S27" i="19"/>
  <c r="R82" i="19"/>
  <c r="R109" i="19" s="1"/>
  <c r="AW24" i="22"/>
  <c r="AW10" i="22"/>
  <c r="AY21" i="22"/>
  <c r="BF23" i="22"/>
  <c r="AZ26" i="22"/>
  <c r="AZ12" i="22"/>
  <c r="BF20" i="22"/>
  <c r="BA20" i="22"/>
  <c r="BD7" i="22"/>
  <c r="AZ18" i="22"/>
  <c r="BE21" i="22"/>
  <c r="BD22" i="22"/>
  <c r="BC9" i="22"/>
  <c r="AX9" i="22"/>
  <c r="BC17" i="22"/>
  <c r="BB16" i="22"/>
  <c r="AY16" i="22"/>
  <c r="BE27" i="22"/>
  <c r="AW13" i="22"/>
  <c r="BC5" i="22"/>
  <c r="BC10" i="22"/>
  <c r="BD10" i="22"/>
  <c r="BC14" i="22"/>
  <c r="AZ8" i="22"/>
  <c r="AW4" i="22"/>
  <c r="BF25" i="22"/>
  <c r="AW9" i="22"/>
  <c r="AY9" i="22"/>
  <c r="BA17" i="22"/>
  <c r="BA15" i="22"/>
  <c r="AY6" i="22"/>
  <c r="AZ25" i="22"/>
  <c r="AZ14" i="22"/>
  <c r="BB20" i="22"/>
  <c r="BE20" i="22"/>
  <c r="BD18" i="22"/>
  <c r="AW11" i="22"/>
  <c r="BA8" i="22"/>
  <c r="AX17" i="22"/>
  <c r="BF6" i="22"/>
  <c r="BF9" i="22"/>
  <c r="BE9" i="22"/>
  <c r="BF11" i="22"/>
  <c r="BE6" i="22"/>
  <c r="AY28" i="22"/>
  <c r="AZ28" i="22"/>
  <c r="BF13" i="22"/>
  <c r="AX26" i="22"/>
  <c r="BF26" i="22"/>
  <c r="BD8" i="22"/>
  <c r="BA21" i="22"/>
  <c r="BC22" i="22"/>
  <c r="BE13" i="22"/>
  <c r="BB22" i="22"/>
  <c r="AW22" i="22"/>
  <c r="AW23" i="22"/>
  <c r="AX16" i="22"/>
  <c r="BF15" i="22"/>
  <c r="BB4" i="22"/>
  <c r="BD17" i="22"/>
  <c r="BD15" i="22"/>
  <c r="AY25" i="22"/>
  <c r="AZ24" i="22"/>
  <c r="BF19" i="22"/>
  <c r="BA19" i="22"/>
  <c r="AX10" i="22"/>
  <c r="AW20" i="22"/>
  <c r="BB7" i="22"/>
  <c r="AX18" i="22"/>
  <c r="BA22" i="22"/>
  <c r="BA23" i="22"/>
  <c r="AW28" i="22"/>
  <c r="BB19" i="22"/>
  <c r="AX12" i="22"/>
  <c r="BE12" i="22"/>
  <c r="AW7" i="22"/>
  <c r="BE7" i="22"/>
  <c r="BC21" i="22"/>
  <c r="AY23" i="22"/>
  <c r="BA16" i="22"/>
  <c r="BD28" i="22"/>
  <c r="BB28" i="22"/>
  <c r="AZ5" i="22"/>
  <c r="AZ4" i="22"/>
  <c r="BB6" i="22"/>
  <c r="BD16" i="22"/>
  <c r="BC15" i="22"/>
  <c r="BB24" i="22"/>
  <c r="BC28" i="22"/>
  <c r="BA26" i="22"/>
  <c r="BC26" i="22"/>
  <c r="BE14" i="22"/>
  <c r="AY20" i="22"/>
  <c r="AZ20" i="22"/>
  <c r="BA18" i="22"/>
  <c r="AX8" i="22"/>
  <c r="AY4" i="22"/>
  <c r="BE4" i="22"/>
  <c r="BA9" i="22"/>
  <c r="BE17" i="22"/>
  <c r="BF17" i="22"/>
  <c r="BE16" i="22"/>
  <c r="BE15" i="22"/>
  <c r="BA6" i="22"/>
  <c r="BC6" i="22"/>
  <c r="BB25" i="22"/>
  <c r="BE25" i="22"/>
  <c r="BA24" i="22"/>
  <c r="AZ27" i="22"/>
  <c r="BB27" i="22"/>
  <c r="BD27" i="22"/>
  <c r="BA28" i="22"/>
  <c r="BE28" i="22"/>
  <c r="AZ11" i="22"/>
  <c r="AY13" i="22"/>
  <c r="BD13" i="22"/>
  <c r="AZ19" i="22"/>
  <c r="BE19" i="22"/>
  <c r="AY19" i="22"/>
  <c r="BE5" i="22"/>
  <c r="BD26" i="22"/>
  <c r="BF12" i="22"/>
  <c r="AX14" i="22"/>
  <c r="AX20" i="22"/>
  <c r="BC18" i="22"/>
  <c r="AY8" i="22"/>
  <c r="BB8" i="22"/>
  <c r="BA25" i="22"/>
  <c r="BE24" i="22"/>
  <c r="AW19" i="22"/>
  <c r="AX19" i="22"/>
  <c r="AW14" i="22"/>
  <c r="BD4" i="22"/>
  <c r="AY17" i="22"/>
  <c r="BC16" i="22"/>
  <c r="AZ16" i="22"/>
  <c r="AW16" i="22"/>
  <c r="AY15" i="22"/>
  <c r="AW6" i="22"/>
  <c r="AZ6" i="22"/>
  <c r="BC25" i="22"/>
  <c r="AW25" i="22"/>
  <c r="BD24" i="22"/>
  <c r="AX28" i="22"/>
  <c r="AX13" i="22"/>
  <c r="AY5" i="22"/>
  <c r="BD5" i="22"/>
  <c r="AW5" i="22"/>
  <c r="BB10" i="22"/>
  <c r="BE26" i="22"/>
  <c r="AW12" i="22"/>
  <c r="BA14" i="22"/>
  <c r="AW18" i="22"/>
  <c r="AZ21" i="22"/>
  <c r="BA13" i="22"/>
  <c r="BB14" i="22"/>
  <c r="BC8" i="22"/>
  <c r="BD23" i="22"/>
  <c r="AZ17" i="22"/>
  <c r="BE18" i="22"/>
  <c r="AY18" i="22"/>
  <c r="BE8" i="22"/>
  <c r="BC19" i="22"/>
  <c r="BA5" i="22"/>
  <c r="BE10" i="22"/>
  <c r="BB26" i="22"/>
  <c r="BF14" i="22"/>
  <c r="BD21" i="22"/>
  <c r="BE23" i="22"/>
  <c r="AX24" i="22"/>
  <c r="AZ15" i="22"/>
  <c r="BA27" i="22"/>
  <c r="BF28" i="22"/>
  <c r="BC11" i="22"/>
  <c r="BE11" i="22"/>
  <c r="BA10" i="22"/>
  <c r="AZ10" i="22"/>
  <c r="AW26" i="22"/>
  <c r="BA12" i="22"/>
  <c r="AY12" i="22"/>
  <c r="BC12" i="22"/>
  <c r="BD14" i="22"/>
  <c r="AY14" i="22"/>
  <c r="BC7" i="22"/>
  <c r="AX7" i="22"/>
  <c r="AW8" i="22"/>
  <c r="BB21" i="22"/>
  <c r="BD6" i="22"/>
  <c r="BF16" i="22"/>
  <c r="AX4" i="22"/>
  <c r="BC4" i="22"/>
  <c r="BD9" i="22"/>
  <c r="BC27" i="22"/>
  <c r="BB11" i="22"/>
  <c r="AY11" i="22"/>
  <c r="AZ13" i="22"/>
  <c r="BC13" i="22"/>
  <c r="BD19" i="22"/>
  <c r="BF5" i="22"/>
  <c r="AY10" i="22"/>
  <c r="BE22" i="22"/>
  <c r="AX23" i="22"/>
  <c r="AZ23" i="22"/>
  <c r="O45" i="22"/>
  <c r="P53" i="22"/>
  <c r="P39" i="22"/>
  <c r="P36" i="22"/>
  <c r="O53" i="22"/>
  <c r="O36" i="22"/>
  <c r="P57" i="22"/>
  <c r="O39" i="22"/>
  <c r="O50" i="22"/>
  <c r="O52" i="22"/>
  <c r="P46" i="22"/>
  <c r="P48" i="22"/>
  <c r="O55" i="22"/>
  <c r="O43" i="22"/>
  <c r="P43" i="22"/>
  <c r="P50" i="22"/>
  <c r="P45" i="22"/>
  <c r="P35" i="22"/>
  <c r="P54" i="22"/>
  <c r="P56" i="22"/>
  <c r="O56" i="22"/>
  <c r="O57" i="22"/>
  <c r="P41" i="22"/>
  <c r="O49" i="22"/>
  <c r="O47" i="22"/>
  <c r="P47" i="22"/>
  <c r="O51" i="22"/>
  <c r="O46" i="22"/>
  <c r="O40" i="22"/>
  <c r="P44" i="22"/>
  <c r="O48" i="22"/>
  <c r="O44" i="22"/>
  <c r="O54" i="22"/>
  <c r="P42" i="22"/>
  <c r="O41" i="22"/>
  <c r="P51" i="22"/>
  <c r="P52" i="22"/>
  <c r="O35" i="22"/>
  <c r="P40" i="22"/>
  <c r="O42" i="22"/>
  <c r="P55" i="22"/>
  <c r="P49" i="22"/>
  <c r="U7" i="29" l="1"/>
  <c r="U25" i="29"/>
  <c r="V5" i="29"/>
  <c r="U6" i="29"/>
  <c r="U9" i="29" s="1"/>
  <c r="U24" i="29"/>
  <c r="U27" i="29" s="1"/>
  <c r="V23" i="29"/>
  <c r="V14" i="29"/>
  <c r="U15" i="29"/>
  <c r="U17" i="29" s="1"/>
  <c r="W32" i="29"/>
  <c r="V33" i="29"/>
  <c r="V35" i="29" s="1"/>
  <c r="S21" i="40"/>
  <c r="S51" i="40" s="1"/>
  <c r="S28" i="40"/>
  <c r="S58" i="40" s="1"/>
  <c r="S18" i="40"/>
  <c r="S48" i="40" s="1"/>
  <c r="S25" i="40"/>
  <c r="S55" i="40" s="1"/>
  <c r="S20" i="40"/>
  <c r="S50" i="40" s="1"/>
  <c r="S19" i="40"/>
  <c r="S49" i="40" s="1"/>
  <c r="S22" i="40"/>
  <c r="S52" i="40" s="1"/>
  <c r="S26" i="40"/>
  <c r="S56" i="40" s="1"/>
  <c r="S23" i="40"/>
  <c r="S53" i="40" s="1"/>
  <c r="S27" i="40"/>
  <c r="S29" i="40"/>
  <c r="S59" i="40" s="1"/>
  <c r="T17" i="40"/>
  <c r="T24" i="40" s="1"/>
  <c r="T54" i="40" s="1"/>
  <c r="AE54" i="22"/>
  <c r="AE46" i="22"/>
  <c r="AE52" i="22"/>
  <c r="AE44" i="22"/>
  <c r="AE41" i="22"/>
  <c r="AE43" i="22"/>
  <c r="AE45" i="22"/>
  <c r="AE53" i="22"/>
  <c r="AE50" i="22"/>
  <c r="AE42" i="22"/>
  <c r="AE49" i="22"/>
  <c r="AE48" i="22"/>
  <c r="AE55" i="22"/>
  <c r="AE57" i="22"/>
  <c r="T23" i="19"/>
  <c r="S78" i="19"/>
  <c r="S105" i="19" s="1"/>
  <c r="T27" i="19"/>
  <c r="S82" i="19"/>
  <c r="S109" i="19" s="1"/>
  <c r="U32" i="19"/>
  <c r="T87" i="19"/>
  <c r="T114" i="19" s="1"/>
  <c r="Q45" i="22"/>
  <c r="Q53" i="22"/>
  <c r="Q39" i="22"/>
  <c r="Q36" i="22"/>
  <c r="Q57" i="22"/>
  <c r="Q47" i="22"/>
  <c r="Q50" i="22"/>
  <c r="Q52" i="22"/>
  <c r="Q49" i="22"/>
  <c r="Q40" i="22"/>
  <c r="Q54" i="22"/>
  <c r="Q56" i="22"/>
  <c r="Q41" i="22"/>
  <c r="Q42" i="22"/>
  <c r="Q35" i="22"/>
  <c r="Q48" i="22"/>
  <c r="Q51" i="22"/>
  <c r="Q46" i="22"/>
  <c r="Q44" i="22"/>
  <c r="Q55" i="22"/>
  <c r="Q43" i="22"/>
  <c r="V24" i="29" l="1"/>
  <c r="V27" i="29" s="1"/>
  <c r="W33" i="29"/>
  <c r="W35" i="29" s="1"/>
  <c r="X32" i="29"/>
  <c r="V15" i="29"/>
  <c r="V17" i="29" s="1"/>
  <c r="W14" i="29"/>
  <c r="V7" i="29"/>
  <c r="V25" i="29"/>
  <c r="W23" i="29" s="1"/>
  <c r="W5" i="29"/>
  <c r="V6" i="29"/>
  <c r="V9" i="29" s="1"/>
  <c r="T18" i="40"/>
  <c r="T48" i="40" s="1"/>
  <c r="T27" i="40"/>
  <c r="T57" i="40" s="1"/>
  <c r="S57" i="40"/>
  <c r="T29" i="40"/>
  <c r="T59" i="40" s="1"/>
  <c r="T26" i="40"/>
  <c r="T56" i="40" s="1"/>
  <c r="T28" i="40"/>
  <c r="T58" i="40" s="1"/>
  <c r="T23" i="40"/>
  <c r="T53" i="40" s="1"/>
  <c r="T20" i="40"/>
  <c r="T25" i="40"/>
  <c r="T22" i="40"/>
  <c r="T19" i="40"/>
  <c r="T21" i="40"/>
  <c r="U17" i="40"/>
  <c r="V32" i="19"/>
  <c r="U87" i="19"/>
  <c r="U114" i="19" s="1"/>
  <c r="U27" i="19"/>
  <c r="T82" i="19"/>
  <c r="T109" i="19" s="1"/>
  <c r="U23" i="19"/>
  <c r="U78" i="19" s="1"/>
  <c r="U105" i="19" s="1"/>
  <c r="T78" i="19"/>
  <c r="T105" i="19" s="1"/>
  <c r="W24" i="29" l="1"/>
  <c r="W27" i="29" s="1"/>
  <c r="W7" i="29"/>
  <c r="W25" i="29"/>
  <c r="X23" i="29" s="1"/>
  <c r="X5" i="29"/>
  <c r="W6" i="29"/>
  <c r="W9" i="29" s="1"/>
  <c r="W15" i="29"/>
  <c r="W17" i="29" s="1"/>
  <c r="X14" i="29"/>
  <c r="X33" i="29"/>
  <c r="X35" i="29" s="1"/>
  <c r="Y32" i="29"/>
  <c r="U19" i="40"/>
  <c r="U49" i="40" s="1"/>
  <c r="T49" i="40"/>
  <c r="U21" i="40"/>
  <c r="U51" i="40" s="1"/>
  <c r="T51" i="40"/>
  <c r="U22" i="40"/>
  <c r="U52" i="40" s="1"/>
  <c r="T52" i="40"/>
  <c r="U25" i="40"/>
  <c r="U55" i="40" s="1"/>
  <c r="T55" i="40"/>
  <c r="U20" i="40"/>
  <c r="U50" i="40" s="1"/>
  <c r="T50" i="40"/>
  <c r="U29" i="40"/>
  <c r="U59" i="40" s="1"/>
  <c r="U26" i="40"/>
  <c r="U56" i="40" s="1"/>
  <c r="U28" i="40"/>
  <c r="U58" i="40" s="1"/>
  <c r="U23" i="40"/>
  <c r="U53" i="40" s="1"/>
  <c r="U27" i="40"/>
  <c r="U18" i="40"/>
  <c r="U24" i="40"/>
  <c r="V17" i="40"/>
  <c r="V21" i="40" s="1"/>
  <c r="V51" i="40" s="1"/>
  <c r="F135" i="19"/>
  <c r="E135" i="19"/>
  <c r="V27" i="19"/>
  <c r="U82" i="19"/>
  <c r="U109" i="19" s="1"/>
  <c r="W32" i="19"/>
  <c r="V87" i="19"/>
  <c r="V114" i="19" s="1"/>
  <c r="X24" i="29" l="1"/>
  <c r="X27" i="29" s="1"/>
  <c r="X15" i="29"/>
  <c r="X17" i="29" s="1"/>
  <c r="Y14" i="29"/>
  <c r="Y33" i="29"/>
  <c r="Y35" i="29" s="1"/>
  <c r="Z32" i="29"/>
  <c r="X7" i="29"/>
  <c r="X25" i="29"/>
  <c r="Y23" i="29" s="1"/>
  <c r="Y5" i="29"/>
  <c r="X6" i="29"/>
  <c r="X9" i="29" s="1"/>
  <c r="V18" i="40"/>
  <c r="V48" i="40" s="1"/>
  <c r="U48" i="40"/>
  <c r="V24" i="40"/>
  <c r="V54" i="40" s="1"/>
  <c r="U54" i="40"/>
  <c r="V20" i="40"/>
  <c r="V50" i="40" s="1"/>
  <c r="V27" i="40"/>
  <c r="V57" i="40" s="1"/>
  <c r="U57" i="40"/>
  <c r="V23" i="40"/>
  <c r="V53" i="40" s="1"/>
  <c r="V29" i="40"/>
  <c r="V59" i="40" s="1"/>
  <c r="V22" i="40"/>
  <c r="V52" i="40" s="1"/>
  <c r="V28" i="40"/>
  <c r="V58" i="40" s="1"/>
  <c r="V25" i="40"/>
  <c r="V55" i="40" s="1"/>
  <c r="V26" i="40"/>
  <c r="V56" i="40" s="1"/>
  <c r="V19" i="40"/>
  <c r="V49" i="40" s="1"/>
  <c r="W17" i="40"/>
  <c r="V78" i="22"/>
  <c r="R78" i="22"/>
  <c r="Q78" i="22"/>
  <c r="W78" i="22"/>
  <c r="S78" i="22"/>
  <c r="U78" i="22"/>
  <c r="T78" i="22"/>
  <c r="T47" i="22"/>
  <c r="W47" i="22"/>
  <c r="V47" i="22"/>
  <c r="R47" i="22"/>
  <c r="U47" i="22"/>
  <c r="AA47" i="22"/>
  <c r="Y47" i="22"/>
  <c r="S47" i="22"/>
  <c r="X47" i="22"/>
  <c r="Z47" i="22"/>
  <c r="O78" i="22"/>
  <c r="N78" i="22"/>
  <c r="P78" i="22"/>
  <c r="X32" i="19"/>
  <c r="W87" i="19"/>
  <c r="W114" i="19" s="1"/>
  <c r="W27" i="19"/>
  <c r="V82" i="19"/>
  <c r="V109" i="19" s="1"/>
  <c r="Y24" i="29" l="1"/>
  <c r="Y27" i="29" s="1"/>
  <c r="Y6" i="29"/>
  <c r="Y9" i="29" s="1"/>
  <c r="Y7" i="29"/>
  <c r="Z5" i="29" s="1"/>
  <c r="Y25" i="29"/>
  <c r="Z23" i="29" s="1"/>
  <c r="Z33" i="29"/>
  <c r="Z35" i="29" s="1"/>
  <c r="AA32" i="29"/>
  <c r="Z14" i="29"/>
  <c r="Y15" i="29"/>
  <c r="Y17" i="29" s="1"/>
  <c r="W23" i="40"/>
  <c r="W53" i="40" s="1"/>
  <c r="W19" i="40"/>
  <c r="W49" i="40" s="1"/>
  <c r="W26" i="40"/>
  <c r="W56" i="40" s="1"/>
  <c r="W27" i="40"/>
  <c r="W29" i="40"/>
  <c r="W59" i="40" s="1"/>
  <c r="W22" i="40"/>
  <c r="W52" i="40" s="1"/>
  <c r="W28" i="40"/>
  <c r="W58" i="40" s="1"/>
  <c r="W25" i="40"/>
  <c r="W55" i="40" s="1"/>
  <c r="W18" i="40"/>
  <c r="W20" i="40"/>
  <c r="W24" i="40"/>
  <c r="W21" i="40"/>
  <c r="X17" i="40"/>
  <c r="AB47" i="22"/>
  <c r="AC47" i="22"/>
  <c r="AD47" i="22"/>
  <c r="X27" i="19"/>
  <c r="W82" i="19"/>
  <c r="W109" i="19" s="1"/>
  <c r="Y32" i="19"/>
  <c r="X87" i="19"/>
  <c r="X114" i="19" s="1"/>
  <c r="X19" i="40" l="1"/>
  <c r="X49" i="40" s="1"/>
  <c r="Z24" i="29"/>
  <c r="Z27" i="29" s="1"/>
  <c r="AA14" i="29"/>
  <c r="Z15" i="29"/>
  <c r="Z17" i="29" s="1"/>
  <c r="AB32" i="29"/>
  <c r="AA33" i="29"/>
  <c r="AA35" i="29" s="1"/>
  <c r="Z6" i="29"/>
  <c r="Z9" i="29" s="1"/>
  <c r="Z7" i="29"/>
  <c r="Z25" i="29"/>
  <c r="AA23" i="29" s="1"/>
  <c r="AA5" i="29"/>
  <c r="X21" i="40"/>
  <c r="X51" i="40" s="1"/>
  <c r="W51" i="40"/>
  <c r="X27" i="40"/>
  <c r="X57" i="40" s="1"/>
  <c r="W57" i="40"/>
  <c r="X18" i="40"/>
  <c r="X48" i="40" s="1"/>
  <c r="W48" i="40"/>
  <c r="X24" i="40"/>
  <c r="X54" i="40" s="1"/>
  <c r="W54" i="40"/>
  <c r="X20" i="40"/>
  <c r="X50" i="40" s="1"/>
  <c r="W50" i="40"/>
  <c r="X26" i="40"/>
  <c r="X56" i="40" s="1"/>
  <c r="X29" i="40"/>
  <c r="X59" i="40" s="1"/>
  <c r="X22" i="40"/>
  <c r="X52" i="40" s="1"/>
  <c r="X25" i="40"/>
  <c r="X55" i="40" s="1"/>
  <c r="X28" i="40"/>
  <c r="X58" i="40" s="1"/>
  <c r="X23" i="40"/>
  <c r="X53" i="40" s="1"/>
  <c r="Y17" i="40"/>
  <c r="AE47" i="22"/>
  <c r="Z32" i="19"/>
  <c r="Y87" i="19"/>
  <c r="Y114" i="19" s="1"/>
  <c r="Y27" i="19"/>
  <c r="X82" i="19"/>
  <c r="X109" i="19" s="1"/>
  <c r="AA24" i="29" l="1"/>
  <c r="AA27" i="29" s="1"/>
  <c r="AA6" i="29"/>
  <c r="AA9" i="29" s="1"/>
  <c r="AA7" i="29"/>
  <c r="AA25" i="29"/>
  <c r="AB23" i="29" s="1"/>
  <c r="AB5" i="29"/>
  <c r="AB33" i="29"/>
  <c r="AB35" i="29" s="1"/>
  <c r="AC32" i="29"/>
  <c r="AB14" i="29"/>
  <c r="AA15" i="29"/>
  <c r="AA17" i="29" s="1"/>
  <c r="Y27" i="40"/>
  <c r="Y57" i="40" s="1"/>
  <c r="Y23" i="40"/>
  <c r="Y53" i="40" s="1"/>
  <c r="Y19" i="40"/>
  <c r="Y49" i="40" s="1"/>
  <c r="Y29" i="40"/>
  <c r="Y59" i="40" s="1"/>
  <c r="Y22" i="40"/>
  <c r="Y52" i="40" s="1"/>
  <c r="Y28" i="40"/>
  <c r="Y58" i="40" s="1"/>
  <c r="Y25" i="40"/>
  <c r="Y55" i="40" s="1"/>
  <c r="Y20" i="40"/>
  <c r="Y50" i="40" s="1"/>
  <c r="Y18" i="40"/>
  <c r="Y48" i="40" s="1"/>
  <c r="Y21" i="40"/>
  <c r="Y51" i="40" s="1"/>
  <c r="Y26" i="40"/>
  <c r="Y56" i="40" s="1"/>
  <c r="Y24" i="40"/>
  <c r="Y54" i="40" s="1"/>
  <c r="Z17" i="40"/>
  <c r="Z27" i="19"/>
  <c r="Y82" i="19"/>
  <c r="Y109" i="19" s="1"/>
  <c r="AA32" i="19"/>
  <c r="Z87" i="19"/>
  <c r="Z114" i="19" s="1"/>
  <c r="AB24" i="29" l="1"/>
  <c r="AB27" i="29" s="1"/>
  <c r="AD32" i="29"/>
  <c r="AC33" i="29"/>
  <c r="AC35" i="29" s="1"/>
  <c r="AC14" i="29"/>
  <c r="AB15" i="29"/>
  <c r="AB17" i="29" s="1"/>
  <c r="AB25" i="29"/>
  <c r="AC23" i="29" s="1"/>
  <c r="AB7" i="29"/>
  <c r="AC5" i="29" s="1"/>
  <c r="AB6" i="29"/>
  <c r="AB9" i="29" s="1"/>
  <c r="Z21" i="40"/>
  <c r="Z51" i="40" s="1"/>
  <c r="Z28" i="40"/>
  <c r="Z58" i="40" s="1"/>
  <c r="Z25" i="40"/>
  <c r="Z55" i="40" s="1"/>
  <c r="Z29" i="40"/>
  <c r="Z59" i="40" s="1"/>
  <c r="Z22" i="40"/>
  <c r="Z52" i="40" s="1"/>
  <c r="Z23" i="40"/>
  <c r="Z53" i="40" s="1"/>
  <c r="Z24" i="40"/>
  <c r="Z54" i="40" s="1"/>
  <c r="Z27" i="40"/>
  <c r="Z57" i="40" s="1"/>
  <c r="Z18" i="40"/>
  <c r="Z26" i="40"/>
  <c r="Z19" i="40"/>
  <c r="Z20" i="40"/>
  <c r="AA17" i="40"/>
  <c r="AB32" i="19"/>
  <c r="AA87" i="19"/>
  <c r="AA114" i="19" s="1"/>
  <c r="AA27" i="19"/>
  <c r="Z82" i="19"/>
  <c r="Z109" i="19" s="1"/>
  <c r="AC6" i="29" l="1"/>
  <c r="AC9" i="29" s="1"/>
  <c r="AC7" i="29"/>
  <c r="AD5" i="29" s="1"/>
  <c r="AC25" i="29"/>
  <c r="AC24" i="29"/>
  <c r="AC27" i="29" s="1"/>
  <c r="AD23" i="29"/>
  <c r="AC15" i="29"/>
  <c r="AC17" i="29" s="1"/>
  <c r="AD14" i="29"/>
  <c r="AE32" i="29"/>
  <c r="AD33" i="29"/>
  <c r="AD35" i="29" s="1"/>
  <c r="AA18" i="40"/>
  <c r="AA48" i="40" s="1"/>
  <c r="Z48" i="40"/>
  <c r="AA20" i="40"/>
  <c r="AA50" i="40" s="1"/>
  <c r="Z50" i="40"/>
  <c r="AA26" i="40"/>
  <c r="AA56" i="40" s="1"/>
  <c r="Z56" i="40"/>
  <c r="AA19" i="40"/>
  <c r="AA49" i="40" s="1"/>
  <c r="Z49" i="40"/>
  <c r="AA27" i="40"/>
  <c r="AA57" i="40" s="1"/>
  <c r="AA24" i="40"/>
  <c r="AA54" i="40" s="1"/>
  <c r="AA23" i="40"/>
  <c r="AA53" i="40" s="1"/>
  <c r="AA28" i="40"/>
  <c r="AA58" i="40" s="1"/>
  <c r="AA25" i="40"/>
  <c r="AA55" i="40" s="1"/>
  <c r="AA29" i="40"/>
  <c r="AA59" i="40" s="1"/>
  <c r="AA22" i="40"/>
  <c r="AA52" i="40" s="1"/>
  <c r="AA21" i="40"/>
  <c r="AA51" i="40" s="1"/>
  <c r="AB17" i="40"/>
  <c r="AB27" i="19"/>
  <c r="AA82" i="19"/>
  <c r="AA109" i="19" s="1"/>
  <c r="AC32" i="19"/>
  <c r="AB87" i="19"/>
  <c r="AB114" i="19" s="1"/>
  <c r="AD6" i="29" l="1"/>
  <c r="AD9" i="29" s="1"/>
  <c r="AD25" i="29"/>
  <c r="AD7" i="29"/>
  <c r="AE5" i="29" s="1"/>
  <c r="AE33" i="29"/>
  <c r="AE35" i="29" s="1"/>
  <c r="AF32" i="29"/>
  <c r="AD15" i="29"/>
  <c r="AD17" i="29" s="1"/>
  <c r="AE14" i="29"/>
  <c r="AD24" i="29"/>
  <c r="AD27" i="29" s="1"/>
  <c r="AE23" i="29"/>
  <c r="AB27" i="40"/>
  <c r="AB57" i="40" s="1"/>
  <c r="AB19" i="40"/>
  <c r="AB49" i="40" s="1"/>
  <c r="AB23" i="40"/>
  <c r="AB53" i="40" s="1"/>
  <c r="AB21" i="40"/>
  <c r="AB51" i="40" s="1"/>
  <c r="AB25" i="40"/>
  <c r="AB55" i="40" s="1"/>
  <c r="AB28" i="40"/>
  <c r="AB58" i="40" s="1"/>
  <c r="AB22" i="40"/>
  <c r="AB52" i="40" s="1"/>
  <c r="AB29" i="40"/>
  <c r="AB59" i="40" s="1"/>
  <c r="AB26" i="40"/>
  <c r="AB24" i="40"/>
  <c r="AB18" i="40"/>
  <c r="AB20" i="40"/>
  <c r="AB50" i="40" s="1"/>
  <c r="AC17" i="40"/>
  <c r="AC27" i="40" s="1"/>
  <c r="AC57" i="40" s="1"/>
  <c r="AD32" i="19"/>
  <c r="AC87" i="19"/>
  <c r="AC114" i="19" s="1"/>
  <c r="AC27" i="19"/>
  <c r="AB82" i="19"/>
  <c r="AB109" i="19" s="1"/>
  <c r="AC21" i="40" l="1"/>
  <c r="AC51" i="40" s="1"/>
  <c r="AC23" i="40"/>
  <c r="AC53" i="40" s="1"/>
  <c r="AC19" i="40"/>
  <c r="AC49" i="40" s="1"/>
  <c r="AE6" i="29"/>
  <c r="AE9" i="29" s="1"/>
  <c r="AE7" i="29"/>
  <c r="AF5" i="29" s="1"/>
  <c r="AE25" i="29"/>
  <c r="AG32" i="29"/>
  <c r="AF33" i="29"/>
  <c r="AF35" i="29" s="1"/>
  <c r="AE24" i="29"/>
  <c r="AE27" i="29" s="1"/>
  <c r="AF23" i="29"/>
  <c r="AE15" i="29"/>
  <c r="AE17" i="29" s="1"/>
  <c r="AF14" i="29"/>
  <c r="AC18" i="40"/>
  <c r="AC48" i="40" s="1"/>
  <c r="AB48" i="40"/>
  <c r="AC24" i="40"/>
  <c r="AC54" i="40" s="1"/>
  <c r="AB54" i="40"/>
  <c r="AC26" i="40"/>
  <c r="AC56" i="40" s="1"/>
  <c r="AB56" i="40"/>
  <c r="AC20" i="40"/>
  <c r="AC50" i="40" s="1"/>
  <c r="AC28" i="40"/>
  <c r="AC58" i="40" s="1"/>
  <c r="AC25" i="40"/>
  <c r="AC55" i="40" s="1"/>
  <c r="AC22" i="40"/>
  <c r="AC52" i="40" s="1"/>
  <c r="AC29" i="40"/>
  <c r="AC59" i="40" s="1"/>
  <c r="AD17" i="40"/>
  <c r="AD20" i="40" s="1"/>
  <c r="AD50" i="40" s="1"/>
  <c r="AD27" i="19"/>
  <c r="AC82" i="19"/>
  <c r="AC109" i="19" s="1"/>
  <c r="AE32" i="19"/>
  <c r="AD87" i="19"/>
  <c r="AD114" i="19" s="1"/>
  <c r="AF6" i="29" l="1"/>
  <c r="AF9" i="29" s="1"/>
  <c r="AF7" i="29"/>
  <c r="AG5" i="29"/>
  <c r="AF25" i="29"/>
  <c r="AG14" i="29"/>
  <c r="AF15" i="29"/>
  <c r="AF17" i="29" s="1"/>
  <c r="AF24" i="29"/>
  <c r="AF27" i="29" s="1"/>
  <c r="AG23" i="29"/>
  <c r="AH32" i="29"/>
  <c r="AG33" i="29"/>
  <c r="AG35" i="29" s="1"/>
  <c r="AD19" i="40"/>
  <c r="AD49" i="40" s="1"/>
  <c r="AD18" i="40"/>
  <c r="AD48" i="40" s="1"/>
  <c r="AD22" i="40"/>
  <c r="AD52" i="40" s="1"/>
  <c r="AD29" i="40"/>
  <c r="AD59" i="40" s="1"/>
  <c r="AD28" i="40"/>
  <c r="AD58" i="40" s="1"/>
  <c r="AD25" i="40"/>
  <c r="AD55" i="40" s="1"/>
  <c r="AD24" i="40"/>
  <c r="AD54" i="40" s="1"/>
  <c r="AD26" i="40"/>
  <c r="AD56" i="40" s="1"/>
  <c r="AD23" i="40"/>
  <c r="AD53" i="40" s="1"/>
  <c r="AD21" i="40"/>
  <c r="AD51" i="40" s="1"/>
  <c r="AD27" i="40"/>
  <c r="AD57" i="40" s="1"/>
  <c r="AE17" i="40"/>
  <c r="AF32" i="19"/>
  <c r="AE87" i="19"/>
  <c r="AE114" i="19" s="1"/>
  <c r="AE27" i="19"/>
  <c r="AD82" i="19"/>
  <c r="AD109" i="19" s="1"/>
  <c r="AE18" i="40" l="1"/>
  <c r="AE48" i="40" s="1"/>
  <c r="AG24" i="29"/>
  <c r="AG27" i="29" s="1"/>
  <c r="AI32" i="29"/>
  <c r="AH33" i="29"/>
  <c r="AH35" i="29" s="1"/>
  <c r="AH14" i="29"/>
  <c r="AG15" i="29"/>
  <c r="AG17" i="29" s="1"/>
  <c r="AG6" i="29"/>
  <c r="AG9" i="29" s="1"/>
  <c r="AG7" i="29"/>
  <c r="AH5" i="29"/>
  <c r="AG25" i="29"/>
  <c r="AH23" i="29" s="1"/>
  <c r="AE21" i="40"/>
  <c r="AE51" i="40" s="1"/>
  <c r="AE27" i="40"/>
  <c r="AE57" i="40" s="1"/>
  <c r="AE23" i="40"/>
  <c r="AE53" i="40" s="1"/>
  <c r="AE24" i="40"/>
  <c r="AE54" i="40" s="1"/>
  <c r="AE28" i="40"/>
  <c r="AE58" i="40" s="1"/>
  <c r="AE25" i="40"/>
  <c r="AE55" i="40" s="1"/>
  <c r="AE29" i="40"/>
  <c r="AE59" i="40" s="1"/>
  <c r="AE22" i="40"/>
  <c r="AE52" i="40" s="1"/>
  <c r="AE26" i="40"/>
  <c r="AE56" i="40" s="1"/>
  <c r="AE19" i="40"/>
  <c r="AE20" i="40"/>
  <c r="AF17" i="40"/>
  <c r="AF27" i="19"/>
  <c r="AE82" i="19"/>
  <c r="AE109" i="19" s="1"/>
  <c r="AG32" i="19"/>
  <c r="AG87" i="19" s="1"/>
  <c r="AG114" i="19" s="1"/>
  <c r="AF87" i="19"/>
  <c r="AF114" i="19" s="1"/>
  <c r="AH24" i="29" l="1"/>
  <c r="AH27" i="29" s="1"/>
  <c r="AH6" i="29"/>
  <c r="AH9" i="29" s="1"/>
  <c r="AH7" i="29"/>
  <c r="AI5" i="29"/>
  <c r="AH25" i="29"/>
  <c r="AI23" i="29" s="1"/>
  <c r="AI14" i="29"/>
  <c r="AH15" i="29"/>
  <c r="AH17" i="29" s="1"/>
  <c r="AJ32" i="29"/>
  <c r="AI33" i="29"/>
  <c r="AI35" i="29" s="1"/>
  <c r="AF19" i="40"/>
  <c r="AF49" i="40" s="1"/>
  <c r="AE49" i="40"/>
  <c r="AF20" i="40"/>
  <c r="AF50" i="40" s="1"/>
  <c r="AE50" i="40"/>
  <c r="AF23" i="40"/>
  <c r="AF53" i="40" s="1"/>
  <c r="AF28" i="40"/>
  <c r="AF58" i="40" s="1"/>
  <c r="AF29" i="40"/>
  <c r="AF59" i="40" s="1"/>
  <c r="AF22" i="40"/>
  <c r="AF52" i="40" s="1"/>
  <c r="AF26" i="40"/>
  <c r="AF56" i="40" s="1"/>
  <c r="AF25" i="40"/>
  <c r="AF55" i="40" s="1"/>
  <c r="AF27" i="40"/>
  <c r="AF21" i="40"/>
  <c r="AF24" i="40"/>
  <c r="AF18" i="40"/>
  <c r="AG17" i="40"/>
  <c r="F144" i="19"/>
  <c r="E144" i="19"/>
  <c r="AG27" i="19"/>
  <c r="AF82" i="19"/>
  <c r="AF109" i="19" s="1"/>
  <c r="AG19" i="40" l="1"/>
  <c r="AG49" i="40" s="1"/>
  <c r="AI24" i="29"/>
  <c r="AI27" i="29" s="1"/>
  <c r="AK32" i="29"/>
  <c r="AJ33" i="29"/>
  <c r="AJ35" i="29" s="1"/>
  <c r="F43" i="19" s="1"/>
  <c r="F44" i="19" s="1"/>
  <c r="AI7" i="29"/>
  <c r="AJ5" i="29"/>
  <c r="AI25" i="29"/>
  <c r="AJ23" i="29" s="1"/>
  <c r="AI6" i="29"/>
  <c r="AI9" i="29" s="1"/>
  <c r="AJ14" i="29"/>
  <c r="AI15" i="29"/>
  <c r="AI17" i="29" s="1"/>
  <c r="AG21" i="40"/>
  <c r="AG51" i="40" s="1"/>
  <c r="AF51" i="40"/>
  <c r="AG24" i="40"/>
  <c r="AG54" i="40" s="1"/>
  <c r="AF54" i="40"/>
  <c r="AG27" i="40"/>
  <c r="AG57" i="40" s="1"/>
  <c r="AF57" i="40"/>
  <c r="AG18" i="40"/>
  <c r="AG48" i="40" s="1"/>
  <c r="AF48" i="40"/>
  <c r="AG25" i="40"/>
  <c r="AG55" i="40" s="1"/>
  <c r="AG23" i="40"/>
  <c r="AG53" i="40" s="1"/>
  <c r="AG29" i="40"/>
  <c r="AG59" i="40" s="1"/>
  <c r="AG22" i="40"/>
  <c r="AG52" i="40" s="1"/>
  <c r="AG26" i="40"/>
  <c r="AG56" i="40" s="1"/>
  <c r="AG28" i="40"/>
  <c r="AG58" i="40" s="1"/>
  <c r="AG20" i="40"/>
  <c r="AG50" i="40" s="1"/>
  <c r="AH17" i="40"/>
  <c r="S87" i="22"/>
  <c r="Q87" i="22"/>
  <c r="V87" i="22"/>
  <c r="U87" i="22"/>
  <c r="O87" i="22"/>
  <c r="N87" i="22"/>
  <c r="R87" i="22"/>
  <c r="T87" i="22"/>
  <c r="W87" i="22"/>
  <c r="V56" i="22"/>
  <c r="Y56" i="22"/>
  <c r="U56" i="22"/>
  <c r="W56" i="22"/>
  <c r="S56" i="22"/>
  <c r="X56" i="22"/>
  <c r="P87" i="22"/>
  <c r="T56" i="22"/>
  <c r="AA56" i="22"/>
  <c r="Z56" i="22"/>
  <c r="R56" i="22"/>
  <c r="AH27" i="19"/>
  <c r="AG82" i="19"/>
  <c r="AG109" i="19" s="1"/>
  <c r="AJ24" i="29" l="1"/>
  <c r="AJ27" i="29" s="1"/>
  <c r="F41" i="19" s="1"/>
  <c r="F42" i="19" s="1"/>
  <c r="AJ7" i="29"/>
  <c r="AK5" i="29" s="1"/>
  <c r="AJ25" i="29"/>
  <c r="AK23" i="29" s="1"/>
  <c r="AJ6" i="29"/>
  <c r="AJ9" i="29" s="1"/>
  <c r="F37" i="19" s="1"/>
  <c r="F38" i="19" s="1"/>
  <c r="AK33" i="29"/>
  <c r="AK35" i="29" s="1"/>
  <c r="G43" i="19" s="1"/>
  <c r="G44" i="19" s="1"/>
  <c r="AL32" i="29"/>
  <c r="AJ15" i="29"/>
  <c r="AJ17" i="29" s="1"/>
  <c r="F39" i="19" s="1"/>
  <c r="F40" i="19" s="1"/>
  <c r="AK14" i="29"/>
  <c r="AH18" i="40"/>
  <c r="AH48" i="40" s="1"/>
  <c r="AH20" i="40"/>
  <c r="AH50" i="40" s="1"/>
  <c r="AH27" i="40"/>
  <c r="AH57" i="40" s="1"/>
  <c r="AH19" i="40"/>
  <c r="AH49" i="40" s="1"/>
  <c r="AH23" i="40"/>
  <c r="AH53" i="40" s="1"/>
  <c r="AH29" i="40"/>
  <c r="AH59" i="40" s="1"/>
  <c r="AH22" i="40"/>
  <c r="AH52" i="40" s="1"/>
  <c r="AH26" i="40"/>
  <c r="AH56" i="40" s="1"/>
  <c r="AH28" i="40"/>
  <c r="AH58" i="40" s="1"/>
  <c r="AH25" i="40"/>
  <c r="AH55" i="40" s="1"/>
  <c r="AH24" i="40"/>
  <c r="AH21" i="40"/>
  <c r="AI17" i="40"/>
  <c r="AC56" i="22"/>
  <c r="AD56" i="22"/>
  <c r="AB56" i="22"/>
  <c r="AI27" i="19"/>
  <c r="AH82" i="19"/>
  <c r="AH109" i="19" s="1"/>
  <c r="AK24" i="29" l="1"/>
  <c r="AK27" i="29" s="1"/>
  <c r="G41" i="19" s="1"/>
  <c r="G42" i="19" s="1"/>
  <c r="AK7" i="29"/>
  <c r="AL5" i="29"/>
  <c r="AK25" i="29"/>
  <c r="AL23" i="29" s="1"/>
  <c r="AK6" i="29"/>
  <c r="AK9" i="29" s="1"/>
  <c r="G37" i="19" s="1"/>
  <c r="G38" i="19" s="1"/>
  <c r="AK15" i="29"/>
  <c r="AK17" i="29" s="1"/>
  <c r="G39" i="19" s="1"/>
  <c r="G40" i="19" s="1"/>
  <c r="AL14" i="29"/>
  <c r="AL33" i="29"/>
  <c r="AL35" i="29" s="1"/>
  <c r="H43" i="19" s="1"/>
  <c r="H44" i="19" s="1"/>
  <c r="AM32" i="29"/>
  <c r="AI21" i="40"/>
  <c r="AI51" i="40" s="1"/>
  <c r="AH51" i="40"/>
  <c r="AI24" i="40"/>
  <c r="AI54" i="40" s="1"/>
  <c r="AH54" i="40"/>
  <c r="AI27" i="40"/>
  <c r="AI57" i="40" s="1"/>
  <c r="AI23" i="40"/>
  <c r="AI53" i="40" s="1"/>
  <c r="AI29" i="40"/>
  <c r="AI59" i="40" s="1"/>
  <c r="AI22" i="40"/>
  <c r="AI52" i="40" s="1"/>
  <c r="AI26" i="40"/>
  <c r="AI56" i="40" s="1"/>
  <c r="AI28" i="40"/>
  <c r="AI58" i="40" s="1"/>
  <c r="AI25" i="40"/>
  <c r="AI55" i="40" s="1"/>
  <c r="AI20" i="40"/>
  <c r="AI50" i="40" s="1"/>
  <c r="AI19" i="40"/>
  <c r="AI49" i="40" s="1"/>
  <c r="AI18" i="40"/>
  <c r="AI48" i="40" s="1"/>
  <c r="AJ17" i="40"/>
  <c r="AE56" i="22"/>
  <c r="AJ27" i="19"/>
  <c r="AI82" i="19"/>
  <c r="AI109" i="19" s="1"/>
  <c r="AL24" i="29" l="1"/>
  <c r="AL27" i="29" s="1"/>
  <c r="H41" i="19" s="1"/>
  <c r="H42" i="19" s="1"/>
  <c r="AM33" i="29"/>
  <c r="AM35" i="29" s="1"/>
  <c r="I43" i="19" s="1"/>
  <c r="I44" i="19" s="1"/>
  <c r="AN32" i="29"/>
  <c r="AL15" i="29"/>
  <c r="AL17" i="29" s="1"/>
  <c r="H39" i="19" s="1"/>
  <c r="H40" i="19" s="1"/>
  <c r="AM14" i="29"/>
  <c r="AL25" i="29"/>
  <c r="AM23" i="29" s="1"/>
  <c r="AL7" i="29"/>
  <c r="AM5" i="29" s="1"/>
  <c r="AL6" i="29"/>
  <c r="AL9" i="29" s="1"/>
  <c r="H37" i="19" s="1"/>
  <c r="H38" i="19" s="1"/>
  <c r="AJ23" i="40"/>
  <c r="AJ53" i="40" s="1"/>
  <c r="C85" i="40" s="1"/>
  <c r="K8" i="1" s="1"/>
  <c r="AJ26" i="40"/>
  <c r="AJ56" i="40" s="1"/>
  <c r="C88" i="40" s="1"/>
  <c r="K11" i="1" s="1"/>
  <c r="AJ29" i="40"/>
  <c r="AJ59" i="40" s="1"/>
  <c r="C91" i="40" s="1"/>
  <c r="K14" i="1" s="1"/>
  <c r="AJ22" i="40"/>
  <c r="AJ52" i="40" s="1"/>
  <c r="C84" i="40" s="1"/>
  <c r="K7" i="1" s="1"/>
  <c r="AJ28" i="40"/>
  <c r="AJ58" i="40" s="1"/>
  <c r="C90" i="40" s="1"/>
  <c r="K13" i="1" s="1"/>
  <c r="AJ25" i="40"/>
  <c r="AJ55" i="40" s="1"/>
  <c r="C87" i="40" s="1"/>
  <c r="K10" i="1" s="1"/>
  <c r="AJ18" i="40"/>
  <c r="AJ48" i="40" s="1"/>
  <c r="C80" i="40" s="1"/>
  <c r="K3" i="1" s="1"/>
  <c r="AJ20" i="40"/>
  <c r="AJ50" i="40" s="1"/>
  <c r="C82" i="40" s="1"/>
  <c r="K5" i="1" s="1"/>
  <c r="AJ27" i="40"/>
  <c r="AJ19" i="40"/>
  <c r="AJ24" i="40"/>
  <c r="AJ21" i="40"/>
  <c r="AK17" i="40"/>
  <c r="AK27" i="19"/>
  <c r="AJ82" i="19"/>
  <c r="AJ109" i="19" s="1"/>
  <c r="AM6" i="29" l="1"/>
  <c r="AM9" i="29" s="1"/>
  <c r="I37" i="19" s="1"/>
  <c r="I38" i="19" s="1"/>
  <c r="AM7" i="29"/>
  <c r="AN5" i="29"/>
  <c r="AM25" i="29"/>
  <c r="AM24" i="29"/>
  <c r="AM27" i="29" s="1"/>
  <c r="I41" i="19" s="1"/>
  <c r="I42" i="19" s="1"/>
  <c r="AN23" i="29"/>
  <c r="AN33" i="29"/>
  <c r="AN35" i="29" s="1"/>
  <c r="J43" i="19" s="1"/>
  <c r="J44" i="19" s="1"/>
  <c r="AO32" i="29"/>
  <c r="AM15" i="29"/>
  <c r="AM17" i="29" s="1"/>
  <c r="I39" i="19" s="1"/>
  <c r="I40" i="19" s="1"/>
  <c r="AN14" i="29"/>
  <c r="AK24" i="40"/>
  <c r="AJ54" i="40"/>
  <c r="C86" i="40" s="1"/>
  <c r="K9" i="1" s="1"/>
  <c r="AK19" i="40"/>
  <c r="AJ49" i="40"/>
  <c r="C81" i="40" s="1"/>
  <c r="K4" i="1" s="1"/>
  <c r="AK21" i="40"/>
  <c r="AJ51" i="40"/>
  <c r="C83" i="40" s="1"/>
  <c r="K6" i="1" s="1"/>
  <c r="AK27" i="40"/>
  <c r="AJ57" i="40"/>
  <c r="C89" i="40" s="1"/>
  <c r="K12" i="1" s="1"/>
  <c r="AK23" i="40"/>
  <c r="AK28" i="40"/>
  <c r="AK29" i="40"/>
  <c r="AK22" i="40"/>
  <c r="AK18" i="40"/>
  <c r="AK26" i="40"/>
  <c r="AK25" i="40"/>
  <c r="AK20" i="40"/>
  <c r="AL17" i="40"/>
  <c r="AL27" i="19"/>
  <c r="AK82" i="19"/>
  <c r="AK109" i="19" s="1"/>
  <c r="AN15" i="29" l="1"/>
  <c r="AN17" i="29" s="1"/>
  <c r="J39" i="19" s="1"/>
  <c r="J40" i="19" s="1"/>
  <c r="AO14" i="29"/>
  <c r="AO33" i="29"/>
  <c r="AO35" i="29" s="1"/>
  <c r="K43" i="19" s="1"/>
  <c r="K44" i="19" s="1"/>
  <c r="AP32" i="29"/>
  <c r="AN24" i="29"/>
  <c r="AN27" i="29" s="1"/>
  <c r="J41" i="19" s="1"/>
  <c r="J42" i="19" s="1"/>
  <c r="AN6" i="29"/>
  <c r="AN9" i="29" s="1"/>
  <c r="J37" i="19" s="1"/>
  <c r="J38" i="19" s="1"/>
  <c r="AN7" i="29"/>
  <c r="AO5" i="29" s="1"/>
  <c r="AN25" i="29"/>
  <c r="AO23" i="29" s="1"/>
  <c r="AL27" i="40"/>
  <c r="AL24" i="40"/>
  <c r="AL29" i="40"/>
  <c r="AL22" i="40"/>
  <c r="AL18" i="40"/>
  <c r="AL20" i="40"/>
  <c r="AL26" i="40"/>
  <c r="AL28" i="40"/>
  <c r="AL25" i="40"/>
  <c r="AL23" i="40"/>
  <c r="AL21" i="40"/>
  <c r="AL19" i="40"/>
  <c r="AM17" i="40"/>
  <c r="P3" i="26"/>
  <c r="P2" i="26"/>
  <c r="AM27" i="19"/>
  <c r="AL82" i="19"/>
  <c r="AL109" i="19" s="1"/>
  <c r="AO6" i="29" l="1"/>
  <c r="AO9" i="29" s="1"/>
  <c r="K37" i="19" s="1"/>
  <c r="K38" i="19" s="1"/>
  <c r="AO7" i="29"/>
  <c r="AP5" i="29" s="1"/>
  <c r="AO25" i="29"/>
  <c r="AO24" i="29"/>
  <c r="AO27" i="29" s="1"/>
  <c r="K41" i="19" s="1"/>
  <c r="K42" i="19" s="1"/>
  <c r="AP23" i="29"/>
  <c r="AP14" i="29"/>
  <c r="AO15" i="29"/>
  <c r="AO17" i="29" s="1"/>
  <c r="K39" i="19" s="1"/>
  <c r="K40" i="19" s="1"/>
  <c r="AQ32" i="29"/>
  <c r="AP33" i="29"/>
  <c r="AP35" i="29" s="1"/>
  <c r="L43" i="19" s="1"/>
  <c r="L44" i="19" s="1"/>
  <c r="AM29" i="40"/>
  <c r="AM22" i="40"/>
  <c r="AM18" i="40"/>
  <c r="AM26" i="40"/>
  <c r="AM28" i="40"/>
  <c r="AM25" i="40"/>
  <c r="AM20" i="40"/>
  <c r="AM23" i="40"/>
  <c r="AM19" i="40"/>
  <c r="AM24" i="40"/>
  <c r="AM21" i="40"/>
  <c r="AM27" i="40"/>
  <c r="AN17" i="40"/>
  <c r="P6" i="26"/>
  <c r="AD9" i="25"/>
  <c r="X64" i="22"/>
  <c r="AF33" i="22"/>
  <c r="X65" i="22"/>
  <c r="AF34" i="22"/>
  <c r="AD10" i="25"/>
  <c r="AN27" i="19"/>
  <c r="AM82" i="19"/>
  <c r="AM109" i="19" s="1"/>
  <c r="AQ14" i="29" l="1"/>
  <c r="AP15" i="29"/>
  <c r="AP17" i="29" s="1"/>
  <c r="L39" i="19" s="1"/>
  <c r="L40" i="19" s="1"/>
  <c r="AP7" i="29"/>
  <c r="AQ5" i="29" s="1"/>
  <c r="AP25" i="29"/>
  <c r="AQ23" i="29" s="1"/>
  <c r="AP6" i="29"/>
  <c r="AP9" i="29" s="1"/>
  <c r="L37" i="19" s="1"/>
  <c r="L38" i="19" s="1"/>
  <c r="AP24" i="29"/>
  <c r="AP27" i="29" s="1"/>
  <c r="L41" i="19" s="1"/>
  <c r="L42" i="19" s="1"/>
  <c r="AR32" i="29"/>
  <c r="AQ33" i="29"/>
  <c r="AQ35" i="29" s="1"/>
  <c r="M43" i="19" s="1"/>
  <c r="M44" i="19" s="1"/>
  <c r="F95" i="19"/>
  <c r="F96" i="19"/>
  <c r="F97" i="19"/>
  <c r="F98" i="19"/>
  <c r="AN26" i="40"/>
  <c r="AN28" i="40"/>
  <c r="AN25" i="40"/>
  <c r="AN29" i="40"/>
  <c r="AN23" i="40"/>
  <c r="AN22" i="40"/>
  <c r="AN20" i="40"/>
  <c r="AN18" i="40"/>
  <c r="AN21" i="40"/>
  <c r="AN19" i="40"/>
  <c r="AN27" i="40"/>
  <c r="AN24" i="40"/>
  <c r="AO17" i="40"/>
  <c r="N38" i="25"/>
  <c r="N39" i="25"/>
  <c r="P7" i="26"/>
  <c r="G39" i="25"/>
  <c r="AA39" i="25"/>
  <c r="T39" i="25"/>
  <c r="H39" i="25"/>
  <c r="F39" i="25"/>
  <c r="AA38" i="25"/>
  <c r="G38" i="25"/>
  <c r="H38" i="25"/>
  <c r="T38" i="25"/>
  <c r="F38" i="25"/>
  <c r="AD13" i="25"/>
  <c r="X68" i="22"/>
  <c r="AF37" i="22"/>
  <c r="E95" i="19"/>
  <c r="E91" i="19"/>
  <c r="E96" i="19"/>
  <c r="E92" i="19"/>
  <c r="AO27" i="19"/>
  <c r="AN82" i="19"/>
  <c r="AN109" i="19" s="1"/>
  <c r="AQ26" i="29" l="1"/>
  <c r="AQ24" i="29"/>
  <c r="AQ8" i="29"/>
  <c r="AQ7" i="29"/>
  <c r="AR5" i="29" s="1"/>
  <c r="AQ25" i="29"/>
  <c r="AR23" i="29" s="1"/>
  <c r="AQ6" i="29"/>
  <c r="AR14" i="29"/>
  <c r="AQ15" i="29"/>
  <c r="AQ17" i="29" s="1"/>
  <c r="M39" i="19" s="1"/>
  <c r="M40" i="19" s="1"/>
  <c r="AS32" i="29"/>
  <c r="AR33" i="29"/>
  <c r="AR35" i="29" s="1"/>
  <c r="N43" i="19" s="1"/>
  <c r="N44" i="19" s="1"/>
  <c r="G98" i="19"/>
  <c r="F92" i="19"/>
  <c r="G97" i="19"/>
  <c r="F94" i="19"/>
  <c r="F93" i="19"/>
  <c r="G96" i="19"/>
  <c r="F91" i="19"/>
  <c r="AD14" i="25"/>
  <c r="X43" i="25" s="1"/>
  <c r="AO28" i="40"/>
  <c r="AO25" i="40"/>
  <c r="AO20" i="40"/>
  <c r="AO26" i="40"/>
  <c r="AO23" i="40"/>
  <c r="AO22" i="40"/>
  <c r="AO18" i="40"/>
  <c r="AO29" i="40"/>
  <c r="AO24" i="40"/>
  <c r="AO21" i="40"/>
  <c r="AO27" i="40"/>
  <c r="AO19" i="40"/>
  <c r="AP17" i="40"/>
  <c r="N42" i="25"/>
  <c r="O42" i="25"/>
  <c r="X69" i="22"/>
  <c r="AF38" i="22"/>
  <c r="O72" i="22"/>
  <c r="P72" i="22"/>
  <c r="F34" i="22"/>
  <c r="F65" i="22" s="1"/>
  <c r="F33" i="22"/>
  <c r="F64" i="22" s="1"/>
  <c r="H33" i="22"/>
  <c r="H64" i="22" s="1"/>
  <c r="H34" i="22"/>
  <c r="H65" i="22" s="1"/>
  <c r="G33" i="22"/>
  <c r="G64" i="22" s="1"/>
  <c r="X42" i="25"/>
  <c r="K42" i="25"/>
  <c r="G42" i="25"/>
  <c r="AB42" i="25"/>
  <c r="L42" i="25"/>
  <c r="M42" i="25"/>
  <c r="G34" i="22"/>
  <c r="G65" i="22" s="1"/>
  <c r="AB43" i="25"/>
  <c r="K43" i="25"/>
  <c r="AP27" i="19"/>
  <c r="AO82" i="19"/>
  <c r="AO109" i="19" s="1"/>
  <c r="AR24" i="29" l="1"/>
  <c r="AR7" i="29"/>
  <c r="AR25" i="29"/>
  <c r="AR6" i="29"/>
  <c r="AR8" i="29"/>
  <c r="AQ9" i="29"/>
  <c r="M37" i="19" s="1"/>
  <c r="M38" i="19" s="1"/>
  <c r="AS14" i="29"/>
  <c r="AR15" i="29"/>
  <c r="AR17" i="29" s="1"/>
  <c r="N39" i="19" s="1"/>
  <c r="N40" i="19" s="1"/>
  <c r="AT32" i="29"/>
  <c r="AS33" i="29"/>
  <c r="AS35" i="29" s="1"/>
  <c r="O43" i="19" s="1"/>
  <c r="O44" i="19" s="1"/>
  <c r="AR26" i="29"/>
  <c r="AQ27" i="29"/>
  <c r="M41" i="19" s="1"/>
  <c r="M42" i="19" s="1"/>
  <c r="M43" i="25"/>
  <c r="M38" i="22" s="1"/>
  <c r="N43" i="25"/>
  <c r="G43" i="25"/>
  <c r="G38" i="22" s="1"/>
  <c r="L43" i="25"/>
  <c r="L38" i="22" s="1"/>
  <c r="O43" i="25"/>
  <c r="G94" i="19"/>
  <c r="G91" i="19"/>
  <c r="G93" i="19"/>
  <c r="H96" i="19"/>
  <c r="G92" i="19"/>
  <c r="H95" i="19"/>
  <c r="H97" i="19"/>
  <c r="G95" i="19"/>
  <c r="H98" i="19"/>
  <c r="AP27" i="40"/>
  <c r="AP19" i="40"/>
  <c r="AP21" i="40"/>
  <c r="AP24" i="40"/>
  <c r="AP25" i="40"/>
  <c r="AP23" i="40"/>
  <c r="AP26" i="40"/>
  <c r="AP18" i="40"/>
  <c r="AP28" i="40"/>
  <c r="AP29" i="40"/>
  <c r="AP22" i="40"/>
  <c r="AP20" i="40"/>
  <c r="AQ17" i="40"/>
  <c r="G37" i="22"/>
  <c r="G68" i="22" s="1"/>
  <c r="K37" i="22"/>
  <c r="K68" i="22" s="1"/>
  <c r="P33" i="22"/>
  <c r="N33" i="22"/>
  <c r="O33" i="22"/>
  <c r="N34" i="22"/>
  <c r="O34" i="22"/>
  <c r="P34" i="22"/>
  <c r="K38" i="22"/>
  <c r="M37" i="22"/>
  <c r="M68" i="22" s="1"/>
  <c r="L37" i="22"/>
  <c r="L68" i="22" s="1"/>
  <c r="N72" i="22"/>
  <c r="AQ27" i="19"/>
  <c r="AP82" i="19"/>
  <c r="AP109" i="19" s="1"/>
  <c r="G69" i="22" l="1"/>
  <c r="L69" i="22"/>
  <c r="AS23" i="29"/>
  <c r="M69" i="22"/>
  <c r="AS5" i="29"/>
  <c r="AS25" i="29"/>
  <c r="AS7" i="29"/>
  <c r="AS6" i="29"/>
  <c r="AS24" i="29"/>
  <c r="AS15" i="29"/>
  <c r="AS17" i="29" s="1"/>
  <c r="O39" i="19" s="1"/>
  <c r="O40" i="19" s="1"/>
  <c r="AT14" i="29"/>
  <c r="AS26" i="29"/>
  <c r="AR27" i="29"/>
  <c r="N41" i="19" s="1"/>
  <c r="N42" i="19" s="1"/>
  <c r="AS8" i="29"/>
  <c r="AR9" i="29"/>
  <c r="N37" i="19" s="1"/>
  <c r="N38" i="19" s="1"/>
  <c r="AT33" i="29"/>
  <c r="AT35" i="29" s="1"/>
  <c r="P43" i="19" s="1"/>
  <c r="P44" i="19" s="1"/>
  <c r="AU32" i="29"/>
  <c r="K69" i="22"/>
  <c r="H94" i="19"/>
  <c r="I98" i="19"/>
  <c r="I91" i="19"/>
  <c r="H92" i="19"/>
  <c r="H93" i="19"/>
  <c r="I97" i="19"/>
  <c r="I95" i="19"/>
  <c r="H91" i="19"/>
  <c r="AQ21" i="40"/>
  <c r="AQ19" i="40"/>
  <c r="AQ26" i="40"/>
  <c r="AQ22" i="40"/>
  <c r="AQ28" i="40"/>
  <c r="AQ20" i="40"/>
  <c r="AQ29" i="40"/>
  <c r="AQ25" i="40"/>
  <c r="AQ23" i="40"/>
  <c r="AQ18" i="40"/>
  <c r="AQ24" i="40"/>
  <c r="AQ27" i="40"/>
  <c r="AR17" i="40"/>
  <c r="Q34" i="22"/>
  <c r="N38" i="22"/>
  <c r="O38" i="22"/>
  <c r="P38" i="22"/>
  <c r="O37" i="22"/>
  <c r="N37" i="22"/>
  <c r="P37" i="22"/>
  <c r="Q33" i="22"/>
  <c r="AR27" i="19"/>
  <c r="AQ82" i="19"/>
  <c r="AQ109" i="19" s="1"/>
  <c r="AT23" i="29" l="1"/>
  <c r="AT5" i="29"/>
  <c r="AT7" i="29" s="1"/>
  <c r="AT6" i="29"/>
  <c r="AT25" i="29"/>
  <c r="AV32" i="29"/>
  <c r="AU33" i="29"/>
  <c r="AU35" i="29" s="1"/>
  <c r="Q43" i="19" s="1"/>
  <c r="Q44" i="19" s="1"/>
  <c r="AT26" i="29"/>
  <c r="AS27" i="29"/>
  <c r="O41" i="19" s="1"/>
  <c r="O42" i="19" s="1"/>
  <c r="AS9" i="29"/>
  <c r="O37" i="19" s="1"/>
  <c r="O38" i="19" s="1"/>
  <c r="AT8" i="29"/>
  <c r="AT24" i="29"/>
  <c r="AU14" i="29"/>
  <c r="AT15" i="29"/>
  <c r="AT17" i="29" s="1"/>
  <c r="P39" i="19" s="1"/>
  <c r="P40" i="19" s="1"/>
  <c r="I96" i="19"/>
  <c r="I94" i="19"/>
  <c r="I93" i="19"/>
  <c r="J98" i="19"/>
  <c r="I92" i="19"/>
  <c r="J97" i="19"/>
  <c r="AR24" i="40"/>
  <c r="AR27" i="40"/>
  <c r="AR26" i="40"/>
  <c r="AR22" i="40"/>
  <c r="AR18" i="40"/>
  <c r="AR19" i="40"/>
  <c r="AR29" i="40"/>
  <c r="AR28" i="40"/>
  <c r="AR20" i="40"/>
  <c r="AR23" i="40"/>
  <c r="AR25" i="40"/>
  <c r="AR21" i="40"/>
  <c r="AS17" i="40"/>
  <c r="Q37" i="22"/>
  <c r="Q38" i="22"/>
  <c r="AS27" i="19"/>
  <c r="AR82" i="19"/>
  <c r="AR109" i="19" s="1"/>
  <c r="AU23" i="29" l="1"/>
  <c r="AU8" i="29"/>
  <c r="AT9" i="29"/>
  <c r="P37" i="19" s="1"/>
  <c r="P38" i="19" s="1"/>
  <c r="AU5" i="29"/>
  <c r="AV14" i="29"/>
  <c r="AU15" i="29"/>
  <c r="AU17" i="29" s="1"/>
  <c r="Q39" i="19" s="1"/>
  <c r="Q40" i="19" s="1"/>
  <c r="AU24" i="29"/>
  <c r="AW32" i="29"/>
  <c r="AV33" i="29"/>
  <c r="AV35" i="29" s="1"/>
  <c r="R43" i="19" s="1"/>
  <c r="R44" i="19" s="1"/>
  <c r="AU26" i="29"/>
  <c r="AT27" i="29"/>
  <c r="P41" i="19" s="1"/>
  <c r="P42" i="19" s="1"/>
  <c r="K92" i="19"/>
  <c r="K98" i="19"/>
  <c r="J94" i="19"/>
  <c r="J93" i="19"/>
  <c r="K95" i="19"/>
  <c r="J95" i="19"/>
  <c r="K96" i="19"/>
  <c r="J91" i="19"/>
  <c r="J96" i="19"/>
  <c r="J92" i="19"/>
  <c r="K97" i="19"/>
  <c r="AS28" i="40"/>
  <c r="AS20" i="40"/>
  <c r="AS26" i="40"/>
  <c r="AS25" i="40"/>
  <c r="AS23" i="40"/>
  <c r="AS21" i="40"/>
  <c r="AS19" i="40"/>
  <c r="AS29" i="40"/>
  <c r="AS22" i="40"/>
  <c r="AS18" i="40"/>
  <c r="AS27" i="40"/>
  <c r="AS24" i="40"/>
  <c r="AT17" i="40"/>
  <c r="AT27" i="19"/>
  <c r="AS82" i="19"/>
  <c r="AS109" i="19" s="1"/>
  <c r="AV8" i="29" l="1"/>
  <c r="AU6" i="29"/>
  <c r="AU9" i="29" s="1"/>
  <c r="Q37" i="19" s="1"/>
  <c r="Q38" i="19" s="1"/>
  <c r="AU7" i="29"/>
  <c r="AV5" i="29"/>
  <c r="AU25" i="29"/>
  <c r="AV23" i="29" s="1"/>
  <c r="AX32" i="29"/>
  <c r="AW33" i="29"/>
  <c r="AW35" i="29" s="1"/>
  <c r="S43" i="19" s="1"/>
  <c r="S44" i="19" s="1"/>
  <c r="AW14" i="29"/>
  <c r="AV15" i="29"/>
  <c r="AV17" i="29" s="1"/>
  <c r="R39" i="19" s="1"/>
  <c r="R40" i="19" s="1"/>
  <c r="AU27" i="29"/>
  <c r="Q41" i="19" s="1"/>
  <c r="Q42" i="19" s="1"/>
  <c r="AV26" i="29"/>
  <c r="L95" i="19"/>
  <c r="L96" i="19"/>
  <c r="K91" i="19"/>
  <c r="L98" i="19"/>
  <c r="L97" i="19"/>
  <c r="K94" i="19"/>
  <c r="K93" i="19"/>
  <c r="AT24" i="40"/>
  <c r="AT27" i="40"/>
  <c r="AT28" i="40"/>
  <c r="AT19" i="40"/>
  <c r="AT20" i="40"/>
  <c r="AT25" i="40"/>
  <c r="AT23" i="40"/>
  <c r="AT21" i="40"/>
  <c r="AT29" i="40"/>
  <c r="AT22" i="40"/>
  <c r="AT18" i="40"/>
  <c r="AT26" i="40"/>
  <c r="AU17" i="40"/>
  <c r="AU27" i="19"/>
  <c r="AT82" i="19"/>
  <c r="AT109" i="19" s="1"/>
  <c r="AV24" i="29" l="1"/>
  <c r="AV27" i="29" s="1"/>
  <c r="R41" i="19" s="1"/>
  <c r="R42" i="19" s="1"/>
  <c r="AW8" i="29"/>
  <c r="AY32" i="29"/>
  <c r="AX33" i="29"/>
  <c r="AX35" i="29" s="1"/>
  <c r="T43" i="19" s="1"/>
  <c r="T44" i="19" s="1"/>
  <c r="AV6" i="29"/>
  <c r="AV9" i="29" s="1"/>
  <c r="R37" i="19" s="1"/>
  <c r="R38" i="19" s="1"/>
  <c r="AV7" i="29"/>
  <c r="AW5" i="29" s="1"/>
  <c r="AV25" i="29"/>
  <c r="AW23" i="29" s="1"/>
  <c r="AW26" i="29"/>
  <c r="AX14" i="29"/>
  <c r="AW15" i="29"/>
  <c r="AW17" i="29" s="1"/>
  <c r="S39" i="19" s="1"/>
  <c r="S40" i="19" s="1"/>
  <c r="L91" i="19"/>
  <c r="L93" i="19"/>
  <c r="L94" i="19"/>
  <c r="M98" i="19"/>
  <c r="M97" i="19"/>
  <c r="L92" i="19"/>
  <c r="AU27" i="40"/>
  <c r="AU23" i="40"/>
  <c r="AU25" i="40"/>
  <c r="AU20" i="40"/>
  <c r="AU21" i="40"/>
  <c r="AU29" i="40"/>
  <c r="AU22" i="40"/>
  <c r="AU18" i="40"/>
  <c r="AU26" i="40"/>
  <c r="AU28" i="40"/>
  <c r="AU19" i="40"/>
  <c r="AU24" i="40"/>
  <c r="AV17" i="40"/>
  <c r="AV27" i="19"/>
  <c r="AU82" i="19"/>
  <c r="AU109" i="19" s="1"/>
  <c r="AW7" i="29" l="1"/>
  <c r="AW25" i="29"/>
  <c r="AW6" i="29"/>
  <c r="AX5" i="29"/>
  <c r="AZ32" i="29"/>
  <c r="AY33" i="29"/>
  <c r="AY35" i="29" s="1"/>
  <c r="U43" i="19" s="1"/>
  <c r="U44" i="19" s="1"/>
  <c r="AW9" i="29"/>
  <c r="S37" i="19" s="1"/>
  <c r="S38" i="19" s="1"/>
  <c r="AX8" i="29"/>
  <c r="AX15" i="29"/>
  <c r="AX17" i="29" s="1"/>
  <c r="T39" i="19" s="1"/>
  <c r="T40" i="19" s="1"/>
  <c r="AY14" i="29"/>
  <c r="AW24" i="29"/>
  <c r="AW27" i="29" s="1"/>
  <c r="S41" i="19" s="1"/>
  <c r="S42" i="19" s="1"/>
  <c r="AX23" i="29"/>
  <c r="AX26" i="29"/>
  <c r="M95" i="19"/>
  <c r="M96" i="19"/>
  <c r="N97" i="19"/>
  <c r="N98" i="19"/>
  <c r="AV20" i="40"/>
  <c r="AV21" i="40"/>
  <c r="AV23" i="40"/>
  <c r="AV29" i="40"/>
  <c r="AV22" i="40"/>
  <c r="AV18" i="40"/>
  <c r="AV26" i="40"/>
  <c r="AV28" i="40"/>
  <c r="AV19" i="40"/>
  <c r="AV25" i="40"/>
  <c r="AV24" i="40"/>
  <c r="AV27" i="40"/>
  <c r="AW17" i="40"/>
  <c r="AW27" i="19"/>
  <c r="AV82" i="19"/>
  <c r="AV109" i="19" s="1"/>
  <c r="AX24" i="29" l="1"/>
  <c r="AZ33" i="29"/>
  <c r="AZ35" i="29" s="1"/>
  <c r="V43" i="19" s="1"/>
  <c r="V44" i="19" s="1"/>
  <c r="BA32" i="29"/>
  <c r="AY8" i="29"/>
  <c r="AY26" i="29"/>
  <c r="AX27" i="29"/>
  <c r="T41" i="19" s="1"/>
  <c r="T42" i="19" s="1"/>
  <c r="AY15" i="29"/>
  <c r="AY17" i="29" s="1"/>
  <c r="U39" i="19" s="1"/>
  <c r="U40" i="19" s="1"/>
  <c r="AZ14" i="29"/>
  <c r="AX7" i="29"/>
  <c r="AY5" i="29" s="1"/>
  <c r="AX25" i="29"/>
  <c r="AY23" i="29" s="1"/>
  <c r="AX6" i="29"/>
  <c r="AX9" i="29" s="1"/>
  <c r="T37" i="19" s="1"/>
  <c r="T38" i="19" s="1"/>
  <c r="N96" i="19"/>
  <c r="O97" i="19"/>
  <c r="M92" i="19"/>
  <c r="O98" i="19"/>
  <c r="M91" i="19"/>
  <c r="M94" i="19"/>
  <c r="M93" i="19"/>
  <c r="N95" i="19"/>
  <c r="AW24" i="40"/>
  <c r="AW27" i="40"/>
  <c r="AW22" i="40"/>
  <c r="AW18" i="40"/>
  <c r="AW20" i="40"/>
  <c r="AW23" i="40"/>
  <c r="AW21" i="40"/>
  <c r="AW29" i="40"/>
  <c r="AW26" i="40"/>
  <c r="AW28" i="40"/>
  <c r="AW19" i="40"/>
  <c r="AW25" i="40"/>
  <c r="AX17" i="40"/>
  <c r="AX27" i="19"/>
  <c r="AW82" i="19"/>
  <c r="AW109" i="19" s="1"/>
  <c r="AY24" i="29" l="1"/>
  <c r="AY7" i="29"/>
  <c r="AY25" i="29"/>
  <c r="AZ23" i="29" s="1"/>
  <c r="AY6" i="29"/>
  <c r="AY9" i="29" s="1"/>
  <c r="U37" i="19" s="1"/>
  <c r="U38" i="19" s="1"/>
  <c r="AZ5" i="29"/>
  <c r="AZ26" i="29"/>
  <c r="AY27" i="29"/>
  <c r="U41" i="19" s="1"/>
  <c r="U42" i="19" s="1"/>
  <c r="AZ8" i="29"/>
  <c r="BA33" i="29"/>
  <c r="BA35" i="29" s="1"/>
  <c r="W43" i="19" s="1"/>
  <c r="W44" i="19" s="1"/>
  <c r="BB34" i="29"/>
  <c r="BB32" i="29"/>
  <c r="AZ15" i="29"/>
  <c r="AZ17" i="29" s="1"/>
  <c r="V39" i="19" s="1"/>
  <c r="V40" i="19" s="1"/>
  <c r="BA14" i="29"/>
  <c r="N91" i="19"/>
  <c r="P98" i="19"/>
  <c r="P97" i="19"/>
  <c r="N92" i="19"/>
  <c r="N94" i="19"/>
  <c r="N93" i="19"/>
  <c r="AX20" i="40"/>
  <c r="AX23" i="40"/>
  <c r="AX21" i="40"/>
  <c r="AX29" i="40"/>
  <c r="AX22" i="40"/>
  <c r="AX18" i="40"/>
  <c r="AX26" i="40"/>
  <c r="AX28" i="40"/>
  <c r="AX19" i="40"/>
  <c r="AX25" i="40"/>
  <c r="AX27" i="40"/>
  <c r="AX24" i="40"/>
  <c r="AY17" i="40"/>
  <c r="AY27" i="19"/>
  <c r="AX82" i="19"/>
  <c r="AX109" i="19" s="1"/>
  <c r="AZ24" i="29" l="1"/>
  <c r="AZ27" i="29" s="1"/>
  <c r="V41" i="19" s="1"/>
  <c r="V42" i="19" s="1"/>
  <c r="BB33" i="29"/>
  <c r="BB35" i="29" s="1"/>
  <c r="X43" i="19" s="1"/>
  <c r="X44" i="19" s="1"/>
  <c r="BC32" i="29"/>
  <c r="BC34" i="29"/>
  <c r="BA26" i="29"/>
  <c r="BA15" i="29"/>
  <c r="BA17" i="29" s="1"/>
  <c r="W39" i="19" s="1"/>
  <c r="W40" i="19" s="1"/>
  <c r="BB16" i="29"/>
  <c r="BB14" i="29"/>
  <c r="AZ25" i="29"/>
  <c r="BA23" i="29" s="1"/>
  <c r="AZ7" i="29"/>
  <c r="BA5" i="29" s="1"/>
  <c r="AZ6" i="29"/>
  <c r="AZ9" i="29" s="1"/>
  <c r="V37" i="19" s="1"/>
  <c r="V38" i="19" s="1"/>
  <c r="BA8" i="29"/>
  <c r="O93" i="19"/>
  <c r="O94" i="19"/>
  <c r="P96" i="19"/>
  <c r="Q98" i="19"/>
  <c r="Q97" i="19"/>
  <c r="O91" i="19"/>
  <c r="O92" i="19"/>
  <c r="AY23" i="40"/>
  <c r="AY21" i="40"/>
  <c r="AY28" i="40"/>
  <c r="AY29" i="40"/>
  <c r="AY22" i="40"/>
  <c r="AY18" i="40"/>
  <c r="AY19" i="40"/>
  <c r="AY26" i="40"/>
  <c r="AY25" i="40"/>
  <c r="AY20" i="40"/>
  <c r="AY24" i="40"/>
  <c r="AY27" i="40"/>
  <c r="AZ17" i="40"/>
  <c r="AZ27" i="19"/>
  <c r="AY82" i="19"/>
  <c r="AY109" i="19" s="1"/>
  <c r="BA6" i="29" l="1"/>
  <c r="BA7" i="29"/>
  <c r="BB5" i="29" s="1"/>
  <c r="BA25" i="29"/>
  <c r="BB23" i="29" s="1"/>
  <c r="BA24" i="29"/>
  <c r="BD34" i="29"/>
  <c r="BC16" i="29"/>
  <c r="BC33" i="29"/>
  <c r="BC35" i="29" s="1"/>
  <c r="Y43" i="19" s="1"/>
  <c r="Y44" i="19" s="1"/>
  <c r="BD32" i="29"/>
  <c r="BB15" i="29"/>
  <c r="BB17" i="29" s="1"/>
  <c r="X39" i="19" s="1"/>
  <c r="X40" i="19" s="1"/>
  <c r="BC14" i="29"/>
  <c r="BA27" i="29"/>
  <c r="W41" i="19" s="1"/>
  <c r="W42" i="19" s="1"/>
  <c r="BB26" i="29"/>
  <c r="BA9" i="29"/>
  <c r="W37" i="19" s="1"/>
  <c r="W38" i="19" s="1"/>
  <c r="BB8" i="29"/>
  <c r="R98" i="19"/>
  <c r="P95" i="19"/>
  <c r="P93" i="19"/>
  <c r="P94" i="19"/>
  <c r="R97" i="19"/>
  <c r="O95" i="19"/>
  <c r="P92" i="19"/>
  <c r="P91" i="19"/>
  <c r="O96" i="19"/>
  <c r="AZ21" i="40"/>
  <c r="AZ29" i="40"/>
  <c r="AZ22" i="40"/>
  <c r="AZ18" i="40"/>
  <c r="AZ25" i="40"/>
  <c r="AZ26" i="40"/>
  <c r="AZ28" i="40"/>
  <c r="AZ19" i="40"/>
  <c r="AZ20" i="40"/>
  <c r="AZ23" i="40"/>
  <c r="AZ24" i="40"/>
  <c r="AZ27" i="40"/>
  <c r="BA17" i="40"/>
  <c r="BA27" i="19"/>
  <c r="AZ82" i="19"/>
  <c r="AZ109" i="19" s="1"/>
  <c r="BB6" i="29" l="1"/>
  <c r="BB9" i="29" s="1"/>
  <c r="X37" i="19" s="1"/>
  <c r="X38" i="19" s="1"/>
  <c r="BB25" i="29"/>
  <c r="BB7" i="29"/>
  <c r="BC5" i="29" s="1"/>
  <c r="BD33" i="29"/>
  <c r="BD35" i="29" s="1"/>
  <c r="Z43" i="19" s="1"/>
  <c r="Z44" i="19" s="1"/>
  <c r="BE32" i="29"/>
  <c r="BC23" i="29"/>
  <c r="BB24" i="29"/>
  <c r="BB27" i="29" s="1"/>
  <c r="X41" i="19" s="1"/>
  <c r="X42" i="19" s="1"/>
  <c r="BC8" i="29"/>
  <c r="BD14" i="29"/>
  <c r="BC15" i="29"/>
  <c r="BD16" i="29"/>
  <c r="BC17" i="29"/>
  <c r="Y39" i="19" s="1"/>
  <c r="Y40" i="19" s="1"/>
  <c r="BE34" i="29"/>
  <c r="BC26" i="29"/>
  <c r="Q94" i="19"/>
  <c r="R95" i="19"/>
  <c r="S97" i="19"/>
  <c r="S98" i="19"/>
  <c r="Q93" i="19"/>
  <c r="Q91" i="19"/>
  <c r="Q92" i="19"/>
  <c r="BA24" i="40"/>
  <c r="BA29" i="40"/>
  <c r="BA22" i="40"/>
  <c r="BA18" i="40"/>
  <c r="BA26" i="40"/>
  <c r="BA28" i="40"/>
  <c r="BA19" i="40"/>
  <c r="BA25" i="40"/>
  <c r="BA20" i="40"/>
  <c r="BA21" i="40"/>
  <c r="BA23" i="40"/>
  <c r="BA27" i="40"/>
  <c r="BB27" i="19"/>
  <c r="BA82" i="19"/>
  <c r="BA109" i="19" s="1"/>
  <c r="BC6" i="29" l="1"/>
  <c r="BC25" i="29"/>
  <c r="BC7" i="29"/>
  <c r="BD5" i="29" s="1"/>
  <c r="BD23" i="29"/>
  <c r="BC24" i="29"/>
  <c r="BC27" i="29" s="1"/>
  <c r="Y41" i="19" s="1"/>
  <c r="Y42" i="19" s="1"/>
  <c r="BF34" i="29"/>
  <c r="BE16" i="29"/>
  <c r="BD8" i="29"/>
  <c r="BC9" i="29"/>
  <c r="Y37" i="19" s="1"/>
  <c r="Y38" i="19" s="1"/>
  <c r="BE33" i="29"/>
  <c r="BE35" i="29" s="1"/>
  <c r="AA43" i="19" s="1"/>
  <c r="AA44" i="19" s="1"/>
  <c r="BF32" i="29"/>
  <c r="BE14" i="29"/>
  <c r="BD15" i="29"/>
  <c r="BD17" i="29" s="1"/>
  <c r="Z39" i="19" s="1"/>
  <c r="Z40" i="19" s="1"/>
  <c r="BD26" i="29"/>
  <c r="R96" i="19"/>
  <c r="R94" i="19"/>
  <c r="R93" i="19"/>
  <c r="T98" i="19"/>
  <c r="Q96" i="19"/>
  <c r="R92" i="19"/>
  <c r="Q95" i="19"/>
  <c r="R91" i="19"/>
  <c r="T97" i="19"/>
  <c r="S96" i="19"/>
  <c r="BC27" i="19"/>
  <c r="BB82" i="19"/>
  <c r="BB109" i="19" s="1"/>
  <c r="BD6" i="29" l="1"/>
  <c r="BD9" i="29" s="1"/>
  <c r="Z37" i="19" s="1"/>
  <c r="Z38" i="19" s="1"/>
  <c r="BD25" i="29"/>
  <c r="BD7" i="29"/>
  <c r="BE5" i="29" s="1"/>
  <c r="BE23" i="29"/>
  <c r="BD24" i="29"/>
  <c r="BD27" i="29" s="1"/>
  <c r="Z41" i="19" s="1"/>
  <c r="Z42" i="19" s="1"/>
  <c r="BE26" i="29"/>
  <c r="BE8" i="29"/>
  <c r="BG34" i="29"/>
  <c r="BG32" i="29"/>
  <c r="BF33" i="29"/>
  <c r="BF35" i="29" s="1"/>
  <c r="AB43" i="19" s="1"/>
  <c r="AB44" i="19" s="1"/>
  <c r="BF14" i="29"/>
  <c r="BE15" i="29"/>
  <c r="BF16" i="29"/>
  <c r="BE17" i="29"/>
  <c r="AA39" i="19" s="1"/>
  <c r="AA40" i="19" s="1"/>
  <c r="T96" i="19"/>
  <c r="S95" i="19"/>
  <c r="S92" i="19"/>
  <c r="S91" i="19"/>
  <c r="U98" i="19"/>
  <c r="S93" i="19"/>
  <c r="S94" i="19"/>
  <c r="U97" i="19"/>
  <c r="BD27" i="19"/>
  <c r="BC82" i="19"/>
  <c r="BC109" i="19" s="1"/>
  <c r="BE6" i="29" l="1"/>
  <c r="BE7" i="29"/>
  <c r="BF5" i="29" s="1"/>
  <c r="BE25" i="29"/>
  <c r="BF23" i="29" s="1"/>
  <c r="BG33" i="29"/>
  <c r="BG35" i="29" s="1"/>
  <c r="AC43" i="19" s="1"/>
  <c r="AC44" i="19" s="1"/>
  <c r="BH32" i="29"/>
  <c r="BG14" i="29"/>
  <c r="BF15" i="29"/>
  <c r="BF26" i="29"/>
  <c r="BH34" i="29"/>
  <c r="BE24" i="29"/>
  <c r="BE27" i="29" s="1"/>
  <c r="AA41" i="19" s="1"/>
  <c r="AA42" i="19" s="1"/>
  <c r="BF8" i="29"/>
  <c r="BE9" i="29"/>
  <c r="AA37" i="19" s="1"/>
  <c r="AA38" i="19" s="1"/>
  <c r="BG16" i="29"/>
  <c r="BF17" i="29"/>
  <c r="AB39" i="19" s="1"/>
  <c r="AB40" i="19" s="1"/>
  <c r="T93" i="19"/>
  <c r="T94" i="19"/>
  <c r="V97" i="19"/>
  <c r="T91" i="19"/>
  <c r="T95" i="19"/>
  <c r="V98" i="19"/>
  <c r="T92" i="19"/>
  <c r="BE27" i="19"/>
  <c r="BD82" i="19"/>
  <c r="BD109" i="19" s="1"/>
  <c r="BF7" i="29" l="1"/>
  <c r="BG5" i="29" s="1"/>
  <c r="BF6" i="29"/>
  <c r="BF9" i="29" s="1"/>
  <c r="AB37" i="19" s="1"/>
  <c r="AB38" i="19" s="1"/>
  <c r="BF25" i="29"/>
  <c r="BG23" i="29" s="1"/>
  <c r="BG8" i="29"/>
  <c r="BF24" i="29"/>
  <c r="BF27" i="29" s="1"/>
  <c r="AB41" i="19" s="1"/>
  <c r="AB42" i="19" s="1"/>
  <c r="BI34" i="29"/>
  <c r="BG26" i="29"/>
  <c r="BH16" i="29"/>
  <c r="BH14" i="29"/>
  <c r="BG15" i="29"/>
  <c r="BG17" i="29" s="1"/>
  <c r="AC39" i="19" s="1"/>
  <c r="AC40" i="19" s="1"/>
  <c r="BI32" i="29"/>
  <c r="BH33" i="29"/>
  <c r="BH35" i="29" s="1"/>
  <c r="AD43" i="19" s="1"/>
  <c r="AD44" i="19" s="1"/>
  <c r="U91" i="19"/>
  <c r="U93" i="19"/>
  <c r="U94" i="19"/>
  <c r="W97" i="19"/>
  <c r="U92" i="19"/>
  <c r="W98" i="19"/>
  <c r="BF27" i="19"/>
  <c r="BE82" i="19"/>
  <c r="BE109" i="19" s="1"/>
  <c r="BG24" i="29" l="1"/>
  <c r="BG7" i="29"/>
  <c r="BH5" i="29" s="1"/>
  <c r="BG6" i="29"/>
  <c r="BG25" i="29"/>
  <c r="BH23" i="29" s="1"/>
  <c r="BI14" i="29"/>
  <c r="BH15" i="29"/>
  <c r="BH17" i="29" s="1"/>
  <c r="AD39" i="19" s="1"/>
  <c r="AD40" i="19" s="1"/>
  <c r="BH26" i="29"/>
  <c r="BG27" i="29"/>
  <c r="AC41" i="19" s="1"/>
  <c r="AC42" i="19" s="1"/>
  <c r="BI35" i="29"/>
  <c r="AE43" i="19" s="1"/>
  <c r="AE44" i="19" s="1"/>
  <c r="BJ34" i="29"/>
  <c r="BH8" i="29"/>
  <c r="BG9" i="29"/>
  <c r="AC37" i="19" s="1"/>
  <c r="AC38" i="19" s="1"/>
  <c r="BI16" i="29"/>
  <c r="BJ32" i="29"/>
  <c r="BI33" i="29"/>
  <c r="V91" i="19"/>
  <c r="V92" i="19"/>
  <c r="U96" i="19"/>
  <c r="U95" i="19"/>
  <c r="V94" i="19"/>
  <c r="V93" i="19"/>
  <c r="X98" i="19"/>
  <c r="X97" i="19"/>
  <c r="BG27" i="19"/>
  <c r="BF82" i="19"/>
  <c r="BF109" i="19" s="1"/>
  <c r="BH24" i="29" l="1"/>
  <c r="BH27" i="29" s="1"/>
  <c r="AD41" i="19" s="1"/>
  <c r="AD42" i="19" s="1"/>
  <c r="BI8" i="29"/>
  <c r="BJ14" i="29"/>
  <c r="BI15" i="29"/>
  <c r="BI17" i="29" s="1"/>
  <c r="AE39" i="19" s="1"/>
  <c r="AE40" i="19" s="1"/>
  <c r="BH7" i="29"/>
  <c r="BH25" i="29"/>
  <c r="BI23" i="29" s="1"/>
  <c r="BH6" i="29"/>
  <c r="BH9" i="29" s="1"/>
  <c r="AD37" i="19" s="1"/>
  <c r="AD38" i="19" s="1"/>
  <c r="BI5" i="29"/>
  <c r="BJ16" i="29"/>
  <c r="BK34" i="29"/>
  <c r="BI26" i="29"/>
  <c r="BK32" i="29"/>
  <c r="BJ33" i="29"/>
  <c r="BJ35" i="29" s="1"/>
  <c r="AF43" i="19" s="1"/>
  <c r="AF44" i="19" s="1"/>
  <c r="Y98" i="19"/>
  <c r="W93" i="19"/>
  <c r="W94" i="19"/>
  <c r="W91" i="19"/>
  <c r="X96" i="19"/>
  <c r="V96" i="19"/>
  <c r="V95" i="19"/>
  <c r="Y97" i="19"/>
  <c r="W92" i="19"/>
  <c r="BH27" i="19"/>
  <c r="BG82" i="19"/>
  <c r="BG109" i="19" s="1"/>
  <c r="BI24" i="29" l="1"/>
  <c r="BJ26" i="29"/>
  <c r="BI27" i="29"/>
  <c r="AE41" i="19" s="1"/>
  <c r="AE42" i="19" s="1"/>
  <c r="BK14" i="29"/>
  <c r="BJ15" i="29"/>
  <c r="BJ17" i="29" s="1"/>
  <c r="AF39" i="19" s="1"/>
  <c r="AF40" i="19" s="1"/>
  <c r="BI7" i="29"/>
  <c r="BI25" i="29"/>
  <c r="BJ23" i="29" s="1"/>
  <c r="BJ24" i="29" s="1"/>
  <c r="BI6" i="29"/>
  <c r="BJ5" i="29"/>
  <c r="BI9" i="29"/>
  <c r="AE37" i="19" s="1"/>
  <c r="AE38" i="19" s="1"/>
  <c r="BJ8" i="29"/>
  <c r="BL34" i="29"/>
  <c r="BL32" i="29"/>
  <c r="BK33" i="29"/>
  <c r="BK35" i="29" s="1"/>
  <c r="AG43" i="19" s="1"/>
  <c r="AG44" i="19" s="1"/>
  <c r="BK16" i="29"/>
  <c r="X92" i="19"/>
  <c r="Z97" i="19"/>
  <c r="W95" i="19"/>
  <c r="W96" i="19"/>
  <c r="X93" i="19"/>
  <c r="Z98" i="19"/>
  <c r="X95" i="19"/>
  <c r="X94" i="19"/>
  <c r="BI27" i="19"/>
  <c r="BH82" i="19"/>
  <c r="BH109" i="19" s="1"/>
  <c r="BM32" i="29" l="1"/>
  <c r="BL33" i="29"/>
  <c r="BM34" i="29"/>
  <c r="BL35" i="29"/>
  <c r="AH43" i="19" s="1"/>
  <c r="AH44" i="19" s="1"/>
  <c r="BL16" i="29"/>
  <c r="BJ27" i="29"/>
  <c r="AF41" i="19" s="1"/>
  <c r="AF42" i="19" s="1"/>
  <c r="BJ25" i="29"/>
  <c r="BJ6" i="29"/>
  <c r="BJ9" i="29" s="1"/>
  <c r="AF37" i="19" s="1"/>
  <c r="AF38" i="19" s="1"/>
  <c r="BJ7" i="29"/>
  <c r="BL14" i="29"/>
  <c r="BK15" i="29"/>
  <c r="BK17" i="29" s="1"/>
  <c r="AG39" i="19" s="1"/>
  <c r="AG40" i="19" s="1"/>
  <c r="AA97" i="19"/>
  <c r="AA98" i="19"/>
  <c r="Y91" i="19"/>
  <c r="Z96" i="19"/>
  <c r="Y94" i="19"/>
  <c r="Y93" i="19"/>
  <c r="Z95" i="19"/>
  <c r="Y92" i="19"/>
  <c r="BJ27" i="19"/>
  <c r="BI82" i="19"/>
  <c r="BI109" i="19" s="1"/>
  <c r="BM14" i="29" l="1"/>
  <c r="BL15" i="29"/>
  <c r="BL17" i="29" s="1"/>
  <c r="AH39" i="19" s="1"/>
  <c r="AH40" i="19" s="1"/>
  <c r="BN32" i="29"/>
  <c r="BM33" i="29"/>
  <c r="BM35" i="29" s="1"/>
  <c r="AI43" i="19" s="1"/>
  <c r="AI44" i="19" s="1"/>
  <c r="BN34" i="29"/>
  <c r="BM16" i="29"/>
  <c r="Z93" i="19"/>
  <c r="Z94" i="19"/>
  <c r="AB97" i="19"/>
  <c r="AB98" i="19"/>
  <c r="Z92" i="19"/>
  <c r="Z91" i="19"/>
  <c r="Y96" i="19"/>
  <c r="Y95" i="19"/>
  <c r="BK27" i="19"/>
  <c r="BJ82" i="19"/>
  <c r="BJ109" i="19" s="1"/>
  <c r="BN14" i="29" l="1"/>
  <c r="BM15" i="29"/>
  <c r="BO34" i="29"/>
  <c r="BO32" i="29"/>
  <c r="BN33" i="29"/>
  <c r="BN35" i="29" s="1"/>
  <c r="AJ43" i="19" s="1"/>
  <c r="AJ44" i="19" s="1"/>
  <c r="BM17" i="29"/>
  <c r="AI39" i="19" s="1"/>
  <c r="AI40" i="19" s="1"/>
  <c r="BN16" i="29"/>
  <c r="AC97" i="19"/>
  <c r="AC98" i="19"/>
  <c r="AA94" i="19"/>
  <c r="AA91" i="19"/>
  <c r="AA93" i="19"/>
  <c r="AA92" i="19"/>
  <c r="AB95" i="19"/>
  <c r="BL27" i="19"/>
  <c r="BK82" i="19"/>
  <c r="BK109" i="19" s="1"/>
  <c r="BP32" i="29" l="1"/>
  <c r="BO33" i="29"/>
  <c r="BO35" i="29"/>
  <c r="AK43" i="19" s="1"/>
  <c r="AK44" i="19" s="1"/>
  <c r="BP34" i="29"/>
  <c r="BN15" i="29"/>
  <c r="BN17" i="29" s="1"/>
  <c r="AJ39" i="19" s="1"/>
  <c r="AJ40" i="19" s="1"/>
  <c r="BO14" i="29"/>
  <c r="BO16" i="29"/>
  <c r="AD98" i="19"/>
  <c r="AB96" i="19"/>
  <c r="AD97" i="19"/>
  <c r="AB94" i="19"/>
  <c r="AB93" i="19"/>
  <c r="AB92" i="19"/>
  <c r="AA95" i="19"/>
  <c r="AB91" i="19"/>
  <c r="AA96" i="19"/>
  <c r="BM27" i="19"/>
  <c r="BL82" i="19"/>
  <c r="BL109" i="19" s="1"/>
  <c r="BO15" i="29" l="1"/>
  <c r="BP14" i="29"/>
  <c r="BQ34" i="29"/>
  <c r="BP33" i="29"/>
  <c r="BP35" i="29" s="1"/>
  <c r="AL43" i="19" s="1"/>
  <c r="AL44" i="19" s="1"/>
  <c r="BQ32" i="29"/>
  <c r="BO17" i="29"/>
  <c r="AK39" i="19" s="1"/>
  <c r="AK40" i="19" s="1"/>
  <c r="BP16" i="29"/>
  <c r="AC93" i="19"/>
  <c r="AC94" i="19"/>
  <c r="AE97" i="19"/>
  <c r="AD96" i="19"/>
  <c r="AE98" i="19"/>
  <c r="AC92" i="19"/>
  <c r="AC91" i="19"/>
  <c r="BN27" i="19"/>
  <c r="BM82" i="19"/>
  <c r="BM109" i="19" s="1"/>
  <c r="BQ33" i="29" l="1"/>
  <c r="BR32" i="29"/>
  <c r="BP15" i="29"/>
  <c r="BP17" i="29" s="1"/>
  <c r="AL39" i="19" s="1"/>
  <c r="AL40" i="19" s="1"/>
  <c r="BQ14" i="29"/>
  <c r="BQ35" i="29"/>
  <c r="AM43" i="19" s="1"/>
  <c r="AM44" i="19" s="1"/>
  <c r="BR34" i="29"/>
  <c r="BQ16" i="29"/>
  <c r="AD95" i="19"/>
  <c r="AF97" i="19"/>
  <c r="AF98" i="19"/>
  <c r="AD91" i="19"/>
  <c r="AC95" i="19"/>
  <c r="AD94" i="19"/>
  <c r="AD93" i="19"/>
  <c r="AD92" i="19"/>
  <c r="AC96" i="19"/>
  <c r="BO27" i="19"/>
  <c r="BN82" i="19"/>
  <c r="BN109" i="19" s="1"/>
  <c r="BR16" i="29" l="1"/>
  <c r="BS34" i="29"/>
  <c r="BQ15" i="29"/>
  <c r="BQ17" i="29" s="1"/>
  <c r="AM39" i="19" s="1"/>
  <c r="AM40" i="19" s="1"/>
  <c r="BR14" i="29"/>
  <c r="BR33" i="29"/>
  <c r="BR35" i="29" s="1"/>
  <c r="AN43" i="19" s="1"/>
  <c r="AN44" i="19" s="1"/>
  <c r="BS32" i="29"/>
  <c r="AE92" i="19"/>
  <c r="AE93" i="19"/>
  <c r="AE94" i="19"/>
  <c r="AG97" i="19"/>
  <c r="AF93" i="19"/>
  <c r="AF94" i="19"/>
  <c r="AE91" i="19"/>
  <c r="AG98" i="19"/>
  <c r="BP27" i="19"/>
  <c r="BO82" i="19"/>
  <c r="BO109" i="19" s="1"/>
  <c r="BT34" i="29" l="1"/>
  <c r="BS14" i="29"/>
  <c r="BR15" i="29"/>
  <c r="BR17" i="29"/>
  <c r="AN39" i="19" s="1"/>
  <c r="AN40" i="19" s="1"/>
  <c r="BS16" i="29"/>
  <c r="BS33" i="29"/>
  <c r="BS35" i="29" s="1"/>
  <c r="AO43" i="19" s="1"/>
  <c r="AO44" i="19" s="1"/>
  <c r="BT32" i="29"/>
  <c r="AH97" i="19"/>
  <c r="AG93" i="19"/>
  <c r="AH98" i="19"/>
  <c r="AF91" i="19"/>
  <c r="AF92" i="19"/>
  <c r="F122" i="19" s="1"/>
  <c r="R65" i="22" s="1"/>
  <c r="AG94" i="19"/>
  <c r="X91" i="19"/>
  <c r="AF96" i="19"/>
  <c r="AE95" i="19"/>
  <c r="AF95" i="19"/>
  <c r="AE96" i="19"/>
  <c r="BQ27" i="19"/>
  <c r="BP82" i="19"/>
  <c r="BP109" i="19" s="1"/>
  <c r="BU34" i="29" l="1"/>
  <c r="BT16" i="29"/>
  <c r="BS15" i="29"/>
  <c r="BS17" i="29" s="1"/>
  <c r="AO39" i="19" s="1"/>
  <c r="AO40" i="19" s="1"/>
  <c r="BT14" i="29"/>
  <c r="BU32" i="29"/>
  <c r="BU33" i="29" s="1"/>
  <c r="BT33" i="29"/>
  <c r="BT35" i="29" s="1"/>
  <c r="AP43" i="19" s="1"/>
  <c r="AP44" i="19" s="1"/>
  <c r="F125" i="19"/>
  <c r="E126" i="19"/>
  <c r="W34" i="22"/>
  <c r="S65" i="22"/>
  <c r="E121" i="19"/>
  <c r="F126" i="19"/>
  <c r="G126" i="19" s="1"/>
  <c r="W65" i="22"/>
  <c r="T65" i="22"/>
  <c r="U65" i="22"/>
  <c r="F121" i="19"/>
  <c r="N64" i="22" s="1"/>
  <c r="Q65" i="22"/>
  <c r="U34" i="22"/>
  <c r="T34" i="22"/>
  <c r="S34" i="22"/>
  <c r="V65" i="22"/>
  <c r="AA34" i="22"/>
  <c r="R34" i="22"/>
  <c r="V34" i="22"/>
  <c r="Y34" i="22"/>
  <c r="X34" i="22"/>
  <c r="O65" i="22"/>
  <c r="AH94" i="19"/>
  <c r="AH93" i="19"/>
  <c r="N65" i="22"/>
  <c r="AI97" i="19"/>
  <c r="Z34" i="22"/>
  <c r="G122" i="19"/>
  <c r="E125" i="19"/>
  <c r="E122" i="19"/>
  <c r="P65" i="22"/>
  <c r="AI98" i="19"/>
  <c r="BR27" i="19"/>
  <c r="BQ82" i="19"/>
  <c r="BQ109" i="19" s="1"/>
  <c r="Y37" i="22" l="1"/>
  <c r="U37" i="22"/>
  <c r="S68" i="22"/>
  <c r="X37" i="22"/>
  <c r="AA37" i="22"/>
  <c r="W37" i="22"/>
  <c r="P68" i="22"/>
  <c r="O68" i="22"/>
  <c r="S37" i="22"/>
  <c r="W68" i="22"/>
  <c r="R68" i="22"/>
  <c r="Q68" i="22"/>
  <c r="R37" i="22"/>
  <c r="G125" i="19"/>
  <c r="V68" i="22"/>
  <c r="T68" i="22"/>
  <c r="Z37" i="22"/>
  <c r="N68" i="22"/>
  <c r="V37" i="22"/>
  <c r="T37" i="22"/>
  <c r="U68" i="22"/>
  <c r="BT15" i="29"/>
  <c r="BT17" i="29" s="1"/>
  <c r="AP39" i="19" s="1"/>
  <c r="AP40" i="19" s="1"/>
  <c r="BU14" i="29"/>
  <c r="BU15" i="29" s="1"/>
  <c r="BU16" i="29"/>
  <c r="BU35" i="29"/>
  <c r="AQ43" i="19" s="1"/>
  <c r="AQ44" i="19" s="1"/>
  <c r="AA38" i="22"/>
  <c r="Y38" i="22"/>
  <c r="Z38" i="22"/>
  <c r="T69" i="22"/>
  <c r="U38" i="22"/>
  <c r="S69" i="22"/>
  <c r="N69" i="22"/>
  <c r="R64" i="22"/>
  <c r="W38" i="22"/>
  <c r="P69" i="22"/>
  <c r="AA33" i="22"/>
  <c r="U69" i="22"/>
  <c r="R38" i="22"/>
  <c r="S38" i="22"/>
  <c r="R69" i="22"/>
  <c r="V69" i="22"/>
  <c r="Q69" i="22"/>
  <c r="W69" i="22"/>
  <c r="T33" i="22"/>
  <c r="T38" i="22"/>
  <c r="U64" i="22"/>
  <c r="V33" i="22"/>
  <c r="Q64" i="22"/>
  <c r="G121" i="19"/>
  <c r="O64" i="22"/>
  <c r="V38" i="22"/>
  <c r="O69" i="22"/>
  <c r="X38" i="22"/>
  <c r="W64" i="22"/>
  <c r="W33" i="22"/>
  <c r="U33" i="22"/>
  <c r="X33" i="22"/>
  <c r="R33" i="22"/>
  <c r="V64" i="22"/>
  <c r="S33" i="22"/>
  <c r="Y33" i="22"/>
  <c r="T64" i="22"/>
  <c r="Z33" i="22"/>
  <c r="S64" i="22"/>
  <c r="P64" i="22"/>
  <c r="AI93" i="19"/>
  <c r="AI94" i="19"/>
  <c r="AJ98" i="19"/>
  <c r="AJ97" i="19"/>
  <c r="AD34" i="22"/>
  <c r="AC34" i="22"/>
  <c r="AB34" i="22"/>
  <c r="BS27" i="19"/>
  <c r="BR82" i="19"/>
  <c r="BR109" i="19" s="1"/>
  <c r="AD37" i="22" l="1"/>
  <c r="AB37" i="22"/>
  <c r="AC37" i="22"/>
  <c r="BU17" i="29"/>
  <c r="AQ39" i="19" s="1"/>
  <c r="AQ40" i="19" s="1"/>
  <c r="AB38" i="22"/>
  <c r="AD38" i="22"/>
  <c r="AC38" i="22"/>
  <c r="AJ93" i="19"/>
  <c r="AJ94" i="19"/>
  <c r="AK97" i="19"/>
  <c r="AK98" i="19"/>
  <c r="AE34" i="22"/>
  <c r="BT27" i="19"/>
  <c r="BS82" i="19"/>
  <c r="BS109" i="19" s="1"/>
  <c r="AE37" i="22" l="1"/>
  <c r="AE38" i="22"/>
  <c r="AK93" i="19"/>
  <c r="AK94" i="19"/>
  <c r="AL97" i="19"/>
  <c r="AL98" i="19"/>
  <c r="BU27" i="19"/>
  <c r="BT82" i="19"/>
  <c r="BT109" i="19" s="1"/>
  <c r="AL94" i="19" l="1"/>
  <c r="AM97" i="19"/>
  <c r="AL93" i="19"/>
  <c r="AM98" i="19"/>
  <c r="BV27" i="19"/>
  <c r="BU82" i="19"/>
  <c r="BU109" i="19" s="1"/>
  <c r="AN98" i="19" l="1"/>
  <c r="AM93" i="19"/>
  <c r="AM94" i="19"/>
  <c r="AN97" i="19"/>
  <c r="BW27" i="19"/>
  <c r="BV82" i="19"/>
  <c r="BV109" i="19" s="1"/>
  <c r="AN93" i="19" l="1"/>
  <c r="AO97" i="19"/>
  <c r="AN94" i="19"/>
  <c r="AO98" i="19"/>
  <c r="BX27" i="19"/>
  <c r="BW82" i="19"/>
  <c r="BW109" i="19" s="1"/>
  <c r="AP98" i="19" l="1"/>
  <c r="AO94" i="19"/>
  <c r="AP97" i="19"/>
  <c r="AO93" i="19"/>
  <c r="BY27" i="19"/>
  <c r="BX82" i="19"/>
  <c r="BX109" i="19" s="1"/>
  <c r="AQ98" i="19" l="1"/>
  <c r="F128" i="19" s="1"/>
  <c r="U40" i="22" s="1"/>
  <c r="AQ97" i="19"/>
  <c r="F127" i="19" s="1"/>
  <c r="P70" i="22" s="1"/>
  <c r="AP94" i="19"/>
  <c r="AP93" i="19"/>
  <c r="E128" i="19"/>
  <c r="BZ27" i="19"/>
  <c r="BY82" i="19"/>
  <c r="BY109" i="19" s="1"/>
  <c r="T40" i="22" l="1"/>
  <c r="P71" i="22"/>
  <c r="V40" i="22"/>
  <c r="N71" i="22"/>
  <c r="W71" i="22"/>
  <c r="O71" i="22"/>
  <c r="R40" i="22"/>
  <c r="R71" i="22"/>
  <c r="U71" i="22"/>
  <c r="Y40" i="22"/>
  <c r="G128" i="19"/>
  <c r="Z40" i="22"/>
  <c r="T71" i="22"/>
  <c r="V71" i="22"/>
  <c r="Q71" i="22"/>
  <c r="S40" i="22"/>
  <c r="X40" i="22"/>
  <c r="S71" i="22"/>
  <c r="AA40" i="22"/>
  <c r="W40" i="22"/>
  <c r="S70" i="22"/>
  <c r="O70" i="22"/>
  <c r="G127" i="19"/>
  <c r="S39" i="22"/>
  <c r="AA39" i="22"/>
  <c r="T39" i="22"/>
  <c r="X39" i="22"/>
  <c r="T70" i="22"/>
  <c r="W39" i="22"/>
  <c r="V39" i="22"/>
  <c r="Z39" i="22"/>
  <c r="E127" i="19"/>
  <c r="U39" i="22"/>
  <c r="R70" i="22"/>
  <c r="Y39" i="22"/>
  <c r="W70" i="22"/>
  <c r="N70" i="22"/>
  <c r="Q70" i="22"/>
  <c r="U70" i="22"/>
  <c r="V70" i="22"/>
  <c r="R39" i="22"/>
  <c r="AQ93" i="19"/>
  <c r="F123" i="19" s="1"/>
  <c r="V35" i="22" s="1"/>
  <c r="AQ94" i="19"/>
  <c r="F124" i="19" s="1"/>
  <c r="Q67" i="22" s="1"/>
  <c r="CA27" i="19"/>
  <c r="BZ82" i="19"/>
  <c r="BZ109" i="19" s="1"/>
  <c r="P66" i="22" l="1"/>
  <c r="R66" i="22"/>
  <c r="T66" i="22"/>
  <c r="V66" i="22"/>
  <c r="U66" i="22"/>
  <c r="S66" i="22"/>
  <c r="W66" i="22"/>
  <c r="E123" i="19"/>
  <c r="T35" i="22"/>
  <c r="X35" i="22"/>
  <c r="O66" i="22"/>
  <c r="S35" i="22"/>
  <c r="N66" i="22"/>
  <c r="AA35" i="22"/>
  <c r="Q66" i="22"/>
  <c r="U35" i="22"/>
  <c r="Z35" i="22"/>
  <c r="W35" i="22"/>
  <c r="R36" i="22"/>
  <c r="S36" i="22"/>
  <c r="P67" i="22"/>
  <c r="V36" i="22"/>
  <c r="E124" i="19"/>
  <c r="R67" i="22"/>
  <c r="S67" i="22"/>
  <c r="U36" i="22"/>
  <c r="G123" i="19"/>
  <c r="Y36" i="22"/>
  <c r="V67" i="22"/>
  <c r="T36" i="22"/>
  <c r="AA36" i="22"/>
  <c r="N67" i="22"/>
  <c r="T67" i="22"/>
  <c r="W67" i="22"/>
  <c r="Y35" i="22"/>
  <c r="R35" i="22"/>
  <c r="Z36" i="22"/>
  <c r="W36" i="22"/>
  <c r="O67" i="22"/>
  <c r="G124" i="19"/>
  <c r="U67" i="22"/>
  <c r="X36" i="22"/>
  <c r="AC39" i="22"/>
  <c r="AB39" i="22"/>
  <c r="AD39" i="22"/>
  <c r="AD40" i="22"/>
  <c r="AC40" i="22"/>
  <c r="AB40" i="22"/>
  <c r="CB27" i="19"/>
  <c r="CA82" i="19"/>
  <c r="CA109" i="19" s="1"/>
  <c r="AE39" i="22" l="1"/>
  <c r="AE40" i="22"/>
  <c r="AD35" i="22"/>
  <c r="AC35" i="22"/>
  <c r="AB35" i="22"/>
  <c r="AC36" i="22"/>
  <c r="AB36" i="22"/>
  <c r="AD36" i="22"/>
  <c r="CC27" i="19"/>
  <c r="CB82" i="19"/>
  <c r="CB109" i="19" s="1"/>
  <c r="AE35" i="22" l="1"/>
  <c r="AE36" i="22"/>
  <c r="CD27" i="19"/>
  <c r="CC82" i="19"/>
  <c r="CC109" i="19" s="1"/>
  <c r="CE27" i="19" l="1"/>
  <c r="CD82" i="19"/>
  <c r="CD109" i="19" s="1"/>
  <c r="CF27" i="19" l="1"/>
  <c r="CE82" i="19"/>
  <c r="CE109" i="19" s="1"/>
  <c r="CG27" i="19" l="1"/>
  <c r="CF82" i="19"/>
  <c r="CF109" i="19" s="1"/>
  <c r="CH27" i="19" l="1"/>
  <c r="CG82" i="19"/>
  <c r="CG109" i="19" s="1"/>
  <c r="CI27" i="19" l="1"/>
  <c r="CH82" i="19"/>
  <c r="CH109" i="19" s="1"/>
  <c r="CJ27" i="19" l="1"/>
  <c r="CI82" i="19"/>
  <c r="CI109" i="19" s="1"/>
  <c r="CK27" i="19" l="1"/>
  <c r="CJ82" i="19"/>
  <c r="CJ109" i="19" s="1"/>
  <c r="CL27" i="19" l="1"/>
  <c r="CK82" i="19"/>
  <c r="CK109" i="19" s="1"/>
  <c r="CM27" i="19" l="1"/>
  <c r="CL82" i="19"/>
  <c r="CL109" i="19" s="1"/>
  <c r="CN27" i="19" l="1"/>
  <c r="CM82" i="19"/>
  <c r="CM109" i="19" s="1"/>
  <c r="CO27" i="19" l="1"/>
  <c r="CN82" i="19"/>
  <c r="CN109" i="19" s="1"/>
  <c r="CP27" i="19" l="1"/>
  <c r="CO82" i="19"/>
  <c r="CO109" i="19" s="1"/>
  <c r="CQ27" i="19" l="1"/>
  <c r="CP82" i="19"/>
  <c r="CP109" i="19" s="1"/>
  <c r="CR27" i="19" l="1"/>
  <c r="CQ82" i="19"/>
  <c r="CQ109" i="19" s="1"/>
  <c r="CS27" i="19" l="1"/>
  <c r="CR82" i="19"/>
  <c r="CR109" i="19" s="1"/>
  <c r="CT27" i="19" l="1"/>
  <c r="CS82" i="19"/>
  <c r="CS109" i="19" s="1"/>
  <c r="CU27" i="19" l="1"/>
  <c r="CT82" i="19"/>
  <c r="CT109" i="19" s="1"/>
  <c r="CV27" i="19" l="1"/>
  <c r="CU82" i="19"/>
  <c r="CU109" i="19" s="1"/>
  <c r="CW27" i="19" l="1"/>
  <c r="CV82" i="19"/>
  <c r="CV109" i="19" s="1"/>
  <c r="CX27" i="19" l="1"/>
  <c r="CW82" i="19"/>
  <c r="CW109" i="19" s="1"/>
  <c r="CY27" i="19" l="1"/>
  <c r="CX82" i="19"/>
  <c r="CX109" i="19" s="1"/>
  <c r="CZ27" i="19" l="1"/>
  <c r="CY82" i="19"/>
  <c r="CY109" i="19" s="1"/>
  <c r="DA27" i="19" l="1"/>
  <c r="CZ82" i="19"/>
  <c r="CZ109" i="19" s="1"/>
  <c r="DB27" i="19" l="1"/>
  <c r="DA82" i="19"/>
  <c r="DA109" i="19" s="1"/>
  <c r="DC27" i="19" l="1"/>
  <c r="DB82" i="19"/>
  <c r="DB109" i="19" s="1"/>
  <c r="DD27" i="19" l="1"/>
  <c r="DC82" i="19"/>
  <c r="DC109" i="19" s="1"/>
  <c r="DE27" i="19" l="1"/>
  <c r="DD82" i="19"/>
  <c r="DD109" i="19" s="1"/>
  <c r="DF27" i="19" l="1"/>
  <c r="DE82" i="19"/>
  <c r="DE109" i="19" s="1"/>
  <c r="DG27" i="19" l="1"/>
  <c r="DF82" i="19"/>
  <c r="DF109" i="19" s="1"/>
  <c r="DH27" i="19" l="1"/>
  <c r="DG82" i="19"/>
  <c r="DG109" i="19" s="1"/>
  <c r="DI27" i="19" l="1"/>
  <c r="DH82" i="19"/>
  <c r="DH109" i="19" s="1"/>
  <c r="DJ27" i="19" l="1"/>
  <c r="DI82" i="19"/>
  <c r="DI109" i="19" s="1"/>
  <c r="DK27" i="19" l="1"/>
  <c r="DJ82" i="19"/>
  <c r="DJ109" i="19" s="1"/>
  <c r="DL27" i="19" l="1"/>
  <c r="DK82" i="19"/>
  <c r="DK109" i="19" s="1"/>
  <c r="DM27" i="19" l="1"/>
  <c r="DL82" i="19"/>
  <c r="DL109" i="19" s="1"/>
  <c r="DN27" i="19" l="1"/>
  <c r="DM82" i="19"/>
  <c r="DM109" i="19" s="1"/>
  <c r="DO27" i="19" l="1"/>
  <c r="DN82" i="19"/>
  <c r="DN109" i="19" s="1"/>
  <c r="DP27" i="19" l="1"/>
  <c r="DO82" i="19"/>
  <c r="DO109" i="19" s="1"/>
  <c r="DQ27" i="19" l="1"/>
  <c r="DP82" i="19"/>
  <c r="DP109" i="19" s="1"/>
  <c r="DR27" i="19" l="1"/>
  <c r="DQ82" i="19"/>
  <c r="DQ109" i="19" s="1"/>
  <c r="DS27" i="19" l="1"/>
  <c r="DR82" i="19"/>
  <c r="DR109" i="19" s="1"/>
  <c r="DT27" i="19" l="1"/>
  <c r="DS82" i="19"/>
  <c r="DS109" i="19" s="1"/>
  <c r="DU27" i="19" l="1"/>
  <c r="DT82" i="19"/>
  <c r="DT109" i="19" s="1"/>
  <c r="DV27" i="19" l="1"/>
  <c r="DU82" i="19"/>
  <c r="DU109" i="19" s="1"/>
  <c r="DW27" i="19" l="1"/>
  <c r="DV82" i="19"/>
  <c r="DV109" i="19" s="1"/>
  <c r="DX27" i="19" l="1"/>
  <c r="DW82" i="19"/>
  <c r="DW109" i="19" s="1"/>
  <c r="DY27" i="19" l="1"/>
  <c r="DX82" i="19"/>
  <c r="DX109" i="19" s="1"/>
  <c r="DZ27" i="19" l="1"/>
  <c r="DY82" i="19"/>
  <c r="DY109" i="19" s="1"/>
  <c r="EA27" i="19" l="1"/>
  <c r="DZ82" i="19"/>
  <c r="DZ109" i="19" s="1"/>
  <c r="EB27" i="19" l="1"/>
  <c r="EA82" i="19"/>
  <c r="EA109" i="19" s="1"/>
  <c r="EC27" i="19" l="1"/>
  <c r="EB82" i="19"/>
  <c r="EB109" i="19" s="1"/>
  <c r="ED27" i="19" l="1"/>
  <c r="EC82" i="19"/>
  <c r="EC109" i="19" s="1"/>
  <c r="EE27" i="19" l="1"/>
  <c r="ED82" i="19"/>
  <c r="ED109" i="19" s="1"/>
  <c r="EF27" i="19" l="1"/>
  <c r="EE82" i="19"/>
  <c r="EE109" i="19" s="1"/>
  <c r="EG27" i="19" l="1"/>
  <c r="EF82" i="19"/>
  <c r="EF109" i="19" s="1"/>
  <c r="EH27" i="19" l="1"/>
  <c r="EG82" i="19"/>
  <c r="EG109" i="19" s="1"/>
  <c r="EI27" i="19" l="1"/>
  <c r="EH82" i="19"/>
  <c r="EH109" i="19" s="1"/>
  <c r="EJ27" i="19" l="1"/>
  <c r="EI82" i="19"/>
  <c r="EI109" i="19" s="1"/>
  <c r="EK27" i="19" l="1"/>
  <c r="EJ82" i="19"/>
  <c r="EJ109" i="19" s="1"/>
  <c r="EL27" i="19" l="1"/>
  <c r="EK82" i="19"/>
  <c r="EK109" i="19" s="1"/>
  <c r="EM27" i="19" l="1"/>
  <c r="EL82" i="19"/>
  <c r="EL109" i="19" s="1"/>
  <c r="EN27" i="19" l="1"/>
  <c r="EM82" i="19"/>
  <c r="EM109" i="19" s="1"/>
  <c r="EO27" i="19" l="1"/>
  <c r="EN82" i="19"/>
  <c r="EN109" i="19" s="1"/>
  <c r="EP27" i="19" l="1"/>
  <c r="EO82" i="19"/>
  <c r="EO109" i="19" s="1"/>
  <c r="EQ27" i="19" l="1"/>
  <c r="EP82" i="19"/>
  <c r="EP109" i="19" s="1"/>
  <c r="ER27" i="19" l="1"/>
  <c r="EQ82" i="19"/>
  <c r="EQ109" i="19" s="1"/>
  <c r="ES27" i="19" l="1"/>
  <c r="ER82" i="19"/>
  <c r="ER109" i="19" s="1"/>
  <c r="ET27" i="19" l="1"/>
  <c r="ES82" i="19"/>
  <c r="ES109" i="19" s="1"/>
  <c r="EU27" i="19" l="1"/>
  <c r="ET82" i="19"/>
  <c r="ET109" i="19" s="1"/>
  <c r="EV27" i="19" l="1"/>
  <c r="EU82" i="19"/>
  <c r="EU109" i="19" s="1"/>
  <c r="EW27" i="19" l="1"/>
  <c r="EV82" i="19"/>
  <c r="EV109" i="19" s="1"/>
  <c r="EX27" i="19" l="1"/>
  <c r="EW82" i="19"/>
  <c r="EW109" i="19" s="1"/>
  <c r="EY27" i="19" l="1"/>
  <c r="EX82" i="19"/>
  <c r="EX109" i="19" s="1"/>
  <c r="EZ27" i="19" l="1"/>
  <c r="EY82" i="19"/>
  <c r="EY109" i="19" s="1"/>
  <c r="FA27" i="19" l="1"/>
  <c r="EZ82" i="19"/>
  <c r="EZ109" i="19" s="1"/>
  <c r="FB27" i="19" l="1"/>
  <c r="FA82" i="19"/>
  <c r="FA109" i="19" s="1"/>
  <c r="FC27" i="19" l="1"/>
  <c r="FB82" i="19"/>
  <c r="FB109" i="19" s="1"/>
  <c r="FD27" i="19" l="1"/>
  <c r="FC82" i="19"/>
  <c r="FC109" i="19" s="1"/>
  <c r="FE27" i="19" l="1"/>
  <c r="FD82" i="19"/>
  <c r="FD109" i="19" s="1"/>
  <c r="FF27" i="19" l="1"/>
  <c r="FE82" i="19"/>
  <c r="FE109" i="19" s="1"/>
  <c r="FG27" i="19" l="1"/>
  <c r="FF82" i="19"/>
  <c r="FF109" i="19" s="1"/>
  <c r="FH27" i="19" l="1"/>
  <c r="FG82" i="19"/>
  <c r="FG109" i="19" s="1"/>
  <c r="FI27" i="19" l="1"/>
  <c r="FH82" i="19"/>
  <c r="FH109" i="19" s="1"/>
  <c r="FJ27" i="19" l="1"/>
  <c r="FI82" i="19"/>
  <c r="FI109" i="19" s="1"/>
  <c r="FK27" i="19" l="1"/>
  <c r="FJ82" i="19"/>
  <c r="FJ109" i="19" s="1"/>
  <c r="FL27" i="19" l="1"/>
  <c r="FK82" i="19"/>
  <c r="FK109" i="19" s="1"/>
  <c r="FM27" i="19" l="1"/>
  <c r="FL82" i="19"/>
  <c r="FL109" i="19" s="1"/>
  <c r="FN27" i="19" l="1"/>
  <c r="FM82" i="19"/>
  <c r="FM109" i="19" s="1"/>
  <c r="FO27" i="19" l="1"/>
  <c r="FN82" i="19"/>
  <c r="FN109" i="19" s="1"/>
  <c r="FP27" i="19" l="1"/>
  <c r="FO82" i="19"/>
  <c r="FO109" i="19" s="1"/>
  <c r="FQ27" i="19" l="1"/>
  <c r="FP82" i="19"/>
  <c r="FP109" i="19" s="1"/>
  <c r="FR27" i="19" l="1"/>
  <c r="FQ82" i="19"/>
  <c r="FQ109" i="19" s="1"/>
  <c r="FS27" i="19" l="1"/>
  <c r="FR82" i="19"/>
  <c r="FR109" i="19" s="1"/>
  <c r="FT27" i="19" l="1"/>
  <c r="FS82" i="19"/>
  <c r="FS109" i="19" s="1"/>
  <c r="FU27" i="19" l="1"/>
  <c r="FT82" i="19"/>
  <c r="FT109" i="19" s="1"/>
  <c r="FV27" i="19" l="1"/>
  <c r="FU82" i="19"/>
  <c r="FU109" i="19" s="1"/>
  <c r="FW27" i="19" l="1"/>
  <c r="FV82" i="19"/>
  <c r="FV109" i="19" s="1"/>
  <c r="FX27" i="19" l="1"/>
  <c r="FW82" i="19"/>
  <c r="FW109" i="19" s="1"/>
  <c r="FY27" i="19" l="1"/>
  <c r="FX82" i="19"/>
  <c r="FX109" i="19" s="1"/>
  <c r="FZ27" i="19" l="1"/>
  <c r="FY82" i="19"/>
  <c r="FY109" i="19" s="1"/>
  <c r="GA27" i="19" l="1"/>
  <c r="FZ82" i="19"/>
  <c r="FZ109" i="19" s="1"/>
  <c r="GB27" i="19" l="1"/>
  <c r="GA82" i="19"/>
  <c r="GA109" i="19" s="1"/>
  <c r="GC27" i="19" l="1"/>
  <c r="GB82" i="19"/>
  <c r="GB109" i="19" s="1"/>
  <c r="GD27" i="19" l="1"/>
  <c r="GC82" i="19"/>
  <c r="GC109" i="19" s="1"/>
  <c r="GE27" i="19" l="1"/>
  <c r="GD82" i="19"/>
  <c r="GD109" i="19" s="1"/>
  <c r="GF27" i="19" l="1"/>
  <c r="GE82" i="19"/>
  <c r="GE109" i="19" s="1"/>
  <c r="B75" i="33" l="1"/>
  <c r="B78" i="33"/>
  <c r="B74" i="33"/>
  <c r="GH67" i="33"/>
  <c r="B70" i="33"/>
  <c r="B73" i="33"/>
  <c r="GG27" i="19"/>
  <c r="GF82" i="19"/>
  <c r="GF109" i="19" s="1"/>
  <c r="GH70" i="33" l="1"/>
  <c r="B76" i="33"/>
  <c r="GH72" i="33"/>
  <c r="B79" i="33"/>
  <c r="GH71" i="33"/>
  <c r="B77" i="33"/>
  <c r="GH69" i="33"/>
  <c r="B72" i="33"/>
  <c r="GH68" i="33"/>
  <c r="B71" i="33"/>
  <c r="GH27" i="19"/>
  <c r="GG82" i="19"/>
  <c r="GG109" i="19" s="1"/>
  <c r="GI27" i="19" l="1"/>
  <c r="GH82" i="19"/>
  <c r="GH109" i="19" s="1"/>
  <c r="GJ27" i="19" l="1"/>
  <c r="GI82" i="19"/>
  <c r="GI109" i="19" s="1"/>
  <c r="GK27" i="19" l="1"/>
  <c r="GJ82" i="19"/>
  <c r="GJ109" i="19" s="1"/>
  <c r="GL27" i="19" l="1"/>
  <c r="GK82" i="19"/>
  <c r="GK109" i="19" s="1"/>
  <c r="GM27" i="19" l="1"/>
  <c r="GL82" i="19"/>
  <c r="GL109" i="19" s="1"/>
  <c r="GN27" i="19" l="1"/>
  <c r="GM82" i="19"/>
  <c r="GM109" i="19" s="1"/>
  <c r="GO27" i="19" l="1"/>
  <c r="GN82" i="19"/>
  <c r="GN109" i="19" s="1"/>
  <c r="GP27" i="19" l="1"/>
  <c r="GO82" i="19"/>
  <c r="GO109" i="19" s="1"/>
  <c r="GQ27" i="19" l="1"/>
  <c r="GQ82" i="19" s="1"/>
  <c r="GQ109" i="19" s="1"/>
  <c r="GP82" i="19"/>
  <c r="GP109" i="19" s="1"/>
  <c r="F139" i="19" l="1"/>
  <c r="N82" i="22" l="1"/>
  <c r="R82" i="22"/>
  <c r="S82" i="22"/>
  <c r="Q82" i="22"/>
  <c r="U82" i="22"/>
  <c r="T82" i="22"/>
  <c r="V82" i="22"/>
  <c r="W82" i="22"/>
  <c r="R51" i="22"/>
  <c r="U51" i="22"/>
  <c r="AA51" i="22"/>
  <c r="Z51" i="22"/>
  <c r="W51" i="22"/>
  <c r="E139" i="19"/>
  <c r="X51" i="22"/>
  <c r="O82" i="22"/>
  <c r="V51" i="22"/>
  <c r="P82" i="22"/>
  <c r="Y51" i="22"/>
  <c r="S51" i="22"/>
  <c r="T51" i="22"/>
  <c r="AB51" i="22" l="1"/>
  <c r="AD51" i="22"/>
  <c r="AC51" i="22"/>
  <c r="AE51" i="22" l="1"/>
  <c r="B82" i="19" l="1"/>
  <c r="B109" i="19" s="1"/>
  <c r="B139" i="19" s="1"/>
  <c r="B73" i="19"/>
  <c r="B100" i="19" s="1"/>
  <c r="B130" i="19" s="1"/>
  <c r="B80" i="19"/>
  <c r="B107" i="19" s="1"/>
  <c r="B137" i="19" s="1"/>
  <c r="B81" i="19"/>
  <c r="B108" i="19" s="1"/>
  <c r="B138" i="19" s="1"/>
  <c r="B75" i="19"/>
  <c r="B102" i="19" s="1"/>
  <c r="B132" i="19" s="1"/>
  <c r="B79" i="19"/>
  <c r="B106" i="19" s="1"/>
  <c r="B136" i="19" s="1"/>
  <c r="B78" i="19"/>
  <c r="B105" i="19" s="1"/>
  <c r="B135" i="19" s="1"/>
  <c r="B77" i="19"/>
  <c r="B104" i="19" s="1"/>
  <c r="B134" i="19" s="1"/>
  <c r="B76" i="19"/>
  <c r="B103" i="19" s="1"/>
  <c r="B133" i="19" s="1"/>
  <c r="B74" i="19"/>
  <c r="B101" i="19" s="1"/>
  <c r="B131" i="19" s="1"/>
  <c r="B72" i="19" l="1"/>
  <c r="B99" i="19" s="1"/>
  <c r="B129" i="19" s="1"/>
  <c r="AC33" i="22" l="1"/>
  <c r="AB33" i="22"/>
  <c r="AD33" i="22"/>
  <c r="AE33" i="22" l="1"/>
  <c r="C74" i="33" l="1"/>
  <c r="C78" i="33"/>
  <c r="C79" i="33"/>
  <c r="C77" i="33"/>
  <c r="C76" i="33"/>
  <c r="C75" i="33"/>
  <c r="C73" i="33"/>
  <c r="C71" i="33"/>
  <c r="C72" i="33"/>
  <c r="C70" i="33"/>
  <c r="D78" i="33" l="1"/>
  <c r="D79" i="33"/>
  <c r="D74" i="33"/>
  <c r="D76" i="33"/>
  <c r="D77" i="33"/>
  <c r="D75" i="33"/>
  <c r="D73" i="33"/>
  <c r="D72" i="33"/>
  <c r="D71" i="33"/>
  <c r="D70" i="33"/>
  <c r="E78" i="33" l="1"/>
  <c r="E76" i="33"/>
  <c r="E75" i="33"/>
  <c r="E79" i="33"/>
  <c r="E77" i="33"/>
  <c r="E70" i="33"/>
  <c r="E74" i="33"/>
  <c r="E71" i="33"/>
  <c r="E72" i="33"/>
  <c r="E73" i="33"/>
  <c r="F77" i="33" l="1"/>
  <c r="F73" i="33"/>
  <c r="F79" i="33"/>
  <c r="F78" i="33"/>
  <c r="F75" i="33"/>
  <c r="F74" i="33"/>
  <c r="F76" i="33"/>
  <c r="F71" i="33"/>
  <c r="F70" i="33"/>
  <c r="F72" i="33"/>
  <c r="G79" i="33" l="1"/>
  <c r="G77" i="33"/>
  <c r="G75" i="33"/>
  <c r="G78" i="33"/>
  <c r="G74" i="33"/>
  <c r="G73" i="33"/>
  <c r="G71" i="33"/>
  <c r="G76" i="33"/>
  <c r="G72" i="33"/>
  <c r="G70" i="33"/>
  <c r="C69" i="33" l="1"/>
  <c r="B69" i="33"/>
  <c r="E69" i="33"/>
  <c r="G69" i="33"/>
  <c r="D69" i="33"/>
  <c r="F69" i="33"/>
</calcChain>
</file>

<file path=xl/sharedStrings.xml><?xml version="1.0" encoding="utf-8"?>
<sst xmlns="http://schemas.openxmlformats.org/spreadsheetml/2006/main" count="15272" uniqueCount="369">
  <si>
    <t>USD</t>
  </si>
  <si>
    <t>EUR</t>
  </si>
  <si>
    <t>New USD 2038 Bonds</t>
  </si>
  <si>
    <t>New USD 2041 Bonds</t>
  </si>
  <si>
    <t>New USD 2046 Bonds</t>
  </si>
  <si>
    <t>2005 indenture</t>
  </si>
  <si>
    <t>2016 indenture</t>
  </si>
  <si>
    <t>indenture for new bonds</t>
  </si>
  <si>
    <t>ISIN</t>
  </si>
  <si>
    <t>Description</t>
  </si>
  <si>
    <t>US040114GL81</t>
  </si>
  <si>
    <t>U.S. dollar-denominated Discounts due 2033 (New York law) issued in 2005 (the “USD 2033 Discount Bonds I”)</t>
  </si>
  <si>
    <t>XS0501194756</t>
  </si>
  <si>
    <t>U.S. dollar-denominated Discounts due 2033 (New York law) issued in 2010 (the “USD 2033 Discount Bonds II”)</t>
  </si>
  <si>
    <t>XS0501195050</t>
  </si>
  <si>
    <t>XS0205545840</t>
  </si>
  <si>
    <t>Euro-denominated Discounts due 2033 (English law) issued in 2005 (the “Euro 2033 Discount Bonds I”)</t>
  </si>
  <si>
    <t>XS0501195134</t>
  </si>
  <si>
    <t>Euro-denominated Discounts due 2033 (English law) issued in 2010 (the “Euro 2033 Discount Bonds II”)</t>
  </si>
  <si>
    <t>XS0501195308</t>
  </si>
  <si>
    <t>US040114GK09</t>
  </si>
  <si>
    <t>U.S. dollar-denominated Pars due 2038 (New York law) issued in 2005 (the “USD Par 2038 Bonds I”)</t>
  </si>
  <si>
    <t>XS0501195647</t>
  </si>
  <si>
    <t>U.S. dollar-denominated Pars due 2038 (New York law) issued in 2010 (the “USD Par 2038 Bonds II”)</t>
  </si>
  <si>
    <t>XS0501195720</t>
  </si>
  <si>
    <t>XS0205537581</t>
  </si>
  <si>
    <t>Euro-denominated Pars due 2038 (English law) issued in 2005 (the “Euro Par 2038 Bonds I”)</t>
  </si>
  <si>
    <t>XS0501195993</t>
  </si>
  <si>
    <t>Euro-denominated Pars due 2038 (English law) issued in 2010 (the “Euro Par 2038 Bonds II”)</t>
  </si>
  <si>
    <t>XS0501196025</t>
  </si>
  <si>
    <t>U.S. dollar-denominated 6.875 per cent. International Bonds due 2021 (the “USD 2021 Bonds”)</t>
  </si>
  <si>
    <t>U.S. dollar-denominated 5.625 per cent. International Bonds due 2022 (the “USD 2022 Bonds”)</t>
  </si>
  <si>
    <t>US040114HP86</t>
  </si>
  <si>
    <t>U.S. dollar-denominated 4.625 per cent. International Bonds due 2023 (the “USD 2023 Bonds”)</t>
  </si>
  <si>
    <t>XS1503160225</t>
  </si>
  <si>
    <t>Euro-denominated 3.875 per cent. International Bonds due 2022 (the “Euro 2022 Bonds”)</t>
  </si>
  <si>
    <t>XS1715303340</t>
  </si>
  <si>
    <t>Euro-denominated 3.375 per cent. International Bonds due 2023 (the “Euro 2023 Bonds”)</t>
  </si>
  <si>
    <t>CH0361824458</t>
  </si>
  <si>
    <t>Swiss Franc-denominated 3.375 per cent. International Bonds due 2020 (the “CHF 2020 Bonds”)</t>
  </si>
  <si>
    <t>CHF 2020 Bonds</t>
  </si>
  <si>
    <t>U.S. dollar-denominated 7.500 per cent. International Bonds due 2026 (the “USD 2026 Bonds”)</t>
  </si>
  <si>
    <t>U.S. dollar-denominated 6.875 per cent. International Bonds due 2027 (the “USD 2027 Bonds”)</t>
  </si>
  <si>
    <t>US040114HQ69</t>
  </si>
  <si>
    <t>U.S. dollar-denominated 5.875 per cent. International Bonds due 2028 (the “USD 5.875% 2028 Bonds”)</t>
  </si>
  <si>
    <t>U.S. dollar-denominated 6.625 per cent. International Bonds due 2028 (the “USD 6.625% 2028 Bonds”)</t>
  </si>
  <si>
    <t>U.S. dollar-denominated 7.125 per cent. International Bonds due 2036 (the “USD 2036 Bonds”)</t>
  </si>
  <si>
    <t>XS1503160498</t>
  </si>
  <si>
    <t>Euro-denominated 5.000 per cent. International Bonds due 2027 (the “Euro 2027 Bonds”)</t>
  </si>
  <si>
    <t>XS1715303779</t>
  </si>
  <si>
    <t>Euro-denominated 5.250 per cent. International Bonds due 2028 (the “Euro 2028 Bonds”)</t>
  </si>
  <si>
    <t>U.S. dollar-denominated 7.625 per cent. International Bonds due 2046 (the “USD 2046 Bonds”)</t>
  </si>
  <si>
    <t>US040114HR43</t>
  </si>
  <si>
    <t>U.S. dollar-denominated 6.875 per cent. International Bonds due 2048 (the “USD 2048 Bonds”)</t>
  </si>
  <si>
    <t>U.S. dollar-denominated 7.125 per cent. International Bonds due 2117 (the “USD 2117 Bonds”)</t>
  </si>
  <si>
    <t>XS1715535123</t>
  </si>
  <si>
    <t>Euro-denominated 6.250 per cent. International Bonds due 2047 (the “Euro 2047 Bonds”)</t>
  </si>
  <si>
    <t>US040114HX11</t>
  </si>
  <si>
    <t>XS2200244072</t>
  </si>
  <si>
    <t>US040114HS26</t>
  </si>
  <si>
    <t>XS2177363665</t>
  </si>
  <si>
    <t>US040114HT09</t>
  </si>
  <si>
    <t>XS2177364390</t>
  </si>
  <si>
    <t>US040114HU71</t>
  </si>
  <si>
    <t>XS2177365017</t>
  </si>
  <si>
    <t>US040114HV54</t>
  </si>
  <si>
    <t>XS2177365363</t>
  </si>
  <si>
    <t>US040114HW38</t>
  </si>
  <si>
    <t>XS2177365520</t>
  </si>
  <si>
    <t>ARARGE3209Y4</t>
  </si>
  <si>
    <t>ARARGE3209S6</t>
  </si>
  <si>
    <t>ARARGE3209T4</t>
  </si>
  <si>
    <t>ARARGE3209U2</t>
  </si>
  <si>
    <t>ARARGE3209V0</t>
  </si>
  <si>
    <t>US040114GW47</t>
  </si>
  <si>
    <t>USP04808AA23</t>
  </si>
  <si>
    <t>US040114HK99</t>
  </si>
  <si>
    <t>USP04808AL87</t>
  </si>
  <si>
    <t>US040114GX20</t>
  </si>
  <si>
    <t>USP04808AC88</t>
  </si>
  <si>
    <t>US040114GS35</t>
  </si>
  <si>
    <t>US040114HL72</t>
  </si>
  <si>
    <t>USP04808AM60</t>
  </si>
  <si>
    <t>US040114HF05</t>
  </si>
  <si>
    <t>USP04808AJ32</t>
  </si>
  <si>
    <t>US040114HG87</t>
  </si>
  <si>
    <t>USP04808AK05</t>
  </si>
  <si>
    <t>US040114HE30</t>
  </si>
  <si>
    <t>US040114GY03</t>
  </si>
  <si>
    <t>USP04808AE45</t>
  </si>
  <si>
    <t>US040114GU80</t>
  </si>
  <si>
    <t>US040114HN39</t>
  </si>
  <si>
    <t>USP04808AN44</t>
  </si>
  <si>
    <t>US040114HM55</t>
  </si>
  <si>
    <t>New USD 2029 Bonar</t>
  </si>
  <si>
    <t>New USD 2030 Bonar</t>
  </si>
  <si>
    <t>New USD 2035 Bonar</t>
  </si>
  <si>
    <t>New USD 2038 Bonar</t>
  </si>
  <si>
    <t>New USD 2041 Bonar</t>
  </si>
  <si>
    <t>Maturity</t>
  </si>
  <si>
    <t>Denomination</t>
  </si>
  <si>
    <t>(CMPM)</t>
  </si>
  <si>
    <t>(RY)</t>
  </si>
  <si>
    <t>Name</t>
  </si>
  <si>
    <t>Indenture</t>
  </si>
  <si>
    <t>29_USD</t>
  </si>
  <si>
    <t>29_EUR</t>
  </si>
  <si>
    <t>30_USD</t>
  </si>
  <si>
    <t>30_EUR</t>
  </si>
  <si>
    <t>35_USD</t>
  </si>
  <si>
    <t>35_EUR</t>
  </si>
  <si>
    <t>38_USD</t>
  </si>
  <si>
    <t>38_EUR</t>
  </si>
  <si>
    <t>41_USD</t>
  </si>
  <si>
    <t>41_EUR</t>
  </si>
  <si>
    <t>46_USD</t>
  </si>
  <si>
    <t>46_EUR</t>
  </si>
  <si>
    <t>USD 2021</t>
  </si>
  <si>
    <t>USD 2022</t>
  </si>
  <si>
    <t>USD 2023</t>
  </si>
  <si>
    <t>USD 2026</t>
  </si>
  <si>
    <t>USD 2027</t>
  </si>
  <si>
    <t>USD 5.875% 2028</t>
  </si>
  <si>
    <t>USD 6.625% 2028</t>
  </si>
  <si>
    <t>USD 2036</t>
  </si>
  <si>
    <t>USD 2046</t>
  </si>
  <si>
    <t>USD 2048</t>
  </si>
  <si>
    <t>USD 2117</t>
  </si>
  <si>
    <t>Euro 2022</t>
  </si>
  <si>
    <t>Euro 2023</t>
  </si>
  <si>
    <t>CHF 2020</t>
  </si>
  <si>
    <t>Euro 2027</t>
  </si>
  <si>
    <t>Euro 2028</t>
  </si>
  <si>
    <t>Euro 2047</t>
  </si>
  <si>
    <t>USD 2033 Discount I</t>
  </si>
  <si>
    <t>USD 2033 Discount II and III</t>
  </si>
  <si>
    <t>USD Par 2038 I</t>
  </si>
  <si>
    <t/>
  </si>
  <si>
    <t>PA outstanding</t>
  </si>
  <si>
    <t>PA controlled by ARG</t>
  </si>
  <si>
    <t>Consent Share</t>
  </si>
  <si>
    <t>Amortization terms</t>
  </si>
  <si>
    <t>Issue date</t>
  </si>
  <si>
    <t>Maturity date</t>
  </si>
  <si>
    <t>twenty equal semi-annual payments on June 30 and December 31 of each year,commencing on June 30, 2024</t>
  </si>
  <si>
    <t>twenty equal semi-annual payments; the first nineteen installments on March 31 and September 30 of each year, commencing on September 30, 2029, and will pay the last installment on December 31, 2038</t>
  </si>
  <si>
    <t>x</t>
  </si>
  <si>
    <t>New USD 2030 Bonds</t>
  </si>
  <si>
    <t>New USD 2035 Bonds</t>
  </si>
  <si>
    <t>Payment dates</t>
  </si>
  <si>
    <t>Valuation date</t>
  </si>
  <si>
    <t>Macaulay Duration</t>
  </si>
  <si>
    <t>Sum of Tender Orders</t>
  </si>
  <si>
    <t>Currency</t>
  </si>
  <si>
    <t>Euro 2033 Discount I</t>
  </si>
  <si>
    <t>Euro 2033 Discount II and III</t>
  </si>
  <si>
    <t>Euro Par 2038 I</t>
  </si>
  <si>
    <t>USD Par 2038 II and III</t>
  </si>
  <si>
    <t>Euro Par 2038 II and III</t>
  </si>
  <si>
    <t>USD 2033 Discount II</t>
  </si>
  <si>
    <t>USD 2033 Discount III</t>
  </si>
  <si>
    <t>USD Par 2038 III</t>
  </si>
  <si>
    <t>Euro 2033 Discount III</t>
  </si>
  <si>
    <t>Euro Par 2038 III</t>
  </si>
  <si>
    <t>Lookup name</t>
  </si>
  <si>
    <t>NPV @ exit yield</t>
  </si>
  <si>
    <t>NA</t>
  </si>
  <si>
    <t>TR.MidPrice</t>
  </si>
  <si>
    <t>New USD 2029 Bonds</t>
  </si>
  <si>
    <t>New EUR 2029 Bonds</t>
  </si>
  <si>
    <t>New EUR 2030 Bonds</t>
  </si>
  <si>
    <t>New EUR 2035 Bonds</t>
  </si>
  <si>
    <t>New EUR 2038 Bonds</t>
  </si>
  <si>
    <t>New EUR 2041 Bonds</t>
  </si>
  <si>
    <t>New EUR 2046 Bonds</t>
  </si>
  <si>
    <t>TR.MidYield</t>
  </si>
  <si>
    <t>Maturity Date</t>
  </si>
  <si>
    <t>Issued Amount</t>
  </si>
  <si>
    <t>US Dollar</t>
  </si>
  <si>
    <t>Euro</t>
  </si>
  <si>
    <t>My label</t>
  </si>
  <si>
    <t>Average yield (simple average)</t>
  </si>
  <si>
    <t>Average yield (PA-weighted average)</t>
  </si>
  <si>
    <t>Indenture for new bonds</t>
  </si>
  <si>
    <t>ISIN (SEC)</t>
  </si>
  <si>
    <t>ISIN (144A)</t>
  </si>
  <si>
    <t>Short Name</t>
  </si>
  <si>
    <t>USD Discount Bonds</t>
  </si>
  <si>
    <t>USD Par Bonds</t>
  </si>
  <si>
    <t>Euro Discount Bonds</t>
  </si>
  <si>
    <t>Euro Par Bonds</t>
  </si>
  <si>
    <t>USD Bonds due 2021-2023</t>
  </si>
  <si>
    <t>USD Bonds due 2026-2036</t>
  </si>
  <si>
    <t>USD Bonds due 2046-2117</t>
  </si>
  <si>
    <t>Euro Bonds due 2022-2023</t>
  </si>
  <si>
    <t>Euro Bonds due 2027-2028</t>
  </si>
  <si>
    <t>Euro Bonds due 2047</t>
  </si>
  <si>
    <t>2.5% to 3/31/2019; 3.75% to 3/31/2029; 5.25% to 12/31/2038</t>
  </si>
  <si>
    <t>twenty equal semi-annual payments on June 30 and December 31 of each year, commencing on June 30, 2024</t>
  </si>
  <si>
    <t>1.33% to 3/31/2009; 2.5% to 3/31/2019; 3.75% to 3/31/2029; 5.25% to 12/31/2038</t>
  </si>
  <si>
    <t>1.2% to 3/31/2009; 2.26% to 3/31/2019; 3.38% to 3/31/2029; 4.74% to 12/31/2038</t>
  </si>
  <si>
    <t>2.26% to 3/31/2019; 3.38% to 3/31/2029; 4.74% to 12/31/2038</t>
  </si>
  <si>
    <t>bullet</t>
  </si>
  <si>
    <t>Lookup Name</t>
  </si>
  <si>
    <t>ISIN (Reg S)</t>
  </si>
  <si>
    <t xml:space="preserve">ARGENT / ARGV 5.000  09-Jan-2038 </t>
  </si>
  <si>
    <t xml:space="preserve">ARGENT / ARGV 3.500  09-Jul-2041 </t>
  </si>
  <si>
    <t xml:space="preserve">ARGENT / ARGV 4.250  09-Jan-2038 </t>
  </si>
  <si>
    <t xml:space="preserve">ARGENT / ARGV 3.000  09-Jul-2041 </t>
  </si>
  <si>
    <t xml:space="preserve">ARGENT / ARGV 0.750  09-Jul-2030 </t>
  </si>
  <si>
    <t xml:space="preserve">ARGENT / ARGV 4.125  09-Jul-2035 </t>
  </si>
  <si>
    <t xml:space="preserve">ARGENT / ARGV 4.125  09-Jul-2046 </t>
  </si>
  <si>
    <t xml:space="preserve">ARGENT / ARGV 0.125  09-Jul-2030 </t>
  </si>
  <si>
    <t xml:space="preserve">ARGENT / ARGV 3.875  09-Jul-2035 </t>
  </si>
  <si>
    <t xml:space="preserve">ARGENT / ARGV 4.000  09-Jul-2046 </t>
  </si>
  <si>
    <t xml:space="preserve">ARGENT / ARGV 1.000  09-Jul-2029 </t>
  </si>
  <si>
    <t xml:space="preserve">ARGENT / ARGV 0.500  09-Jul-2029 </t>
  </si>
  <si>
    <t>Time (years) between Payment Date and Current/Valuation Data. First column is zero if Accrued Interest is immediately due.</t>
  </si>
  <si>
    <t>Exit yields (Principal Amount-weighted averages)</t>
  </si>
  <si>
    <t>USD2005</t>
  </si>
  <si>
    <t>EUR2005</t>
  </si>
  <si>
    <t>USD2016</t>
  </si>
  <si>
    <t>EUR2016</t>
  </si>
  <si>
    <t>FX EUR USD</t>
  </si>
  <si>
    <t>Max date</t>
  </si>
  <si>
    <t>Min date</t>
  </si>
  <si>
    <t>PA</t>
  </si>
  <si>
    <t>Dates</t>
  </si>
  <si>
    <t>USD Discounts</t>
  </si>
  <si>
    <t>EUR Discounts</t>
  </si>
  <si>
    <t>Cap.ed amount</t>
  </si>
  <si>
    <t>Here you start repaying principal</t>
  </si>
  <si>
    <t>PA (on which to compute stuff)</t>
  </si>
  <si>
    <t>Cash rate (t-1 to t)</t>
  </si>
  <si>
    <t>Cap.ed rate (t-1 to t)</t>
  </si>
  <si>
    <t>PA Amortization payment</t>
  </si>
  <si>
    <t>Total Cash Flow</t>
  </si>
  <si>
    <t>USD Pars</t>
  </si>
  <si>
    <t>ANNUAL Coupon rate (t-1 to t)</t>
  </si>
  <si>
    <t>Last cpn /2 because of 3 months period</t>
  </si>
  <si>
    <t>First cpn /2 because of 3 months period</t>
  </si>
  <si>
    <t>EUR Pars</t>
  </si>
  <si>
    <t>Cash Flows (Coupons + Redemptions) for 100 USD Notional.</t>
  </si>
  <si>
    <t>Discounted Cash Flows</t>
  </si>
  <si>
    <t>Computing accrued only for first payment (if t&lt;0.5 for seminannual, or if t&lt;1 for annual)</t>
  </si>
  <si>
    <t>EUR USD</t>
  </si>
  <si>
    <t>CHF USD</t>
  </si>
  <si>
    <t>CHF EUR</t>
  </si>
  <si>
    <t>Start</t>
  </si>
  <si>
    <t>Duration</t>
  </si>
  <si>
    <t>Coupon Frequency (months)</t>
  </si>
  <si>
    <t>Including Accrued Bonds</t>
  </si>
  <si>
    <t>Foreign exchange rates as per the Exchange Offer</t>
  </si>
  <si>
    <t>Coupon rate</t>
  </si>
  <si>
    <t>Bond Description (Exchange Offer terminology)</t>
  </si>
  <si>
    <t>Defined Term
(Exchange Offer Terminology)</t>
  </si>
  <si>
    <t>Principal Amount of New Bond per 100 Currency Units of Eligible Bond</t>
  </si>
  <si>
    <t>If participating to the exchange</t>
  </si>
  <si>
    <t>If NOT participating to the exchange, but being restructured nonetheless</t>
  </si>
  <si>
    <t>Direct transcription of the Exchange Offer Tables</t>
  </si>
  <si>
    <t>Computes actual conversion rates by currency and Eligible Bonds' Principal Amount</t>
  </si>
  <si>
    <t xml:space="preserve"> </t>
  </si>
  <si>
    <t>PA that consented</t>
  </si>
  <si>
    <t>SZ Recovery Rates Summary</t>
  </si>
  <si>
    <t>Market Recovery Rates Summary</t>
  </si>
  <si>
    <t>Market Recovery Rates</t>
  </si>
  <si>
    <t>SZ Recovery Rates</t>
  </si>
  <si>
    <t xml:space="preserve">Difference before-after APPs									</t>
  </si>
  <si>
    <t>Best</t>
  </si>
  <si>
    <t>Weighted by offers 
(after APPs)</t>
  </si>
  <si>
    <t>Weighted by offers 
(before APPs)</t>
  </si>
  <si>
    <t>Green/Blue cells have modified formulas to  include the fact that the Eligible Bond value is in Euros/CHF and the New Bond value is in USD</t>
  </si>
  <si>
    <t>Excluding Accrued Bonds</t>
  </si>
  <si>
    <t>Amount Issued in the Exchange</t>
  </si>
  <si>
    <t>Amount Issued for Expense Reimbursement</t>
  </si>
  <si>
    <t>None</t>
  </si>
  <si>
    <t>Bond Indenture</t>
  </si>
  <si>
    <t>Exit Exchange Rates</t>
  </si>
  <si>
    <t>Coupon Type</t>
  </si>
  <si>
    <t>New Bonds</t>
  </si>
  <si>
    <t>1%</t>
  </si>
  <si>
    <t>0.5%</t>
  </si>
  <si>
    <t>0.125% to 9-Jul-21; 0.5% to 9-Jul-23; 0.75% to 9-Jul-27; 1.75% to maturity</t>
  </si>
  <si>
    <t>0.125%</t>
  </si>
  <si>
    <t>0.125% to 9-Jul-21; 1.125% to 9-Jul-22; 1.5% to 9-Jul-23; 3.625% to 9-Jul-24; 4.125% to 9-Jul-27; 4.75% to 9-Jul-28; 5% to maturity</t>
  </si>
  <si>
    <t>0.125% to 9-Jul-21; 0.75% to 9-Jul-22; 0.875% to 9-Jul-23; 2.5% to 9-Jul-24; 3.875% to 9-Jul-27; 4% to maturity</t>
  </si>
  <si>
    <t>22 equal semi-annual payments on January 9 and July 9 of each year, commencing on January 9, 2027</t>
  </si>
  <si>
    <t>0.125% to 9-Jul-21; 2% to 9-Jul-22; 3.875% to 9-Jul-23; 4.25% to 9-Jul-24; 5% to maturity</t>
  </si>
  <si>
    <t>0.125% to 9-Jul-21; 1.5% to 9-Jul-22; 3% to 9-Jul-23; 3.75% to 9-Jul-24; 4.25% to maturity</t>
  </si>
  <si>
    <t>0.125% to 9-Jul-21; 2.5% to 9-Jul-22; 3.5% to 9-Jul-29; 4.875% to maturity</t>
  </si>
  <si>
    <t>0.125% to 9-Jul-21; 1.5% to 9-Jul-22; 2.75% to 9-Jul-23; 3% to 9-Jul-29; 4.5% to maturity</t>
  </si>
  <si>
    <t>28 equal semi-annual payments on January 9 and July 9 of each year, commencing on January 9, 2028</t>
  </si>
  <si>
    <t>13 equal semi-annual payments on January 9 and July 9 of each year, commencing on July 9, 2024</t>
  </si>
  <si>
    <t>10 equal semi-annual payments on January 9 and July 9 of each year, commencing on January 9, 2031</t>
  </si>
  <si>
    <t>10 equal semi-annual payments on January 9 and July 9 of each year, commencing on January 9, 2025</t>
  </si>
  <si>
    <t>0.125% to 9-Jul-21; 1.125% to 9-Jul-22; 1.5% to 9-Jul-23; 3.625% to 9-Jul-24; 4.125% to 9-Jul-27; 4.375% to 9-Jul-28; 5% to maturity</t>
  </si>
  <si>
    <t>0.125% to 9-Jul-21; 0.75% to 9-Jul-22; 0.875% to 9-Jul-23; 2.5% to 9-Jul-24; 3.75% to 9-Jul-25; 4% to 9-Jul-26; 4.125% to maturity</t>
  </si>
  <si>
    <t>44 equal semi-annual payments on January 9 and July 9 of each year, commencing on January 9, 2025</t>
  </si>
  <si>
    <t>Bond Issuance Cap</t>
  </si>
  <si>
    <t>Principal Amortization</t>
  </si>
  <si>
    <t>Principal Structure</t>
  </si>
  <si>
    <t>Annual Coupon Rates</t>
  </si>
  <si>
    <t>Actual Cashflows</t>
  </si>
  <si>
    <t>Exit Yield</t>
  </si>
  <si>
    <t>Year fractions</t>
  </si>
  <si>
    <t>Discount Factors</t>
  </si>
  <si>
    <t>Number of  Payments</t>
  </si>
  <si>
    <t>Aggregate Principal Amount of Valid Tender Orders 
(BEFORE application of Acceptance Priority Procedures)</t>
  </si>
  <si>
    <t>Aggregate Principal Amount of Valid Tender Orders 
(AFTER application of Acceptance Priority Procedures)</t>
  </si>
  <si>
    <t>exchange settlement date</t>
  </si>
  <si>
    <t>-1 month</t>
  </si>
  <si>
    <t>-2 months</t>
  </si>
  <si>
    <t>-3 months</t>
  </si>
  <si>
    <t>-6 months</t>
  </si>
  <si>
    <t>-4 months</t>
  </si>
  <si>
    <t>xxx</t>
  </si>
  <si>
    <t>S/A Coupon payment</t>
  </si>
  <si>
    <t>(Composite Mid Price)</t>
  </si>
  <si>
    <t>(Redemption Yield)</t>
  </si>
  <si>
    <t>Share of Principal Amount exchanged for given New Bond 
(BEFORE Acceptance Priority Procedures)</t>
  </si>
  <si>
    <t>Share of Principal Amount exchanged for given New Bond 
(AFTER Acceptance Priority Procedures)</t>
  </si>
  <si>
    <t>Difference before-after Acceptance Priority Procedures</t>
  </si>
  <si>
    <t>Companion Spreadsheet for</t>
  </si>
  <si>
    <t>by Carlo Galli and Stephane Guibaud</t>
  </si>
  <si>
    <t>Abbreviations</t>
  </si>
  <si>
    <t>EB</t>
  </si>
  <si>
    <t>Eligible Bonds</t>
  </si>
  <si>
    <t>NB</t>
  </si>
  <si>
    <t>NPV</t>
  </si>
  <si>
    <t>Net Present Value</t>
  </si>
  <si>
    <t>List of Sheets</t>
  </si>
  <si>
    <t>EBs List</t>
  </si>
  <si>
    <t>EBs NPVs</t>
  </si>
  <si>
    <t>EBs Prices</t>
  </si>
  <si>
    <t>NPV and duration calculations for the EBs</t>
  </si>
  <si>
    <t>Details on Kirchner and Macri EBs</t>
  </si>
  <si>
    <t>Historical prices and yields of the EBs. Source: LSEG Workspace</t>
  </si>
  <si>
    <t>Exchange Offer</t>
  </si>
  <si>
    <t>Details on the exchange conversion rates</t>
  </si>
  <si>
    <t>Exchange Results</t>
  </si>
  <si>
    <t>Details on the exchange recovery rates</t>
  </si>
  <si>
    <t>NBs List</t>
  </si>
  <si>
    <t>NBs NPVs</t>
  </si>
  <si>
    <t>NBs Prices</t>
  </si>
  <si>
    <t>Details on the New Bonds</t>
  </si>
  <si>
    <t>NPV and duration calculations for the NBs</t>
  </si>
  <si>
    <t>Historical prices and yields of the NBs. Source: LSEG Workspace</t>
  </si>
  <si>
    <t>"Majority Voting in Sovereign Restructurings: The Aggregation Dilemma"</t>
  </si>
  <si>
    <t>PA controlled by Argentina</t>
  </si>
  <si>
    <t>Principal Amount</t>
  </si>
  <si>
    <t>FV</t>
  </si>
  <si>
    <t>Face Value</t>
  </si>
  <si>
    <t>Effective
Face Value on Valuation Date</t>
  </si>
  <si>
    <t>Effective Face Value on Valuation Date</t>
  </si>
  <si>
    <t>- We denote by "Effective FV" the actual capitalised notional as of the exchange offer date (i.e., approx 140 USD and 138 EUR), and by the "Nominal" FV the theoretical notional that would appear in the Bond Prospectus at issuance.</t>
  </si>
  <si>
    <t>- In the "EBs List" and "Exchange Results" sheets, the PA outstanding is measured in Effective FV (i.e. if there was 1 bond outstanding, the PA outsanding would be approx 140 USD or 138 EUR).</t>
  </si>
  <si>
    <t>- In the "EBs Prices" sheet, we assume that the historical bond prices from LSEG Workspace are per 100 USD of Effective FV.</t>
  </si>
  <si>
    <t>- In the "EBs List" sheet, coupon rates are abusted by the Effective/Nominal FV ratio.</t>
  </si>
  <si>
    <t>- In the "Exhange Results" sheet, the Tendered Amounts must be multiplied by the Effective/Nominal FV ratio (approx 1.4) in order to reconcile the quantities with the "PA that consented" column.</t>
  </si>
  <si>
    <t>- In the "Exchange Offer" sheet, the offers are expressed in Nominal FV (i.e. 100), so we adjust them using the Effective/Nominal FV ratio.</t>
  </si>
  <si>
    <t>Notes regarding Kirchner "Discount" Bonds</t>
  </si>
  <si>
    <t>Kirchner EBs Cashflows</t>
  </si>
  <si>
    <t>Adjusted by Effective/Nominal FV Ratio</t>
  </si>
  <si>
    <t>Amortization Payment</t>
  </si>
  <si>
    <t>Note on below: First column is in the past so assuming no CF there. Second column is in less than 1 payment period, so we compute the accrued coupon.</t>
  </si>
  <si>
    <t>Other Notes</t>
  </si>
  <si>
    <t>-  In the "Exchange Results" sheet, "PA that consented" = "Sum of Tender Orders" - " PA controlled by Argentina", and "Consent share" = "PA that consented" / "PA Outstanding"</t>
  </si>
  <si>
    <t>Total PA outstanding</t>
  </si>
  <si>
    <t>Detailed cashflows, principal capitalization, and amortization structures of the Kirchner bonds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</si>
</sst>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_-;\-* #,##0_-;_-* &quot;-&quot;??_-;_-@_-"/>
    <numFmt numFmtId="165" formatCode="0.0"/>
    <numFmt numFmtId="166" formatCode="_(* #,##0.00_);_(* \(#,##0.00\);_(* &quot;-&quot;??_);_(@_)"/>
    <numFmt numFmtId="167" formatCode="0.0%"/>
    <numFmt numFmtId="168" formatCode="0.000"/>
    <numFmt numFmtId="169" formatCode="0.0000"/>
    <numFmt numFmtId="170" formatCode="0.000%"/>
    <numFmt numFmtId="171" formatCode="#,##0.000"/>
    <numFmt numFmtId="172" formatCode="#,##0;\-#,##0;\-"/>
    <numFmt numFmtId="173" formatCode="0.0%;\-0.0%;&quot;-&quot;"/>
    <numFmt numFmtId="174" formatCode="#,##0_ ;\-#,##0\ "/>
    <numFmt numFmtId="175" formatCode="#,##0.0000"/>
    <numFmt numFmtId="176" formatCode="#,##0.000;\-#,##0.000;\-"/>
    <numFmt numFmtId="177" formatCode="_-* #,##0.00\ _€_-;\-* #,##0.00\ _€_-;_-* &quot;-&quot;??\ _€_-;_-@_-"/>
    <numFmt numFmtId="178" formatCode="0.00000"/>
  </numFmts>
  <fonts count="15" x14ac:knownFonts="1">
    <font>
      <sz val="11"/>
      <color theme="1"/>
      <name val="Calibri"/>
      <family val="2"/>
      <scheme val="minor"/>
    </font>
    <font>
      <b/>
      <sz val="11"/>
      <color theme="1"/>
      <name val="Calibri"/>
      <family val="2"/>
      <scheme val="minor"/>
    </font>
    <font>
      <sz val="11"/>
      <color rgb="FF000000"/>
      <name val="Calibri"/>
      <family val="2"/>
    </font>
    <font>
      <sz val="11"/>
      <color theme="1"/>
      <name val="Calibri"/>
      <family val="2"/>
      <scheme val="minor"/>
    </font>
    <font>
      <sz val="10"/>
      <name val="Arial"/>
      <family val="2"/>
    </font>
    <font>
      <b/>
      <sz val="11"/>
      <name val="Calibri"/>
      <family val="2"/>
      <scheme val="minor"/>
    </font>
    <font>
      <sz val="11"/>
      <name val="Calibri"/>
      <family val="2"/>
      <scheme val="minor"/>
    </font>
    <font>
      <b/>
      <u/>
      <sz val="11"/>
      <color theme="1"/>
      <name val="Calibri"/>
      <family val="2"/>
      <scheme val="minor"/>
    </font>
    <font>
      <sz val="11"/>
      <color rgb="FFFF0000"/>
      <name val="Calibri"/>
      <family val="2"/>
      <scheme val="minor"/>
    </font>
    <font>
      <i/>
      <sz val="11"/>
      <color theme="1"/>
      <name val="Calibri"/>
      <family val="2"/>
      <scheme val="minor"/>
    </font>
    <font>
      <b/>
      <sz val="11"/>
      <color rgb="FFFF0000"/>
      <name val="Calibri"/>
      <family val="2"/>
      <scheme val="minor"/>
    </font>
    <font>
      <sz val="10"/>
      <color theme="1"/>
      <name val="Arial Narrow"/>
      <family val="2"/>
    </font>
    <font>
      <b/>
      <sz val="18"/>
      <color theme="1"/>
      <name val="Calibri"/>
      <family val="2"/>
      <scheme val="minor"/>
    </font>
    <font>
      <b/>
      <sz val="14"/>
      <color theme="1"/>
      <name val="Calibri"/>
      <family val="2"/>
      <scheme val="minor"/>
    </font>
    <font>
      <i/>
      <sz val="1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59999389629810485"/>
        <bgColor indexed="64"/>
      </patternFill>
    </fill>
  </fills>
  <borders count="12">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2" fillId="0" borderId="0" applyNumberFormat="0" applyBorder="0" applyAlignment="0"/>
    <xf numFmtId="43" fontId="3" fillId="0" borderId="0" applyFont="0" applyFill="0" applyBorder="0" applyAlignment="0" applyProtection="0"/>
    <xf numFmtId="9" fontId="3" fillId="0" borderId="0" applyFont="0" applyFill="0" applyBorder="0" applyAlignment="0" applyProtection="0"/>
    <xf numFmtId="0" fontId="4" fillId="0" borderId="0"/>
    <xf numFmtId="166" fontId="3" fillId="0" borderId="0" applyFont="0" applyFill="0" applyBorder="0" applyAlignment="0" applyProtection="0"/>
    <xf numFmtId="0" fontId="11" fillId="0" borderId="0"/>
  </cellStyleXfs>
  <cellXfs count="272">
    <xf numFmtId="0" fontId="0" fillId="0" borderId="0" xfId="0"/>
    <xf numFmtId="0" fontId="0" fillId="0" borderId="0" xfId="0" applyAlignment="1">
      <alignment vertical="center"/>
    </xf>
    <xf numFmtId="0" fontId="0" fillId="0" borderId="0" xfId="0" applyAlignment="1">
      <alignment horizontal="center" vertical="center" wrapText="1"/>
    </xf>
    <xf numFmtId="14" fontId="0" fillId="0" borderId="0" xfId="0" applyNumberFormat="1"/>
    <xf numFmtId="0" fontId="1" fillId="0" borderId="0" xfId="0" applyFont="1"/>
    <xf numFmtId="0" fontId="1" fillId="2" borderId="0" xfId="0" applyFont="1" applyFill="1"/>
    <xf numFmtId="2" fontId="0" fillId="0" borderId="0" xfId="0" applyNumberFormat="1"/>
    <xf numFmtId="0" fontId="0" fillId="0" borderId="0" xfId="0" applyAlignment="1">
      <alignment horizontal="center"/>
    </xf>
    <xf numFmtId="0" fontId="0" fillId="3" borderId="0" xfId="0" applyFill="1" applyAlignment="1">
      <alignment horizontal="center"/>
    </xf>
    <xf numFmtId="0" fontId="0" fillId="0" borderId="1" xfId="0" applyBorder="1"/>
    <xf numFmtId="0" fontId="0" fillId="0" borderId="1" xfId="0" applyBorder="1" applyAlignment="1">
      <alignment horizontal="center"/>
    </xf>
    <xf numFmtId="0" fontId="0" fillId="5" borderId="1" xfId="0" applyFill="1" applyBorder="1" applyAlignment="1">
      <alignment horizontal="center"/>
    </xf>
    <xf numFmtId="0" fontId="0" fillId="3" borderId="1" xfId="0" applyFill="1" applyBorder="1" applyAlignment="1">
      <alignment horizontal="center"/>
    </xf>
    <xf numFmtId="0" fontId="1" fillId="0" borderId="0" xfId="0" applyFont="1" applyAlignment="1">
      <alignment horizontal="center"/>
    </xf>
    <xf numFmtId="3" fontId="0" fillId="0" borderId="0" xfId="0" applyNumberFormat="1" applyAlignment="1">
      <alignment horizontal="center"/>
    </xf>
    <xf numFmtId="0" fontId="5" fillId="0" borderId="0" xfId="0" applyFont="1"/>
    <xf numFmtId="0" fontId="7" fillId="0" borderId="0" xfId="0" applyFont="1"/>
    <xf numFmtId="2" fontId="0" fillId="0" borderId="0" xfId="0" applyNumberFormat="1" applyAlignment="1">
      <alignment horizontal="center"/>
    </xf>
    <xf numFmtId="168" fontId="0" fillId="0" borderId="0" xfId="0" applyNumberFormat="1" applyAlignment="1">
      <alignment horizontal="center"/>
    </xf>
    <xf numFmtId="4" fontId="0" fillId="0" borderId="0" xfId="0" applyNumberFormat="1" applyAlignment="1">
      <alignment horizontal="center"/>
    </xf>
    <xf numFmtId="167" fontId="0" fillId="0" borderId="0" xfId="3" applyNumberFormat="1" applyFont="1" applyAlignment="1">
      <alignment horizontal="center"/>
    </xf>
    <xf numFmtId="0" fontId="8" fillId="0" borderId="0" xfId="0" applyFont="1"/>
    <xf numFmtId="169" fontId="0" fillId="0" borderId="0" xfId="0" applyNumberFormat="1"/>
    <xf numFmtId="164" fontId="0" fillId="0" borderId="0" xfId="2" applyNumberFormat="1" applyFont="1"/>
    <xf numFmtId="164" fontId="0" fillId="0" borderId="1" xfId="2" applyNumberFormat="1" applyFont="1" applyBorder="1"/>
    <xf numFmtId="164" fontId="0" fillId="0" borderId="0" xfId="2" applyNumberFormat="1" applyFont="1" applyBorder="1"/>
    <xf numFmtId="9" fontId="0" fillId="0" borderId="0" xfId="3" applyFont="1" applyBorder="1"/>
    <xf numFmtId="0" fontId="0" fillId="0" borderId="3" xfId="0" applyBorder="1"/>
    <xf numFmtId="0" fontId="0" fillId="0" borderId="4" xfId="0" applyBorder="1"/>
    <xf numFmtId="0" fontId="0" fillId="0" borderId="2" xfId="0" applyBorder="1"/>
    <xf numFmtId="167" fontId="0" fillId="0" borderId="0" xfId="3" applyNumberFormat="1" applyFont="1" applyFill="1" applyBorder="1"/>
    <xf numFmtId="43" fontId="0" fillId="0" borderId="0" xfId="2" applyFont="1"/>
    <xf numFmtId="0" fontId="9" fillId="0" borderId="0" xfId="0" applyFont="1"/>
    <xf numFmtId="164" fontId="0" fillId="0" borderId="0" xfId="0" applyNumberFormat="1"/>
    <xf numFmtId="0" fontId="0" fillId="0" borderId="6" xfId="0" applyBorder="1"/>
    <xf numFmtId="0" fontId="0" fillId="0" borderId="7" xfId="0" applyBorder="1"/>
    <xf numFmtId="0" fontId="0" fillId="0" borderId="5" xfId="0" applyBorder="1"/>
    <xf numFmtId="0" fontId="0" fillId="0" borderId="9" xfId="0" applyBorder="1"/>
    <xf numFmtId="0" fontId="0" fillId="0" borderId="10" xfId="0" applyBorder="1"/>
    <xf numFmtId="0" fontId="0" fillId="0" borderId="11" xfId="0"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70" fontId="3" fillId="0" borderId="0" xfId="3" applyNumberFormat="1" applyFont="1" applyFill="1" applyBorder="1" applyAlignment="1">
      <alignment horizontal="left"/>
    </xf>
    <xf numFmtId="170" fontId="3" fillId="0" borderId="1" xfId="3" applyNumberFormat="1" applyFont="1" applyFill="1" applyBorder="1" applyAlignment="1">
      <alignment horizontal="left"/>
    </xf>
    <xf numFmtId="0" fontId="0" fillId="0" borderId="0" xfId="0" applyAlignment="1">
      <alignment wrapText="1"/>
    </xf>
    <xf numFmtId="164" fontId="0" fillId="0" borderId="3" xfId="2" applyNumberFormat="1" applyFont="1" applyBorder="1"/>
    <xf numFmtId="164" fontId="0" fillId="0" borderId="2" xfId="2" applyNumberFormat="1" applyFont="1" applyBorder="1"/>
    <xf numFmtId="164" fontId="0" fillId="0" borderId="4" xfId="2" applyNumberFormat="1" applyFont="1" applyBorder="1"/>
    <xf numFmtId="164" fontId="1" fillId="0" borderId="5" xfId="2" applyNumberFormat="1" applyFont="1" applyBorder="1"/>
    <xf numFmtId="164" fontId="3" fillId="0" borderId="4" xfId="2" applyNumberFormat="1" applyFont="1" applyBorder="1"/>
    <xf numFmtId="172" fontId="0" fillId="0" borderId="0" xfId="0" applyNumberFormat="1" applyAlignment="1">
      <alignment horizontal="center"/>
    </xf>
    <xf numFmtId="173" fontId="0" fillId="0" borderId="0" xfId="3" applyNumberFormat="1" applyFont="1" applyBorder="1"/>
    <xf numFmtId="173" fontId="0" fillId="0" borderId="4" xfId="3" applyNumberFormat="1" applyFont="1" applyBorder="1"/>
    <xf numFmtId="173" fontId="0" fillId="0" borderId="3" xfId="3" applyNumberFormat="1" applyFont="1" applyBorder="1"/>
    <xf numFmtId="173" fontId="0" fillId="0" borderId="1" xfId="3" applyNumberFormat="1" applyFont="1" applyBorder="1"/>
    <xf numFmtId="173" fontId="0" fillId="0" borderId="5" xfId="3" applyNumberFormat="1" applyFont="1" applyBorder="1"/>
    <xf numFmtId="173" fontId="0" fillId="0" borderId="2" xfId="3" applyNumberFormat="1" applyFont="1" applyBorder="1"/>
    <xf numFmtId="0" fontId="10" fillId="0" borderId="0" xfId="0" applyFont="1"/>
    <xf numFmtId="164" fontId="0" fillId="0" borderId="7" xfId="2" applyNumberFormat="1" applyFont="1" applyBorder="1" applyAlignment="1">
      <alignment horizontal="center"/>
    </xf>
    <xf numFmtId="164" fontId="0" fillId="0" borderId="0" xfId="2" applyNumberFormat="1" applyFont="1" applyBorder="1" applyAlignment="1">
      <alignment horizontal="center"/>
    </xf>
    <xf numFmtId="164" fontId="0" fillId="0" borderId="1" xfId="2" applyNumberFormat="1" applyFont="1" applyBorder="1" applyAlignment="1">
      <alignment horizontal="center"/>
    </xf>
    <xf numFmtId="14" fontId="0" fillId="0" borderId="0" xfId="0" applyNumberFormat="1" applyAlignment="1">
      <alignment horizontal="center"/>
    </xf>
    <xf numFmtId="170" fontId="0" fillId="0" borderId="0" xfId="0" applyNumberFormat="1"/>
    <xf numFmtId="164" fontId="3" fillId="0" borderId="0" xfId="2" applyNumberFormat="1" applyFont="1" applyBorder="1"/>
    <xf numFmtId="0" fontId="0" fillId="0" borderId="0" xfId="0" applyAlignment="1">
      <alignment horizontal="center" wrapText="1"/>
    </xf>
    <xf numFmtId="10" fontId="0" fillId="0" borderId="0" xfId="3" applyNumberFormat="1" applyFont="1" applyBorder="1"/>
    <xf numFmtId="43" fontId="0" fillId="0" borderId="0" xfId="0" applyNumberFormat="1"/>
    <xf numFmtId="0" fontId="0" fillId="3" borderId="0" xfId="0" applyFill="1"/>
    <xf numFmtId="164" fontId="0" fillId="0" borderId="0" xfId="2" applyNumberFormat="1" applyFont="1" applyFill="1" applyBorder="1"/>
    <xf numFmtId="0" fontId="0" fillId="2" borderId="0" xfId="0" applyFill="1"/>
    <xf numFmtId="175" fontId="0" fillId="0" borderId="0" xfId="0" applyNumberFormat="1"/>
    <xf numFmtId="171" fontId="0" fillId="0" borderId="0" xfId="0" applyNumberFormat="1"/>
    <xf numFmtId="4" fontId="0" fillId="0" borderId="0" xfId="0" applyNumberFormat="1"/>
    <xf numFmtId="14" fontId="9" fillId="0" borderId="0" xfId="0" applyNumberFormat="1" applyFont="1"/>
    <xf numFmtId="43" fontId="0" fillId="0" borderId="6" xfId="2" applyFont="1" applyBorder="1"/>
    <xf numFmtId="43" fontId="0" fillId="0" borderId="7" xfId="2" applyFont="1" applyBorder="1"/>
    <xf numFmtId="43" fontId="0" fillId="0" borderId="4" xfId="2" applyFont="1" applyBorder="1"/>
    <xf numFmtId="43" fontId="0" fillId="0" borderId="0" xfId="2" applyFont="1" applyBorder="1"/>
    <xf numFmtId="43" fontId="0" fillId="3" borderId="4" xfId="2" applyFont="1" applyFill="1" applyBorder="1"/>
    <xf numFmtId="43" fontId="0" fillId="3" borderId="0" xfId="2" applyFont="1" applyFill="1" applyBorder="1"/>
    <xf numFmtId="0" fontId="0" fillId="3" borderId="1" xfId="0" applyFill="1" applyBorder="1"/>
    <xf numFmtId="43" fontId="0" fillId="3" borderId="5" xfId="2" applyFont="1" applyFill="1" applyBorder="1"/>
    <xf numFmtId="43" fontId="0" fillId="3" borderId="1" xfId="2" applyFont="1" applyFill="1" applyBorder="1"/>
    <xf numFmtId="43" fontId="0" fillId="0" borderId="0" xfId="2" applyFont="1" applyFill="1" applyBorder="1"/>
    <xf numFmtId="43" fontId="0" fillId="0" borderId="3" xfId="2" applyFont="1" applyFill="1" applyBorder="1"/>
    <xf numFmtId="43" fontId="0" fillId="0" borderId="1" xfId="2" applyFont="1" applyFill="1" applyBorder="1"/>
    <xf numFmtId="43" fontId="0" fillId="0" borderId="2" xfId="2" applyFont="1" applyFill="1" applyBorder="1"/>
    <xf numFmtId="4" fontId="0" fillId="3" borderId="0" xfId="0" applyNumberFormat="1" applyFill="1"/>
    <xf numFmtId="14" fontId="9" fillId="0" borderId="0" xfId="0" applyNumberFormat="1" applyFont="1" applyAlignment="1">
      <alignment horizontal="center"/>
    </xf>
    <xf numFmtId="0" fontId="7" fillId="0" borderId="0" xfId="0" applyFont="1" applyAlignment="1">
      <alignment horizontal="left"/>
    </xf>
    <xf numFmtId="168" fontId="9" fillId="0" borderId="0" xfId="0" applyNumberFormat="1" applyFont="1" applyAlignment="1">
      <alignment horizontal="center"/>
    </xf>
    <xf numFmtId="0" fontId="9" fillId="0" borderId="0" xfId="0" applyFont="1" applyAlignment="1">
      <alignment horizontal="center"/>
    </xf>
    <xf numFmtId="168" fontId="1" fillId="0" borderId="0" xfId="0" applyNumberFormat="1" applyFont="1" applyAlignment="1">
      <alignment horizontal="center"/>
    </xf>
    <xf numFmtId="168" fontId="9" fillId="0" borderId="3" xfId="0" applyNumberFormat="1" applyFont="1" applyBorder="1" applyAlignment="1">
      <alignment horizontal="center"/>
    </xf>
    <xf numFmtId="168" fontId="1" fillId="0" borderId="3" xfId="0" applyNumberFormat="1" applyFont="1" applyBorder="1" applyAlignment="1">
      <alignment horizontal="center"/>
    </xf>
    <xf numFmtId="168" fontId="0" fillId="0" borderId="3" xfId="0" applyNumberFormat="1" applyBorder="1" applyAlignment="1">
      <alignment horizontal="center"/>
    </xf>
    <xf numFmtId="0" fontId="9" fillId="0" borderId="3" xfId="0" applyFont="1" applyBorder="1" applyAlignment="1">
      <alignment horizontal="center"/>
    </xf>
    <xf numFmtId="14" fontId="0" fillId="0" borderId="0" xfId="0" applyNumberFormat="1" applyAlignment="1">
      <alignment horizontal="right"/>
    </xf>
    <xf numFmtId="14" fontId="9" fillId="0" borderId="0" xfId="0" applyNumberFormat="1" applyFont="1" applyAlignment="1">
      <alignment horizontal="right"/>
    </xf>
    <xf numFmtId="14" fontId="1" fillId="0" borderId="0" xfId="0" applyNumberFormat="1" applyFont="1" applyAlignment="1">
      <alignment horizontal="right"/>
    </xf>
    <xf numFmtId="0" fontId="0" fillId="0" borderId="0" xfId="0" applyAlignment="1">
      <alignment horizontal="right" vertical="center"/>
    </xf>
    <xf numFmtId="168" fontId="0" fillId="8" borderId="0" xfId="0" applyNumberFormat="1" applyFill="1" applyAlignment="1">
      <alignment horizontal="center"/>
    </xf>
    <xf numFmtId="4" fontId="0" fillId="4" borderId="0" xfId="0" applyNumberFormat="1" applyFill="1"/>
    <xf numFmtId="4" fontId="0" fillId="5" borderId="0" xfId="0" applyNumberFormat="1" applyFill="1"/>
    <xf numFmtId="176" fontId="0" fillId="0" borderId="6" xfId="0" applyNumberFormat="1" applyBorder="1" applyAlignment="1">
      <alignment horizontal="center"/>
    </xf>
    <xf numFmtId="176" fontId="0" fillId="0" borderId="7" xfId="0" applyNumberFormat="1" applyBorder="1" applyAlignment="1">
      <alignment horizontal="center"/>
    </xf>
    <xf numFmtId="176" fontId="0" fillId="0" borderId="8" xfId="0" applyNumberFormat="1" applyBorder="1" applyAlignment="1">
      <alignment horizontal="center"/>
    </xf>
    <xf numFmtId="176" fontId="0" fillId="0" borderId="4" xfId="0" applyNumberFormat="1" applyBorder="1" applyAlignment="1">
      <alignment horizontal="center"/>
    </xf>
    <xf numFmtId="176" fontId="0" fillId="0" borderId="0" xfId="0" applyNumberFormat="1" applyAlignment="1">
      <alignment horizontal="center"/>
    </xf>
    <xf numFmtId="176" fontId="0" fillId="0" borderId="3" xfId="0" applyNumberFormat="1" applyBorder="1" applyAlignment="1">
      <alignment horizontal="center"/>
    </xf>
    <xf numFmtId="176" fontId="0" fillId="0" borderId="1" xfId="0" applyNumberFormat="1" applyBorder="1" applyAlignment="1">
      <alignment horizontal="center"/>
    </xf>
    <xf numFmtId="176" fontId="0" fillId="0" borderId="2" xfId="0" applyNumberFormat="1" applyBorder="1" applyAlignment="1">
      <alignment horizontal="center"/>
    </xf>
    <xf numFmtId="14" fontId="0" fillId="2" borderId="0" xfId="0" applyNumberFormat="1" applyFill="1"/>
    <xf numFmtId="0" fontId="0" fillId="0" borderId="9" xfId="0" applyBorder="1" applyAlignment="1">
      <alignment vertical="center" wrapText="1"/>
    </xf>
    <xf numFmtId="0" fontId="0" fillId="0" borderId="10" xfId="0" applyBorder="1" applyAlignment="1">
      <alignment vertical="center" wrapText="1"/>
    </xf>
    <xf numFmtId="0" fontId="0" fillId="0" borderId="10" xfId="0" applyBorder="1" applyAlignment="1">
      <alignment horizontal="center" vertical="center" wrapText="1"/>
    </xf>
    <xf numFmtId="0" fontId="0" fillId="0" borderId="11" xfId="0" applyBorder="1" applyAlignment="1">
      <alignment vertical="center" wrapText="1"/>
    </xf>
    <xf numFmtId="0" fontId="1" fillId="7" borderId="0" xfId="0" applyFont="1" applyFill="1" applyAlignment="1">
      <alignment horizontal="left"/>
    </xf>
    <xf numFmtId="176" fontId="0" fillId="3" borderId="4" xfId="0" applyNumberFormat="1" applyFill="1" applyBorder="1" applyAlignment="1">
      <alignment horizontal="center"/>
    </xf>
    <xf numFmtId="176" fontId="0" fillId="3" borderId="0" xfId="0" applyNumberFormat="1" applyFill="1" applyAlignment="1">
      <alignment horizontal="center"/>
    </xf>
    <xf numFmtId="176" fontId="0" fillId="3" borderId="5" xfId="0" applyNumberFormat="1" applyFill="1" applyBorder="1" applyAlignment="1">
      <alignment horizontal="center"/>
    </xf>
    <xf numFmtId="176" fontId="0" fillId="3" borderId="1" xfId="0" applyNumberFormat="1" applyFill="1" applyBorder="1" applyAlignment="1">
      <alignment horizontal="center"/>
    </xf>
    <xf numFmtId="176" fontId="0" fillId="5" borderId="5" xfId="0" applyNumberFormat="1" applyFill="1" applyBorder="1" applyAlignment="1">
      <alignment horizontal="center"/>
    </xf>
    <xf numFmtId="176" fontId="0" fillId="5" borderId="1" xfId="0" applyNumberFormat="1" applyFill="1" applyBorder="1" applyAlignment="1">
      <alignment horizontal="center"/>
    </xf>
    <xf numFmtId="176" fontId="0" fillId="3" borderId="7" xfId="0" applyNumberFormat="1" applyFill="1" applyBorder="1" applyAlignment="1">
      <alignment horizontal="center"/>
    </xf>
    <xf numFmtId="0" fontId="0" fillId="7" borderId="0" xfId="0" applyFill="1" applyAlignment="1">
      <alignment horizontal="center"/>
    </xf>
    <xf numFmtId="164" fontId="0" fillId="0" borderId="0" xfId="2" applyNumberFormat="1" applyFont="1" applyAlignment="1">
      <alignment horizontal="center"/>
    </xf>
    <xf numFmtId="164" fontId="0" fillId="7" borderId="0" xfId="2" applyNumberFormat="1" applyFont="1" applyFill="1" applyAlignment="1">
      <alignment horizontal="center"/>
    </xf>
    <xf numFmtId="0" fontId="0" fillId="5" borderId="1" xfId="0" applyFill="1" applyBorder="1"/>
    <xf numFmtId="43" fontId="0" fillId="5" borderId="5" xfId="2" applyFont="1" applyFill="1" applyBorder="1"/>
    <xf numFmtId="43" fontId="0" fillId="5" borderId="1" xfId="2" applyFont="1" applyFill="1" applyBorder="1"/>
    <xf numFmtId="43" fontId="0" fillId="5" borderId="2" xfId="2" applyFont="1" applyFill="1" applyBorder="1"/>
    <xf numFmtId="43" fontId="0" fillId="0" borderId="7" xfId="2" applyFont="1" applyFill="1" applyBorder="1"/>
    <xf numFmtId="177" fontId="0" fillId="0" borderId="0" xfId="0" applyNumberFormat="1"/>
    <xf numFmtId="0" fontId="6" fillId="0" borderId="0" xfId="0" applyFont="1"/>
    <xf numFmtId="2" fontId="0" fillId="0" borderId="1" xfId="0" applyNumberFormat="1" applyBorder="1" applyAlignment="1">
      <alignment horizontal="center"/>
    </xf>
    <xf numFmtId="164" fontId="0" fillId="0" borderId="0" xfId="0" applyNumberFormat="1" applyAlignment="1">
      <alignment horizontal="center"/>
    </xf>
    <xf numFmtId="165" fontId="0" fillId="0" borderId="0" xfId="0" applyNumberFormat="1"/>
    <xf numFmtId="0" fontId="0" fillId="0" borderId="0" xfId="0" applyAlignment="1">
      <alignment horizontal="center" vertical="center"/>
    </xf>
    <xf numFmtId="1" fontId="3" fillId="0" borderId="0" xfId="3" applyNumberFormat="1" applyFont="1" applyFill="1" applyBorder="1" applyAlignment="1">
      <alignment horizontal="left"/>
    </xf>
    <xf numFmtId="1" fontId="3" fillId="0" borderId="1" xfId="3" applyNumberFormat="1" applyFont="1" applyFill="1" applyBorder="1" applyAlignment="1">
      <alignment horizontal="left"/>
    </xf>
    <xf numFmtId="0" fontId="9" fillId="3" borderId="0" xfId="0" applyFont="1" applyFill="1" applyAlignment="1">
      <alignment horizontal="center"/>
    </xf>
    <xf numFmtId="168" fontId="1" fillId="3" borderId="0" xfId="0" applyNumberFormat="1" applyFont="1" applyFill="1" applyAlignment="1">
      <alignment horizontal="center"/>
    </xf>
    <xf numFmtId="168" fontId="0" fillId="3" borderId="0" xfId="0" applyNumberFormat="1" applyFill="1" applyAlignment="1">
      <alignment horizontal="center"/>
    </xf>
    <xf numFmtId="176" fontId="0" fillId="6" borderId="0" xfId="0" applyNumberFormat="1" applyFill="1" applyAlignment="1">
      <alignment horizontal="center"/>
    </xf>
    <xf numFmtId="176" fontId="0" fillId="6" borderId="8" xfId="0" applyNumberFormat="1" applyFill="1" applyBorder="1" applyAlignment="1">
      <alignment horizontal="center"/>
    </xf>
    <xf numFmtId="176" fontId="0" fillId="0" borderId="0" xfId="0" applyNumberFormat="1"/>
    <xf numFmtId="176" fontId="0" fillId="6" borderId="3" xfId="0" applyNumberFormat="1" applyFill="1" applyBorder="1" applyAlignment="1">
      <alignment horizontal="center"/>
    </xf>
    <xf numFmtId="176" fontId="0" fillId="5" borderId="2" xfId="0" applyNumberFormat="1" applyFill="1" applyBorder="1" applyAlignment="1">
      <alignment horizontal="center"/>
    </xf>
    <xf numFmtId="176" fontId="0" fillId="6" borderId="7" xfId="0" applyNumberFormat="1" applyFill="1" applyBorder="1" applyAlignment="1">
      <alignment horizontal="center"/>
    </xf>
    <xf numFmtId="176" fontId="0" fillId="3" borderId="3" xfId="0" applyNumberFormat="1" applyFill="1" applyBorder="1" applyAlignment="1">
      <alignment horizontal="center"/>
    </xf>
    <xf numFmtId="176" fontId="0" fillId="3" borderId="2" xfId="0" applyNumberFormat="1" applyFill="1" applyBorder="1" applyAlignment="1">
      <alignment horizontal="center"/>
    </xf>
    <xf numFmtId="10" fontId="0" fillId="0" borderId="1" xfId="3" applyNumberFormat="1" applyFont="1" applyBorder="1" applyAlignment="1">
      <alignment horizontal="center"/>
    </xf>
    <xf numFmtId="10" fontId="0" fillId="0" borderId="0" xfId="3" applyNumberFormat="1" applyFont="1" applyBorder="1" applyAlignment="1">
      <alignment horizontal="center"/>
    </xf>
    <xf numFmtId="0" fontId="0" fillId="0" borderId="7" xfId="0" applyBorder="1" applyAlignment="1">
      <alignment horizontal="center"/>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14" fillId="0" borderId="0" xfId="0" applyFont="1"/>
    <xf numFmtId="176" fontId="0" fillId="0" borderId="5" xfId="0" applyNumberFormat="1" applyBorder="1" applyAlignment="1">
      <alignment horizontal="center"/>
    </xf>
    <xf numFmtId="0" fontId="0" fillId="0" borderId="0" xfId="0" applyAlignment="1">
      <alignment vertical="center" wrapText="1"/>
    </xf>
    <xf numFmtId="0" fontId="0" fillId="2" borderId="0" xfId="0" applyFill="1" applyAlignment="1">
      <alignment vertical="center" wrapText="1"/>
    </xf>
    <xf numFmtId="15" fontId="0" fillId="0" borderId="0" xfId="0" applyNumberFormat="1" applyAlignment="1">
      <alignment horizontal="center"/>
    </xf>
    <xf numFmtId="169" fontId="3" fillId="7" borderId="0" xfId="2" applyNumberFormat="1" applyFont="1" applyFill="1" applyAlignment="1">
      <alignment horizontal="center"/>
    </xf>
    <xf numFmtId="2" fontId="0" fillId="0" borderId="7" xfId="0" applyNumberFormat="1" applyBorder="1" applyAlignment="1">
      <alignment horizontal="center"/>
    </xf>
    <xf numFmtId="2" fontId="0" fillId="0" borderId="8" xfId="0" applyNumberFormat="1" applyBorder="1" applyAlignment="1">
      <alignment horizontal="center"/>
    </xf>
    <xf numFmtId="2" fontId="0" fillId="0" borderId="3" xfId="0" applyNumberFormat="1" applyBorder="1" applyAlignment="1">
      <alignment horizontal="center"/>
    </xf>
    <xf numFmtId="2" fontId="0" fillId="0" borderId="2" xfId="0" applyNumberFormat="1" applyBorder="1" applyAlignment="1">
      <alignment horizontal="center"/>
    </xf>
    <xf numFmtId="174" fontId="0" fillId="0" borderId="7" xfId="2" applyNumberFormat="1" applyFont="1" applyBorder="1" applyAlignment="1">
      <alignment horizontal="right"/>
    </xf>
    <xf numFmtId="174" fontId="0" fillId="0" borderId="0" xfId="2" applyNumberFormat="1" applyFont="1" applyBorder="1" applyAlignment="1">
      <alignment horizontal="right"/>
    </xf>
    <xf numFmtId="174" fontId="0" fillId="0" borderId="1" xfId="2" applyNumberFormat="1" applyFont="1" applyBorder="1" applyAlignment="1">
      <alignment horizontal="right"/>
    </xf>
    <xf numFmtId="49" fontId="0" fillId="0" borderId="7" xfId="0" applyNumberFormat="1" applyBorder="1"/>
    <xf numFmtId="49" fontId="0" fillId="0" borderId="0" xfId="0" applyNumberFormat="1"/>
    <xf numFmtId="49" fontId="0" fillId="0" borderId="1" xfId="0" applyNumberFormat="1" applyBorder="1"/>
    <xf numFmtId="164" fontId="0" fillId="0" borderId="0" xfId="2" applyNumberFormat="1" applyFont="1" applyFill="1" applyBorder="1" applyAlignment="1">
      <alignment horizontal="center"/>
    </xf>
    <xf numFmtId="0" fontId="0" fillId="7" borderId="0" xfId="0" applyFill="1" applyAlignment="1">
      <alignment horizontal="center" vertical="center" wrapText="1"/>
    </xf>
    <xf numFmtId="43" fontId="0" fillId="0" borderId="7" xfId="2" applyFont="1" applyBorder="1" applyAlignment="1"/>
    <xf numFmtId="43" fontId="0" fillId="0" borderId="6" xfId="2" applyFont="1" applyBorder="1" applyAlignment="1"/>
    <xf numFmtId="43" fontId="0" fillId="0" borderId="4" xfId="2" applyFont="1" applyBorder="1" applyAlignment="1"/>
    <xf numFmtId="43" fontId="0" fillId="0" borderId="0" xfId="2" applyFont="1" applyBorder="1" applyAlignment="1"/>
    <xf numFmtId="43" fontId="0" fillId="3" borderId="4" xfId="2" applyFont="1" applyFill="1" applyBorder="1" applyAlignment="1"/>
    <xf numFmtId="43" fontId="0" fillId="3" borderId="0" xfId="2" applyFont="1" applyFill="1" applyBorder="1" applyAlignment="1"/>
    <xf numFmtId="43" fontId="0" fillId="0" borderId="0" xfId="2" applyFont="1" applyFill="1" applyBorder="1" applyAlignment="1"/>
    <xf numFmtId="43" fontId="0" fillId="0" borderId="3" xfId="2" applyFont="1" applyFill="1" applyBorder="1" applyAlignment="1"/>
    <xf numFmtId="43" fontId="0" fillId="3" borderId="5" xfId="2" applyFont="1" applyFill="1" applyBorder="1" applyAlignment="1"/>
    <xf numFmtId="43" fontId="0" fillId="3" borderId="1" xfId="2" applyFont="1" applyFill="1" applyBorder="1" applyAlignment="1"/>
    <xf numFmtId="43" fontId="0" fillId="0" borderId="1" xfId="2" applyFont="1" applyFill="1" applyBorder="1" applyAlignment="1"/>
    <xf numFmtId="43" fontId="0" fillId="0" borderId="2" xfId="2" applyFont="1" applyFill="1" applyBorder="1" applyAlignment="1"/>
    <xf numFmtId="43" fontId="0" fillId="5" borderId="5" xfId="2" applyFont="1" applyFill="1" applyBorder="1" applyAlignment="1"/>
    <xf numFmtId="43" fontId="0" fillId="5" borderId="1" xfId="2" applyFont="1" applyFill="1" applyBorder="1" applyAlignment="1"/>
    <xf numFmtId="43" fontId="0" fillId="5" borderId="2" xfId="2" applyFont="1" applyFill="1" applyBorder="1" applyAlignment="1"/>
    <xf numFmtId="0" fontId="0" fillId="0" borderId="0" xfId="0" quotePrefix="1"/>
    <xf numFmtId="0" fontId="0" fillId="0" borderId="0" xfId="0" applyAlignment="1">
      <alignment horizontal="right"/>
    </xf>
    <xf numFmtId="2" fontId="0" fillId="0" borderId="0" xfId="0" applyNumberFormat="1" applyAlignment="1">
      <alignment horizontal="center" vertical="center" wrapText="1"/>
    </xf>
    <xf numFmtId="167" fontId="1" fillId="0" borderId="0" xfId="3" applyNumberFormat="1" applyFont="1" applyAlignment="1">
      <alignment horizontal="center"/>
    </xf>
    <xf numFmtId="2" fontId="1" fillId="0" borderId="0" xfId="0" applyNumberFormat="1" applyFont="1" applyAlignment="1">
      <alignment horizontal="center"/>
    </xf>
    <xf numFmtId="0" fontId="7" fillId="0" borderId="0" xfId="0" applyFont="1" applyAlignment="1">
      <alignment horizontal="right"/>
    </xf>
    <xf numFmtId="2" fontId="0" fillId="0" borderId="0" xfId="0" applyNumberFormat="1" applyAlignment="1">
      <alignment horizontal="left"/>
    </xf>
    <xf numFmtId="0" fontId="6" fillId="0" borderId="4" xfId="0" applyFont="1" applyBorder="1"/>
    <xf numFmtId="0" fontId="6" fillId="0" borderId="0" xfId="0" applyFont="1" applyAlignment="1">
      <alignment horizontal="center"/>
    </xf>
    <xf numFmtId="0" fontId="6" fillId="0" borderId="3" xfId="0" applyFont="1" applyBorder="1"/>
    <xf numFmtId="164" fontId="6" fillId="0" borderId="0" xfId="2" applyNumberFormat="1" applyFont="1" applyBorder="1" applyAlignment="1">
      <alignment horizontal="center"/>
    </xf>
    <xf numFmtId="10" fontId="6" fillId="0" borderId="0" xfId="3" applyNumberFormat="1" applyFont="1" applyBorder="1" applyAlignment="1">
      <alignment horizontal="center"/>
    </xf>
    <xf numFmtId="164" fontId="6" fillId="0" borderId="4" xfId="2" applyNumberFormat="1" applyFont="1" applyBorder="1"/>
    <xf numFmtId="164" fontId="6" fillId="0" borderId="0" xfId="2" applyNumberFormat="1" applyFont="1" applyBorder="1"/>
    <xf numFmtId="164" fontId="6" fillId="0" borderId="3" xfId="2" applyNumberFormat="1" applyFont="1" applyBorder="1"/>
    <xf numFmtId="164" fontId="6" fillId="0" borderId="0" xfId="2" applyNumberFormat="1" applyFont="1" applyFill="1" applyBorder="1"/>
    <xf numFmtId="164" fontId="6" fillId="0" borderId="0" xfId="2" applyNumberFormat="1" applyFont="1" applyFill="1" applyBorder="1" applyAlignment="1">
      <alignment horizontal="center"/>
    </xf>
    <xf numFmtId="10" fontId="6" fillId="0" borderId="0" xfId="3" applyNumberFormat="1" applyFont="1" applyFill="1" applyBorder="1" applyAlignment="1">
      <alignment horizontal="center"/>
    </xf>
    <xf numFmtId="164" fontId="6" fillId="0" borderId="4" xfId="2" applyNumberFormat="1" applyFont="1" applyFill="1" applyBorder="1"/>
    <xf numFmtId="164" fontId="6" fillId="0" borderId="3" xfId="2" applyNumberFormat="1" applyFont="1" applyFill="1" applyBorder="1"/>
    <xf numFmtId="164" fontId="0" fillId="0" borderId="3" xfId="2" applyNumberFormat="1" applyFont="1" applyFill="1" applyBorder="1"/>
    <xf numFmtId="173" fontId="0" fillId="0" borderId="0" xfId="3" applyNumberFormat="1" applyFont="1" applyFill="1" applyBorder="1"/>
    <xf numFmtId="173" fontId="0" fillId="0" borderId="4" xfId="3" applyNumberFormat="1" applyFont="1" applyFill="1" applyBorder="1"/>
    <xf numFmtId="173" fontId="0" fillId="0" borderId="3" xfId="3" applyNumberFormat="1" applyFont="1" applyFill="1" applyBorder="1"/>
    <xf numFmtId="164" fontId="6" fillId="4" borderId="0" xfId="2" applyNumberFormat="1" applyFont="1" applyFill="1" applyBorder="1" applyAlignment="1">
      <alignment horizontal="center"/>
    </xf>
    <xf numFmtId="10" fontId="6" fillId="4" borderId="0" xfId="3" applyNumberFormat="1" applyFont="1" applyFill="1" applyBorder="1" applyAlignment="1">
      <alignment horizontal="center"/>
    </xf>
    <xf numFmtId="0" fontId="6" fillId="0" borderId="2" xfId="0" applyFont="1" applyBorder="1"/>
    <xf numFmtId="164" fontId="6" fillId="4" borderId="1" xfId="2" applyNumberFormat="1" applyFont="1" applyFill="1" applyBorder="1" applyAlignment="1">
      <alignment horizontal="center"/>
    </xf>
    <xf numFmtId="10" fontId="6" fillId="4" borderId="1" xfId="3" applyNumberFormat="1" applyFont="1" applyFill="1" applyBorder="1" applyAlignment="1">
      <alignment horizontal="center"/>
    </xf>
    <xf numFmtId="164" fontId="6" fillId="0" borderId="5" xfId="2" applyNumberFormat="1" applyFont="1" applyBorder="1"/>
    <xf numFmtId="43" fontId="0" fillId="0" borderId="8" xfId="2" applyFont="1" applyBorder="1" applyAlignment="1">
      <alignment horizontal="center"/>
    </xf>
    <xf numFmtId="43" fontId="0" fillId="0" borderId="3" xfId="2" applyFont="1" applyBorder="1" applyAlignment="1">
      <alignment horizontal="center"/>
    </xf>
    <xf numFmtId="43" fontId="0" fillId="0" borderId="3" xfId="2" applyFont="1" applyFill="1" applyBorder="1" applyAlignment="1">
      <alignment horizontal="center"/>
    </xf>
    <xf numFmtId="43" fontId="0" fillId="0" borderId="2" xfId="2" applyFont="1" applyFill="1" applyBorder="1" applyAlignment="1">
      <alignment horizontal="center"/>
    </xf>
    <xf numFmtId="43" fontId="0" fillId="0" borderId="8" xfId="2" applyFont="1" applyFill="1" applyBorder="1"/>
    <xf numFmtId="43" fontId="0" fillId="0" borderId="7" xfId="2" applyFont="1" applyFill="1" applyBorder="1" applyAlignment="1"/>
    <xf numFmtId="43" fontId="0" fillId="0" borderId="8" xfId="2" applyFont="1" applyFill="1" applyBorder="1" applyAlignment="1"/>
    <xf numFmtId="43" fontId="0" fillId="0" borderId="0" xfId="2" applyFont="1" applyFill="1"/>
    <xf numFmtId="43" fontId="0" fillId="0" borderId="0" xfId="0" applyNumberFormat="1" applyAlignment="1">
      <alignment horizontal="center"/>
    </xf>
    <xf numFmtId="0" fontId="0" fillId="0" borderId="0" xfId="0" applyAlignment="1">
      <alignment horizontal="left" vertical="center"/>
    </xf>
    <xf numFmtId="4" fontId="0" fillId="0" borderId="1" xfId="0" applyNumberFormat="1" applyBorder="1" applyAlignment="1">
      <alignment horizontal="center"/>
    </xf>
    <xf numFmtId="4" fontId="1" fillId="0" borderId="0" xfId="0" applyNumberFormat="1" applyFont="1" applyAlignment="1">
      <alignment horizontal="center"/>
    </xf>
    <xf numFmtId="164" fontId="3" fillId="0" borderId="0" xfId="2" applyNumberFormat="1" applyFont="1" applyFill="1" applyBorder="1" applyAlignment="1">
      <alignment horizontal="center"/>
    </xf>
    <xf numFmtId="43" fontId="3" fillId="0" borderId="3" xfId="2" applyFont="1" applyFill="1" applyBorder="1" applyAlignment="1">
      <alignment horizontal="center"/>
    </xf>
    <xf numFmtId="164" fontId="3" fillId="0" borderId="1" xfId="2" applyNumberFormat="1" applyFont="1" applyFill="1" applyBorder="1" applyAlignment="1">
      <alignment horizontal="center"/>
    </xf>
    <xf numFmtId="43" fontId="3" fillId="0" borderId="2" xfId="2" applyFont="1" applyFill="1" applyBorder="1" applyAlignment="1">
      <alignment horizontal="center"/>
    </xf>
    <xf numFmtId="15" fontId="0" fillId="0" borderId="1" xfId="0" applyNumberFormat="1" applyBorder="1" applyAlignment="1">
      <alignment horizontal="center"/>
    </xf>
    <xf numFmtId="15" fontId="0" fillId="0" borderId="0" xfId="0" applyNumberFormat="1"/>
    <xf numFmtId="15" fontId="0" fillId="0" borderId="1" xfId="0" applyNumberFormat="1" applyBorder="1"/>
    <xf numFmtId="15" fontId="0" fillId="0" borderId="3" xfId="0" applyNumberFormat="1" applyBorder="1" applyAlignment="1">
      <alignment horizontal="center"/>
    </xf>
    <xf numFmtId="15" fontId="0" fillId="3" borderId="0" xfId="0" applyNumberFormat="1" applyFill="1" applyAlignment="1">
      <alignment horizontal="center"/>
    </xf>
    <xf numFmtId="15" fontId="0" fillId="6" borderId="0" xfId="0" applyNumberFormat="1" applyFill="1" applyAlignment="1">
      <alignment horizontal="center"/>
    </xf>
    <xf numFmtId="15" fontId="0" fillId="2" borderId="0" xfId="0" applyNumberFormat="1" applyFill="1"/>
    <xf numFmtId="15" fontId="1" fillId="0" borderId="0" xfId="0" applyNumberFormat="1" applyFont="1" applyAlignment="1">
      <alignment horizontal="center"/>
    </xf>
    <xf numFmtId="15" fontId="9" fillId="0" borderId="0" xfId="0" applyNumberFormat="1" applyFont="1"/>
    <xf numFmtId="15" fontId="0" fillId="0" borderId="7" xfId="0" applyNumberFormat="1" applyBorder="1" applyAlignment="1">
      <alignment horizontal="center"/>
    </xf>
    <xf numFmtId="15" fontId="0" fillId="7" borderId="0" xfId="0" applyNumberFormat="1" applyFill="1" applyAlignment="1">
      <alignment horizontal="center" vertical="center" wrapText="1"/>
    </xf>
    <xf numFmtId="178" fontId="0" fillId="0" borderId="0" xfId="0" applyNumberFormat="1"/>
    <xf numFmtId="0" fontId="0" fillId="0" borderId="0" xfId="0" applyAlignment="1">
      <alignment horizontal="center"/>
    </xf>
    <xf numFmtId="0" fontId="12" fillId="0" borderId="0" xfId="0" applyFont="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6"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6" xfId="0" applyFont="1" applyBorder="1" applyAlignment="1">
      <alignment horizontal="center"/>
    </xf>
    <xf numFmtId="0" fontId="13" fillId="0" borderId="7" xfId="0" applyFont="1" applyBorder="1" applyAlignment="1">
      <alignment horizontal="center"/>
    </xf>
    <xf numFmtId="0" fontId="13" fillId="0" borderId="8" xfId="0" applyFont="1" applyBorder="1" applyAlignment="1">
      <alignment horizontal="center"/>
    </xf>
    <xf numFmtId="0" fontId="0" fillId="0" borderId="6" xfId="0" applyBorder="1"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1" xfId="0" applyBorder="1" applyAlignment="1">
      <alignment horizontal="center" wrapText="1"/>
    </xf>
    <xf numFmtId="0" fontId="0" fillId="0" borderId="8" xfId="0" applyBorder="1" applyAlignment="1">
      <alignment horizontal="center" wrapText="1"/>
    </xf>
    <xf numFmtId="0" fontId="0" fillId="0" borderId="2" xfId="0" applyBorder="1" applyAlignment="1">
      <alignment horizontal="center" wrapText="1"/>
    </xf>
    <xf numFmtId="0" fontId="1" fillId="0" borderId="0" xfId="0" applyFont="1" applyAlignment="1">
      <alignment horizontal="center"/>
    </xf>
  </cellXfs>
  <cellStyles count="7">
    <cellStyle name="Comma" xfId="2" builtinId="3"/>
    <cellStyle name="Comma 2" xfId="5" xr:uid="{E32B5A5E-F90F-4FC7-BEDB-56C45DFE5078}"/>
    <cellStyle name="Normal" xfId="0" builtinId="0"/>
    <cellStyle name="Normal 2" xfId="1" xr:uid="{31DD823D-B874-404F-A37C-034CD30E645E}"/>
    <cellStyle name="Normal 2 2" xfId="4" xr:uid="{5E83A7B6-94A4-42D6-B67B-B17E26FE610D}"/>
    <cellStyle name="Normal 2 2 2" xfId="6" xr:uid="{4EAE533C-0EA5-2341-9640-9E2FC32739F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40342AE-DB33-CF4D-971A-69E27598B690}">
  <we:reference id="wa200000565" version="1.0.0.79" store="en-GB" storeType="OMEX"/>
  <we:alternateReferences>
    <we:reference id="wa200000565" version="1.0.0.79" store="WA200000565" storeType="OMEX"/>
  </we:alternateReferences>
  <we:properties>
    <we:property name="userSettings_GEDTC-904487" value="&quot;{\&quot;dex2RequestClickThrough\&quot;:true,\&quot;isKeepRICUpperCase\&quot;:false,\&quot;functionSeparator\&quot;:\&quot;;\&quot;,\&quot;instrumentsHeaderSetting\&quot;:{\&quot;isInclude\&quot;:true,\&quot;headerPosition\&quot;:\&quot;Row\&quot;},\&quot;fieldsHeaderSetting\&quot;:{\&quot;isInclude\&quot;:true,\&quot;headerPosition\&quot;:\&quot;Column\&quot;},\&quot;dateHeaderSetting\&quot;:{\&quot;isInclude\&quot;:true,\&quot;headerPosition\&quot;:\&quot;Column\&quot;},\&quot;commonUserFundamentalsType\&quot;:\&quot;PLATFORM_DEFAULT\&quot;,\&quot;pauseMode\&quot;:fals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RDP.Data</we:customFunctionIds>
        <we:customFunctionIds>RDP.Price</we:customFunctionIds>
        <we:customFunctionIds>RDP.HistoricalPricing</we:customFunctionIds>
        <we:customFunctionIds>RDP.Analytics</we:customFunctionIds>
        <we:customFunctionIds>RDP.Search</we:customFunctionIds>
        <we:customFunctionIds>RDP.Now</we:customFunctionIds>
        <we:customFunctionIds>RDP.Today</we:customFunctionIds>
        <we:customFunctionIds>RDP.Aggregate</we:customFunctionIds>
      </we:customFunctionIdList>
    </a:ext>
  </we:extLst>
</we:webextension>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6D36D-D3D9-BD44-8FAE-40DDCF58428D}">
  <dimension ref="A1:J37"/>
  <sheetViews>
    <sheetView showGridLines="0" tabSelected="1" zoomScale="120" zoomScaleNormal="120" workbookViewId="0"/>
  </sheetViews>
  <sheetFormatPr baseColWidth="10" defaultRowHeight="15" x14ac:dyDescent="0.2"/>
  <cols>
    <col min="1" max="1" width="21" customWidth="1"/>
    <col min="2" max="2" width="14.5" customWidth="1"/>
  </cols>
  <sheetData>
    <row r="1" spans="1:10" x14ac:dyDescent="0.2">
      <c r="A1" t="s">
        <v>322</v>
      </c>
    </row>
    <row r="2" spans="1:10" x14ac:dyDescent="0.2">
      <c r="A2" s="4" t="s">
        <v>347</v>
      </c>
    </row>
    <row r="3" spans="1:10" x14ac:dyDescent="0.2">
      <c r="A3" s="32" t="s">
        <v>323</v>
      </c>
    </row>
    <row r="5" spans="1:10" x14ac:dyDescent="0.2">
      <c r="A5" s="16" t="s">
        <v>324</v>
      </c>
    </row>
    <row r="6" spans="1:10" x14ac:dyDescent="0.2">
      <c r="A6" t="s">
        <v>325</v>
      </c>
      <c r="B6" t="s">
        <v>326</v>
      </c>
      <c r="J6" s="16"/>
    </row>
    <row r="7" spans="1:10" x14ac:dyDescent="0.2">
      <c r="A7" t="s">
        <v>327</v>
      </c>
      <c r="B7" t="s">
        <v>279</v>
      </c>
    </row>
    <row r="8" spans="1:10" x14ac:dyDescent="0.2">
      <c r="A8" t="s">
        <v>328</v>
      </c>
      <c r="B8" t="s">
        <v>329</v>
      </c>
    </row>
    <row r="9" spans="1:10" x14ac:dyDescent="0.2">
      <c r="A9" t="s">
        <v>226</v>
      </c>
      <c r="B9" t="s">
        <v>349</v>
      </c>
    </row>
    <row r="10" spans="1:10" x14ac:dyDescent="0.2">
      <c r="A10" t="s">
        <v>350</v>
      </c>
      <c r="B10" t="s">
        <v>351</v>
      </c>
    </row>
    <row r="13" spans="1:10" x14ac:dyDescent="0.2">
      <c r="A13" s="16" t="s">
        <v>330</v>
      </c>
      <c r="B13" s="16" t="s">
        <v>9</v>
      </c>
    </row>
    <row r="14" spans="1:10" x14ac:dyDescent="0.2">
      <c r="A14" t="s">
        <v>331</v>
      </c>
      <c r="B14" t="s">
        <v>335</v>
      </c>
    </row>
    <row r="15" spans="1:10" x14ac:dyDescent="0.2">
      <c r="A15" t="s">
        <v>361</v>
      </c>
      <c r="B15" t="s">
        <v>368</v>
      </c>
    </row>
    <row r="16" spans="1:10" x14ac:dyDescent="0.2">
      <c r="A16" t="s">
        <v>332</v>
      </c>
      <c r="B16" t="s">
        <v>334</v>
      </c>
    </row>
    <row r="17" spans="1:8" x14ac:dyDescent="0.2">
      <c r="A17" t="s">
        <v>333</v>
      </c>
      <c r="B17" t="s">
        <v>336</v>
      </c>
    </row>
    <row r="18" spans="1:8" x14ac:dyDescent="0.2">
      <c r="A18" t="s">
        <v>337</v>
      </c>
      <c r="B18" t="s">
        <v>338</v>
      </c>
    </row>
    <row r="19" spans="1:8" x14ac:dyDescent="0.2">
      <c r="A19" t="s">
        <v>339</v>
      </c>
      <c r="B19" t="s">
        <v>340</v>
      </c>
    </row>
    <row r="20" spans="1:8" x14ac:dyDescent="0.2">
      <c r="A20" t="s">
        <v>341</v>
      </c>
      <c r="B20" t="s">
        <v>344</v>
      </c>
    </row>
    <row r="21" spans="1:8" x14ac:dyDescent="0.2">
      <c r="A21" t="s">
        <v>342</v>
      </c>
      <c r="B21" t="s">
        <v>345</v>
      </c>
    </row>
    <row r="22" spans="1:8" x14ac:dyDescent="0.2">
      <c r="A22" t="s">
        <v>343</v>
      </c>
      <c r="B22" t="s">
        <v>346</v>
      </c>
    </row>
    <row r="25" spans="1:8" x14ac:dyDescent="0.2">
      <c r="A25" s="16"/>
    </row>
    <row r="26" spans="1:8" x14ac:dyDescent="0.2">
      <c r="A26" s="16" t="s">
        <v>360</v>
      </c>
    </row>
    <row r="27" spans="1:8" x14ac:dyDescent="0.2">
      <c r="A27" s="191" t="s">
        <v>354</v>
      </c>
    </row>
    <row r="28" spans="1:8" x14ac:dyDescent="0.2">
      <c r="A28" s="191" t="s">
        <v>358</v>
      </c>
    </row>
    <row r="29" spans="1:8" x14ac:dyDescent="0.2">
      <c r="A29" s="191" t="s">
        <v>355</v>
      </c>
      <c r="H29" s="58"/>
    </row>
    <row r="30" spans="1:8" x14ac:dyDescent="0.2">
      <c r="A30" s="191" t="s">
        <v>359</v>
      </c>
    </row>
    <row r="31" spans="1:8" x14ac:dyDescent="0.2">
      <c r="A31" s="191" t="s">
        <v>356</v>
      </c>
    </row>
    <row r="32" spans="1:8" x14ac:dyDescent="0.2">
      <c r="A32" s="191" t="s">
        <v>357</v>
      </c>
    </row>
    <row r="34" spans="1:1" x14ac:dyDescent="0.2">
      <c r="A34" s="16" t="s">
        <v>365</v>
      </c>
    </row>
    <row r="35" spans="1:1" x14ac:dyDescent="0.2">
      <c r="A35" s="191" t="s">
        <v>366</v>
      </c>
    </row>
    <row r="36" spans="1:1" x14ac:dyDescent="0.2">
      <c r="A36" s="191"/>
    </row>
    <row r="37" spans="1:1" x14ac:dyDescent="0.2">
      <c r="A37" s="19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33DAF-60B6-8145-8108-C111171F5186}">
  <sheetPr codeName="Sheet3"/>
  <dimension ref="A1:Q69"/>
  <sheetViews>
    <sheetView showGridLines="0" topLeftCell="D1" zoomScale="85" zoomScaleNormal="85" workbookViewId="0">
      <selection activeCell="P2" sqref="P2"/>
    </sheetView>
  </sheetViews>
  <sheetFormatPr baseColWidth="10" defaultColWidth="11.5" defaultRowHeight="15" x14ac:dyDescent="0.2"/>
  <cols>
    <col min="1" max="2" width="27.5" bestFit="1" customWidth="1"/>
    <col min="3" max="3" width="86.5" bestFit="1" customWidth="1"/>
    <col min="4" max="4" width="22" customWidth="1"/>
    <col min="5" max="5" width="8.6640625" bestFit="1" customWidth="1"/>
    <col min="6" max="6" width="12.6640625" bestFit="1" customWidth="1"/>
    <col min="7" max="7" width="14" bestFit="1" customWidth="1"/>
    <col min="8" max="9" width="13.33203125" customWidth="1"/>
    <col min="10" max="10" width="63.5" customWidth="1"/>
    <col min="11" max="11" width="11" customWidth="1"/>
    <col min="12" max="12" width="11.5" customWidth="1"/>
    <col min="13" max="13" width="152.1640625" customWidth="1"/>
    <col min="14" max="14" width="12.6640625" bestFit="1" customWidth="1"/>
    <col min="15" max="15" width="11.33203125" customWidth="1"/>
    <col min="18" max="18" width="13.6640625" bestFit="1" customWidth="1"/>
  </cols>
  <sheetData>
    <row r="1" spans="1:17" ht="64" x14ac:dyDescent="0.2">
      <c r="A1" s="114" t="s">
        <v>164</v>
      </c>
      <c r="B1" s="115" t="s">
        <v>186</v>
      </c>
      <c r="C1" s="115" t="s">
        <v>254</v>
      </c>
      <c r="D1" s="115" t="s">
        <v>255</v>
      </c>
      <c r="E1" s="116" t="s">
        <v>104</v>
      </c>
      <c r="F1" s="116" t="s">
        <v>142</v>
      </c>
      <c r="G1" s="115" t="s">
        <v>184</v>
      </c>
      <c r="H1" s="115" t="s">
        <v>204</v>
      </c>
      <c r="I1" s="115" t="s">
        <v>185</v>
      </c>
      <c r="J1" s="115" t="s">
        <v>253</v>
      </c>
      <c r="K1" s="115" t="s">
        <v>250</v>
      </c>
      <c r="L1" s="115" t="s">
        <v>143</v>
      </c>
      <c r="M1" s="115" t="s">
        <v>141</v>
      </c>
      <c r="N1" s="116" t="s">
        <v>367</v>
      </c>
      <c r="O1" s="116" t="s">
        <v>139</v>
      </c>
      <c r="P1" s="117" t="s">
        <v>352</v>
      </c>
    </row>
    <row r="2" spans="1:17" x14ac:dyDescent="0.2">
      <c r="A2" s="28" t="s">
        <v>134</v>
      </c>
      <c r="B2" t="s">
        <v>134</v>
      </c>
      <c r="C2" t="s">
        <v>11</v>
      </c>
      <c r="D2" t="s">
        <v>187</v>
      </c>
      <c r="E2" s="7">
        <v>2005</v>
      </c>
      <c r="F2" s="162">
        <v>38626</v>
      </c>
      <c r="G2" t="s">
        <v>10</v>
      </c>
      <c r="J2" s="43">
        <v>8.2799999999999999E-2</v>
      </c>
      <c r="K2" s="140">
        <f>ROUND(('EBs NPVs'!E9-'EBs NPVs'!D9)/30,0)</f>
        <v>6</v>
      </c>
      <c r="L2" s="238">
        <v>48944</v>
      </c>
      <c r="M2" t="s">
        <v>144</v>
      </c>
      <c r="N2" s="233">
        <v>3857694.6680000001</v>
      </c>
      <c r="O2" s="233">
        <v>403847.696</v>
      </c>
      <c r="P2" s="234">
        <f>'Kirchner EBs Cashflows'!$AI$5</f>
        <v>140.20421214481891</v>
      </c>
      <c r="Q2" s="33"/>
    </row>
    <row r="3" spans="1:17" x14ac:dyDescent="0.2">
      <c r="A3" s="28" t="s">
        <v>135</v>
      </c>
      <c r="B3" t="s">
        <v>159</v>
      </c>
      <c r="C3" t="s">
        <v>13</v>
      </c>
      <c r="D3" t="s">
        <v>187</v>
      </c>
      <c r="E3" s="7">
        <v>2005</v>
      </c>
      <c r="F3" s="162">
        <v>40296</v>
      </c>
      <c r="G3" t="s">
        <v>12</v>
      </c>
      <c r="J3" s="43">
        <v>8.2799999999999999E-2</v>
      </c>
      <c r="K3" s="140">
        <f>ROUND(('EBs NPVs'!E10-'EBs NPVs'!D10)/30,0)</f>
        <v>6</v>
      </c>
      <c r="L3" s="238">
        <v>48944</v>
      </c>
      <c r="M3" t="s">
        <v>144</v>
      </c>
      <c r="N3" s="233">
        <v>1242697.4849999999</v>
      </c>
      <c r="O3" s="233">
        <v>68982.756999999998</v>
      </c>
      <c r="P3" s="234">
        <f>'Kirchner EBs Cashflows'!$AI$5</f>
        <v>140.20421214481891</v>
      </c>
      <c r="Q3" s="33"/>
    </row>
    <row r="4" spans="1:17" x14ac:dyDescent="0.2">
      <c r="A4" s="28" t="s">
        <v>136</v>
      </c>
      <c r="B4" t="s">
        <v>136</v>
      </c>
      <c r="C4" t="s">
        <v>21</v>
      </c>
      <c r="D4" t="s">
        <v>188</v>
      </c>
      <c r="E4" s="7">
        <v>2005</v>
      </c>
      <c r="F4" s="162">
        <v>38626</v>
      </c>
      <c r="G4" t="s">
        <v>20</v>
      </c>
      <c r="J4" s="43" t="s">
        <v>199</v>
      </c>
      <c r="K4" s="140">
        <f>ROUND(('EBs NPVs'!E11-'EBs NPVs'!D11)/30,0)</f>
        <v>6</v>
      </c>
      <c r="L4" s="238">
        <v>50770</v>
      </c>
      <c r="M4" t="s">
        <v>145</v>
      </c>
      <c r="N4" s="233">
        <v>4938659.9419999998</v>
      </c>
      <c r="O4" s="233">
        <v>358029.25300000003</v>
      </c>
      <c r="P4" s="234">
        <v>100</v>
      </c>
      <c r="Q4" s="33"/>
    </row>
    <row r="5" spans="1:17" x14ac:dyDescent="0.2">
      <c r="A5" t="s">
        <v>157</v>
      </c>
      <c r="B5" t="s">
        <v>157</v>
      </c>
      <c r="C5" t="s">
        <v>23</v>
      </c>
      <c r="D5" t="s">
        <v>188</v>
      </c>
      <c r="E5" s="7">
        <v>2005</v>
      </c>
      <c r="F5" s="162">
        <v>40296</v>
      </c>
      <c r="G5" t="s">
        <v>22</v>
      </c>
      <c r="J5" s="43" t="s">
        <v>197</v>
      </c>
      <c r="K5" s="140">
        <f>ROUND(('EBs NPVs'!E12-'EBs NPVs'!D12)/30,0)</f>
        <v>6</v>
      </c>
      <c r="L5" s="238">
        <v>50770</v>
      </c>
      <c r="M5" t="s">
        <v>145</v>
      </c>
      <c r="N5" s="233">
        <v>94939.179000000004</v>
      </c>
      <c r="O5" s="233">
        <v>0</v>
      </c>
      <c r="P5" s="234">
        <v>100</v>
      </c>
      <c r="Q5" s="33"/>
    </row>
    <row r="6" spans="1:17" x14ac:dyDescent="0.2">
      <c r="A6" t="s">
        <v>154</v>
      </c>
      <c r="B6" t="s">
        <v>154</v>
      </c>
      <c r="C6" t="s">
        <v>16</v>
      </c>
      <c r="D6" t="s">
        <v>189</v>
      </c>
      <c r="E6" s="7">
        <v>2005</v>
      </c>
      <c r="F6" s="162">
        <v>38626</v>
      </c>
      <c r="G6" t="s">
        <v>15</v>
      </c>
      <c r="J6" s="43">
        <v>7.8200000000000006E-2</v>
      </c>
      <c r="K6" s="140">
        <f>ROUND(('EBs NPVs'!E13-'EBs NPVs'!D13)/30,0)</f>
        <v>6</v>
      </c>
      <c r="L6" s="238">
        <v>48944</v>
      </c>
      <c r="M6" t="s">
        <v>198</v>
      </c>
      <c r="N6" s="233">
        <v>3107582.4330000002</v>
      </c>
      <c r="O6" s="233">
        <v>7241.9189999999999</v>
      </c>
      <c r="P6" s="234">
        <f>'Kirchner EBs Cashflows'!$AK$23</f>
        <v>137.96394286887087</v>
      </c>
      <c r="Q6" s="33"/>
    </row>
    <row r="7" spans="1:17" x14ac:dyDescent="0.2">
      <c r="A7" t="s">
        <v>155</v>
      </c>
      <c r="B7" t="s">
        <v>155</v>
      </c>
      <c r="C7" t="s">
        <v>18</v>
      </c>
      <c r="D7" t="s">
        <v>189</v>
      </c>
      <c r="E7" s="7">
        <v>2005</v>
      </c>
      <c r="F7" s="162">
        <v>40350</v>
      </c>
      <c r="G7" t="s">
        <v>17</v>
      </c>
      <c r="J7" s="43">
        <v>7.8200000000000006E-2</v>
      </c>
      <c r="K7" s="140">
        <f>ROUND(('EBs NPVs'!E14-'EBs NPVs'!D14)/30,0)</f>
        <v>6</v>
      </c>
      <c r="L7" s="238">
        <v>48944</v>
      </c>
      <c r="M7" t="s">
        <v>198</v>
      </c>
      <c r="N7" s="233">
        <v>2661472.4380000001</v>
      </c>
      <c r="O7" s="233">
        <v>0</v>
      </c>
      <c r="P7" s="234">
        <f>'Kirchner EBs Cashflows'!$AK$23</f>
        <v>137.96394286887087</v>
      </c>
      <c r="Q7" s="33"/>
    </row>
    <row r="8" spans="1:17" x14ac:dyDescent="0.2">
      <c r="A8" t="s">
        <v>156</v>
      </c>
      <c r="B8" t="s">
        <v>156</v>
      </c>
      <c r="C8" t="s">
        <v>26</v>
      </c>
      <c r="D8" t="s">
        <v>190</v>
      </c>
      <c r="E8" s="7">
        <v>2005</v>
      </c>
      <c r="F8" s="162">
        <v>38626</v>
      </c>
      <c r="G8" t="s">
        <v>25</v>
      </c>
      <c r="J8" s="43" t="s">
        <v>200</v>
      </c>
      <c r="K8" s="140">
        <f>ROUND(('EBs NPVs'!E15-'EBs NPVs'!D15)/30,0)</f>
        <v>6</v>
      </c>
      <c r="L8" s="238">
        <v>50770</v>
      </c>
      <c r="M8" t="s">
        <v>145</v>
      </c>
      <c r="N8" s="233">
        <v>5034912.1679999996</v>
      </c>
      <c r="O8" s="233">
        <v>0</v>
      </c>
      <c r="P8" s="234">
        <v>100</v>
      </c>
      <c r="Q8" s="33"/>
    </row>
    <row r="9" spans="1:17" x14ac:dyDescent="0.2">
      <c r="A9" t="s">
        <v>158</v>
      </c>
      <c r="B9" t="s">
        <v>158</v>
      </c>
      <c r="C9" t="s">
        <v>28</v>
      </c>
      <c r="D9" t="s">
        <v>190</v>
      </c>
      <c r="E9" s="7">
        <v>2005</v>
      </c>
      <c r="F9" s="162">
        <v>40296</v>
      </c>
      <c r="G9" t="s">
        <v>27</v>
      </c>
      <c r="J9" s="43" t="s">
        <v>201</v>
      </c>
      <c r="K9" s="140">
        <f>ROUND(('EBs NPVs'!E16-'EBs NPVs'!D16)/30,0)</f>
        <v>6</v>
      </c>
      <c r="L9" s="238">
        <v>50770</v>
      </c>
      <c r="M9" t="s">
        <v>145</v>
      </c>
      <c r="N9" s="233">
        <v>1438310.9300000002</v>
      </c>
      <c r="O9" s="233">
        <v>0</v>
      </c>
      <c r="P9" s="234">
        <v>100</v>
      </c>
      <c r="Q9" s="33"/>
    </row>
    <row r="10" spans="1:17" x14ac:dyDescent="0.2">
      <c r="A10" s="28" t="s">
        <v>117</v>
      </c>
      <c r="B10" t="s">
        <v>117</v>
      </c>
      <c r="C10" t="s">
        <v>30</v>
      </c>
      <c r="D10" t="s">
        <v>191</v>
      </c>
      <c r="E10" s="7">
        <v>2016</v>
      </c>
      <c r="F10" s="162">
        <v>42482</v>
      </c>
      <c r="G10" t="s">
        <v>74</v>
      </c>
      <c r="H10" t="s">
        <v>75</v>
      </c>
      <c r="J10" s="43">
        <v>6.8750000000000006E-2</v>
      </c>
      <c r="K10" s="140">
        <f>ROUND(('EBs NPVs'!E17-'EBs NPVs'!D17)/30,0)</f>
        <v>6</v>
      </c>
      <c r="L10" s="238">
        <v>44308</v>
      </c>
      <c r="M10" t="s">
        <v>202</v>
      </c>
      <c r="N10" s="233">
        <v>4484000</v>
      </c>
      <c r="O10" s="233">
        <v>16000</v>
      </c>
      <c r="P10" s="234">
        <v>100</v>
      </c>
      <c r="Q10" s="33"/>
    </row>
    <row r="11" spans="1:17" x14ac:dyDescent="0.2">
      <c r="A11" s="28" t="s">
        <v>118</v>
      </c>
      <c r="B11" t="s">
        <v>118</v>
      </c>
      <c r="C11" s="1" t="s">
        <v>31</v>
      </c>
      <c r="D11" t="s">
        <v>191</v>
      </c>
      <c r="E11" s="7">
        <v>2016</v>
      </c>
      <c r="F11" s="162">
        <v>42761</v>
      </c>
      <c r="G11" t="s">
        <v>76</v>
      </c>
      <c r="H11" t="s">
        <v>77</v>
      </c>
      <c r="J11" s="43">
        <v>5.6250000000000001E-2</v>
      </c>
      <c r="K11" s="140">
        <f>ROUND(('EBs NPVs'!E18-'EBs NPVs'!D18)/30,0)</f>
        <v>6</v>
      </c>
      <c r="L11" s="238">
        <v>44587</v>
      </c>
      <c r="M11" t="s">
        <v>202</v>
      </c>
      <c r="N11" s="233">
        <v>3250000</v>
      </c>
      <c r="O11" s="233">
        <v>0</v>
      </c>
      <c r="P11" s="234">
        <v>100</v>
      </c>
      <c r="Q11" s="33"/>
    </row>
    <row r="12" spans="1:17" x14ac:dyDescent="0.2">
      <c r="A12" s="28" t="s">
        <v>119</v>
      </c>
      <c r="B12" t="s">
        <v>119</v>
      </c>
      <c r="C12" t="s">
        <v>33</v>
      </c>
      <c r="D12" t="s">
        <v>191</v>
      </c>
      <c r="E12" s="7">
        <v>2016</v>
      </c>
      <c r="F12" s="162">
        <v>43111</v>
      </c>
      <c r="G12" t="s">
        <v>32</v>
      </c>
      <c r="J12" s="43">
        <v>4.6249999999999999E-2</v>
      </c>
      <c r="K12" s="140">
        <f>ROUND(('EBs NPVs'!E19-'EBs NPVs'!D19)/30,0)</f>
        <v>6</v>
      </c>
      <c r="L12" s="238">
        <v>44937</v>
      </c>
      <c r="M12" t="s">
        <v>202</v>
      </c>
      <c r="N12" s="233">
        <v>1750000</v>
      </c>
      <c r="O12" s="233">
        <v>0</v>
      </c>
      <c r="P12" s="234">
        <v>100</v>
      </c>
      <c r="Q12" s="33"/>
    </row>
    <row r="13" spans="1:17" x14ac:dyDescent="0.2">
      <c r="A13" s="28" t="s">
        <v>120</v>
      </c>
      <c r="B13" t="s">
        <v>120</v>
      </c>
      <c r="C13" t="s">
        <v>41</v>
      </c>
      <c r="D13" t="s">
        <v>192</v>
      </c>
      <c r="E13" s="7">
        <v>2016</v>
      </c>
      <c r="F13" s="162">
        <v>42482</v>
      </c>
      <c r="G13" t="s">
        <v>78</v>
      </c>
      <c r="H13" t="s">
        <v>79</v>
      </c>
      <c r="I13" t="s">
        <v>80</v>
      </c>
      <c r="J13" s="43">
        <v>7.4999999999999997E-2</v>
      </c>
      <c r="K13" s="140">
        <f>ROUND(('EBs NPVs'!E20-'EBs NPVs'!D20)/30,0)</f>
        <v>6</v>
      </c>
      <c r="L13" s="238">
        <v>46134</v>
      </c>
      <c r="M13" t="s">
        <v>202</v>
      </c>
      <c r="N13" s="233">
        <v>6454850</v>
      </c>
      <c r="O13" s="233">
        <v>45150</v>
      </c>
      <c r="P13" s="234">
        <v>100</v>
      </c>
      <c r="Q13" s="33"/>
    </row>
    <row r="14" spans="1:17" x14ac:dyDescent="0.2">
      <c r="A14" s="28" t="s">
        <v>121</v>
      </c>
      <c r="B14" t="s">
        <v>121</v>
      </c>
      <c r="C14" t="s">
        <v>42</v>
      </c>
      <c r="D14" t="s">
        <v>192</v>
      </c>
      <c r="E14" s="7">
        <v>2016</v>
      </c>
      <c r="F14" s="162">
        <v>42761</v>
      </c>
      <c r="G14" t="s">
        <v>81</v>
      </c>
      <c r="H14" t="s">
        <v>82</v>
      </c>
      <c r="J14" s="43">
        <v>6.8750000000000006E-2</v>
      </c>
      <c r="K14" s="140">
        <f>ROUND(('EBs NPVs'!E21-'EBs NPVs'!D21)/30,0)</f>
        <v>6</v>
      </c>
      <c r="L14" s="238">
        <v>46413</v>
      </c>
      <c r="M14" t="s">
        <v>202</v>
      </c>
      <c r="N14" s="233">
        <v>3750000</v>
      </c>
      <c r="O14" s="233">
        <v>0</v>
      </c>
      <c r="P14" s="234">
        <v>100</v>
      </c>
      <c r="Q14" s="33"/>
    </row>
    <row r="15" spans="1:17" x14ac:dyDescent="0.2">
      <c r="A15" s="28" t="s">
        <v>122</v>
      </c>
      <c r="B15" t="s">
        <v>122</v>
      </c>
      <c r="C15" t="s">
        <v>44</v>
      </c>
      <c r="D15" t="s">
        <v>192</v>
      </c>
      <c r="E15" s="7">
        <v>2016</v>
      </c>
      <c r="F15" s="162">
        <v>43111</v>
      </c>
      <c r="G15" t="s">
        <v>43</v>
      </c>
      <c r="J15" s="43">
        <v>5.8749999999999997E-2</v>
      </c>
      <c r="K15" s="140">
        <f>ROUND(('EBs NPVs'!E22-'EBs NPVs'!D22)/30,0)</f>
        <v>6</v>
      </c>
      <c r="L15" s="238">
        <v>46763</v>
      </c>
      <c r="M15" t="s">
        <v>202</v>
      </c>
      <c r="N15" s="233">
        <v>4250000</v>
      </c>
      <c r="O15" s="233">
        <v>0</v>
      </c>
      <c r="P15" s="234">
        <v>100</v>
      </c>
      <c r="Q15" s="33"/>
    </row>
    <row r="16" spans="1:17" x14ac:dyDescent="0.2">
      <c r="A16" s="28" t="s">
        <v>123</v>
      </c>
      <c r="B16" t="s">
        <v>123</v>
      </c>
      <c r="C16" t="s">
        <v>45</v>
      </c>
      <c r="D16" t="s">
        <v>192</v>
      </c>
      <c r="E16" s="7">
        <v>2016</v>
      </c>
      <c r="F16" s="162">
        <v>42557</v>
      </c>
      <c r="G16" t="s">
        <v>83</v>
      </c>
      <c r="H16" t="s">
        <v>84</v>
      </c>
      <c r="J16" s="43">
        <v>6.6250000000000003E-2</v>
      </c>
      <c r="K16" s="140">
        <f>ROUND(('EBs NPVs'!E23-'EBs NPVs'!D23)/30,0)</f>
        <v>6</v>
      </c>
      <c r="L16" s="238">
        <v>46940</v>
      </c>
      <c r="M16" t="s">
        <v>202</v>
      </c>
      <c r="N16" s="233">
        <v>965000</v>
      </c>
      <c r="O16" s="233">
        <v>35000</v>
      </c>
      <c r="P16" s="234">
        <v>100</v>
      </c>
      <c r="Q16" s="33"/>
    </row>
    <row r="17" spans="1:17" x14ac:dyDescent="0.2">
      <c r="A17" s="28" t="s">
        <v>124</v>
      </c>
      <c r="B17" t="s">
        <v>124</v>
      </c>
      <c r="C17" t="s">
        <v>46</v>
      </c>
      <c r="D17" t="s">
        <v>192</v>
      </c>
      <c r="E17" s="7">
        <v>2016</v>
      </c>
      <c r="F17" s="162">
        <v>42557</v>
      </c>
      <c r="G17" t="s">
        <v>85</v>
      </c>
      <c r="H17" t="s">
        <v>86</v>
      </c>
      <c r="I17" t="s">
        <v>87</v>
      </c>
      <c r="J17" s="43">
        <v>7.1249999999999994E-2</v>
      </c>
      <c r="K17" s="140">
        <f>ROUND(('EBs NPVs'!E24-'EBs NPVs'!D24)/30,0)</f>
        <v>6</v>
      </c>
      <c r="L17" s="238">
        <v>49862</v>
      </c>
      <c r="M17" t="s">
        <v>202</v>
      </c>
      <c r="N17" s="233">
        <v>1727000</v>
      </c>
      <c r="O17" s="233">
        <v>23000</v>
      </c>
      <c r="P17" s="234">
        <v>100</v>
      </c>
      <c r="Q17" s="33"/>
    </row>
    <row r="18" spans="1:17" x14ac:dyDescent="0.2">
      <c r="A18" s="28" t="s">
        <v>125</v>
      </c>
      <c r="B18" t="s">
        <v>125</v>
      </c>
      <c r="C18" t="s">
        <v>51</v>
      </c>
      <c r="D18" t="s">
        <v>193</v>
      </c>
      <c r="E18" s="7">
        <v>2016</v>
      </c>
      <c r="F18" s="162">
        <v>42482</v>
      </c>
      <c r="G18" t="s">
        <v>88</v>
      </c>
      <c r="H18" t="s">
        <v>89</v>
      </c>
      <c r="I18" t="s">
        <v>90</v>
      </c>
      <c r="J18" s="43">
        <v>7.6249999999999998E-2</v>
      </c>
      <c r="K18" s="140">
        <f>ROUND(('EBs NPVs'!E25-'EBs NPVs'!D25)/30,0)</f>
        <v>6</v>
      </c>
      <c r="L18" s="238">
        <v>53439</v>
      </c>
      <c r="M18" t="s">
        <v>202</v>
      </c>
      <c r="N18" s="233">
        <v>2617685</v>
      </c>
      <c r="O18" s="233">
        <v>132315</v>
      </c>
      <c r="P18" s="234">
        <v>100</v>
      </c>
      <c r="Q18" s="33"/>
    </row>
    <row r="19" spans="1:17" x14ac:dyDescent="0.2">
      <c r="A19" s="28" t="s">
        <v>126</v>
      </c>
      <c r="B19" t="s">
        <v>126</v>
      </c>
      <c r="C19" t="s">
        <v>53</v>
      </c>
      <c r="D19" t="s">
        <v>193</v>
      </c>
      <c r="E19" s="7">
        <v>2016</v>
      </c>
      <c r="F19" s="162">
        <v>43111</v>
      </c>
      <c r="G19" t="s">
        <v>52</v>
      </c>
      <c r="J19" s="43">
        <v>6.8750000000000006E-2</v>
      </c>
      <c r="K19" s="140">
        <f>ROUND(('EBs NPVs'!E26-'EBs NPVs'!D26)/30,0)</f>
        <v>6</v>
      </c>
      <c r="L19" s="238">
        <v>54068</v>
      </c>
      <c r="M19" t="s">
        <v>202</v>
      </c>
      <c r="N19" s="233">
        <v>3000000</v>
      </c>
      <c r="O19" s="233">
        <v>0</v>
      </c>
      <c r="P19" s="234">
        <v>100</v>
      </c>
      <c r="Q19" s="33"/>
    </row>
    <row r="20" spans="1:17" x14ac:dyDescent="0.2">
      <c r="A20" s="28" t="s">
        <v>127</v>
      </c>
      <c r="B20" t="s">
        <v>127</v>
      </c>
      <c r="C20" t="s">
        <v>54</v>
      </c>
      <c r="D20" t="s">
        <v>193</v>
      </c>
      <c r="E20" s="7">
        <v>2016</v>
      </c>
      <c r="F20" s="162">
        <v>42914</v>
      </c>
      <c r="G20" t="s">
        <v>92</v>
      </c>
      <c r="H20" t="s">
        <v>93</v>
      </c>
      <c r="I20" t="s">
        <v>91</v>
      </c>
      <c r="J20" s="43">
        <v>7.1249999999999994E-2</v>
      </c>
      <c r="K20" s="140">
        <f>ROUND(('EBs NPVs'!E27-'EBs NPVs'!D27)/30,0)</f>
        <v>6</v>
      </c>
      <c r="L20" s="238">
        <v>79438</v>
      </c>
      <c r="M20" t="s">
        <v>202</v>
      </c>
      <c r="N20" s="233">
        <v>2689176</v>
      </c>
      <c r="O20" s="233">
        <v>60824</v>
      </c>
      <c r="P20" s="234">
        <v>100</v>
      </c>
      <c r="Q20" s="33"/>
    </row>
    <row r="21" spans="1:17" x14ac:dyDescent="0.2">
      <c r="A21" s="28" t="s">
        <v>128</v>
      </c>
      <c r="B21" t="s">
        <v>128</v>
      </c>
      <c r="C21" t="s">
        <v>35</v>
      </c>
      <c r="D21" t="s">
        <v>194</v>
      </c>
      <c r="E21" s="7">
        <v>2016</v>
      </c>
      <c r="F21" s="162">
        <v>42655</v>
      </c>
      <c r="G21" t="s">
        <v>34</v>
      </c>
      <c r="J21" s="43">
        <v>3.875E-2</v>
      </c>
      <c r="K21" s="140">
        <f>ROUND(('EBs NPVs'!E28-'EBs NPVs'!D28)/30,0)</f>
        <v>12</v>
      </c>
      <c r="L21" s="238">
        <v>44576</v>
      </c>
      <c r="M21" t="s">
        <v>202</v>
      </c>
      <c r="N21" s="233">
        <v>1250000</v>
      </c>
      <c r="O21" s="233">
        <v>0</v>
      </c>
      <c r="P21" s="234">
        <v>100</v>
      </c>
      <c r="Q21" s="33"/>
    </row>
    <row r="22" spans="1:17" x14ac:dyDescent="0.2">
      <c r="A22" s="28" t="s">
        <v>129</v>
      </c>
      <c r="B22" t="s">
        <v>129</v>
      </c>
      <c r="C22" t="s">
        <v>37</v>
      </c>
      <c r="D22" t="s">
        <v>194</v>
      </c>
      <c r="E22" s="7">
        <v>2016</v>
      </c>
      <c r="F22" s="162">
        <v>43048</v>
      </c>
      <c r="G22" t="s">
        <v>36</v>
      </c>
      <c r="J22" s="43">
        <v>3.3750000000000002E-2</v>
      </c>
      <c r="K22" s="140">
        <f>ROUND(('EBs NPVs'!E29-'EBs NPVs'!D29)/30,0)</f>
        <v>12</v>
      </c>
      <c r="L22" s="238">
        <v>44941</v>
      </c>
      <c r="M22" t="s">
        <v>202</v>
      </c>
      <c r="N22" s="233">
        <v>1000000</v>
      </c>
      <c r="O22" s="233">
        <v>0</v>
      </c>
      <c r="P22" s="234">
        <v>100</v>
      </c>
      <c r="Q22" s="33"/>
    </row>
    <row r="23" spans="1:17" x14ac:dyDescent="0.2">
      <c r="A23" s="28" t="s">
        <v>131</v>
      </c>
      <c r="B23" t="s">
        <v>131</v>
      </c>
      <c r="C23" t="s">
        <v>48</v>
      </c>
      <c r="D23" t="s">
        <v>195</v>
      </c>
      <c r="E23" s="7">
        <v>2016</v>
      </c>
      <c r="F23" s="162">
        <v>42655</v>
      </c>
      <c r="G23" t="s">
        <v>47</v>
      </c>
      <c r="J23" s="43">
        <v>0.05</v>
      </c>
      <c r="K23" s="140">
        <f>ROUND(('EBs NPVs'!E30-'EBs NPVs'!D30)/30,0)</f>
        <v>12</v>
      </c>
      <c r="L23" s="238">
        <v>46402</v>
      </c>
      <c r="M23" t="s">
        <v>202</v>
      </c>
      <c r="N23" s="233">
        <v>1250000</v>
      </c>
      <c r="O23" s="233">
        <v>0</v>
      </c>
      <c r="P23" s="234">
        <v>100</v>
      </c>
      <c r="Q23" s="33"/>
    </row>
    <row r="24" spans="1:17" x14ac:dyDescent="0.2">
      <c r="A24" s="28" t="s">
        <v>132</v>
      </c>
      <c r="B24" t="s">
        <v>132</v>
      </c>
      <c r="C24" t="s">
        <v>50</v>
      </c>
      <c r="D24" t="s">
        <v>195</v>
      </c>
      <c r="E24" s="7">
        <v>2016</v>
      </c>
      <c r="F24" s="162">
        <v>43048</v>
      </c>
      <c r="G24" t="s">
        <v>49</v>
      </c>
      <c r="J24" s="43">
        <v>5.2499999999999998E-2</v>
      </c>
      <c r="K24" s="140">
        <f>ROUND(('EBs NPVs'!E31-'EBs NPVs'!D31)/30,0)</f>
        <v>12</v>
      </c>
      <c r="L24" s="238">
        <v>46767</v>
      </c>
      <c r="M24" t="s">
        <v>202</v>
      </c>
      <c r="N24" s="233">
        <v>1000000</v>
      </c>
      <c r="O24" s="233">
        <v>0</v>
      </c>
      <c r="P24" s="234">
        <v>100</v>
      </c>
      <c r="Q24" s="33"/>
    </row>
    <row r="25" spans="1:17" x14ac:dyDescent="0.2">
      <c r="A25" s="28" t="s">
        <v>133</v>
      </c>
      <c r="B25" t="s">
        <v>133</v>
      </c>
      <c r="C25" t="s">
        <v>56</v>
      </c>
      <c r="D25" t="s">
        <v>196</v>
      </c>
      <c r="E25" s="7">
        <v>2016</v>
      </c>
      <c r="F25" s="162">
        <v>43048</v>
      </c>
      <c r="G25" t="s">
        <v>55</v>
      </c>
      <c r="J25" s="43">
        <v>6.25E-2</v>
      </c>
      <c r="K25" s="140">
        <f>ROUND(('EBs NPVs'!E32-'EBs NPVs'!D32)/30,0)</f>
        <v>12</v>
      </c>
      <c r="L25" s="238">
        <v>54005</v>
      </c>
      <c r="M25" t="s">
        <v>202</v>
      </c>
      <c r="N25" s="233">
        <v>750000</v>
      </c>
      <c r="O25" s="233">
        <v>0</v>
      </c>
      <c r="P25" s="234">
        <v>100</v>
      </c>
      <c r="Q25" s="33"/>
    </row>
    <row r="26" spans="1:17" x14ac:dyDescent="0.2">
      <c r="A26" s="36" t="s">
        <v>130</v>
      </c>
      <c r="B26" s="9" t="s">
        <v>130</v>
      </c>
      <c r="C26" s="9" t="s">
        <v>39</v>
      </c>
      <c r="D26" s="9" t="s">
        <v>40</v>
      </c>
      <c r="E26" s="10">
        <v>2016</v>
      </c>
      <c r="F26" s="237">
        <v>42837</v>
      </c>
      <c r="G26" s="9" t="s">
        <v>38</v>
      </c>
      <c r="H26" s="9"/>
      <c r="I26" s="9"/>
      <c r="J26" s="44">
        <v>3.3750000000000002E-2</v>
      </c>
      <c r="K26" s="141">
        <f>ROUND(('EBs NPVs'!E33-'EBs NPVs'!D33)/30,0)</f>
        <v>12</v>
      </c>
      <c r="L26" s="239">
        <v>44116</v>
      </c>
      <c r="M26" s="9" t="s">
        <v>202</v>
      </c>
      <c r="N26" s="235">
        <v>400000</v>
      </c>
      <c r="O26" s="235">
        <v>0</v>
      </c>
      <c r="P26" s="236">
        <v>100</v>
      </c>
      <c r="Q26" s="33"/>
    </row>
    <row r="27" spans="1:17" x14ac:dyDescent="0.2">
      <c r="E27" s="7"/>
      <c r="J27" s="3"/>
      <c r="K27" s="3"/>
      <c r="M27" s="25"/>
      <c r="N27" s="25"/>
      <c r="O27" s="25"/>
    </row>
    <row r="30" spans="1:17" x14ac:dyDescent="0.2">
      <c r="C30" s="58"/>
    </row>
    <row r="65" spans="6:12" x14ac:dyDescent="0.2">
      <c r="H65" s="3"/>
      <c r="J65" s="33"/>
      <c r="K65" s="33"/>
      <c r="L65" s="33"/>
    </row>
    <row r="66" spans="6:12" x14ac:dyDescent="0.2">
      <c r="F66" s="3"/>
      <c r="G66" s="63"/>
      <c r="H66" s="3"/>
      <c r="J66" s="33"/>
      <c r="K66" s="33"/>
      <c r="L66" s="33"/>
    </row>
    <row r="67" spans="6:12" x14ac:dyDescent="0.2">
      <c r="F67" s="3"/>
      <c r="G67" s="63"/>
      <c r="H67" s="3"/>
      <c r="J67" s="33"/>
      <c r="K67" s="33"/>
      <c r="L67" s="33"/>
    </row>
    <row r="68" spans="6:12" x14ac:dyDescent="0.2">
      <c r="F68" s="3"/>
      <c r="G68" s="63"/>
      <c r="H68" s="3"/>
      <c r="J68" s="33"/>
      <c r="K68" s="33"/>
      <c r="L68" s="33"/>
    </row>
    <row r="69" spans="6:12" x14ac:dyDescent="0.2">
      <c r="F69" s="3"/>
      <c r="G69" s="63"/>
      <c r="H69" s="3"/>
      <c r="J69" s="33"/>
      <c r="K69" s="33"/>
      <c r="L69"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82615-C27E-4A46-9B9F-BA0F42C9EE97}">
  <dimension ref="A1:EB141"/>
  <sheetViews>
    <sheetView showGridLines="0" zoomScale="90" zoomScaleNormal="90" workbookViewId="0">
      <selection activeCell="C29" activeCellId="1" sqref="C11 C29"/>
    </sheetView>
  </sheetViews>
  <sheetFormatPr baseColWidth="10" defaultColWidth="8.83203125" defaultRowHeight="15" x14ac:dyDescent="0.2"/>
  <cols>
    <col min="1" max="1" width="27.83203125" customWidth="1"/>
    <col min="2" max="73" width="10.5" customWidth="1"/>
    <col min="74" max="132" width="10.83203125" customWidth="1"/>
  </cols>
  <sheetData>
    <row r="1" spans="1:132" s="32" customFormat="1" x14ac:dyDescent="0.2">
      <c r="A1" s="196" t="s">
        <v>228</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62"/>
      <c r="AK1" s="62"/>
      <c r="AL1" s="62"/>
      <c r="AM1" s="62"/>
      <c r="AN1" s="62"/>
      <c r="AO1" s="62"/>
      <c r="AP1" s="62"/>
      <c r="AQ1" s="74" t="s">
        <v>231</v>
      </c>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c r="BT1" s="62"/>
      <c r="BU1" s="62"/>
      <c r="BV1" s="89"/>
      <c r="BW1" s="74"/>
      <c r="BX1" s="74"/>
      <c r="BY1" s="74" t="s">
        <v>231</v>
      </c>
      <c r="BZ1" s="74"/>
      <c r="CA1" s="74"/>
      <c r="CB1" s="74"/>
      <c r="CC1" s="74"/>
      <c r="CD1" s="74"/>
      <c r="CE1" s="74"/>
      <c r="CF1" s="74"/>
      <c r="CG1" s="74"/>
      <c r="CH1" s="74"/>
      <c r="CI1" s="74"/>
      <c r="CJ1" s="74"/>
      <c r="CK1" s="74"/>
      <c r="CL1" s="74"/>
      <c r="CM1" s="74"/>
      <c r="CN1" s="74"/>
      <c r="CO1" s="74"/>
      <c r="CP1" s="74"/>
      <c r="CQ1" s="74"/>
      <c r="CR1" s="74"/>
      <c r="CS1" s="74"/>
      <c r="CT1" s="74"/>
      <c r="CU1" s="74"/>
      <c r="CV1" s="74"/>
      <c r="CW1" s="74"/>
      <c r="CX1" s="74"/>
      <c r="CY1" s="74"/>
      <c r="CZ1" s="74"/>
      <c r="DA1" s="74"/>
      <c r="DB1" s="74"/>
      <c r="DC1" s="74"/>
      <c r="DD1" s="74"/>
      <c r="DE1" s="74"/>
      <c r="DF1" s="74"/>
      <c r="DG1" s="74"/>
      <c r="DH1" s="74"/>
      <c r="DI1" s="74"/>
      <c r="DJ1" s="74"/>
      <c r="DK1" s="74"/>
      <c r="DL1" s="74"/>
      <c r="DM1" s="74"/>
      <c r="DN1" s="74"/>
      <c r="DO1" s="74"/>
      <c r="DP1" s="74"/>
      <c r="DQ1" s="74"/>
      <c r="DR1" s="74"/>
      <c r="DS1" s="74"/>
      <c r="DT1" s="74"/>
      <c r="DU1" s="74"/>
      <c r="DV1" s="74"/>
      <c r="DW1" s="74"/>
      <c r="DX1" s="74"/>
      <c r="DY1" s="74"/>
      <c r="DZ1" s="74"/>
      <c r="EA1" s="74"/>
      <c r="EB1" s="74"/>
    </row>
    <row r="2" spans="1:132" s="32" customFormat="1" x14ac:dyDescent="0.2">
      <c r="A2" s="98" t="s">
        <v>227</v>
      </c>
      <c r="B2" s="162">
        <v>37986</v>
      </c>
      <c r="C2" s="162">
        <f>EDATE(B2,6)</f>
        <v>38168</v>
      </c>
      <c r="D2" s="162">
        <f>EDATE(B2,12)</f>
        <v>38352</v>
      </c>
      <c r="E2" s="162">
        <f t="shared" ref="E2:AG2" si="0">EDATE(C2,12)</f>
        <v>38533</v>
      </c>
      <c r="F2" s="162">
        <f t="shared" si="0"/>
        <v>38717</v>
      </c>
      <c r="G2" s="162">
        <f t="shared" si="0"/>
        <v>38898</v>
      </c>
      <c r="H2" s="162">
        <f t="shared" si="0"/>
        <v>39082</v>
      </c>
      <c r="I2" s="162">
        <f t="shared" si="0"/>
        <v>39263</v>
      </c>
      <c r="J2" s="162">
        <f t="shared" si="0"/>
        <v>39447</v>
      </c>
      <c r="K2" s="162">
        <f t="shared" si="0"/>
        <v>39629</v>
      </c>
      <c r="L2" s="240">
        <f t="shared" si="0"/>
        <v>39813</v>
      </c>
      <c r="M2" s="162">
        <f t="shared" si="0"/>
        <v>39994</v>
      </c>
      <c r="N2" s="162">
        <f t="shared" si="0"/>
        <v>40178</v>
      </c>
      <c r="O2" s="162">
        <f t="shared" si="0"/>
        <v>40359</v>
      </c>
      <c r="P2" s="162">
        <f t="shared" si="0"/>
        <v>40543</v>
      </c>
      <c r="Q2" s="162">
        <f t="shared" si="0"/>
        <v>40724</v>
      </c>
      <c r="R2" s="162">
        <f t="shared" si="0"/>
        <v>40908</v>
      </c>
      <c r="S2" s="162">
        <f t="shared" si="0"/>
        <v>41090</v>
      </c>
      <c r="T2" s="162">
        <f t="shared" si="0"/>
        <v>41274</v>
      </c>
      <c r="U2" s="162">
        <f t="shared" si="0"/>
        <v>41455</v>
      </c>
      <c r="V2" s="240">
        <f t="shared" si="0"/>
        <v>41639</v>
      </c>
      <c r="W2" s="162">
        <f t="shared" si="0"/>
        <v>41820</v>
      </c>
      <c r="X2" s="162">
        <f t="shared" si="0"/>
        <v>42004</v>
      </c>
      <c r="Y2" s="162">
        <f t="shared" si="0"/>
        <v>42185</v>
      </c>
      <c r="Z2" s="162">
        <f t="shared" si="0"/>
        <v>42369</v>
      </c>
      <c r="AA2" s="162">
        <f t="shared" si="0"/>
        <v>42551</v>
      </c>
      <c r="AB2" s="162">
        <f t="shared" si="0"/>
        <v>42735</v>
      </c>
      <c r="AC2" s="162">
        <f t="shared" si="0"/>
        <v>42916</v>
      </c>
      <c r="AD2" s="162">
        <f t="shared" si="0"/>
        <v>43100</v>
      </c>
      <c r="AE2" s="162">
        <f t="shared" si="0"/>
        <v>43281</v>
      </c>
      <c r="AF2" s="162">
        <f t="shared" si="0"/>
        <v>43465</v>
      </c>
      <c r="AG2" s="162">
        <f t="shared" si="0"/>
        <v>43646</v>
      </c>
      <c r="AH2" s="162">
        <f t="shared" ref="AH2:BJ2" si="1">EDATE(AF2,12)</f>
        <v>43830</v>
      </c>
      <c r="AI2" s="241">
        <f t="shared" si="1"/>
        <v>44012</v>
      </c>
      <c r="AJ2" s="241">
        <f t="shared" si="1"/>
        <v>44196</v>
      </c>
      <c r="AK2" s="162">
        <f t="shared" si="1"/>
        <v>44377</v>
      </c>
      <c r="AL2" s="162">
        <f t="shared" si="1"/>
        <v>44561</v>
      </c>
      <c r="AM2" s="162">
        <f t="shared" si="1"/>
        <v>44742</v>
      </c>
      <c r="AN2" s="162">
        <f t="shared" si="1"/>
        <v>44926</v>
      </c>
      <c r="AO2" s="162">
        <f t="shared" si="1"/>
        <v>45107</v>
      </c>
      <c r="AP2" s="240">
        <f t="shared" si="1"/>
        <v>45291</v>
      </c>
      <c r="AQ2" s="162">
        <f t="shared" si="1"/>
        <v>45473</v>
      </c>
      <c r="AR2" s="162">
        <f t="shared" si="1"/>
        <v>45657</v>
      </c>
      <c r="AS2" s="162">
        <f t="shared" si="1"/>
        <v>45838</v>
      </c>
      <c r="AT2" s="162">
        <f t="shared" si="1"/>
        <v>46022</v>
      </c>
      <c r="AU2" s="162">
        <f t="shared" si="1"/>
        <v>46203</v>
      </c>
      <c r="AV2" s="162">
        <f t="shared" si="1"/>
        <v>46387</v>
      </c>
      <c r="AW2" s="162">
        <f t="shared" si="1"/>
        <v>46568</v>
      </c>
      <c r="AX2" s="162">
        <f t="shared" si="1"/>
        <v>46752</v>
      </c>
      <c r="AY2" s="162">
        <f t="shared" si="1"/>
        <v>46934</v>
      </c>
      <c r="AZ2" s="162">
        <f t="shared" si="1"/>
        <v>47118</v>
      </c>
      <c r="BA2" s="162">
        <f t="shared" si="1"/>
        <v>47299</v>
      </c>
      <c r="BB2" s="162">
        <f t="shared" si="1"/>
        <v>47483</v>
      </c>
      <c r="BC2" s="162">
        <f t="shared" si="1"/>
        <v>47664</v>
      </c>
      <c r="BD2" s="162">
        <f t="shared" si="1"/>
        <v>47848</v>
      </c>
      <c r="BE2" s="162">
        <f t="shared" si="1"/>
        <v>48029</v>
      </c>
      <c r="BF2" s="162">
        <f t="shared" si="1"/>
        <v>48213</v>
      </c>
      <c r="BG2" s="162">
        <f t="shared" si="1"/>
        <v>48395</v>
      </c>
      <c r="BH2" s="162">
        <f t="shared" si="1"/>
        <v>48579</v>
      </c>
      <c r="BI2" s="162">
        <f t="shared" si="1"/>
        <v>48760</v>
      </c>
      <c r="BJ2" s="162">
        <f t="shared" si="1"/>
        <v>48944</v>
      </c>
      <c r="BK2" s="74"/>
      <c r="BL2" s="74"/>
      <c r="BM2" s="74"/>
      <c r="BN2" s="74"/>
      <c r="BO2" s="74"/>
      <c r="BP2" s="74"/>
      <c r="BQ2" s="74"/>
      <c r="BR2" s="74"/>
      <c r="BS2" s="74"/>
      <c r="BT2" s="74"/>
      <c r="BU2" s="74"/>
      <c r="DD2" s="74"/>
      <c r="DE2" s="74"/>
      <c r="DF2" s="74"/>
      <c r="DG2" s="74"/>
      <c r="DH2" s="74"/>
      <c r="DI2" s="74"/>
      <c r="DJ2" s="74"/>
      <c r="DK2" s="74"/>
      <c r="DL2" s="74"/>
      <c r="DM2" s="74"/>
      <c r="DN2" s="74"/>
      <c r="DO2" s="74"/>
      <c r="DP2" s="74"/>
      <c r="DQ2" s="74"/>
      <c r="DR2" s="74"/>
      <c r="DS2" s="74"/>
      <c r="DT2" s="74"/>
      <c r="DU2" s="74"/>
      <c r="DV2" s="74"/>
      <c r="DW2" s="74"/>
      <c r="DX2" s="74"/>
      <c r="DY2" s="74"/>
      <c r="DZ2" s="74"/>
      <c r="EA2" s="74"/>
      <c r="EB2" s="74"/>
    </row>
    <row r="3" spans="1:132" s="32" customFormat="1" x14ac:dyDescent="0.2">
      <c r="A3" s="99" t="s">
        <v>233</v>
      </c>
      <c r="B3" s="91">
        <f t="shared" ref="B3:L3" si="2">3.97</f>
        <v>3.97</v>
      </c>
      <c r="C3" s="91">
        <f t="shared" si="2"/>
        <v>3.97</v>
      </c>
      <c r="D3" s="91">
        <f t="shared" si="2"/>
        <v>3.97</v>
      </c>
      <c r="E3" s="91">
        <f t="shared" si="2"/>
        <v>3.97</v>
      </c>
      <c r="F3" s="91">
        <f t="shared" si="2"/>
        <v>3.97</v>
      </c>
      <c r="G3" s="91">
        <f t="shared" si="2"/>
        <v>3.97</v>
      </c>
      <c r="H3" s="91">
        <f t="shared" si="2"/>
        <v>3.97</v>
      </c>
      <c r="I3" s="91">
        <f t="shared" si="2"/>
        <v>3.97</v>
      </c>
      <c r="J3" s="91">
        <f t="shared" si="2"/>
        <v>3.97</v>
      </c>
      <c r="K3" s="91">
        <f t="shared" si="2"/>
        <v>3.97</v>
      </c>
      <c r="L3" s="94">
        <f t="shared" si="2"/>
        <v>3.97</v>
      </c>
      <c r="M3" s="92">
        <f t="shared" ref="M3:V3" si="3">5.77</f>
        <v>5.77</v>
      </c>
      <c r="N3" s="92">
        <f t="shared" si="3"/>
        <v>5.77</v>
      </c>
      <c r="O3" s="92">
        <f t="shared" si="3"/>
        <v>5.77</v>
      </c>
      <c r="P3" s="92">
        <f t="shared" si="3"/>
        <v>5.77</v>
      </c>
      <c r="Q3" s="92">
        <f t="shared" si="3"/>
        <v>5.77</v>
      </c>
      <c r="R3" s="92">
        <f t="shared" si="3"/>
        <v>5.77</v>
      </c>
      <c r="S3" s="92">
        <f t="shared" si="3"/>
        <v>5.77</v>
      </c>
      <c r="T3" s="92">
        <f t="shared" si="3"/>
        <v>5.77</v>
      </c>
      <c r="U3" s="92">
        <f t="shared" si="3"/>
        <v>5.77</v>
      </c>
      <c r="V3" s="97">
        <f t="shared" si="3"/>
        <v>5.77</v>
      </c>
      <c r="W3" s="92">
        <v>8.2799999999999994</v>
      </c>
      <c r="X3" s="92">
        <v>8.2799999999999994</v>
      </c>
      <c r="Y3" s="92">
        <v>8.2799999999999994</v>
      </c>
      <c r="Z3" s="92">
        <v>8.2799999999999994</v>
      </c>
      <c r="AA3" s="92">
        <v>8.2799999999999994</v>
      </c>
      <c r="AB3" s="92">
        <v>8.2799999999999994</v>
      </c>
      <c r="AC3" s="92">
        <v>8.2799999999999994</v>
      </c>
      <c r="AD3" s="92">
        <v>8.2799999999999994</v>
      </c>
      <c r="AE3" s="92">
        <v>8.2799999999999994</v>
      </c>
      <c r="AF3" s="92">
        <v>8.2799999999999994</v>
      </c>
      <c r="AG3" s="92">
        <v>8.2799999999999994</v>
      </c>
      <c r="AH3" s="92">
        <v>8.2799999999999994</v>
      </c>
      <c r="AI3" s="142">
        <v>8.2799999999999994</v>
      </c>
      <c r="AJ3" s="142">
        <v>8.2799999999999994</v>
      </c>
      <c r="AK3" s="92">
        <v>8.2799999999999994</v>
      </c>
      <c r="AL3" s="92">
        <v>8.2799999999999994</v>
      </c>
      <c r="AM3" s="92">
        <v>8.2799999999999994</v>
      </c>
      <c r="AN3" s="92">
        <v>8.2799999999999994</v>
      </c>
      <c r="AO3" s="92">
        <v>8.2799999999999994</v>
      </c>
      <c r="AP3" s="97">
        <v>8.2799999999999994</v>
      </c>
      <c r="AQ3" s="92">
        <v>8.2799999999999994</v>
      </c>
      <c r="AR3" s="92">
        <v>8.2799999999999994</v>
      </c>
      <c r="AS3" s="92">
        <v>8.2799999999999994</v>
      </c>
      <c r="AT3" s="92">
        <v>8.2799999999999994</v>
      </c>
      <c r="AU3" s="92">
        <v>8.2799999999999994</v>
      </c>
      <c r="AV3" s="92">
        <v>8.2799999999999994</v>
      </c>
      <c r="AW3" s="92">
        <v>8.2799999999999994</v>
      </c>
      <c r="AX3" s="92">
        <v>8.2799999999999994</v>
      </c>
      <c r="AY3" s="92">
        <v>8.2799999999999994</v>
      </c>
      <c r="AZ3" s="92">
        <v>8.2799999999999994</v>
      </c>
      <c r="BA3" s="92">
        <v>8.2799999999999994</v>
      </c>
      <c r="BB3" s="92">
        <v>8.2799999999999994</v>
      </c>
      <c r="BC3" s="92">
        <v>8.2799999999999994</v>
      </c>
      <c r="BD3" s="92">
        <v>8.2799999999999994</v>
      </c>
      <c r="BE3" s="92">
        <v>8.2799999999999994</v>
      </c>
      <c r="BF3" s="92">
        <v>8.2799999999999994</v>
      </c>
      <c r="BG3" s="92">
        <v>8.2799999999999994</v>
      </c>
      <c r="BH3" s="92">
        <v>8.2799999999999994</v>
      </c>
      <c r="BI3" s="92">
        <v>8.2799999999999994</v>
      </c>
      <c r="BJ3" s="92">
        <v>8.2799999999999994</v>
      </c>
      <c r="BK3" s="74"/>
      <c r="BL3" s="74"/>
      <c r="BM3" s="74"/>
      <c r="BN3" s="74"/>
      <c r="BO3" s="74"/>
      <c r="BP3" s="74"/>
      <c r="BQ3" s="74"/>
      <c r="BR3" s="74"/>
      <c r="BS3" s="74"/>
      <c r="BT3" s="74"/>
      <c r="BU3" s="74"/>
      <c r="DD3" s="74"/>
      <c r="DE3" s="74"/>
      <c r="DF3" s="74"/>
      <c r="DG3" s="74"/>
      <c r="DH3" s="74"/>
      <c r="DI3" s="74"/>
      <c r="DJ3" s="74"/>
      <c r="DK3" s="74"/>
      <c r="DL3" s="74"/>
      <c r="DM3" s="74"/>
      <c r="DN3" s="74"/>
      <c r="DO3" s="74"/>
      <c r="DP3" s="74"/>
      <c r="DQ3" s="74"/>
      <c r="DR3" s="74"/>
      <c r="DS3" s="74"/>
      <c r="DT3" s="74"/>
      <c r="DU3" s="74"/>
      <c r="DV3" s="74"/>
      <c r="DW3" s="74"/>
      <c r="DX3" s="74"/>
      <c r="DY3" s="74"/>
      <c r="DZ3" s="74"/>
      <c r="EA3" s="74"/>
      <c r="EB3" s="74"/>
    </row>
    <row r="4" spans="1:132" s="32" customFormat="1" x14ac:dyDescent="0.2">
      <c r="A4" s="99" t="s">
        <v>234</v>
      </c>
      <c r="B4" s="91">
        <f t="shared" ref="B4:L4" si="4">4.31</f>
        <v>4.3099999999999996</v>
      </c>
      <c r="C4" s="91">
        <f t="shared" si="4"/>
        <v>4.3099999999999996</v>
      </c>
      <c r="D4" s="91">
        <f t="shared" si="4"/>
        <v>4.3099999999999996</v>
      </c>
      <c r="E4" s="91">
        <f t="shared" si="4"/>
        <v>4.3099999999999996</v>
      </c>
      <c r="F4" s="91">
        <f t="shared" si="4"/>
        <v>4.3099999999999996</v>
      </c>
      <c r="G4" s="91">
        <f t="shared" si="4"/>
        <v>4.3099999999999996</v>
      </c>
      <c r="H4" s="91">
        <f t="shared" si="4"/>
        <v>4.3099999999999996</v>
      </c>
      <c r="I4" s="91">
        <f t="shared" si="4"/>
        <v>4.3099999999999996</v>
      </c>
      <c r="J4" s="91">
        <f t="shared" si="4"/>
        <v>4.3099999999999996</v>
      </c>
      <c r="K4" s="91">
        <f t="shared" si="4"/>
        <v>4.3099999999999996</v>
      </c>
      <c r="L4" s="94">
        <f t="shared" si="4"/>
        <v>4.3099999999999996</v>
      </c>
      <c r="M4" s="92">
        <f t="shared" ref="M4:V4" si="5">2.51</f>
        <v>2.5099999999999998</v>
      </c>
      <c r="N4" s="92">
        <f t="shared" si="5"/>
        <v>2.5099999999999998</v>
      </c>
      <c r="O4" s="92">
        <f t="shared" si="5"/>
        <v>2.5099999999999998</v>
      </c>
      <c r="P4" s="92">
        <f t="shared" si="5"/>
        <v>2.5099999999999998</v>
      </c>
      <c r="Q4" s="92">
        <f t="shared" si="5"/>
        <v>2.5099999999999998</v>
      </c>
      <c r="R4" s="92">
        <f t="shared" si="5"/>
        <v>2.5099999999999998</v>
      </c>
      <c r="S4" s="92">
        <f t="shared" si="5"/>
        <v>2.5099999999999998</v>
      </c>
      <c r="T4" s="92">
        <f t="shared" si="5"/>
        <v>2.5099999999999998</v>
      </c>
      <c r="U4" s="92">
        <f t="shared" si="5"/>
        <v>2.5099999999999998</v>
      </c>
      <c r="V4" s="97">
        <f t="shared" si="5"/>
        <v>2.5099999999999998</v>
      </c>
      <c r="W4" s="92">
        <v>0</v>
      </c>
      <c r="X4" s="92">
        <v>0</v>
      </c>
      <c r="Y4" s="92">
        <v>0</v>
      </c>
      <c r="Z4" s="92">
        <v>0</v>
      </c>
      <c r="AA4" s="92">
        <v>0</v>
      </c>
      <c r="AB4" s="92">
        <v>0</v>
      </c>
      <c r="AC4" s="92">
        <v>0</v>
      </c>
      <c r="AD4" s="92">
        <v>0</v>
      </c>
      <c r="AE4" s="92">
        <v>0</v>
      </c>
      <c r="AF4" s="92">
        <v>0</v>
      </c>
      <c r="AG4" s="92">
        <v>0</v>
      </c>
      <c r="AH4" s="92">
        <v>0</v>
      </c>
      <c r="AI4" s="142">
        <v>0</v>
      </c>
      <c r="AJ4" s="142">
        <v>0</v>
      </c>
      <c r="AK4" s="92">
        <v>0</v>
      </c>
      <c r="AL4" s="92">
        <v>0</v>
      </c>
      <c r="AM4" s="92">
        <v>0</v>
      </c>
      <c r="AN4" s="92">
        <v>0</v>
      </c>
      <c r="AO4" s="92">
        <v>0</v>
      </c>
      <c r="AP4" s="97">
        <v>0</v>
      </c>
      <c r="AQ4" s="92">
        <v>0</v>
      </c>
      <c r="AR4" s="92">
        <v>0</v>
      </c>
      <c r="AS4" s="92">
        <v>0</v>
      </c>
      <c r="AT4" s="92">
        <v>0</v>
      </c>
      <c r="AU4" s="92">
        <v>0</v>
      </c>
      <c r="AV4" s="92">
        <v>0</v>
      </c>
      <c r="AW4" s="92">
        <v>0</v>
      </c>
      <c r="AX4" s="92">
        <v>0</v>
      </c>
      <c r="AY4" s="92">
        <v>0</v>
      </c>
      <c r="AZ4" s="92">
        <v>0</v>
      </c>
      <c r="BA4" s="92">
        <v>0</v>
      </c>
      <c r="BB4" s="92">
        <v>0</v>
      </c>
      <c r="BC4" s="92">
        <v>0</v>
      </c>
      <c r="BD4" s="92">
        <v>0</v>
      </c>
      <c r="BE4" s="92">
        <v>0</v>
      </c>
      <c r="BF4" s="92">
        <v>0</v>
      </c>
      <c r="BG4" s="92">
        <v>0</v>
      </c>
      <c r="BH4" s="92">
        <v>0</v>
      </c>
      <c r="BI4" s="92">
        <v>0</v>
      </c>
      <c r="BJ4" s="92">
        <v>0</v>
      </c>
      <c r="BK4" s="74"/>
      <c r="BL4" s="74"/>
      <c r="BM4" s="74"/>
      <c r="BN4" s="74"/>
      <c r="BO4" s="74"/>
      <c r="BP4" s="74"/>
      <c r="BQ4" s="74"/>
      <c r="BR4" s="74"/>
      <c r="BS4" s="74"/>
      <c r="BT4" s="74"/>
      <c r="BU4" s="74"/>
      <c r="DD4" s="74"/>
      <c r="DE4" s="74"/>
      <c r="DF4" s="74"/>
      <c r="DG4" s="74"/>
      <c r="DH4" s="74"/>
      <c r="DI4" s="74"/>
      <c r="DJ4" s="74"/>
      <c r="DK4" s="74"/>
      <c r="DL4" s="74"/>
      <c r="DM4" s="74"/>
      <c r="DN4" s="74"/>
      <c r="DO4" s="74"/>
      <c r="DP4" s="74"/>
      <c r="DQ4" s="74"/>
      <c r="DR4" s="74"/>
      <c r="DS4" s="74"/>
      <c r="DT4" s="74"/>
      <c r="DU4" s="74"/>
      <c r="DV4" s="74"/>
      <c r="DW4" s="74"/>
      <c r="DX4" s="74"/>
      <c r="DY4" s="74"/>
      <c r="DZ4" s="74"/>
      <c r="EA4" s="74"/>
      <c r="EB4" s="74"/>
    </row>
    <row r="5" spans="1:132" s="32" customFormat="1" x14ac:dyDescent="0.2">
      <c r="A5" s="100" t="s">
        <v>232</v>
      </c>
      <c r="B5" s="93">
        <v>100</v>
      </c>
      <c r="C5" s="93">
        <f>B5+B7-B8</f>
        <v>100</v>
      </c>
      <c r="D5" s="93">
        <f t="shared" ref="D5:AG5" si="6">C5+C7-C8</f>
        <v>102.155</v>
      </c>
      <c r="E5" s="93">
        <f t="shared" si="6"/>
        <v>104.35644025000001</v>
      </c>
      <c r="F5" s="93">
        <f t="shared" si="6"/>
        <v>106.60532153738751</v>
      </c>
      <c r="G5" s="93">
        <f t="shared" si="6"/>
        <v>108.90266621651821</v>
      </c>
      <c r="H5" s="93">
        <f t="shared" si="6"/>
        <v>111.24951867348418</v>
      </c>
      <c r="I5" s="93">
        <f t="shared" si="6"/>
        <v>113.64694580089775</v>
      </c>
      <c r="J5" s="93">
        <f t="shared" si="6"/>
        <v>116.09603748290711</v>
      </c>
      <c r="K5" s="93">
        <f t="shared" si="6"/>
        <v>118.59790709066375</v>
      </c>
      <c r="L5" s="95">
        <f t="shared" si="6"/>
        <v>121.15369198846756</v>
      </c>
      <c r="M5" s="93">
        <f t="shared" si="6"/>
        <v>123.76455405081903</v>
      </c>
      <c r="N5" s="93">
        <f t="shared" si="6"/>
        <v>125.31779920415681</v>
      </c>
      <c r="O5" s="93">
        <f t="shared" si="6"/>
        <v>126.89053758416898</v>
      </c>
      <c r="P5" s="93">
        <f t="shared" si="6"/>
        <v>128.4830138308503</v>
      </c>
      <c r="Q5" s="93">
        <f t="shared" si="6"/>
        <v>130.09547565442747</v>
      </c>
      <c r="R5" s="93">
        <f t="shared" si="6"/>
        <v>131.72817387389054</v>
      </c>
      <c r="S5" s="93">
        <f t="shared" si="6"/>
        <v>133.38136245600788</v>
      </c>
      <c r="T5" s="93">
        <f t="shared" si="6"/>
        <v>135.05529855483078</v>
      </c>
      <c r="U5" s="93">
        <f t="shared" si="6"/>
        <v>136.7502425516939</v>
      </c>
      <c r="V5" s="95">
        <f t="shared" si="6"/>
        <v>138.46645809571766</v>
      </c>
      <c r="W5" s="93">
        <f t="shared" si="6"/>
        <v>140.20421214481891</v>
      </c>
      <c r="X5" s="93">
        <f t="shared" si="6"/>
        <v>140.20421214481891</v>
      </c>
      <c r="Y5" s="93">
        <f t="shared" si="6"/>
        <v>140.20421214481891</v>
      </c>
      <c r="Z5" s="93">
        <f t="shared" si="6"/>
        <v>140.20421214481891</v>
      </c>
      <c r="AA5" s="93">
        <f t="shared" si="6"/>
        <v>140.20421214481891</v>
      </c>
      <c r="AB5" s="93">
        <f t="shared" si="6"/>
        <v>140.20421214481891</v>
      </c>
      <c r="AC5" s="93">
        <f t="shared" si="6"/>
        <v>140.20421214481891</v>
      </c>
      <c r="AD5" s="93">
        <f t="shared" si="6"/>
        <v>140.20421214481891</v>
      </c>
      <c r="AE5" s="93">
        <f t="shared" si="6"/>
        <v>140.20421214481891</v>
      </c>
      <c r="AF5" s="93">
        <f t="shared" si="6"/>
        <v>140.20421214481891</v>
      </c>
      <c r="AG5" s="93">
        <f t="shared" si="6"/>
        <v>140.20421214481891</v>
      </c>
      <c r="AH5" s="93">
        <f t="shared" ref="AH5:BJ5" si="7">AG5+AG7-AG8</f>
        <v>140.20421214481891</v>
      </c>
      <c r="AI5" s="143">
        <f t="shared" si="7"/>
        <v>140.20421214481891</v>
      </c>
      <c r="AJ5" s="143">
        <f t="shared" si="7"/>
        <v>140.20421214481891</v>
      </c>
      <c r="AK5" s="93">
        <f t="shared" si="7"/>
        <v>140.20421214481891</v>
      </c>
      <c r="AL5" s="93">
        <f t="shared" si="7"/>
        <v>140.20421214481891</v>
      </c>
      <c r="AM5" s="93">
        <f t="shared" si="7"/>
        <v>140.20421214481891</v>
      </c>
      <c r="AN5" s="93">
        <f t="shared" si="7"/>
        <v>140.20421214481891</v>
      </c>
      <c r="AO5" s="93">
        <f t="shared" si="7"/>
        <v>140.20421214481891</v>
      </c>
      <c r="AP5" s="95">
        <f t="shared" si="7"/>
        <v>140.20421214481891</v>
      </c>
      <c r="AQ5" s="93">
        <f t="shared" si="7"/>
        <v>140.20421214481891</v>
      </c>
      <c r="AR5" s="93">
        <f t="shared" si="7"/>
        <v>133.19400153757798</v>
      </c>
      <c r="AS5" s="93">
        <f t="shared" si="7"/>
        <v>126.18379093033703</v>
      </c>
      <c r="AT5" s="93">
        <f t="shared" si="7"/>
        <v>119.17358032309608</v>
      </c>
      <c r="AU5" s="93">
        <f t="shared" si="7"/>
        <v>112.16336971585513</v>
      </c>
      <c r="AV5" s="93">
        <f t="shared" si="7"/>
        <v>105.15315910861418</v>
      </c>
      <c r="AW5" s="93">
        <f t="shared" si="7"/>
        <v>98.142948501373226</v>
      </c>
      <c r="AX5" s="93">
        <f t="shared" si="7"/>
        <v>91.132737894132276</v>
      </c>
      <c r="AY5" s="93">
        <f t="shared" si="7"/>
        <v>84.122527286891327</v>
      </c>
      <c r="AZ5" s="93">
        <f t="shared" si="7"/>
        <v>77.112316679650377</v>
      </c>
      <c r="BA5" s="93">
        <f t="shared" si="7"/>
        <v>70.102106072409427</v>
      </c>
      <c r="BB5" s="93">
        <f t="shared" si="7"/>
        <v>63.091895465168484</v>
      </c>
      <c r="BC5" s="93">
        <f t="shared" si="7"/>
        <v>56.081684857927542</v>
      </c>
      <c r="BD5" s="93">
        <f t="shared" si="7"/>
        <v>49.071474250686599</v>
      </c>
      <c r="BE5" s="93">
        <f t="shared" si="7"/>
        <v>42.061263643445656</v>
      </c>
      <c r="BF5" s="93">
        <f t="shared" si="7"/>
        <v>35.051053036204713</v>
      </c>
      <c r="BG5" s="93">
        <f t="shared" si="7"/>
        <v>28.040842428963767</v>
      </c>
      <c r="BH5" s="93">
        <f t="shared" si="7"/>
        <v>21.030631821722821</v>
      </c>
      <c r="BI5" s="93">
        <f t="shared" si="7"/>
        <v>14.020421214481875</v>
      </c>
      <c r="BJ5" s="93">
        <f t="shared" si="7"/>
        <v>7.0102106072409294</v>
      </c>
      <c r="BK5" s="74"/>
      <c r="BL5" s="74"/>
      <c r="BM5" s="74"/>
      <c r="BN5" s="74"/>
      <c r="BO5" s="74"/>
      <c r="BP5" s="74"/>
      <c r="BQ5" s="74"/>
      <c r="BR5" s="74"/>
      <c r="BS5" s="74"/>
      <c r="BT5" s="74"/>
      <c r="BU5" s="74"/>
      <c r="DD5" s="74"/>
      <c r="DE5" s="74"/>
      <c r="DF5" s="74"/>
      <c r="DG5" s="74"/>
      <c r="DH5" s="74"/>
      <c r="DI5" s="74"/>
      <c r="DJ5" s="74"/>
      <c r="DK5" s="74"/>
      <c r="DL5" s="74"/>
      <c r="DM5" s="74"/>
      <c r="DN5" s="74"/>
      <c r="DO5" s="74"/>
      <c r="DP5" s="74"/>
      <c r="DQ5" s="74"/>
      <c r="DR5" s="74"/>
      <c r="DS5" s="74"/>
      <c r="DT5" s="74"/>
      <c r="DU5" s="74"/>
      <c r="DV5" s="74"/>
      <c r="DW5" s="74"/>
      <c r="DX5" s="74"/>
      <c r="DY5" s="74"/>
      <c r="DZ5" s="74"/>
      <c r="EA5" s="74"/>
      <c r="EB5" s="74"/>
    </row>
    <row r="6" spans="1:132" s="32" customFormat="1" x14ac:dyDescent="0.2">
      <c r="A6" s="101" t="s">
        <v>316</v>
      </c>
      <c r="B6" s="18">
        <v>0</v>
      </c>
      <c r="C6" s="18">
        <f>C3/2*C5/100</f>
        <v>1.9850000000000001</v>
      </c>
      <c r="D6" s="18">
        <f t="shared" ref="D6:AG6" si="8">D3/2*D5/100</f>
        <v>2.0277767500000001</v>
      </c>
      <c r="E6" s="18">
        <f t="shared" si="8"/>
        <v>2.0714753389625002</v>
      </c>
      <c r="F6" s="18">
        <f t="shared" si="8"/>
        <v>2.116115632517142</v>
      </c>
      <c r="G6" s="18">
        <f t="shared" si="8"/>
        <v>2.1617179243978866</v>
      </c>
      <c r="H6" s="18">
        <f t="shared" si="8"/>
        <v>2.2083029456686609</v>
      </c>
      <c r="I6" s="18">
        <f t="shared" si="8"/>
        <v>2.2558918741478204</v>
      </c>
      <c r="J6" s="18">
        <f t="shared" si="8"/>
        <v>2.3045063440357065</v>
      </c>
      <c r="K6" s="18">
        <f t="shared" si="8"/>
        <v>2.3541684557496758</v>
      </c>
      <c r="L6" s="96">
        <f t="shared" si="8"/>
        <v>2.4049007859710811</v>
      </c>
      <c r="M6" s="18">
        <f t="shared" si="8"/>
        <v>3.570607384366129</v>
      </c>
      <c r="N6" s="18">
        <f t="shared" si="8"/>
        <v>3.6154185070399238</v>
      </c>
      <c r="O6" s="18">
        <f t="shared" si="8"/>
        <v>3.6607920093032749</v>
      </c>
      <c r="P6" s="18">
        <f t="shared" si="8"/>
        <v>3.706734949020031</v>
      </c>
      <c r="Q6" s="18">
        <f t="shared" si="8"/>
        <v>3.7532544726302324</v>
      </c>
      <c r="R6" s="18">
        <f t="shared" si="8"/>
        <v>3.8003578162617417</v>
      </c>
      <c r="S6" s="18">
        <f t="shared" si="8"/>
        <v>3.8480523068558266</v>
      </c>
      <c r="T6" s="18">
        <f t="shared" si="8"/>
        <v>3.8963453633068679</v>
      </c>
      <c r="U6" s="18">
        <f t="shared" si="8"/>
        <v>3.9452444976163692</v>
      </c>
      <c r="V6" s="96">
        <f t="shared" si="8"/>
        <v>3.9947573160614542</v>
      </c>
      <c r="W6" s="18">
        <f t="shared" si="8"/>
        <v>5.8044543827955017</v>
      </c>
      <c r="X6" s="18">
        <f t="shared" si="8"/>
        <v>5.8044543827955017</v>
      </c>
      <c r="Y6" s="18">
        <f t="shared" si="8"/>
        <v>5.8044543827955017</v>
      </c>
      <c r="Z6" s="18">
        <f t="shared" si="8"/>
        <v>5.8044543827955017</v>
      </c>
      <c r="AA6" s="18">
        <f t="shared" si="8"/>
        <v>5.8044543827955017</v>
      </c>
      <c r="AB6" s="18">
        <f t="shared" si="8"/>
        <v>5.8044543827955017</v>
      </c>
      <c r="AC6" s="18">
        <f t="shared" si="8"/>
        <v>5.8044543827955017</v>
      </c>
      <c r="AD6" s="18">
        <f t="shared" si="8"/>
        <v>5.8044543827955017</v>
      </c>
      <c r="AE6" s="18">
        <f t="shared" si="8"/>
        <v>5.8044543827955017</v>
      </c>
      <c r="AF6" s="18">
        <f t="shared" si="8"/>
        <v>5.8044543827955017</v>
      </c>
      <c r="AG6" s="18">
        <f t="shared" si="8"/>
        <v>5.8044543827955017</v>
      </c>
      <c r="AH6" s="18">
        <f t="shared" ref="AH6:BJ6" si="9">AH3/2*AH5/100</f>
        <v>5.8044543827955017</v>
      </c>
      <c r="AI6" s="144">
        <f t="shared" si="9"/>
        <v>5.8044543827955017</v>
      </c>
      <c r="AJ6" s="144">
        <f t="shared" si="9"/>
        <v>5.8044543827955017</v>
      </c>
      <c r="AK6" s="18">
        <f t="shared" si="9"/>
        <v>5.8044543827955017</v>
      </c>
      <c r="AL6" s="18">
        <f t="shared" si="9"/>
        <v>5.8044543827955017</v>
      </c>
      <c r="AM6" s="18">
        <f t="shared" si="9"/>
        <v>5.8044543827955017</v>
      </c>
      <c r="AN6" s="18">
        <f t="shared" si="9"/>
        <v>5.8044543827955017</v>
      </c>
      <c r="AO6" s="18">
        <f t="shared" si="9"/>
        <v>5.8044543827955017</v>
      </c>
      <c r="AP6" s="96">
        <f t="shared" si="9"/>
        <v>5.8044543827955017</v>
      </c>
      <c r="AQ6" s="18">
        <f t="shared" si="9"/>
        <v>5.8044543827955017</v>
      </c>
      <c r="AR6" s="18">
        <f t="shared" si="9"/>
        <v>5.5142316636557283</v>
      </c>
      <c r="AS6" s="18">
        <f t="shared" si="9"/>
        <v>5.224008944515953</v>
      </c>
      <c r="AT6" s="18">
        <f t="shared" si="9"/>
        <v>4.9337862253761777</v>
      </c>
      <c r="AU6" s="18">
        <f t="shared" si="9"/>
        <v>4.6435635062364016</v>
      </c>
      <c r="AV6" s="18">
        <f t="shared" si="9"/>
        <v>4.3533407870966263</v>
      </c>
      <c r="AW6" s="18">
        <f t="shared" si="9"/>
        <v>4.063118067956851</v>
      </c>
      <c r="AX6" s="18">
        <f t="shared" si="9"/>
        <v>3.7728953488170758</v>
      </c>
      <c r="AY6" s="18">
        <f t="shared" si="9"/>
        <v>3.4826726296773005</v>
      </c>
      <c r="AZ6" s="18">
        <f t="shared" si="9"/>
        <v>3.1924499105375252</v>
      </c>
      <c r="BA6" s="18">
        <f t="shared" si="9"/>
        <v>2.90222719139775</v>
      </c>
      <c r="BB6" s="18">
        <f t="shared" si="9"/>
        <v>2.6120044722579752</v>
      </c>
      <c r="BC6" s="18">
        <f t="shared" si="9"/>
        <v>2.3217817531182003</v>
      </c>
      <c r="BD6" s="18">
        <f t="shared" si="9"/>
        <v>2.0315590339784251</v>
      </c>
      <c r="BE6" s="18">
        <f t="shared" si="9"/>
        <v>1.74133631483865</v>
      </c>
      <c r="BF6" s="18">
        <f t="shared" si="9"/>
        <v>1.451113595698875</v>
      </c>
      <c r="BG6" s="18">
        <f t="shared" si="9"/>
        <v>1.1608908765590999</v>
      </c>
      <c r="BH6" s="18">
        <f t="shared" si="9"/>
        <v>0.87066815741932468</v>
      </c>
      <c r="BI6" s="18">
        <f t="shared" si="9"/>
        <v>0.58044543827954953</v>
      </c>
      <c r="BJ6" s="18">
        <f t="shared" si="9"/>
        <v>0.29022271913977443</v>
      </c>
      <c r="BK6" s="74"/>
      <c r="BL6" s="74"/>
      <c r="BM6" s="74"/>
      <c r="BN6" s="74"/>
      <c r="BO6" s="74"/>
      <c r="BP6" s="74"/>
      <c r="BQ6" s="74"/>
      <c r="BR6" s="74"/>
      <c r="BS6" s="74"/>
      <c r="BT6" s="74"/>
      <c r="BU6" s="74"/>
      <c r="DD6" s="74"/>
      <c r="DE6" s="74"/>
      <c r="DF6" s="74"/>
      <c r="DG6" s="74"/>
      <c r="DH6" s="74"/>
      <c r="DI6" s="74"/>
      <c r="DJ6" s="74"/>
      <c r="DK6" s="74"/>
      <c r="DL6" s="74"/>
      <c r="DM6" s="74"/>
      <c r="DN6" s="74"/>
      <c r="DO6" s="74"/>
      <c r="DP6" s="74"/>
      <c r="DQ6" s="74"/>
      <c r="DR6" s="74"/>
      <c r="DS6" s="74"/>
      <c r="DT6" s="74"/>
      <c r="DU6" s="74"/>
      <c r="DV6" s="74"/>
      <c r="DW6" s="74"/>
      <c r="DX6" s="74"/>
      <c r="DY6" s="74"/>
      <c r="DZ6" s="74"/>
      <c r="EA6" s="74"/>
      <c r="EB6" s="74"/>
    </row>
    <row r="7" spans="1:132" s="32" customFormat="1" x14ac:dyDescent="0.2">
      <c r="A7" s="98" t="s">
        <v>230</v>
      </c>
      <c r="B7" s="18">
        <v>0</v>
      </c>
      <c r="C7" s="18">
        <f t="shared" ref="C7:AH7" si="10">C$5*C4/2/100</f>
        <v>2.1549999999999998</v>
      </c>
      <c r="D7" s="18">
        <f t="shared" si="10"/>
        <v>2.2014402499999997</v>
      </c>
      <c r="E7" s="18">
        <f t="shared" si="10"/>
        <v>2.2488812873874999</v>
      </c>
      <c r="F7" s="18">
        <f t="shared" si="10"/>
        <v>2.2973446791307008</v>
      </c>
      <c r="G7" s="18">
        <f t="shared" si="10"/>
        <v>2.3468524569659674</v>
      </c>
      <c r="H7" s="18">
        <f t="shared" si="10"/>
        <v>2.3974271274135841</v>
      </c>
      <c r="I7" s="18">
        <f t="shared" si="10"/>
        <v>2.4490916820093465</v>
      </c>
      <c r="J7" s="18">
        <f t="shared" si="10"/>
        <v>2.5018696077566478</v>
      </c>
      <c r="K7" s="18">
        <f t="shared" si="10"/>
        <v>2.5557848978038034</v>
      </c>
      <c r="L7" s="96">
        <f t="shared" si="10"/>
        <v>2.610862062351476</v>
      </c>
      <c r="M7" s="18">
        <f t="shared" si="10"/>
        <v>1.5532451533377787</v>
      </c>
      <c r="N7" s="18">
        <f t="shared" si="10"/>
        <v>1.5727383800121677</v>
      </c>
      <c r="O7" s="18">
        <f t="shared" si="10"/>
        <v>1.5924762466813207</v>
      </c>
      <c r="P7" s="18">
        <f t="shared" si="10"/>
        <v>1.6124618235771713</v>
      </c>
      <c r="Q7" s="18">
        <f t="shared" si="10"/>
        <v>1.6326982194630648</v>
      </c>
      <c r="R7" s="18">
        <f t="shared" si="10"/>
        <v>1.6531885821173262</v>
      </c>
      <c r="S7" s="18">
        <f t="shared" si="10"/>
        <v>1.6739360988228986</v>
      </c>
      <c r="T7" s="18">
        <f t="shared" si="10"/>
        <v>1.6949439968631261</v>
      </c>
      <c r="U7" s="18">
        <f t="shared" si="10"/>
        <v>1.7162155440237583</v>
      </c>
      <c r="V7" s="96">
        <f t="shared" si="10"/>
        <v>1.7377540491012564</v>
      </c>
      <c r="W7" s="18">
        <f t="shared" si="10"/>
        <v>0</v>
      </c>
      <c r="X7" s="18">
        <f t="shared" si="10"/>
        <v>0</v>
      </c>
      <c r="Y7" s="18">
        <f t="shared" si="10"/>
        <v>0</v>
      </c>
      <c r="Z7" s="18">
        <f t="shared" si="10"/>
        <v>0</v>
      </c>
      <c r="AA7" s="18">
        <f t="shared" si="10"/>
        <v>0</v>
      </c>
      <c r="AB7" s="18">
        <f t="shared" si="10"/>
        <v>0</v>
      </c>
      <c r="AC7" s="18">
        <f t="shared" si="10"/>
        <v>0</v>
      </c>
      <c r="AD7" s="18">
        <f t="shared" si="10"/>
        <v>0</v>
      </c>
      <c r="AE7" s="18">
        <f t="shared" si="10"/>
        <v>0</v>
      </c>
      <c r="AF7" s="18">
        <f t="shared" si="10"/>
        <v>0</v>
      </c>
      <c r="AG7" s="18">
        <f t="shared" si="10"/>
        <v>0</v>
      </c>
      <c r="AH7" s="18">
        <f t="shared" si="10"/>
        <v>0</v>
      </c>
      <c r="AI7" s="144">
        <f t="shared" ref="AI7:BJ7" si="11">AI$5*AI4/2/100</f>
        <v>0</v>
      </c>
      <c r="AJ7" s="144">
        <f t="shared" si="11"/>
        <v>0</v>
      </c>
      <c r="AK7" s="18">
        <f t="shared" si="11"/>
        <v>0</v>
      </c>
      <c r="AL7" s="18">
        <f t="shared" si="11"/>
        <v>0</v>
      </c>
      <c r="AM7" s="18">
        <f t="shared" si="11"/>
        <v>0</v>
      </c>
      <c r="AN7" s="18">
        <f t="shared" si="11"/>
        <v>0</v>
      </c>
      <c r="AO7" s="18">
        <f t="shared" si="11"/>
        <v>0</v>
      </c>
      <c r="AP7" s="96">
        <f t="shared" si="11"/>
        <v>0</v>
      </c>
      <c r="AQ7" s="18">
        <f t="shared" si="11"/>
        <v>0</v>
      </c>
      <c r="AR7" s="18">
        <f t="shared" si="11"/>
        <v>0</v>
      </c>
      <c r="AS7" s="18">
        <f t="shared" si="11"/>
        <v>0</v>
      </c>
      <c r="AT7" s="18">
        <f t="shared" si="11"/>
        <v>0</v>
      </c>
      <c r="AU7" s="18">
        <f t="shared" si="11"/>
        <v>0</v>
      </c>
      <c r="AV7" s="18">
        <f t="shared" si="11"/>
        <v>0</v>
      </c>
      <c r="AW7" s="18">
        <f t="shared" si="11"/>
        <v>0</v>
      </c>
      <c r="AX7" s="18">
        <f t="shared" si="11"/>
        <v>0</v>
      </c>
      <c r="AY7" s="18">
        <f t="shared" si="11"/>
        <v>0</v>
      </c>
      <c r="AZ7" s="18">
        <f t="shared" si="11"/>
        <v>0</v>
      </c>
      <c r="BA7" s="18">
        <f t="shared" si="11"/>
        <v>0</v>
      </c>
      <c r="BB7" s="18">
        <f t="shared" si="11"/>
        <v>0</v>
      </c>
      <c r="BC7" s="18">
        <f t="shared" si="11"/>
        <v>0</v>
      </c>
      <c r="BD7" s="18">
        <f t="shared" si="11"/>
        <v>0</v>
      </c>
      <c r="BE7" s="18">
        <f t="shared" si="11"/>
        <v>0</v>
      </c>
      <c r="BF7" s="18">
        <f t="shared" si="11"/>
        <v>0</v>
      </c>
      <c r="BG7" s="18">
        <f t="shared" si="11"/>
        <v>0</v>
      </c>
      <c r="BH7" s="18">
        <f t="shared" si="11"/>
        <v>0</v>
      </c>
      <c r="BI7" s="18">
        <f t="shared" si="11"/>
        <v>0</v>
      </c>
      <c r="BJ7" s="18">
        <f t="shared" si="11"/>
        <v>0</v>
      </c>
      <c r="BK7" s="74"/>
      <c r="BL7" s="74"/>
      <c r="BM7" s="74"/>
      <c r="BN7" s="74"/>
      <c r="BO7" s="74"/>
      <c r="BP7" s="74"/>
      <c r="BQ7" s="74"/>
      <c r="BR7" s="74"/>
      <c r="BS7" s="74"/>
      <c r="BT7" s="74"/>
      <c r="BU7" s="74"/>
      <c r="DD7" s="74"/>
      <c r="DE7" s="74"/>
      <c r="DF7" s="74"/>
      <c r="DG7" s="74"/>
      <c r="DH7" s="74"/>
      <c r="DI7" s="74"/>
      <c r="DJ7" s="74"/>
      <c r="DK7" s="74"/>
      <c r="DL7" s="74"/>
      <c r="DM7" s="74"/>
      <c r="DN7" s="74"/>
      <c r="DO7" s="74"/>
      <c r="DP7" s="74"/>
      <c r="DQ7" s="74"/>
      <c r="DR7" s="74"/>
      <c r="DS7" s="74"/>
      <c r="DT7" s="74"/>
      <c r="DU7" s="74"/>
      <c r="DV7" s="74"/>
      <c r="DW7" s="74"/>
      <c r="DX7" s="74"/>
      <c r="DY7" s="74"/>
      <c r="DZ7" s="74"/>
      <c r="EA7" s="74"/>
      <c r="EB7" s="74"/>
    </row>
    <row r="8" spans="1:132" s="32" customFormat="1" x14ac:dyDescent="0.2">
      <c r="A8" s="98" t="s">
        <v>235</v>
      </c>
      <c r="B8" s="18">
        <v>0</v>
      </c>
      <c r="C8" s="18">
        <v>0</v>
      </c>
      <c r="D8" s="18">
        <v>0</v>
      </c>
      <c r="E8" s="18">
        <v>0</v>
      </c>
      <c r="F8" s="18">
        <v>0</v>
      </c>
      <c r="G8" s="18">
        <v>0</v>
      </c>
      <c r="H8" s="18">
        <v>0</v>
      </c>
      <c r="I8" s="18">
        <v>0</v>
      </c>
      <c r="J8" s="18">
        <v>0</v>
      </c>
      <c r="K8" s="18">
        <v>0</v>
      </c>
      <c r="L8" s="96">
        <v>0</v>
      </c>
      <c r="M8" s="18">
        <v>0</v>
      </c>
      <c r="N8" s="18">
        <v>0</v>
      </c>
      <c r="O8" s="18">
        <v>0</v>
      </c>
      <c r="P8" s="18">
        <v>0</v>
      </c>
      <c r="Q8" s="18">
        <v>0</v>
      </c>
      <c r="R8" s="18">
        <v>0</v>
      </c>
      <c r="S8" s="18">
        <v>0</v>
      </c>
      <c r="T8" s="18">
        <v>0</v>
      </c>
      <c r="U8" s="18">
        <v>0</v>
      </c>
      <c r="V8" s="96">
        <v>0</v>
      </c>
      <c r="W8" s="18">
        <v>0</v>
      </c>
      <c r="X8" s="18">
        <v>0</v>
      </c>
      <c r="Y8" s="18">
        <v>0</v>
      </c>
      <c r="Z8" s="18">
        <v>0</v>
      </c>
      <c r="AA8" s="18">
        <v>0</v>
      </c>
      <c r="AB8" s="18">
        <v>0</v>
      </c>
      <c r="AC8" s="18">
        <v>0</v>
      </c>
      <c r="AD8" s="18">
        <v>0</v>
      </c>
      <c r="AE8" s="18">
        <v>0</v>
      </c>
      <c r="AF8" s="18">
        <v>0</v>
      </c>
      <c r="AG8" s="18">
        <v>0</v>
      </c>
      <c r="AH8" s="18">
        <v>0</v>
      </c>
      <c r="AI8" s="144">
        <v>0</v>
      </c>
      <c r="AJ8" s="144">
        <v>0</v>
      </c>
      <c r="AK8" s="18">
        <v>0</v>
      </c>
      <c r="AL8" s="18">
        <v>0</v>
      </c>
      <c r="AM8" s="18">
        <v>0</v>
      </c>
      <c r="AN8" s="18">
        <v>0</v>
      </c>
      <c r="AO8" s="18">
        <v>0</v>
      </c>
      <c r="AP8" s="96">
        <v>0</v>
      </c>
      <c r="AQ8" s="18">
        <f>AQ5/20</f>
        <v>7.0102106072409454</v>
      </c>
      <c r="AR8" s="18">
        <f t="shared" ref="AR8:BJ8" si="12">AQ8</f>
        <v>7.0102106072409454</v>
      </c>
      <c r="AS8" s="18">
        <f t="shared" si="12"/>
        <v>7.0102106072409454</v>
      </c>
      <c r="AT8" s="18">
        <f t="shared" si="12"/>
        <v>7.0102106072409454</v>
      </c>
      <c r="AU8" s="18">
        <f t="shared" si="12"/>
        <v>7.0102106072409454</v>
      </c>
      <c r="AV8" s="18">
        <f t="shared" si="12"/>
        <v>7.0102106072409454</v>
      </c>
      <c r="AW8" s="18">
        <f t="shared" si="12"/>
        <v>7.0102106072409454</v>
      </c>
      <c r="AX8" s="18">
        <f t="shared" si="12"/>
        <v>7.0102106072409454</v>
      </c>
      <c r="AY8" s="18">
        <f t="shared" si="12"/>
        <v>7.0102106072409454</v>
      </c>
      <c r="AZ8" s="18">
        <f t="shared" si="12"/>
        <v>7.0102106072409454</v>
      </c>
      <c r="BA8" s="18">
        <f t="shared" si="12"/>
        <v>7.0102106072409454</v>
      </c>
      <c r="BB8" s="18">
        <f t="shared" si="12"/>
        <v>7.0102106072409454</v>
      </c>
      <c r="BC8" s="18">
        <f t="shared" si="12"/>
        <v>7.0102106072409454</v>
      </c>
      <c r="BD8" s="18">
        <f t="shared" si="12"/>
        <v>7.0102106072409454</v>
      </c>
      <c r="BE8" s="18">
        <f t="shared" si="12"/>
        <v>7.0102106072409454</v>
      </c>
      <c r="BF8" s="18">
        <f t="shared" si="12"/>
        <v>7.0102106072409454</v>
      </c>
      <c r="BG8" s="18">
        <f t="shared" si="12"/>
        <v>7.0102106072409454</v>
      </c>
      <c r="BH8" s="18">
        <f t="shared" si="12"/>
        <v>7.0102106072409454</v>
      </c>
      <c r="BI8" s="18">
        <f t="shared" si="12"/>
        <v>7.0102106072409454</v>
      </c>
      <c r="BJ8" s="18">
        <f t="shared" si="12"/>
        <v>7.0102106072409454</v>
      </c>
      <c r="BK8" s="74"/>
      <c r="BL8" s="74"/>
      <c r="BM8" s="74"/>
      <c r="BN8" s="74"/>
      <c r="BO8" s="74"/>
      <c r="BP8" s="74"/>
      <c r="BQ8" s="74"/>
      <c r="BR8" s="74"/>
      <c r="BS8" s="74"/>
      <c r="BT8" s="74"/>
      <c r="BU8" s="74"/>
      <c r="DD8" s="74"/>
      <c r="DE8" s="74"/>
      <c r="DF8" s="74"/>
      <c r="DG8" s="74"/>
      <c r="DH8" s="74"/>
      <c r="DI8" s="74"/>
      <c r="DJ8" s="74"/>
      <c r="DK8" s="74"/>
      <c r="DL8" s="74"/>
      <c r="DM8" s="74"/>
      <c r="DN8" s="74"/>
      <c r="DO8" s="74"/>
      <c r="DP8" s="74"/>
      <c r="DQ8" s="74"/>
      <c r="DR8" s="74"/>
      <c r="DS8" s="74"/>
      <c r="DT8" s="74"/>
      <c r="DU8" s="74"/>
      <c r="DV8" s="74"/>
      <c r="DW8" s="74"/>
      <c r="DX8" s="74"/>
      <c r="DY8" s="74"/>
      <c r="DZ8" s="74"/>
      <c r="EA8" s="74"/>
      <c r="EB8" s="74"/>
    </row>
    <row r="9" spans="1:132" s="32" customFormat="1" x14ac:dyDescent="0.2">
      <c r="A9" s="98" t="s">
        <v>236</v>
      </c>
      <c r="B9" s="18">
        <f>B8+B6</f>
        <v>0</v>
      </c>
      <c r="C9" s="18">
        <f t="shared" ref="C9:AG9" si="13">C8+C6</f>
        <v>1.9850000000000001</v>
      </c>
      <c r="D9" s="18">
        <f t="shared" si="13"/>
        <v>2.0277767500000001</v>
      </c>
      <c r="E9" s="18">
        <f t="shared" si="13"/>
        <v>2.0714753389625002</v>
      </c>
      <c r="F9" s="18">
        <f t="shared" si="13"/>
        <v>2.116115632517142</v>
      </c>
      <c r="G9" s="18">
        <f t="shared" si="13"/>
        <v>2.1617179243978866</v>
      </c>
      <c r="H9" s="18">
        <f t="shared" si="13"/>
        <v>2.2083029456686609</v>
      </c>
      <c r="I9" s="18">
        <f t="shared" si="13"/>
        <v>2.2558918741478204</v>
      </c>
      <c r="J9" s="18">
        <f t="shared" si="13"/>
        <v>2.3045063440357065</v>
      </c>
      <c r="K9" s="18">
        <f t="shared" si="13"/>
        <v>2.3541684557496758</v>
      </c>
      <c r="L9" s="96">
        <f t="shared" si="13"/>
        <v>2.4049007859710811</v>
      </c>
      <c r="M9" s="18">
        <f t="shared" si="13"/>
        <v>3.570607384366129</v>
      </c>
      <c r="N9" s="18">
        <f t="shared" si="13"/>
        <v>3.6154185070399238</v>
      </c>
      <c r="O9" s="18">
        <f t="shared" si="13"/>
        <v>3.6607920093032749</v>
      </c>
      <c r="P9" s="18">
        <f t="shared" si="13"/>
        <v>3.706734949020031</v>
      </c>
      <c r="Q9" s="18">
        <f t="shared" si="13"/>
        <v>3.7532544726302324</v>
      </c>
      <c r="R9" s="18">
        <f t="shared" si="13"/>
        <v>3.8003578162617417</v>
      </c>
      <c r="S9" s="18">
        <f t="shared" si="13"/>
        <v>3.8480523068558266</v>
      </c>
      <c r="T9" s="18">
        <f t="shared" si="13"/>
        <v>3.8963453633068679</v>
      </c>
      <c r="U9" s="18">
        <f t="shared" si="13"/>
        <v>3.9452444976163692</v>
      </c>
      <c r="V9" s="96">
        <f t="shared" si="13"/>
        <v>3.9947573160614542</v>
      </c>
      <c r="W9" s="18">
        <f t="shared" si="13"/>
        <v>5.8044543827955017</v>
      </c>
      <c r="X9" s="18">
        <f t="shared" si="13"/>
        <v>5.8044543827955017</v>
      </c>
      <c r="Y9" s="18">
        <f t="shared" si="13"/>
        <v>5.8044543827955017</v>
      </c>
      <c r="Z9" s="18">
        <f t="shared" si="13"/>
        <v>5.8044543827955017</v>
      </c>
      <c r="AA9" s="18">
        <f t="shared" si="13"/>
        <v>5.8044543827955017</v>
      </c>
      <c r="AB9" s="18">
        <f t="shared" si="13"/>
        <v>5.8044543827955017</v>
      </c>
      <c r="AC9" s="18">
        <f t="shared" si="13"/>
        <v>5.8044543827955017</v>
      </c>
      <c r="AD9" s="18">
        <f t="shared" si="13"/>
        <v>5.8044543827955017</v>
      </c>
      <c r="AE9" s="18">
        <f t="shared" si="13"/>
        <v>5.8044543827955017</v>
      </c>
      <c r="AF9" s="18">
        <f t="shared" si="13"/>
        <v>5.8044543827955017</v>
      </c>
      <c r="AG9" s="18">
        <f t="shared" si="13"/>
        <v>5.8044543827955017</v>
      </c>
      <c r="AH9" s="18">
        <f t="shared" ref="AH9:BJ9" si="14">AH8+AH6</f>
        <v>5.8044543827955017</v>
      </c>
      <c r="AI9" s="144">
        <f t="shared" si="14"/>
        <v>5.8044543827955017</v>
      </c>
      <c r="AJ9" s="144">
        <f t="shared" si="14"/>
        <v>5.8044543827955017</v>
      </c>
      <c r="AK9" s="18">
        <f t="shared" si="14"/>
        <v>5.8044543827955017</v>
      </c>
      <c r="AL9" s="18">
        <f t="shared" si="14"/>
        <v>5.8044543827955017</v>
      </c>
      <c r="AM9" s="18">
        <f t="shared" si="14"/>
        <v>5.8044543827955017</v>
      </c>
      <c r="AN9" s="18">
        <f t="shared" si="14"/>
        <v>5.8044543827955017</v>
      </c>
      <c r="AO9" s="18">
        <f t="shared" si="14"/>
        <v>5.8044543827955017</v>
      </c>
      <c r="AP9" s="96">
        <f t="shared" si="14"/>
        <v>5.8044543827955017</v>
      </c>
      <c r="AQ9" s="18">
        <f t="shared" si="14"/>
        <v>12.814664990036448</v>
      </c>
      <c r="AR9" s="18">
        <f t="shared" si="14"/>
        <v>12.524442270896675</v>
      </c>
      <c r="AS9" s="18">
        <f t="shared" si="14"/>
        <v>12.234219551756897</v>
      </c>
      <c r="AT9" s="18">
        <f t="shared" si="14"/>
        <v>11.943996832617124</v>
      </c>
      <c r="AU9" s="18">
        <f t="shared" si="14"/>
        <v>11.653774113477347</v>
      </c>
      <c r="AV9" s="18">
        <f t="shared" si="14"/>
        <v>11.363551394337572</v>
      </c>
      <c r="AW9" s="18">
        <f t="shared" si="14"/>
        <v>11.073328675197796</v>
      </c>
      <c r="AX9" s="18">
        <f t="shared" si="14"/>
        <v>10.783105956058021</v>
      </c>
      <c r="AY9" s="18">
        <f t="shared" si="14"/>
        <v>10.492883236918246</v>
      </c>
      <c r="AZ9" s="18">
        <f t="shared" si="14"/>
        <v>10.202660517778471</v>
      </c>
      <c r="BA9" s="18">
        <f t="shared" si="14"/>
        <v>9.9124377986386953</v>
      </c>
      <c r="BB9" s="18">
        <f t="shared" si="14"/>
        <v>9.6222150794989201</v>
      </c>
      <c r="BC9" s="18">
        <f t="shared" si="14"/>
        <v>9.3319923603591448</v>
      </c>
      <c r="BD9" s="18">
        <f t="shared" si="14"/>
        <v>9.0417696412193713</v>
      </c>
      <c r="BE9" s="18">
        <f t="shared" si="14"/>
        <v>8.7515469220795961</v>
      </c>
      <c r="BF9" s="18">
        <f t="shared" si="14"/>
        <v>8.4613242029398208</v>
      </c>
      <c r="BG9" s="18">
        <f t="shared" si="14"/>
        <v>8.1711014838000455</v>
      </c>
      <c r="BH9" s="18">
        <f t="shared" si="14"/>
        <v>7.8808787646602703</v>
      </c>
      <c r="BI9" s="18">
        <f t="shared" si="14"/>
        <v>7.590656045520495</v>
      </c>
      <c r="BJ9" s="18">
        <f t="shared" si="14"/>
        <v>7.3004333263807197</v>
      </c>
      <c r="BK9" s="74"/>
      <c r="BL9" s="74"/>
      <c r="BM9" s="74"/>
      <c r="BN9" s="74"/>
      <c r="BO9" s="74"/>
      <c r="BP9" s="74"/>
      <c r="BQ9" s="74"/>
      <c r="BR9" s="74"/>
      <c r="BS9" s="74"/>
      <c r="BT9" s="74"/>
      <c r="BU9" s="74"/>
      <c r="DD9" s="74"/>
      <c r="DE9" s="74"/>
      <c r="DF9" s="74"/>
      <c r="DG9" s="74"/>
      <c r="DH9" s="74"/>
      <c r="DI9" s="74"/>
      <c r="DJ9" s="74"/>
      <c r="DK9" s="74"/>
      <c r="DL9" s="74"/>
      <c r="DM9" s="74"/>
      <c r="DN9" s="74"/>
      <c r="DO9" s="74"/>
      <c r="DP9" s="74"/>
      <c r="DQ9" s="74"/>
      <c r="DR9" s="74"/>
      <c r="DS9" s="74"/>
      <c r="DT9" s="74"/>
      <c r="DU9" s="74"/>
      <c r="DV9" s="74"/>
      <c r="DW9" s="74"/>
      <c r="DX9" s="74"/>
      <c r="DY9" s="74"/>
      <c r="DZ9" s="74"/>
      <c r="EA9" s="74"/>
      <c r="EB9" s="74"/>
    </row>
    <row r="10" spans="1:132" s="32" customFormat="1" x14ac:dyDescent="0.2">
      <c r="A10" s="19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89"/>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c r="BQ10" s="74"/>
      <c r="BR10" s="74"/>
      <c r="BS10" s="74"/>
      <c r="BT10" s="74"/>
      <c r="BU10" s="74"/>
      <c r="DD10" s="74"/>
      <c r="DE10" s="74"/>
      <c r="DF10" s="74"/>
      <c r="DG10" s="74"/>
      <c r="DH10" s="74"/>
      <c r="DI10" s="74"/>
      <c r="DJ10" s="74"/>
      <c r="DK10" s="74"/>
      <c r="DL10" s="74"/>
      <c r="DM10" s="74"/>
      <c r="DN10" s="74"/>
      <c r="DO10" s="74"/>
      <c r="DP10" s="74"/>
      <c r="DQ10" s="74"/>
      <c r="DR10" s="74"/>
      <c r="DS10" s="74"/>
      <c r="DT10" s="74"/>
      <c r="DU10" s="74"/>
      <c r="DV10" s="74"/>
      <c r="DW10" s="74"/>
      <c r="DX10" s="74"/>
      <c r="DY10" s="74"/>
      <c r="DZ10" s="74"/>
      <c r="EA10" s="74"/>
      <c r="EB10" s="74"/>
    </row>
    <row r="11" spans="1:132" s="32" customFormat="1" x14ac:dyDescent="0.2">
      <c r="A11" s="196" t="s">
        <v>237</v>
      </c>
      <c r="C11" s="74" t="s">
        <v>240</v>
      </c>
      <c r="D11" s="62"/>
      <c r="E11" s="62"/>
      <c r="F11" s="62"/>
      <c r="G11" s="62"/>
      <c r="H11" s="62"/>
      <c r="I11" s="62"/>
      <c r="J11" s="62"/>
      <c r="K11" s="62"/>
      <c r="L11" s="62"/>
      <c r="M11" s="62" t="s">
        <v>146</v>
      </c>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89"/>
      <c r="AO11" s="74"/>
      <c r="AP11" s="74"/>
      <c r="AQ11" s="74"/>
      <c r="AR11" s="74"/>
      <c r="AS11" s="74"/>
      <c r="AT11" s="74"/>
      <c r="AU11" s="74"/>
      <c r="AV11" s="74"/>
      <c r="AW11" s="74"/>
      <c r="AX11" s="74"/>
      <c r="AY11" s="74"/>
      <c r="AZ11" s="74"/>
      <c r="BA11" s="89"/>
      <c r="BB11" s="74"/>
      <c r="BC11" s="74"/>
      <c r="BD11" s="74"/>
      <c r="BE11" s="74"/>
      <c r="BF11" s="74"/>
      <c r="BG11" s="74"/>
      <c r="BH11" s="74"/>
      <c r="BI11" s="74"/>
      <c r="BJ11" s="74"/>
      <c r="BK11" s="74"/>
      <c r="BL11" s="74"/>
      <c r="BM11" s="74"/>
      <c r="BN11" s="74"/>
      <c r="BO11" s="74"/>
      <c r="BP11" s="74"/>
      <c r="BQ11" s="74"/>
      <c r="BR11" s="74"/>
      <c r="BS11" s="74"/>
      <c r="BT11" s="74"/>
      <c r="BU11" s="74" t="s">
        <v>239</v>
      </c>
      <c r="DD11" s="74"/>
      <c r="DE11" s="74"/>
      <c r="DF11" s="74"/>
      <c r="DG11" s="74"/>
      <c r="DH11" s="74"/>
      <c r="DI11" s="74"/>
      <c r="DJ11" s="74"/>
      <c r="DK11" s="74"/>
      <c r="DL11" s="74"/>
      <c r="DM11" s="74"/>
      <c r="DN11" s="74"/>
      <c r="DO11" s="74"/>
      <c r="DP11" s="74"/>
      <c r="DQ11" s="74"/>
      <c r="DR11" s="74"/>
      <c r="DS11" s="74"/>
      <c r="DT11" s="74"/>
      <c r="DU11" s="74"/>
      <c r="DV11" s="74"/>
      <c r="DW11" s="74"/>
      <c r="DX11" s="74"/>
      <c r="DY11" s="74"/>
      <c r="DZ11" s="74"/>
      <c r="EA11" s="74"/>
      <c r="EB11" s="74"/>
    </row>
    <row r="12" spans="1:132" x14ac:dyDescent="0.2">
      <c r="A12" s="98" t="s">
        <v>227</v>
      </c>
      <c r="B12" s="242">
        <v>37986</v>
      </c>
      <c r="C12" s="162">
        <f>EDATE(B12,3)</f>
        <v>38077</v>
      </c>
      <c r="D12" s="162">
        <f>EDATE(C12,6)</f>
        <v>38260</v>
      </c>
      <c r="E12" s="162">
        <f>EDATE(C12,12)</f>
        <v>38442</v>
      </c>
      <c r="F12" s="162">
        <f t="shared" ref="F12:AG12" si="15">EDATE(D12,12)</f>
        <v>38625</v>
      </c>
      <c r="G12" s="162">
        <f t="shared" si="15"/>
        <v>38807</v>
      </c>
      <c r="H12" s="162">
        <f t="shared" si="15"/>
        <v>38990</v>
      </c>
      <c r="I12" s="162">
        <f t="shared" si="15"/>
        <v>39172</v>
      </c>
      <c r="J12" s="162">
        <f t="shared" si="15"/>
        <v>39355</v>
      </c>
      <c r="K12" s="162">
        <f t="shared" si="15"/>
        <v>39538</v>
      </c>
      <c r="L12" s="162">
        <f t="shared" si="15"/>
        <v>39721</v>
      </c>
      <c r="M12" s="240">
        <f t="shared" si="15"/>
        <v>39903</v>
      </c>
      <c r="N12" s="162">
        <f t="shared" si="15"/>
        <v>40086</v>
      </c>
      <c r="O12" s="162">
        <f t="shared" si="15"/>
        <v>40268</v>
      </c>
      <c r="P12" s="162">
        <f t="shared" si="15"/>
        <v>40451</v>
      </c>
      <c r="Q12" s="162">
        <f t="shared" si="15"/>
        <v>40633</v>
      </c>
      <c r="R12" s="162">
        <f t="shared" si="15"/>
        <v>40816</v>
      </c>
      <c r="S12" s="162">
        <f t="shared" si="15"/>
        <v>40999</v>
      </c>
      <c r="T12" s="162">
        <f t="shared" si="15"/>
        <v>41182</v>
      </c>
      <c r="U12" s="162">
        <f t="shared" si="15"/>
        <v>41364</v>
      </c>
      <c r="V12" s="162">
        <f t="shared" si="15"/>
        <v>41547</v>
      </c>
      <c r="W12" s="162">
        <f t="shared" si="15"/>
        <v>41729</v>
      </c>
      <c r="X12" s="162">
        <f t="shared" si="15"/>
        <v>41912</v>
      </c>
      <c r="Y12" s="162">
        <f t="shared" si="15"/>
        <v>42094</v>
      </c>
      <c r="Z12" s="162">
        <f t="shared" si="15"/>
        <v>42277</v>
      </c>
      <c r="AA12" s="162">
        <f t="shared" si="15"/>
        <v>42460</v>
      </c>
      <c r="AB12" s="162">
        <f t="shared" si="15"/>
        <v>42643</v>
      </c>
      <c r="AC12" s="162">
        <f t="shared" si="15"/>
        <v>42825</v>
      </c>
      <c r="AD12" s="162">
        <f t="shared" si="15"/>
        <v>43008</v>
      </c>
      <c r="AE12" s="162">
        <f t="shared" si="15"/>
        <v>43190</v>
      </c>
      <c r="AF12" s="162">
        <f t="shared" si="15"/>
        <v>43373</v>
      </c>
      <c r="AG12" s="240">
        <f t="shared" si="15"/>
        <v>43555</v>
      </c>
      <c r="AH12" s="162">
        <f t="shared" ref="AH12:BQ12" si="16">EDATE(AF12,12)</f>
        <v>43738</v>
      </c>
      <c r="AI12" s="241">
        <f t="shared" si="16"/>
        <v>43921</v>
      </c>
      <c r="AJ12" s="241">
        <f t="shared" si="16"/>
        <v>44104</v>
      </c>
      <c r="AK12" s="241">
        <f t="shared" si="16"/>
        <v>44286</v>
      </c>
      <c r="AL12" s="162">
        <f t="shared" si="16"/>
        <v>44469</v>
      </c>
      <c r="AM12" s="162">
        <f t="shared" si="16"/>
        <v>44651</v>
      </c>
      <c r="AN12" s="162">
        <f t="shared" si="16"/>
        <v>44834</v>
      </c>
      <c r="AO12" s="162">
        <f t="shared" si="16"/>
        <v>45016</v>
      </c>
      <c r="AP12" s="162">
        <f t="shared" si="16"/>
        <v>45199</v>
      </c>
      <c r="AQ12" s="162">
        <f t="shared" si="16"/>
        <v>45382</v>
      </c>
      <c r="AR12" s="162">
        <f t="shared" si="16"/>
        <v>45565</v>
      </c>
      <c r="AS12" s="162">
        <f t="shared" si="16"/>
        <v>45747</v>
      </c>
      <c r="AT12" s="162">
        <f t="shared" si="16"/>
        <v>45930</v>
      </c>
      <c r="AU12" s="162">
        <f t="shared" si="16"/>
        <v>46112</v>
      </c>
      <c r="AV12" s="162">
        <f t="shared" si="16"/>
        <v>46295</v>
      </c>
      <c r="AW12" s="162">
        <f t="shared" si="16"/>
        <v>46477</v>
      </c>
      <c r="AX12" s="162">
        <f t="shared" si="16"/>
        <v>46660</v>
      </c>
      <c r="AY12" s="162">
        <f t="shared" si="16"/>
        <v>46843</v>
      </c>
      <c r="AZ12" s="162">
        <f t="shared" si="16"/>
        <v>47026</v>
      </c>
      <c r="BA12" s="240">
        <f t="shared" si="16"/>
        <v>47208</v>
      </c>
      <c r="BB12" s="162">
        <f t="shared" si="16"/>
        <v>47391</v>
      </c>
      <c r="BC12" s="162">
        <f t="shared" si="16"/>
        <v>47573</v>
      </c>
      <c r="BD12" s="162">
        <f t="shared" si="16"/>
        <v>47756</v>
      </c>
      <c r="BE12" s="162">
        <f t="shared" si="16"/>
        <v>47938</v>
      </c>
      <c r="BF12" s="162">
        <f t="shared" si="16"/>
        <v>48121</v>
      </c>
      <c r="BG12" s="162">
        <f t="shared" si="16"/>
        <v>48304</v>
      </c>
      <c r="BH12" s="162">
        <f t="shared" si="16"/>
        <v>48487</v>
      </c>
      <c r="BI12" s="162">
        <f t="shared" si="16"/>
        <v>48669</v>
      </c>
      <c r="BJ12" s="162">
        <f t="shared" si="16"/>
        <v>48852</v>
      </c>
      <c r="BK12" s="162">
        <f t="shared" si="16"/>
        <v>49034</v>
      </c>
      <c r="BL12" s="162">
        <f t="shared" si="16"/>
        <v>49217</v>
      </c>
      <c r="BM12" s="162">
        <f t="shared" si="16"/>
        <v>49399</v>
      </c>
      <c r="BN12" s="162">
        <f t="shared" si="16"/>
        <v>49582</v>
      </c>
      <c r="BO12" s="162">
        <f t="shared" si="16"/>
        <v>49765</v>
      </c>
      <c r="BP12" s="162">
        <f t="shared" si="16"/>
        <v>49948</v>
      </c>
      <c r="BQ12" s="162">
        <f t="shared" si="16"/>
        <v>50130</v>
      </c>
      <c r="BR12" s="162">
        <f t="shared" ref="BR12:BT12" si="17">EDATE(BP12,12)</f>
        <v>50313</v>
      </c>
      <c r="BS12" s="162">
        <f t="shared" si="17"/>
        <v>50495</v>
      </c>
      <c r="BT12" s="162">
        <f t="shared" si="17"/>
        <v>50678</v>
      </c>
      <c r="BU12" s="242">
        <v>50770</v>
      </c>
      <c r="DD12" s="62"/>
      <c r="DE12" s="62"/>
      <c r="DF12" s="62"/>
      <c r="DG12" s="62"/>
    </row>
    <row r="13" spans="1:132" x14ac:dyDescent="0.2">
      <c r="A13" s="99" t="s">
        <v>238</v>
      </c>
      <c r="B13" s="91">
        <v>1.33</v>
      </c>
      <c r="C13" s="91">
        <v>1.33</v>
      </c>
      <c r="D13" s="91">
        <v>1.33</v>
      </c>
      <c r="E13" s="91">
        <v>1.33</v>
      </c>
      <c r="F13" s="91">
        <v>1.33</v>
      </c>
      <c r="G13" s="91">
        <v>1.33</v>
      </c>
      <c r="H13" s="91">
        <v>1.33</v>
      </c>
      <c r="I13" s="91">
        <v>1.33</v>
      </c>
      <c r="J13" s="91">
        <v>1.33</v>
      </c>
      <c r="K13" s="91">
        <v>1.33</v>
      </c>
      <c r="L13" s="91">
        <v>1.33</v>
      </c>
      <c r="M13" s="94">
        <v>1.33</v>
      </c>
      <c r="N13" s="92">
        <v>2.5</v>
      </c>
      <c r="O13" s="92">
        <v>2.5</v>
      </c>
      <c r="P13" s="92">
        <v>2.5</v>
      </c>
      <c r="Q13" s="92">
        <v>2.5</v>
      </c>
      <c r="R13" s="92">
        <v>2.5</v>
      </c>
      <c r="S13" s="92">
        <v>2.5</v>
      </c>
      <c r="T13" s="92">
        <v>2.5</v>
      </c>
      <c r="U13" s="92">
        <v>2.5</v>
      </c>
      <c r="V13" s="92">
        <v>2.5</v>
      </c>
      <c r="W13" s="92">
        <v>2.5</v>
      </c>
      <c r="X13" s="92">
        <v>2.5</v>
      </c>
      <c r="Y13" s="92">
        <v>2.5</v>
      </c>
      <c r="Z13" s="92">
        <v>2.5</v>
      </c>
      <c r="AA13" s="92">
        <v>2.5</v>
      </c>
      <c r="AB13" s="92">
        <v>2.5</v>
      </c>
      <c r="AC13" s="92">
        <v>2.5</v>
      </c>
      <c r="AD13" s="92">
        <v>2.5</v>
      </c>
      <c r="AE13" s="92">
        <v>2.5</v>
      </c>
      <c r="AF13" s="92">
        <v>2.5</v>
      </c>
      <c r="AG13" s="97">
        <v>2.5</v>
      </c>
      <c r="AH13" s="92">
        <v>3.75</v>
      </c>
      <c r="AI13" s="142">
        <v>3.75</v>
      </c>
      <c r="AJ13" s="142">
        <v>3.75</v>
      </c>
      <c r="AK13" s="142">
        <v>3.75</v>
      </c>
      <c r="AL13" s="92">
        <v>3.75</v>
      </c>
      <c r="AM13" s="92">
        <v>3.75</v>
      </c>
      <c r="AN13" s="92">
        <v>3.75</v>
      </c>
      <c r="AO13" s="92">
        <v>3.75</v>
      </c>
      <c r="AP13" s="92">
        <v>3.75</v>
      </c>
      <c r="AQ13" s="92">
        <v>3.75</v>
      </c>
      <c r="AR13" s="92">
        <v>3.75</v>
      </c>
      <c r="AS13" s="92">
        <v>3.75</v>
      </c>
      <c r="AT13" s="92">
        <v>3.75</v>
      </c>
      <c r="AU13" s="92">
        <v>3.75</v>
      </c>
      <c r="AV13" s="92">
        <v>3.75</v>
      </c>
      <c r="AW13" s="92">
        <v>3.75</v>
      </c>
      <c r="AX13" s="92">
        <v>3.75</v>
      </c>
      <c r="AY13" s="92">
        <v>3.75</v>
      </c>
      <c r="AZ13" s="92">
        <v>3.75</v>
      </c>
      <c r="BA13" s="97">
        <v>3.75</v>
      </c>
      <c r="BB13" s="92">
        <v>5.25</v>
      </c>
      <c r="BC13" s="92">
        <v>5.25</v>
      </c>
      <c r="BD13" s="92">
        <v>5.25</v>
      </c>
      <c r="BE13" s="92">
        <v>5.25</v>
      </c>
      <c r="BF13" s="92">
        <v>5.25</v>
      </c>
      <c r="BG13" s="92">
        <v>5.25</v>
      </c>
      <c r="BH13" s="92">
        <v>5.25</v>
      </c>
      <c r="BI13" s="92">
        <v>5.25</v>
      </c>
      <c r="BJ13" s="92">
        <v>5.25</v>
      </c>
      <c r="BK13" s="92">
        <v>5.25</v>
      </c>
      <c r="BL13" s="92">
        <v>5.25</v>
      </c>
      <c r="BM13" s="92">
        <v>5.25</v>
      </c>
      <c r="BN13" s="92">
        <v>5.25</v>
      </c>
      <c r="BO13" s="92">
        <v>5.25</v>
      </c>
      <c r="BP13" s="92">
        <v>5.25</v>
      </c>
      <c r="BQ13" s="92">
        <v>5.25</v>
      </c>
      <c r="BR13" s="92">
        <v>5.25</v>
      </c>
      <c r="BS13" s="92">
        <v>5.25</v>
      </c>
      <c r="BT13" s="92">
        <v>5.25</v>
      </c>
      <c r="BU13" s="92">
        <v>5.25</v>
      </c>
    </row>
    <row r="14" spans="1:132" x14ac:dyDescent="0.2">
      <c r="A14" s="100" t="s">
        <v>232</v>
      </c>
      <c r="B14" s="93">
        <v>100</v>
      </c>
      <c r="C14" s="93">
        <f>B14-B16</f>
        <v>100</v>
      </c>
      <c r="D14" s="93">
        <f t="shared" ref="D14:AG14" si="18">C14-C16</f>
        <v>100</v>
      </c>
      <c r="E14" s="93">
        <f t="shared" si="18"/>
        <v>100</v>
      </c>
      <c r="F14" s="93">
        <f t="shared" si="18"/>
        <v>100</v>
      </c>
      <c r="G14" s="93">
        <f t="shared" si="18"/>
        <v>100</v>
      </c>
      <c r="H14" s="93">
        <f t="shared" si="18"/>
        <v>100</v>
      </c>
      <c r="I14" s="93">
        <f t="shared" si="18"/>
        <v>100</v>
      </c>
      <c r="J14" s="93">
        <f t="shared" si="18"/>
        <v>100</v>
      </c>
      <c r="K14" s="93">
        <f t="shared" si="18"/>
        <v>100</v>
      </c>
      <c r="L14" s="93">
        <f t="shared" si="18"/>
        <v>100</v>
      </c>
      <c r="M14" s="95">
        <f t="shared" si="18"/>
        <v>100</v>
      </c>
      <c r="N14" s="93">
        <f t="shared" si="18"/>
        <v>100</v>
      </c>
      <c r="O14" s="93">
        <f t="shared" si="18"/>
        <v>100</v>
      </c>
      <c r="P14" s="93">
        <f t="shared" si="18"/>
        <v>100</v>
      </c>
      <c r="Q14" s="93">
        <f t="shared" si="18"/>
        <v>100</v>
      </c>
      <c r="R14" s="93">
        <f t="shared" si="18"/>
        <v>100</v>
      </c>
      <c r="S14" s="93">
        <f t="shared" si="18"/>
        <v>100</v>
      </c>
      <c r="T14" s="93">
        <f t="shared" si="18"/>
        <v>100</v>
      </c>
      <c r="U14" s="93">
        <f t="shared" si="18"/>
        <v>100</v>
      </c>
      <c r="V14" s="93">
        <f t="shared" si="18"/>
        <v>100</v>
      </c>
      <c r="W14" s="93">
        <f t="shared" si="18"/>
        <v>100</v>
      </c>
      <c r="X14" s="93">
        <f t="shared" si="18"/>
        <v>100</v>
      </c>
      <c r="Y14" s="93">
        <f t="shared" si="18"/>
        <v>100</v>
      </c>
      <c r="Z14" s="93">
        <f t="shared" si="18"/>
        <v>100</v>
      </c>
      <c r="AA14" s="93">
        <f t="shared" si="18"/>
        <v>100</v>
      </c>
      <c r="AB14" s="93">
        <f t="shared" si="18"/>
        <v>100</v>
      </c>
      <c r="AC14" s="93">
        <f t="shared" si="18"/>
        <v>100</v>
      </c>
      <c r="AD14" s="93">
        <f t="shared" si="18"/>
        <v>100</v>
      </c>
      <c r="AE14" s="93">
        <f t="shared" si="18"/>
        <v>100</v>
      </c>
      <c r="AF14" s="93">
        <f t="shared" si="18"/>
        <v>100</v>
      </c>
      <c r="AG14" s="95">
        <f t="shared" si="18"/>
        <v>100</v>
      </c>
      <c r="AH14" s="93">
        <f t="shared" ref="AH14:BJ14" si="19">AG14-AG16</f>
        <v>100</v>
      </c>
      <c r="AI14" s="143">
        <f t="shared" si="19"/>
        <v>100</v>
      </c>
      <c r="AJ14" s="143">
        <f t="shared" si="19"/>
        <v>100</v>
      </c>
      <c r="AK14" s="143">
        <f t="shared" si="19"/>
        <v>100</v>
      </c>
      <c r="AL14" s="93">
        <f t="shared" si="19"/>
        <v>100</v>
      </c>
      <c r="AM14" s="93">
        <f t="shared" si="19"/>
        <v>100</v>
      </c>
      <c r="AN14" s="93">
        <f t="shared" si="19"/>
        <v>100</v>
      </c>
      <c r="AO14" s="93">
        <f t="shared" si="19"/>
        <v>100</v>
      </c>
      <c r="AP14" s="93">
        <f t="shared" si="19"/>
        <v>100</v>
      </c>
      <c r="AQ14" s="93">
        <f t="shared" si="19"/>
        <v>100</v>
      </c>
      <c r="AR14" s="93">
        <f t="shared" si="19"/>
        <v>100</v>
      </c>
      <c r="AS14" s="93">
        <f t="shared" si="19"/>
        <v>100</v>
      </c>
      <c r="AT14" s="93">
        <f t="shared" si="19"/>
        <v>100</v>
      </c>
      <c r="AU14" s="93">
        <f t="shared" si="19"/>
        <v>100</v>
      </c>
      <c r="AV14" s="93">
        <f t="shared" si="19"/>
        <v>100</v>
      </c>
      <c r="AW14" s="93">
        <f t="shared" si="19"/>
        <v>100</v>
      </c>
      <c r="AX14" s="93">
        <f t="shared" si="19"/>
        <v>100</v>
      </c>
      <c r="AY14" s="93">
        <f t="shared" si="19"/>
        <v>100</v>
      </c>
      <c r="AZ14" s="93">
        <f t="shared" si="19"/>
        <v>100</v>
      </c>
      <c r="BA14" s="95">
        <f t="shared" si="19"/>
        <v>100</v>
      </c>
      <c r="BB14" s="93">
        <f t="shared" si="19"/>
        <v>100</v>
      </c>
      <c r="BC14" s="93">
        <f t="shared" si="19"/>
        <v>95</v>
      </c>
      <c r="BD14" s="93">
        <f t="shared" si="19"/>
        <v>90</v>
      </c>
      <c r="BE14" s="93">
        <f t="shared" si="19"/>
        <v>85</v>
      </c>
      <c r="BF14" s="93">
        <f t="shared" si="19"/>
        <v>80</v>
      </c>
      <c r="BG14" s="93">
        <f t="shared" si="19"/>
        <v>75</v>
      </c>
      <c r="BH14" s="93">
        <f t="shared" si="19"/>
        <v>70</v>
      </c>
      <c r="BI14" s="93">
        <f t="shared" si="19"/>
        <v>65</v>
      </c>
      <c r="BJ14" s="93">
        <f t="shared" si="19"/>
        <v>60</v>
      </c>
      <c r="BK14" s="93">
        <f t="shared" ref="BK14:BU14" si="20">BJ14-BJ16</f>
        <v>55</v>
      </c>
      <c r="BL14" s="93">
        <f t="shared" si="20"/>
        <v>50</v>
      </c>
      <c r="BM14" s="93">
        <f t="shared" si="20"/>
        <v>45</v>
      </c>
      <c r="BN14" s="93">
        <f t="shared" si="20"/>
        <v>40</v>
      </c>
      <c r="BO14" s="93">
        <f t="shared" si="20"/>
        <v>35</v>
      </c>
      <c r="BP14" s="93">
        <f t="shared" si="20"/>
        <v>30</v>
      </c>
      <c r="BQ14" s="93">
        <f t="shared" si="20"/>
        <v>25</v>
      </c>
      <c r="BR14" s="93">
        <f t="shared" si="20"/>
        <v>20</v>
      </c>
      <c r="BS14" s="93">
        <f t="shared" si="20"/>
        <v>15</v>
      </c>
      <c r="BT14" s="93">
        <f t="shared" si="20"/>
        <v>10</v>
      </c>
      <c r="BU14" s="93">
        <f t="shared" si="20"/>
        <v>5</v>
      </c>
    </row>
    <row r="15" spans="1:132" x14ac:dyDescent="0.2">
      <c r="A15" s="101" t="s">
        <v>316</v>
      </c>
      <c r="B15" s="18">
        <v>0</v>
      </c>
      <c r="C15" s="102">
        <f>C14*C13/2/100/2</f>
        <v>0.33250000000000002</v>
      </c>
      <c r="D15" s="18">
        <f t="shared" ref="D15:AG15" si="21">D14*D13/2/100</f>
        <v>0.66500000000000004</v>
      </c>
      <c r="E15" s="18">
        <f t="shared" si="21"/>
        <v>0.66500000000000004</v>
      </c>
      <c r="F15" s="18">
        <f t="shared" si="21"/>
        <v>0.66500000000000004</v>
      </c>
      <c r="G15" s="18">
        <f t="shared" si="21"/>
        <v>0.66500000000000004</v>
      </c>
      <c r="H15" s="18">
        <f t="shared" si="21"/>
        <v>0.66500000000000004</v>
      </c>
      <c r="I15" s="18">
        <f t="shared" si="21"/>
        <v>0.66500000000000004</v>
      </c>
      <c r="J15" s="18">
        <f t="shared" si="21"/>
        <v>0.66500000000000004</v>
      </c>
      <c r="K15" s="18">
        <f t="shared" si="21"/>
        <v>0.66500000000000004</v>
      </c>
      <c r="L15" s="18">
        <f t="shared" si="21"/>
        <v>0.66500000000000004</v>
      </c>
      <c r="M15" s="96">
        <f t="shared" si="21"/>
        <v>0.66500000000000004</v>
      </c>
      <c r="N15" s="18">
        <f t="shared" si="21"/>
        <v>1.25</v>
      </c>
      <c r="O15" s="18">
        <f t="shared" si="21"/>
        <v>1.25</v>
      </c>
      <c r="P15" s="18">
        <f t="shared" si="21"/>
        <v>1.25</v>
      </c>
      <c r="Q15" s="18">
        <f t="shared" si="21"/>
        <v>1.25</v>
      </c>
      <c r="R15" s="18">
        <f t="shared" si="21"/>
        <v>1.25</v>
      </c>
      <c r="S15" s="18">
        <f t="shared" si="21"/>
        <v>1.25</v>
      </c>
      <c r="T15" s="18">
        <f t="shared" si="21"/>
        <v>1.25</v>
      </c>
      <c r="U15" s="18">
        <f t="shared" si="21"/>
        <v>1.25</v>
      </c>
      <c r="V15" s="18">
        <f t="shared" si="21"/>
        <v>1.25</v>
      </c>
      <c r="W15" s="18">
        <f t="shared" si="21"/>
        <v>1.25</v>
      </c>
      <c r="X15" s="18">
        <f t="shared" si="21"/>
        <v>1.25</v>
      </c>
      <c r="Y15" s="18">
        <f t="shared" si="21"/>
        <v>1.25</v>
      </c>
      <c r="Z15" s="18">
        <f t="shared" si="21"/>
        <v>1.25</v>
      </c>
      <c r="AA15" s="18">
        <f t="shared" si="21"/>
        <v>1.25</v>
      </c>
      <c r="AB15" s="18">
        <f t="shared" si="21"/>
        <v>1.25</v>
      </c>
      <c r="AC15" s="18">
        <f t="shared" si="21"/>
        <v>1.25</v>
      </c>
      <c r="AD15" s="18">
        <f t="shared" si="21"/>
        <v>1.25</v>
      </c>
      <c r="AE15" s="18">
        <f t="shared" si="21"/>
        <v>1.25</v>
      </c>
      <c r="AF15" s="18">
        <f t="shared" si="21"/>
        <v>1.25</v>
      </c>
      <c r="AG15" s="96">
        <f t="shared" si="21"/>
        <v>1.25</v>
      </c>
      <c r="AH15" s="18">
        <f t="shared" ref="AH15:BJ15" si="22">AH14*AH13/2/100</f>
        <v>1.875</v>
      </c>
      <c r="AI15" s="144">
        <f t="shared" si="22"/>
        <v>1.875</v>
      </c>
      <c r="AJ15" s="144">
        <f t="shared" si="22"/>
        <v>1.875</v>
      </c>
      <c r="AK15" s="144">
        <f t="shared" si="22"/>
        <v>1.875</v>
      </c>
      <c r="AL15" s="18">
        <f t="shared" si="22"/>
        <v>1.875</v>
      </c>
      <c r="AM15" s="18">
        <f t="shared" si="22"/>
        <v>1.875</v>
      </c>
      <c r="AN15" s="18">
        <f t="shared" si="22"/>
        <v>1.875</v>
      </c>
      <c r="AO15" s="18">
        <f t="shared" si="22"/>
        <v>1.875</v>
      </c>
      <c r="AP15" s="18">
        <f t="shared" si="22"/>
        <v>1.875</v>
      </c>
      <c r="AQ15" s="18">
        <f t="shared" si="22"/>
        <v>1.875</v>
      </c>
      <c r="AR15" s="18">
        <f t="shared" si="22"/>
        <v>1.875</v>
      </c>
      <c r="AS15" s="18">
        <f t="shared" si="22"/>
        <v>1.875</v>
      </c>
      <c r="AT15" s="18">
        <f t="shared" si="22"/>
        <v>1.875</v>
      </c>
      <c r="AU15" s="18">
        <f t="shared" si="22"/>
        <v>1.875</v>
      </c>
      <c r="AV15" s="18">
        <f t="shared" si="22"/>
        <v>1.875</v>
      </c>
      <c r="AW15" s="18">
        <f t="shared" si="22"/>
        <v>1.875</v>
      </c>
      <c r="AX15" s="18">
        <f t="shared" si="22"/>
        <v>1.875</v>
      </c>
      <c r="AY15" s="18">
        <f t="shared" si="22"/>
        <v>1.875</v>
      </c>
      <c r="AZ15" s="18">
        <f t="shared" si="22"/>
        <v>1.875</v>
      </c>
      <c r="BA15" s="96">
        <f t="shared" si="22"/>
        <v>1.875</v>
      </c>
      <c r="BB15" s="18">
        <f t="shared" si="22"/>
        <v>2.625</v>
      </c>
      <c r="BC15" s="18">
        <f t="shared" si="22"/>
        <v>2.4937499999999999</v>
      </c>
      <c r="BD15" s="18">
        <f t="shared" si="22"/>
        <v>2.3624999999999998</v>
      </c>
      <c r="BE15" s="18">
        <f t="shared" si="22"/>
        <v>2.2312500000000002</v>
      </c>
      <c r="BF15" s="18">
        <f t="shared" si="22"/>
        <v>2.1</v>
      </c>
      <c r="BG15" s="18">
        <f t="shared" si="22"/>
        <v>1.96875</v>
      </c>
      <c r="BH15" s="18">
        <f t="shared" si="22"/>
        <v>1.8374999999999999</v>
      </c>
      <c r="BI15" s="18">
        <f t="shared" si="22"/>
        <v>1.70625</v>
      </c>
      <c r="BJ15" s="18">
        <f t="shared" si="22"/>
        <v>1.575</v>
      </c>
      <c r="BK15" s="18">
        <f t="shared" ref="BK15" si="23">BK14*BK13/2/100</f>
        <v>1.4437500000000001</v>
      </c>
      <c r="BL15" s="18">
        <f t="shared" ref="BL15" si="24">BL14*BL13/2/100</f>
        <v>1.3125</v>
      </c>
      <c r="BM15" s="18">
        <f t="shared" ref="BM15" si="25">BM14*BM13/2/100</f>
        <v>1.1812499999999999</v>
      </c>
      <c r="BN15" s="18">
        <f t="shared" ref="BN15" si="26">BN14*BN13/2/100</f>
        <v>1.05</v>
      </c>
      <c r="BO15" s="18">
        <f t="shared" ref="BO15" si="27">BO14*BO13/2/100</f>
        <v>0.91874999999999996</v>
      </c>
      <c r="BP15" s="18">
        <f t="shared" ref="BP15" si="28">BP14*BP13/2/100</f>
        <v>0.78749999999999998</v>
      </c>
      <c r="BQ15" s="18">
        <f t="shared" ref="BQ15" si="29">BQ14*BQ13/2/100</f>
        <v>0.65625</v>
      </c>
      <c r="BR15" s="18">
        <f t="shared" ref="BR15" si="30">BR14*BR13/2/100</f>
        <v>0.52500000000000002</v>
      </c>
      <c r="BS15" s="18">
        <f t="shared" ref="BS15" si="31">BS14*BS13/2/100</f>
        <v>0.39374999999999999</v>
      </c>
      <c r="BT15" s="18">
        <f t="shared" ref="BT15" si="32">BT14*BT13/2/100</f>
        <v>0.26250000000000001</v>
      </c>
      <c r="BU15" s="102">
        <f>BU14*BU13/2/100/2</f>
        <v>6.5625000000000003E-2</v>
      </c>
    </row>
    <row r="16" spans="1:132" x14ac:dyDescent="0.2">
      <c r="A16" s="98" t="s">
        <v>235</v>
      </c>
      <c r="B16" s="18">
        <v>0</v>
      </c>
      <c r="C16" s="18">
        <v>0</v>
      </c>
      <c r="D16" s="18">
        <v>0</v>
      </c>
      <c r="E16" s="18">
        <v>0</v>
      </c>
      <c r="F16" s="18">
        <v>0</v>
      </c>
      <c r="G16" s="18">
        <v>0</v>
      </c>
      <c r="H16" s="18">
        <v>0</v>
      </c>
      <c r="I16" s="18">
        <v>0</v>
      </c>
      <c r="J16" s="18">
        <v>0</v>
      </c>
      <c r="K16" s="18">
        <v>0</v>
      </c>
      <c r="L16" s="18">
        <v>0</v>
      </c>
      <c r="M16" s="96">
        <v>0</v>
      </c>
      <c r="N16" s="18">
        <v>0</v>
      </c>
      <c r="O16" s="18">
        <v>0</v>
      </c>
      <c r="P16" s="18">
        <v>0</v>
      </c>
      <c r="Q16" s="18">
        <v>0</v>
      </c>
      <c r="R16" s="18">
        <v>0</v>
      </c>
      <c r="S16" s="18">
        <v>0</v>
      </c>
      <c r="T16" s="18">
        <v>0</v>
      </c>
      <c r="U16" s="18">
        <v>0</v>
      </c>
      <c r="V16" s="18">
        <v>0</v>
      </c>
      <c r="W16" s="18">
        <v>0</v>
      </c>
      <c r="X16" s="18">
        <v>0</v>
      </c>
      <c r="Y16" s="18">
        <v>0</v>
      </c>
      <c r="Z16" s="18">
        <v>0</v>
      </c>
      <c r="AA16" s="18">
        <v>0</v>
      </c>
      <c r="AB16" s="18">
        <v>0</v>
      </c>
      <c r="AC16" s="18">
        <v>0</v>
      </c>
      <c r="AD16" s="18">
        <v>0</v>
      </c>
      <c r="AE16" s="18">
        <v>0</v>
      </c>
      <c r="AF16" s="18">
        <v>0</v>
      </c>
      <c r="AG16" s="96">
        <v>0</v>
      </c>
      <c r="AH16" s="18">
        <v>0</v>
      </c>
      <c r="AI16" s="144">
        <v>0</v>
      </c>
      <c r="AJ16" s="144">
        <v>0</v>
      </c>
      <c r="AK16" s="144">
        <v>0</v>
      </c>
      <c r="AL16" s="18">
        <v>0</v>
      </c>
      <c r="AM16" s="18">
        <v>0</v>
      </c>
      <c r="AN16" s="18">
        <v>0</v>
      </c>
      <c r="AO16" s="18">
        <v>0</v>
      </c>
      <c r="AP16" s="18">
        <v>0</v>
      </c>
      <c r="AQ16" s="18">
        <v>0</v>
      </c>
      <c r="AR16" s="18">
        <v>0</v>
      </c>
      <c r="AS16" s="18">
        <v>0</v>
      </c>
      <c r="AT16" s="18">
        <v>0</v>
      </c>
      <c r="AU16" s="18">
        <v>0</v>
      </c>
      <c r="AV16" s="18">
        <v>0</v>
      </c>
      <c r="AW16" s="18">
        <v>0</v>
      </c>
      <c r="AX16" s="18">
        <v>0</v>
      </c>
      <c r="AY16" s="18">
        <v>0</v>
      </c>
      <c r="AZ16" s="18">
        <v>0</v>
      </c>
      <c r="BA16" s="96">
        <v>0</v>
      </c>
      <c r="BB16" s="18">
        <f>BA14/20</f>
        <v>5</v>
      </c>
      <c r="BC16" s="18">
        <f>BB16</f>
        <v>5</v>
      </c>
      <c r="BD16" s="18">
        <f t="shared" ref="BD16:BU16" si="33">BC16</f>
        <v>5</v>
      </c>
      <c r="BE16" s="18">
        <f t="shared" si="33"/>
        <v>5</v>
      </c>
      <c r="BF16" s="18">
        <f t="shared" si="33"/>
        <v>5</v>
      </c>
      <c r="BG16" s="18">
        <f t="shared" si="33"/>
        <v>5</v>
      </c>
      <c r="BH16" s="18">
        <f t="shared" si="33"/>
        <v>5</v>
      </c>
      <c r="BI16" s="18">
        <f t="shared" si="33"/>
        <v>5</v>
      </c>
      <c r="BJ16" s="18">
        <f t="shared" si="33"/>
        <v>5</v>
      </c>
      <c r="BK16" s="18">
        <f t="shared" si="33"/>
        <v>5</v>
      </c>
      <c r="BL16" s="18">
        <f t="shared" si="33"/>
        <v>5</v>
      </c>
      <c r="BM16" s="18">
        <f t="shared" si="33"/>
        <v>5</v>
      </c>
      <c r="BN16" s="18">
        <f t="shared" si="33"/>
        <v>5</v>
      </c>
      <c r="BO16" s="18">
        <f t="shared" si="33"/>
        <v>5</v>
      </c>
      <c r="BP16" s="18">
        <f t="shared" si="33"/>
        <v>5</v>
      </c>
      <c r="BQ16" s="18">
        <f t="shared" si="33"/>
        <v>5</v>
      </c>
      <c r="BR16" s="18">
        <f t="shared" si="33"/>
        <v>5</v>
      </c>
      <c r="BS16" s="18">
        <f t="shared" si="33"/>
        <v>5</v>
      </c>
      <c r="BT16" s="18">
        <f t="shared" si="33"/>
        <v>5</v>
      </c>
      <c r="BU16" s="18">
        <f t="shared" si="33"/>
        <v>5</v>
      </c>
    </row>
    <row r="17" spans="1:132" x14ac:dyDescent="0.2">
      <c r="A17" s="98" t="s">
        <v>236</v>
      </c>
      <c r="B17" s="18">
        <f t="shared" ref="B17:AG17" si="34">B16+B15</f>
        <v>0</v>
      </c>
      <c r="C17" s="18">
        <f t="shared" si="34"/>
        <v>0.33250000000000002</v>
      </c>
      <c r="D17" s="18">
        <f t="shared" si="34"/>
        <v>0.66500000000000004</v>
      </c>
      <c r="E17" s="18">
        <f t="shared" si="34"/>
        <v>0.66500000000000004</v>
      </c>
      <c r="F17" s="18">
        <f t="shared" si="34"/>
        <v>0.66500000000000004</v>
      </c>
      <c r="G17" s="18">
        <f t="shared" si="34"/>
        <v>0.66500000000000004</v>
      </c>
      <c r="H17" s="18">
        <f t="shared" si="34"/>
        <v>0.66500000000000004</v>
      </c>
      <c r="I17" s="18">
        <f t="shared" si="34"/>
        <v>0.66500000000000004</v>
      </c>
      <c r="J17" s="18">
        <f t="shared" si="34"/>
        <v>0.66500000000000004</v>
      </c>
      <c r="K17" s="18">
        <f t="shared" si="34"/>
        <v>0.66500000000000004</v>
      </c>
      <c r="L17" s="18">
        <f t="shared" si="34"/>
        <v>0.66500000000000004</v>
      </c>
      <c r="M17" s="96">
        <f t="shared" si="34"/>
        <v>0.66500000000000004</v>
      </c>
      <c r="N17" s="18">
        <f t="shared" si="34"/>
        <v>1.25</v>
      </c>
      <c r="O17" s="18">
        <f t="shared" si="34"/>
        <v>1.25</v>
      </c>
      <c r="P17" s="18">
        <f t="shared" si="34"/>
        <v>1.25</v>
      </c>
      <c r="Q17" s="18">
        <f t="shared" si="34"/>
        <v>1.25</v>
      </c>
      <c r="R17" s="18">
        <f t="shared" si="34"/>
        <v>1.25</v>
      </c>
      <c r="S17" s="18">
        <f t="shared" si="34"/>
        <v>1.25</v>
      </c>
      <c r="T17" s="18">
        <f t="shared" si="34"/>
        <v>1.25</v>
      </c>
      <c r="U17" s="18">
        <f t="shared" si="34"/>
        <v>1.25</v>
      </c>
      <c r="V17" s="18">
        <f t="shared" si="34"/>
        <v>1.25</v>
      </c>
      <c r="W17" s="18">
        <f t="shared" si="34"/>
        <v>1.25</v>
      </c>
      <c r="X17" s="18">
        <f t="shared" si="34"/>
        <v>1.25</v>
      </c>
      <c r="Y17" s="18">
        <f t="shared" si="34"/>
        <v>1.25</v>
      </c>
      <c r="Z17" s="18">
        <f t="shared" si="34"/>
        <v>1.25</v>
      </c>
      <c r="AA17" s="18">
        <f t="shared" si="34"/>
        <v>1.25</v>
      </c>
      <c r="AB17" s="18">
        <f t="shared" si="34"/>
        <v>1.25</v>
      </c>
      <c r="AC17" s="18">
        <f t="shared" si="34"/>
        <v>1.25</v>
      </c>
      <c r="AD17" s="18">
        <f t="shared" si="34"/>
        <v>1.25</v>
      </c>
      <c r="AE17" s="18">
        <f t="shared" si="34"/>
        <v>1.25</v>
      </c>
      <c r="AF17" s="18">
        <f t="shared" si="34"/>
        <v>1.25</v>
      </c>
      <c r="AG17" s="96">
        <f t="shared" si="34"/>
        <v>1.25</v>
      </c>
      <c r="AH17" s="18">
        <f t="shared" ref="AH17:BJ17" si="35">AH16+AH15</f>
        <v>1.875</v>
      </c>
      <c r="AI17" s="144">
        <f t="shared" si="35"/>
        <v>1.875</v>
      </c>
      <c r="AJ17" s="144">
        <f t="shared" si="35"/>
        <v>1.875</v>
      </c>
      <c r="AK17" s="144">
        <f t="shared" si="35"/>
        <v>1.875</v>
      </c>
      <c r="AL17" s="18">
        <f t="shared" si="35"/>
        <v>1.875</v>
      </c>
      <c r="AM17" s="18">
        <f t="shared" si="35"/>
        <v>1.875</v>
      </c>
      <c r="AN17" s="18">
        <f t="shared" si="35"/>
        <v>1.875</v>
      </c>
      <c r="AO17" s="18">
        <f t="shared" si="35"/>
        <v>1.875</v>
      </c>
      <c r="AP17" s="18">
        <f t="shared" si="35"/>
        <v>1.875</v>
      </c>
      <c r="AQ17" s="18">
        <f t="shared" si="35"/>
        <v>1.875</v>
      </c>
      <c r="AR17" s="18">
        <f t="shared" si="35"/>
        <v>1.875</v>
      </c>
      <c r="AS17" s="18">
        <f t="shared" si="35"/>
        <v>1.875</v>
      </c>
      <c r="AT17" s="18">
        <f t="shared" si="35"/>
        <v>1.875</v>
      </c>
      <c r="AU17" s="18">
        <f t="shared" si="35"/>
        <v>1.875</v>
      </c>
      <c r="AV17" s="18">
        <f t="shared" si="35"/>
        <v>1.875</v>
      </c>
      <c r="AW17" s="18">
        <f t="shared" si="35"/>
        <v>1.875</v>
      </c>
      <c r="AX17" s="18">
        <f t="shared" si="35"/>
        <v>1.875</v>
      </c>
      <c r="AY17" s="18">
        <f t="shared" si="35"/>
        <v>1.875</v>
      </c>
      <c r="AZ17" s="18">
        <f t="shared" si="35"/>
        <v>1.875</v>
      </c>
      <c r="BA17" s="96">
        <f t="shared" si="35"/>
        <v>1.875</v>
      </c>
      <c r="BB17" s="18">
        <f t="shared" si="35"/>
        <v>7.625</v>
      </c>
      <c r="BC17" s="18">
        <f t="shared" si="35"/>
        <v>7.4937500000000004</v>
      </c>
      <c r="BD17" s="18">
        <f t="shared" si="35"/>
        <v>7.3624999999999998</v>
      </c>
      <c r="BE17" s="18">
        <f t="shared" si="35"/>
        <v>7.2312500000000002</v>
      </c>
      <c r="BF17" s="18">
        <f t="shared" si="35"/>
        <v>7.1</v>
      </c>
      <c r="BG17" s="18">
        <f t="shared" si="35"/>
        <v>6.96875</v>
      </c>
      <c r="BH17" s="18">
        <f t="shared" si="35"/>
        <v>6.8375000000000004</v>
      </c>
      <c r="BI17" s="18">
        <f t="shared" si="35"/>
        <v>6.7062499999999998</v>
      </c>
      <c r="BJ17" s="18">
        <f t="shared" si="35"/>
        <v>6.5750000000000002</v>
      </c>
      <c r="BK17" s="18">
        <f t="shared" ref="BK17:BU17" si="36">BK16+BK15</f>
        <v>6.4437499999999996</v>
      </c>
      <c r="BL17" s="18">
        <f t="shared" si="36"/>
        <v>6.3125</v>
      </c>
      <c r="BM17" s="18">
        <f t="shared" si="36"/>
        <v>6.1812500000000004</v>
      </c>
      <c r="BN17" s="18">
        <f t="shared" si="36"/>
        <v>6.05</v>
      </c>
      <c r="BO17" s="18">
        <f t="shared" si="36"/>
        <v>5.9187500000000002</v>
      </c>
      <c r="BP17" s="18">
        <f t="shared" si="36"/>
        <v>5.7874999999999996</v>
      </c>
      <c r="BQ17" s="18">
        <f t="shared" si="36"/>
        <v>5.65625</v>
      </c>
      <c r="BR17" s="18">
        <f t="shared" si="36"/>
        <v>5.5250000000000004</v>
      </c>
      <c r="BS17" s="18">
        <f t="shared" si="36"/>
        <v>5.3937499999999998</v>
      </c>
      <c r="BT17" s="18">
        <f t="shared" si="36"/>
        <v>5.2625000000000002</v>
      </c>
      <c r="BU17" s="18">
        <f t="shared" si="36"/>
        <v>5.0656249999999998</v>
      </c>
    </row>
    <row r="18" spans="1:132" x14ac:dyDescent="0.2">
      <c r="A18" s="9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row>
    <row r="19" spans="1:132" s="32" customFormat="1" x14ac:dyDescent="0.2">
      <c r="A19" s="196" t="s">
        <v>229</v>
      </c>
      <c r="B19" s="62"/>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89"/>
      <c r="AO19" s="74"/>
      <c r="AP19" s="74"/>
      <c r="AQ19" s="74" t="s">
        <v>231</v>
      </c>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row>
    <row r="20" spans="1:132" s="32" customFormat="1" x14ac:dyDescent="0.2">
      <c r="A20" s="98" t="s">
        <v>227</v>
      </c>
      <c r="B20" s="162">
        <v>37986</v>
      </c>
      <c r="C20" s="162">
        <f>EDATE(B20,6)</f>
        <v>38168</v>
      </c>
      <c r="D20" s="162">
        <f>EDATE(B20,12)</f>
        <v>38352</v>
      </c>
      <c r="E20" s="162">
        <f t="shared" ref="E20" si="37">EDATE(C20,12)</f>
        <v>38533</v>
      </c>
      <c r="F20" s="162">
        <f t="shared" ref="F20" si="38">EDATE(D20,12)</f>
        <v>38717</v>
      </c>
      <c r="G20" s="162">
        <f t="shared" ref="G20" si="39">EDATE(E20,12)</f>
        <v>38898</v>
      </c>
      <c r="H20" s="162">
        <f t="shared" ref="H20" si="40">EDATE(F20,12)</f>
        <v>39082</v>
      </c>
      <c r="I20" s="162">
        <f t="shared" ref="I20" si="41">EDATE(G20,12)</f>
        <v>39263</v>
      </c>
      <c r="J20" s="162">
        <f t="shared" ref="J20" si="42">EDATE(H20,12)</f>
        <v>39447</v>
      </c>
      <c r="K20" s="162">
        <f t="shared" ref="K20" si="43">EDATE(I20,12)</f>
        <v>39629</v>
      </c>
      <c r="L20" s="240">
        <f t="shared" ref="L20" si="44">EDATE(J20,12)</f>
        <v>39813</v>
      </c>
      <c r="M20" s="162">
        <f t="shared" ref="M20" si="45">EDATE(K20,12)</f>
        <v>39994</v>
      </c>
      <c r="N20" s="162">
        <f t="shared" ref="N20" si="46">EDATE(L20,12)</f>
        <v>40178</v>
      </c>
      <c r="O20" s="162">
        <f t="shared" ref="O20" si="47">EDATE(M20,12)</f>
        <v>40359</v>
      </c>
      <c r="P20" s="162">
        <f t="shared" ref="P20" si="48">EDATE(N20,12)</f>
        <v>40543</v>
      </c>
      <c r="Q20" s="162">
        <f t="shared" ref="Q20" si="49">EDATE(O20,12)</f>
        <v>40724</v>
      </c>
      <c r="R20" s="162">
        <f t="shared" ref="R20" si="50">EDATE(P20,12)</f>
        <v>40908</v>
      </c>
      <c r="S20" s="162">
        <f t="shared" ref="S20" si="51">EDATE(Q20,12)</f>
        <v>41090</v>
      </c>
      <c r="T20" s="162">
        <f t="shared" ref="T20" si="52">EDATE(R20,12)</f>
        <v>41274</v>
      </c>
      <c r="U20" s="162">
        <f t="shared" ref="U20" si="53">EDATE(S20,12)</f>
        <v>41455</v>
      </c>
      <c r="V20" s="240">
        <f t="shared" ref="V20" si="54">EDATE(T20,12)</f>
        <v>41639</v>
      </c>
      <c r="W20" s="162">
        <f t="shared" ref="W20" si="55">EDATE(U20,12)</f>
        <v>41820</v>
      </c>
      <c r="X20" s="162">
        <f t="shared" ref="X20" si="56">EDATE(V20,12)</f>
        <v>42004</v>
      </c>
      <c r="Y20" s="162">
        <f t="shared" ref="Y20" si="57">EDATE(W20,12)</f>
        <v>42185</v>
      </c>
      <c r="Z20" s="162">
        <f t="shared" ref="Z20" si="58">EDATE(X20,12)</f>
        <v>42369</v>
      </c>
      <c r="AA20" s="162">
        <f t="shared" ref="AA20" si="59">EDATE(Y20,12)</f>
        <v>42551</v>
      </c>
      <c r="AB20" s="162">
        <f t="shared" ref="AB20" si="60">EDATE(Z20,12)</f>
        <v>42735</v>
      </c>
      <c r="AC20" s="162">
        <f t="shared" ref="AC20" si="61">EDATE(AA20,12)</f>
        <v>42916</v>
      </c>
      <c r="AD20" s="162">
        <f t="shared" ref="AD20" si="62">EDATE(AB20,12)</f>
        <v>43100</v>
      </c>
      <c r="AE20" s="162">
        <f t="shared" ref="AE20" si="63">EDATE(AC20,12)</f>
        <v>43281</v>
      </c>
      <c r="AF20" s="162">
        <f t="shared" ref="AF20" si="64">EDATE(AD20,12)</f>
        <v>43465</v>
      </c>
      <c r="AG20" s="162">
        <f t="shared" ref="AG20" si="65">EDATE(AE20,12)</f>
        <v>43646</v>
      </c>
      <c r="AH20" s="162">
        <f>EDATE(AF20,12)</f>
        <v>43830</v>
      </c>
      <c r="AI20" s="241">
        <f>EDATE(AG20,12)</f>
        <v>44012</v>
      </c>
      <c r="AJ20" s="241">
        <f t="shared" ref="AJ20" si="66">EDATE(AH20,12)</f>
        <v>44196</v>
      </c>
      <c r="AK20" s="162">
        <f t="shared" ref="AK20" si="67">EDATE(AI20,12)</f>
        <v>44377</v>
      </c>
      <c r="AL20" s="162">
        <f t="shared" ref="AL20" si="68">EDATE(AJ20,12)</f>
        <v>44561</v>
      </c>
      <c r="AM20" s="162">
        <f t="shared" ref="AM20" si="69">EDATE(AK20,12)</f>
        <v>44742</v>
      </c>
      <c r="AN20" s="162">
        <f t="shared" ref="AN20" si="70">EDATE(AL20,12)</f>
        <v>44926</v>
      </c>
      <c r="AO20" s="162">
        <f t="shared" ref="AO20" si="71">EDATE(AM20,12)</f>
        <v>45107</v>
      </c>
      <c r="AP20" s="240">
        <f t="shared" ref="AP20" si="72">EDATE(AN20,12)</f>
        <v>45291</v>
      </c>
      <c r="AQ20" s="162">
        <f t="shared" ref="AQ20" si="73">EDATE(AO20,12)</f>
        <v>45473</v>
      </c>
      <c r="AR20" s="162">
        <f t="shared" ref="AR20" si="74">EDATE(AP20,12)</f>
        <v>45657</v>
      </c>
      <c r="AS20" s="162">
        <f t="shared" ref="AS20" si="75">EDATE(AQ20,12)</f>
        <v>45838</v>
      </c>
      <c r="AT20" s="162">
        <f t="shared" ref="AT20" si="76">EDATE(AR20,12)</f>
        <v>46022</v>
      </c>
      <c r="AU20" s="162">
        <f t="shared" ref="AU20" si="77">EDATE(AS20,12)</f>
        <v>46203</v>
      </c>
      <c r="AV20" s="162">
        <f t="shared" ref="AV20" si="78">EDATE(AT20,12)</f>
        <v>46387</v>
      </c>
      <c r="AW20" s="162">
        <f t="shared" ref="AW20" si="79">EDATE(AU20,12)</f>
        <v>46568</v>
      </c>
      <c r="AX20" s="162">
        <f t="shared" ref="AX20" si="80">EDATE(AV20,12)</f>
        <v>46752</v>
      </c>
      <c r="AY20" s="162">
        <f t="shared" ref="AY20" si="81">EDATE(AW20,12)</f>
        <v>46934</v>
      </c>
      <c r="AZ20" s="162">
        <f t="shared" ref="AZ20" si="82">EDATE(AX20,12)</f>
        <v>47118</v>
      </c>
      <c r="BA20" s="162">
        <f t="shared" ref="BA20" si="83">EDATE(AY20,12)</f>
        <v>47299</v>
      </c>
      <c r="BB20" s="162">
        <f t="shared" ref="BB20" si="84">EDATE(AZ20,12)</f>
        <v>47483</v>
      </c>
      <c r="BC20" s="162">
        <f t="shared" ref="BC20" si="85">EDATE(BA20,12)</f>
        <v>47664</v>
      </c>
      <c r="BD20" s="162">
        <f t="shared" ref="BD20" si="86">EDATE(BB20,12)</f>
        <v>47848</v>
      </c>
      <c r="BE20" s="162">
        <f t="shared" ref="BE20" si="87">EDATE(BC20,12)</f>
        <v>48029</v>
      </c>
      <c r="BF20" s="162">
        <f t="shared" ref="BF20" si="88">EDATE(BD20,12)</f>
        <v>48213</v>
      </c>
      <c r="BG20" s="162">
        <f t="shared" ref="BG20" si="89">EDATE(BE20,12)</f>
        <v>48395</v>
      </c>
      <c r="BH20" s="162">
        <f t="shared" ref="BH20" si="90">EDATE(BF20,12)</f>
        <v>48579</v>
      </c>
      <c r="BI20" s="162">
        <f t="shared" ref="BI20" si="91">EDATE(BG20,12)</f>
        <v>48760</v>
      </c>
      <c r="BJ20" s="162">
        <f t="shared" ref="BJ20" si="92">EDATE(BH20,12)</f>
        <v>48944</v>
      </c>
      <c r="BK20" s="74"/>
      <c r="BL20" s="74"/>
      <c r="BM20" s="74"/>
      <c r="BN20" s="74"/>
      <c r="BO20" s="74"/>
      <c r="BP20" s="74"/>
      <c r="BQ20" s="74"/>
      <c r="BR20" s="74"/>
      <c r="BS20" s="74"/>
      <c r="BT20" s="74"/>
      <c r="BU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row>
    <row r="21" spans="1:132" s="32" customFormat="1" x14ac:dyDescent="0.2">
      <c r="A21" s="99" t="s">
        <v>233</v>
      </c>
      <c r="B21" s="91">
        <v>3.75</v>
      </c>
      <c r="C21" s="91">
        <v>3.75</v>
      </c>
      <c r="D21" s="91">
        <v>3.75</v>
      </c>
      <c r="E21" s="91">
        <v>3.75</v>
      </c>
      <c r="F21" s="91">
        <v>3.75</v>
      </c>
      <c r="G21" s="91">
        <v>3.75</v>
      </c>
      <c r="H21" s="91">
        <v>3.75</v>
      </c>
      <c r="I21" s="91">
        <v>3.75</v>
      </c>
      <c r="J21" s="91">
        <v>3.75</v>
      </c>
      <c r="K21" s="91">
        <v>3.75</v>
      </c>
      <c r="L21" s="94">
        <v>3.75</v>
      </c>
      <c r="M21" s="92">
        <v>5.45</v>
      </c>
      <c r="N21" s="92">
        <v>5.45</v>
      </c>
      <c r="O21" s="92">
        <v>5.45</v>
      </c>
      <c r="P21" s="92">
        <v>5.45</v>
      </c>
      <c r="Q21" s="92">
        <v>5.45</v>
      </c>
      <c r="R21" s="92">
        <v>5.45</v>
      </c>
      <c r="S21" s="92">
        <v>5.45</v>
      </c>
      <c r="T21" s="92">
        <v>5.45</v>
      </c>
      <c r="U21" s="92">
        <v>5.45</v>
      </c>
      <c r="V21" s="97">
        <v>5.45</v>
      </c>
      <c r="W21" s="92">
        <v>7.82</v>
      </c>
      <c r="X21" s="92">
        <v>7.82</v>
      </c>
      <c r="Y21" s="92">
        <v>7.82</v>
      </c>
      <c r="Z21" s="92">
        <v>7.82</v>
      </c>
      <c r="AA21" s="92">
        <v>7.82</v>
      </c>
      <c r="AB21" s="92">
        <v>7.82</v>
      </c>
      <c r="AC21" s="92">
        <v>7.82</v>
      </c>
      <c r="AD21" s="92">
        <v>7.82</v>
      </c>
      <c r="AE21" s="92">
        <v>7.82</v>
      </c>
      <c r="AF21" s="92">
        <v>7.82</v>
      </c>
      <c r="AG21" s="92">
        <v>7.82</v>
      </c>
      <c r="AH21" s="92">
        <v>7.82</v>
      </c>
      <c r="AI21" s="142">
        <v>7.82</v>
      </c>
      <c r="AJ21" s="142">
        <v>7.82</v>
      </c>
      <c r="AK21" s="92">
        <v>7.82</v>
      </c>
      <c r="AL21" s="92">
        <v>7.82</v>
      </c>
      <c r="AM21" s="92">
        <v>7.82</v>
      </c>
      <c r="AN21" s="92">
        <v>7.82</v>
      </c>
      <c r="AO21" s="92">
        <v>7.82</v>
      </c>
      <c r="AP21" s="97">
        <v>7.82</v>
      </c>
      <c r="AQ21" s="92">
        <v>7.82</v>
      </c>
      <c r="AR21" s="92">
        <v>7.82</v>
      </c>
      <c r="AS21" s="92">
        <v>7.82</v>
      </c>
      <c r="AT21" s="92">
        <v>7.82</v>
      </c>
      <c r="AU21" s="92">
        <v>7.82</v>
      </c>
      <c r="AV21" s="92">
        <v>7.82</v>
      </c>
      <c r="AW21" s="92">
        <v>7.82</v>
      </c>
      <c r="AX21" s="92">
        <v>7.82</v>
      </c>
      <c r="AY21" s="92">
        <v>7.82</v>
      </c>
      <c r="AZ21" s="92">
        <v>7.82</v>
      </c>
      <c r="BA21" s="92">
        <v>7.82</v>
      </c>
      <c r="BB21" s="92">
        <v>7.82</v>
      </c>
      <c r="BC21" s="92">
        <v>7.82</v>
      </c>
      <c r="BD21" s="92">
        <v>7.82</v>
      </c>
      <c r="BE21" s="92">
        <v>7.82</v>
      </c>
      <c r="BF21" s="92">
        <v>7.82</v>
      </c>
      <c r="BG21" s="92">
        <v>7.82</v>
      </c>
      <c r="BH21" s="92">
        <v>7.82</v>
      </c>
      <c r="BI21" s="92">
        <v>7.82</v>
      </c>
      <c r="BJ21" s="92">
        <v>7.82</v>
      </c>
      <c r="BK21" s="74"/>
      <c r="BL21" s="74"/>
      <c r="BM21" s="74"/>
      <c r="BN21" s="74"/>
      <c r="BO21" s="74"/>
      <c r="BP21" s="74"/>
      <c r="BQ21" s="74"/>
      <c r="BR21" s="74"/>
      <c r="BS21" s="74"/>
      <c r="BT21" s="74"/>
      <c r="BU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row>
    <row r="22" spans="1:132" s="32" customFormat="1" x14ac:dyDescent="0.2">
      <c r="A22" s="99" t="s">
        <v>234</v>
      </c>
      <c r="B22" s="91">
        <v>4.07</v>
      </c>
      <c r="C22" s="91">
        <v>4.07</v>
      </c>
      <c r="D22" s="91">
        <v>4.07</v>
      </c>
      <c r="E22" s="91">
        <v>4.07</v>
      </c>
      <c r="F22" s="91">
        <v>4.07</v>
      </c>
      <c r="G22" s="91">
        <v>4.07</v>
      </c>
      <c r="H22" s="91">
        <v>4.07</v>
      </c>
      <c r="I22" s="91">
        <v>4.07</v>
      </c>
      <c r="J22" s="91">
        <v>4.07</v>
      </c>
      <c r="K22" s="91">
        <v>4.07</v>
      </c>
      <c r="L22" s="94">
        <v>4.07</v>
      </c>
      <c r="M22" s="92">
        <v>2.37</v>
      </c>
      <c r="N22" s="92">
        <v>2.37</v>
      </c>
      <c r="O22" s="92">
        <v>2.37</v>
      </c>
      <c r="P22" s="92">
        <v>2.37</v>
      </c>
      <c r="Q22" s="92">
        <v>2.37</v>
      </c>
      <c r="R22" s="92">
        <v>2.37</v>
      </c>
      <c r="S22" s="92">
        <v>2.37</v>
      </c>
      <c r="T22" s="92">
        <v>2.37</v>
      </c>
      <c r="U22" s="92">
        <v>2.37</v>
      </c>
      <c r="V22" s="97">
        <v>2.37</v>
      </c>
      <c r="W22" s="92">
        <v>0</v>
      </c>
      <c r="X22" s="92">
        <v>0</v>
      </c>
      <c r="Y22" s="92">
        <v>0</v>
      </c>
      <c r="Z22" s="92">
        <v>0</v>
      </c>
      <c r="AA22" s="92">
        <v>0</v>
      </c>
      <c r="AB22" s="92">
        <v>0</v>
      </c>
      <c r="AC22" s="92">
        <v>0</v>
      </c>
      <c r="AD22" s="92">
        <v>0</v>
      </c>
      <c r="AE22" s="92">
        <v>0</v>
      </c>
      <c r="AF22" s="92">
        <v>0</v>
      </c>
      <c r="AG22" s="92">
        <v>0</v>
      </c>
      <c r="AH22" s="92">
        <v>0</v>
      </c>
      <c r="AI22" s="142">
        <v>0</v>
      </c>
      <c r="AJ22" s="142">
        <v>0</v>
      </c>
      <c r="AK22" s="92">
        <v>0</v>
      </c>
      <c r="AL22" s="92">
        <v>0</v>
      </c>
      <c r="AM22" s="92">
        <v>0</v>
      </c>
      <c r="AN22" s="92">
        <v>0</v>
      </c>
      <c r="AO22" s="92">
        <v>0</v>
      </c>
      <c r="AP22" s="97">
        <v>0</v>
      </c>
      <c r="AQ22" s="92">
        <v>0</v>
      </c>
      <c r="AR22" s="92">
        <v>0</v>
      </c>
      <c r="AS22" s="92">
        <v>0</v>
      </c>
      <c r="AT22" s="92">
        <v>0</v>
      </c>
      <c r="AU22" s="92">
        <v>0</v>
      </c>
      <c r="AV22" s="92">
        <v>0</v>
      </c>
      <c r="AW22" s="92">
        <v>0</v>
      </c>
      <c r="AX22" s="92">
        <v>0</v>
      </c>
      <c r="AY22" s="92">
        <v>0</v>
      </c>
      <c r="AZ22" s="92">
        <v>0</v>
      </c>
      <c r="BA22" s="92">
        <v>0</v>
      </c>
      <c r="BB22" s="92">
        <v>0</v>
      </c>
      <c r="BC22" s="92">
        <v>0</v>
      </c>
      <c r="BD22" s="92">
        <v>0</v>
      </c>
      <c r="BE22" s="92">
        <v>0</v>
      </c>
      <c r="BF22" s="92">
        <v>0</v>
      </c>
      <c r="BG22" s="92">
        <v>0</v>
      </c>
      <c r="BH22" s="92">
        <v>0</v>
      </c>
      <c r="BI22" s="92">
        <v>0</v>
      </c>
      <c r="BJ22" s="92">
        <v>0</v>
      </c>
      <c r="BK22" s="74"/>
      <c r="BL22" s="74"/>
      <c r="BM22" s="74"/>
      <c r="BN22" s="74"/>
      <c r="BO22" s="74"/>
      <c r="BP22" s="74"/>
      <c r="BQ22" s="74"/>
      <c r="BR22" s="74"/>
      <c r="BS22" s="74"/>
      <c r="BT22" s="74"/>
      <c r="BU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row>
    <row r="23" spans="1:132" s="32" customFormat="1" x14ac:dyDescent="0.2">
      <c r="A23" s="100" t="s">
        <v>232</v>
      </c>
      <c r="B23" s="93">
        <v>100</v>
      </c>
      <c r="C23" s="93">
        <f>B23+B25-B26</f>
        <v>100</v>
      </c>
      <c r="D23" s="93">
        <f t="shared" ref="D23:AG23" si="93">C23+C25-C26</f>
        <v>102.035</v>
      </c>
      <c r="E23" s="93">
        <f t="shared" si="93"/>
        <v>104.11385425</v>
      </c>
      <c r="F23" s="93">
        <f t="shared" si="93"/>
        <v>106.2375078090875</v>
      </c>
      <c r="G23" s="93">
        <f t="shared" si="93"/>
        <v>108.40692610237333</v>
      </c>
      <c r="H23" s="93">
        <f t="shared" si="93"/>
        <v>110.62309535987949</v>
      </c>
      <c r="I23" s="93">
        <f t="shared" si="93"/>
        <v>112.88702306488489</v>
      </c>
      <c r="J23" s="93">
        <f t="shared" si="93"/>
        <v>115.19973841193315</v>
      </c>
      <c r="K23" s="93">
        <f t="shared" si="93"/>
        <v>117.56229277471031</v>
      </c>
      <c r="L23" s="95">
        <f t="shared" si="93"/>
        <v>119.97576018400532</v>
      </c>
      <c r="M23" s="93">
        <f t="shared" si="93"/>
        <v>122.44123781597064</v>
      </c>
      <c r="N23" s="93">
        <f t="shared" si="93"/>
        <v>123.90784778147284</v>
      </c>
      <c r="O23" s="93">
        <f t="shared" si="93"/>
        <v>125.39286370204209</v>
      </c>
      <c r="P23" s="93">
        <f t="shared" si="93"/>
        <v>126.8965165724145</v>
      </c>
      <c r="Q23" s="93">
        <f t="shared" si="93"/>
        <v>128.41904028631006</v>
      </c>
      <c r="R23" s="93">
        <f t="shared" si="93"/>
        <v>129.96067167281504</v>
      </c>
      <c r="S23" s="93">
        <f t="shared" si="93"/>
        <v>131.52165053322065</v>
      </c>
      <c r="T23" s="93">
        <f t="shared" si="93"/>
        <v>133.10221967832433</v>
      </c>
      <c r="U23" s="93">
        <f t="shared" si="93"/>
        <v>134.70262496619907</v>
      </c>
      <c r="V23" s="95">
        <f t="shared" si="93"/>
        <v>136.32311534043663</v>
      </c>
      <c r="W23" s="93">
        <f t="shared" si="93"/>
        <v>137.96394286887087</v>
      </c>
      <c r="X23" s="93">
        <f t="shared" si="93"/>
        <v>137.96394286887087</v>
      </c>
      <c r="Y23" s="93">
        <f t="shared" si="93"/>
        <v>137.96394286887087</v>
      </c>
      <c r="Z23" s="93">
        <f t="shared" si="93"/>
        <v>137.96394286887087</v>
      </c>
      <c r="AA23" s="93">
        <f t="shared" si="93"/>
        <v>137.96394286887087</v>
      </c>
      <c r="AB23" s="93">
        <f t="shared" si="93"/>
        <v>137.96394286887087</v>
      </c>
      <c r="AC23" s="93">
        <f t="shared" si="93"/>
        <v>137.96394286887087</v>
      </c>
      <c r="AD23" s="93">
        <f t="shared" si="93"/>
        <v>137.96394286887087</v>
      </c>
      <c r="AE23" s="93">
        <f t="shared" si="93"/>
        <v>137.96394286887087</v>
      </c>
      <c r="AF23" s="93">
        <f t="shared" si="93"/>
        <v>137.96394286887087</v>
      </c>
      <c r="AG23" s="93">
        <f t="shared" si="93"/>
        <v>137.96394286887087</v>
      </c>
      <c r="AH23" s="93">
        <f t="shared" ref="AH23:BJ23" si="94">AG23+AG25-AG26</f>
        <v>137.96394286887087</v>
      </c>
      <c r="AI23" s="143">
        <f t="shared" si="94"/>
        <v>137.96394286887087</v>
      </c>
      <c r="AJ23" s="143">
        <f t="shared" si="94"/>
        <v>137.96394286887087</v>
      </c>
      <c r="AK23" s="93">
        <f t="shared" si="94"/>
        <v>137.96394286887087</v>
      </c>
      <c r="AL23" s="93">
        <f t="shared" si="94"/>
        <v>137.96394286887087</v>
      </c>
      <c r="AM23" s="93">
        <f t="shared" si="94"/>
        <v>137.96394286887087</v>
      </c>
      <c r="AN23" s="93">
        <f t="shared" si="94"/>
        <v>137.96394286887087</v>
      </c>
      <c r="AO23" s="93">
        <f t="shared" si="94"/>
        <v>137.96394286887087</v>
      </c>
      <c r="AP23" s="95">
        <f t="shared" si="94"/>
        <v>137.96394286887087</v>
      </c>
      <c r="AQ23" s="93">
        <f t="shared" si="94"/>
        <v>137.96394286887087</v>
      </c>
      <c r="AR23" s="93">
        <f t="shared" si="94"/>
        <v>131.06574572542732</v>
      </c>
      <c r="AS23" s="93">
        <f t="shared" si="94"/>
        <v>124.16754858198378</v>
      </c>
      <c r="AT23" s="93">
        <f t="shared" si="94"/>
        <v>117.26935143854024</v>
      </c>
      <c r="AU23" s="93">
        <f t="shared" si="94"/>
        <v>110.3711542950967</v>
      </c>
      <c r="AV23" s="93">
        <f t="shared" si="94"/>
        <v>103.47295715165316</v>
      </c>
      <c r="AW23" s="93">
        <f t="shared" si="94"/>
        <v>96.574760008209623</v>
      </c>
      <c r="AX23" s="93">
        <f t="shared" si="94"/>
        <v>89.676562864766083</v>
      </c>
      <c r="AY23" s="93">
        <f t="shared" si="94"/>
        <v>82.778365721322544</v>
      </c>
      <c r="AZ23" s="93">
        <f t="shared" si="94"/>
        <v>75.880168577879004</v>
      </c>
      <c r="BA23" s="93">
        <f t="shared" si="94"/>
        <v>68.981971434435465</v>
      </c>
      <c r="BB23" s="93">
        <f t="shared" si="94"/>
        <v>62.083774290991919</v>
      </c>
      <c r="BC23" s="93">
        <f t="shared" si="94"/>
        <v>55.185577147548372</v>
      </c>
      <c r="BD23" s="93">
        <f t="shared" si="94"/>
        <v>48.287380004104826</v>
      </c>
      <c r="BE23" s="93">
        <f t="shared" si="94"/>
        <v>41.389182860661279</v>
      </c>
      <c r="BF23" s="93">
        <f t="shared" si="94"/>
        <v>34.490985717217733</v>
      </c>
      <c r="BG23" s="93">
        <f t="shared" si="94"/>
        <v>27.59278857377419</v>
      </c>
      <c r="BH23" s="93">
        <f t="shared" si="94"/>
        <v>20.694591430330647</v>
      </c>
      <c r="BI23" s="93">
        <f t="shared" si="94"/>
        <v>13.796394286887104</v>
      </c>
      <c r="BJ23" s="93">
        <f t="shared" si="94"/>
        <v>6.8981971434435598</v>
      </c>
      <c r="BK23" s="74"/>
      <c r="BL23" s="74"/>
      <c r="BM23" s="74"/>
      <c r="BN23" s="74"/>
      <c r="BO23" s="74"/>
      <c r="BP23" s="74"/>
      <c r="BQ23" s="74"/>
      <c r="BR23" s="74"/>
      <c r="BS23" s="74"/>
      <c r="BT23" s="74"/>
      <c r="BU23" s="74"/>
      <c r="DD23" s="74"/>
      <c r="DE23" s="74"/>
      <c r="DF23" s="74"/>
      <c r="DG23" s="74"/>
      <c r="DH23" s="74"/>
      <c r="DI23" s="74"/>
      <c r="DJ23" s="74"/>
      <c r="DK23" s="74"/>
      <c r="DL23" s="74"/>
      <c r="DM23" s="74"/>
      <c r="DN23" s="74"/>
      <c r="DO23" s="74"/>
      <c r="DP23" s="74"/>
      <c r="DQ23" s="74"/>
      <c r="DR23" s="74"/>
      <c r="DS23" s="74"/>
      <c r="DT23" s="74"/>
      <c r="DU23" s="74"/>
      <c r="DV23" s="74"/>
      <c r="DW23" s="74"/>
      <c r="DX23" s="74"/>
      <c r="DY23" s="74"/>
      <c r="DZ23" s="74"/>
      <c r="EA23" s="74"/>
      <c r="EB23" s="74"/>
    </row>
    <row r="24" spans="1:132" s="32" customFormat="1" x14ac:dyDescent="0.2">
      <c r="A24" s="101" t="s">
        <v>316</v>
      </c>
      <c r="B24" s="18">
        <v>0</v>
      </c>
      <c r="C24" s="18">
        <f>C21/2*C23/100</f>
        <v>1.875</v>
      </c>
      <c r="D24" s="18">
        <f t="shared" ref="D24" si="95">D21/2*D23/100</f>
        <v>1.9131562499999999</v>
      </c>
      <c r="E24" s="18">
        <f t="shared" ref="E24" si="96">E21/2*E23/100</f>
        <v>1.9521347671875</v>
      </c>
      <c r="F24" s="18">
        <f t="shared" ref="F24" si="97">F21/2*F23/100</f>
        <v>1.9919532714203907</v>
      </c>
      <c r="G24" s="18">
        <f t="shared" ref="G24" si="98">G21/2*G23/100</f>
        <v>2.0326298644195</v>
      </c>
      <c r="H24" s="18">
        <f t="shared" ref="H24" si="99">H21/2*H23/100</f>
        <v>2.0741830379977402</v>
      </c>
      <c r="I24" s="18">
        <f t="shared" ref="I24" si="100">I21/2*I23/100</f>
        <v>2.1166316824665916</v>
      </c>
      <c r="J24" s="18">
        <f t="shared" ref="J24" si="101">J21/2*J23/100</f>
        <v>2.1599950952237466</v>
      </c>
      <c r="K24" s="18">
        <f t="shared" ref="K24" si="102">K21/2*K23/100</f>
        <v>2.2042929895258183</v>
      </c>
      <c r="L24" s="96">
        <f t="shared" ref="L24" si="103">L21/2*L23/100</f>
        <v>2.2495455034500997</v>
      </c>
      <c r="M24" s="18">
        <f t="shared" ref="M24" si="104">M21/2*M23/100</f>
        <v>3.3365237304852</v>
      </c>
      <c r="N24" s="18">
        <f t="shared" ref="N24" si="105">N21/2*N23/100</f>
        <v>3.3764888520451346</v>
      </c>
      <c r="O24" s="18">
        <f t="shared" ref="O24" si="106">O21/2*O23/100</f>
        <v>3.4169555358806476</v>
      </c>
      <c r="P24" s="18">
        <f t="shared" ref="P24" si="107">P21/2*P23/100</f>
        <v>3.4579300765982954</v>
      </c>
      <c r="Q24" s="18">
        <f t="shared" ref="Q24" si="108">Q21/2*Q23/100</f>
        <v>3.4994188478019495</v>
      </c>
      <c r="R24" s="18">
        <f t="shared" ref="R24" si="109">R21/2*R23/100</f>
        <v>3.5414283030842095</v>
      </c>
      <c r="S24" s="18">
        <f t="shared" ref="S24" si="110">S21/2*S23/100</f>
        <v>3.5839649770302628</v>
      </c>
      <c r="T24" s="18">
        <f t="shared" ref="T24" si="111">T21/2*T23/100</f>
        <v>3.6270354862343379</v>
      </c>
      <c r="U24" s="18">
        <f t="shared" ref="U24" si="112">U21/2*U23/100</f>
        <v>3.6706465303289249</v>
      </c>
      <c r="V24" s="96">
        <f t="shared" ref="V24" si="113">V21/2*V23/100</f>
        <v>3.7148048930268982</v>
      </c>
      <c r="W24" s="18">
        <f t="shared" ref="W24" si="114">W21/2*W23/100</f>
        <v>5.3943901661728511</v>
      </c>
      <c r="X24" s="18">
        <f t="shared" ref="X24" si="115">X21/2*X23/100</f>
        <v>5.3943901661728511</v>
      </c>
      <c r="Y24" s="18">
        <f t="shared" ref="Y24" si="116">Y21/2*Y23/100</f>
        <v>5.3943901661728511</v>
      </c>
      <c r="Z24" s="18">
        <f t="shared" ref="Z24" si="117">Z21/2*Z23/100</f>
        <v>5.3943901661728511</v>
      </c>
      <c r="AA24" s="18">
        <f t="shared" ref="AA24" si="118">AA21/2*AA23/100</f>
        <v>5.3943901661728511</v>
      </c>
      <c r="AB24" s="18">
        <f t="shared" ref="AB24" si="119">AB21/2*AB23/100</f>
        <v>5.3943901661728511</v>
      </c>
      <c r="AC24" s="18">
        <f t="shared" ref="AC24" si="120">AC21/2*AC23/100</f>
        <v>5.3943901661728511</v>
      </c>
      <c r="AD24" s="18">
        <f t="shared" ref="AD24" si="121">AD21/2*AD23/100</f>
        <v>5.3943901661728511</v>
      </c>
      <c r="AE24" s="18">
        <f t="shared" ref="AE24" si="122">AE21/2*AE23/100</f>
        <v>5.3943901661728511</v>
      </c>
      <c r="AF24" s="18">
        <f t="shared" ref="AF24" si="123">AF21/2*AF23/100</f>
        <v>5.3943901661728511</v>
      </c>
      <c r="AG24" s="18">
        <f t="shared" ref="AG24" si="124">AG21/2*AG23/100</f>
        <v>5.3943901661728511</v>
      </c>
      <c r="AH24" s="18">
        <f t="shared" ref="AH24" si="125">AH21/2*AH23/100</f>
        <v>5.3943901661728511</v>
      </c>
      <c r="AI24" s="144">
        <f t="shared" ref="AI24" si="126">AI21/2*AI23/100</f>
        <v>5.3943901661728511</v>
      </c>
      <c r="AJ24" s="144">
        <f t="shared" ref="AJ24" si="127">AJ21/2*AJ23/100</f>
        <v>5.3943901661728511</v>
      </c>
      <c r="AK24" s="18">
        <f t="shared" ref="AK24" si="128">AK21/2*AK23/100</f>
        <v>5.3943901661728511</v>
      </c>
      <c r="AL24" s="18">
        <f t="shared" ref="AL24" si="129">AL21/2*AL23/100</f>
        <v>5.3943901661728511</v>
      </c>
      <c r="AM24" s="18">
        <f t="shared" ref="AM24" si="130">AM21/2*AM23/100</f>
        <v>5.3943901661728511</v>
      </c>
      <c r="AN24" s="18">
        <f t="shared" ref="AN24" si="131">AN21/2*AN23/100</f>
        <v>5.3943901661728511</v>
      </c>
      <c r="AO24" s="18">
        <f t="shared" ref="AO24" si="132">AO21/2*AO23/100</f>
        <v>5.3943901661728511</v>
      </c>
      <c r="AP24" s="96">
        <f t="shared" ref="AP24" si="133">AP21/2*AP23/100</f>
        <v>5.3943901661728511</v>
      </c>
      <c r="AQ24" s="18">
        <f t="shared" ref="AQ24" si="134">AQ21/2*AQ23/100</f>
        <v>5.3943901661728511</v>
      </c>
      <c r="AR24" s="18">
        <f t="shared" ref="AR24" si="135">AR21/2*AR23/100</f>
        <v>5.1246706578642076</v>
      </c>
      <c r="AS24" s="18">
        <f t="shared" ref="AS24" si="136">AS21/2*AS23/100</f>
        <v>4.8549511495555659</v>
      </c>
      <c r="AT24" s="18">
        <f t="shared" ref="AT24" si="137">AT21/2*AT23/100</f>
        <v>4.5852316412469234</v>
      </c>
      <c r="AU24" s="18">
        <f t="shared" ref="AU24" si="138">AU21/2*AU23/100</f>
        <v>4.3155121329382817</v>
      </c>
      <c r="AV24" s="18">
        <f t="shared" ref="AV24" si="139">AV21/2*AV23/100</f>
        <v>4.0457926246296383</v>
      </c>
      <c r="AW24" s="18">
        <f t="shared" ref="AW24" si="140">AW21/2*AW23/100</f>
        <v>3.7760731163209966</v>
      </c>
      <c r="AX24" s="18">
        <f t="shared" ref="AX24" si="141">AX21/2*AX23/100</f>
        <v>3.5063536080123536</v>
      </c>
      <c r="AY24" s="18">
        <f t="shared" ref="AY24" si="142">AY21/2*AY23/100</f>
        <v>3.2366340997037115</v>
      </c>
      <c r="AZ24" s="18">
        <f t="shared" ref="AZ24" si="143">AZ21/2*AZ23/100</f>
        <v>2.9669145913950694</v>
      </c>
      <c r="BA24" s="18">
        <f t="shared" ref="BA24" si="144">BA21/2*BA23/100</f>
        <v>2.6971950830864269</v>
      </c>
      <c r="BB24" s="18">
        <f t="shared" ref="BB24" si="145">BB21/2*BB23/100</f>
        <v>2.4274755747777839</v>
      </c>
      <c r="BC24" s="18">
        <f t="shared" ref="BC24" si="146">BC21/2*BC23/100</f>
        <v>2.1577560664691418</v>
      </c>
      <c r="BD24" s="18">
        <f t="shared" ref="BD24" si="147">BD21/2*BD23/100</f>
        <v>1.8880365581604988</v>
      </c>
      <c r="BE24" s="18">
        <f t="shared" ref="BE24" si="148">BE21/2*BE23/100</f>
        <v>1.6183170498518562</v>
      </c>
      <c r="BF24" s="18">
        <f t="shared" ref="BF24" si="149">BF21/2*BF23/100</f>
        <v>1.3485975415432134</v>
      </c>
      <c r="BG24" s="18">
        <f t="shared" ref="BG24" si="150">BG21/2*BG23/100</f>
        <v>1.0788780332345709</v>
      </c>
      <c r="BH24" s="18">
        <f t="shared" ref="BH24" si="151">BH21/2*BH23/100</f>
        <v>0.80915852492592832</v>
      </c>
      <c r="BI24" s="18">
        <f t="shared" ref="BI24" si="152">BI21/2*BI23/100</f>
        <v>0.53943901661728577</v>
      </c>
      <c r="BJ24" s="18">
        <f t="shared" ref="BJ24" si="153">BJ21/2*BJ23/100</f>
        <v>0.26971950830864322</v>
      </c>
      <c r="BK24" s="74"/>
      <c r="BL24" s="74"/>
      <c r="BM24" s="74"/>
      <c r="BN24" s="74"/>
      <c r="BO24" s="74"/>
      <c r="BP24" s="74"/>
      <c r="BQ24" s="74"/>
      <c r="BR24" s="74"/>
      <c r="BS24" s="74"/>
      <c r="BT24" s="74"/>
      <c r="BU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row>
    <row r="25" spans="1:132" s="32" customFormat="1" x14ac:dyDescent="0.2">
      <c r="A25" s="98" t="s">
        <v>230</v>
      </c>
      <c r="B25" s="18">
        <v>0</v>
      </c>
      <c r="C25" s="18">
        <f t="shared" ref="C25:AH25" si="154">C$5*C22/2/100</f>
        <v>2.0350000000000001</v>
      </c>
      <c r="D25" s="18">
        <f t="shared" si="154"/>
        <v>2.0788542500000005</v>
      </c>
      <c r="E25" s="18">
        <f t="shared" si="154"/>
        <v>2.1236535590875003</v>
      </c>
      <c r="F25" s="18">
        <f t="shared" si="154"/>
        <v>2.1694182932858359</v>
      </c>
      <c r="G25" s="18">
        <f t="shared" si="154"/>
        <v>2.2161692575061456</v>
      </c>
      <c r="H25" s="18">
        <f t="shared" si="154"/>
        <v>2.2639277050054032</v>
      </c>
      <c r="I25" s="18">
        <f t="shared" si="154"/>
        <v>2.3127153470482695</v>
      </c>
      <c r="J25" s="18">
        <f t="shared" si="154"/>
        <v>2.3625543627771597</v>
      </c>
      <c r="K25" s="18">
        <f t="shared" si="154"/>
        <v>2.4134674092950075</v>
      </c>
      <c r="L25" s="96">
        <f t="shared" si="154"/>
        <v>2.4654776319653151</v>
      </c>
      <c r="M25" s="18">
        <f t="shared" si="154"/>
        <v>1.4666099655022053</v>
      </c>
      <c r="N25" s="18">
        <f t="shared" si="154"/>
        <v>1.4850159205692584</v>
      </c>
      <c r="O25" s="18">
        <f t="shared" si="154"/>
        <v>1.5036528703724026</v>
      </c>
      <c r="P25" s="18">
        <f t="shared" si="154"/>
        <v>1.5225237138955761</v>
      </c>
      <c r="Q25" s="18">
        <f t="shared" si="154"/>
        <v>1.5416313865049656</v>
      </c>
      <c r="R25" s="18">
        <f t="shared" si="154"/>
        <v>1.560978860405603</v>
      </c>
      <c r="S25" s="18">
        <f t="shared" si="154"/>
        <v>1.5805691451036936</v>
      </c>
      <c r="T25" s="18">
        <f t="shared" si="154"/>
        <v>1.600405287874745</v>
      </c>
      <c r="U25" s="18">
        <f t="shared" si="154"/>
        <v>1.6204903742375729</v>
      </c>
      <c r="V25" s="96">
        <f t="shared" si="154"/>
        <v>1.6408275284342542</v>
      </c>
      <c r="W25" s="18">
        <f t="shared" si="154"/>
        <v>0</v>
      </c>
      <c r="X25" s="18">
        <f t="shared" si="154"/>
        <v>0</v>
      </c>
      <c r="Y25" s="18">
        <f t="shared" si="154"/>
        <v>0</v>
      </c>
      <c r="Z25" s="18">
        <f t="shared" si="154"/>
        <v>0</v>
      </c>
      <c r="AA25" s="18">
        <f t="shared" si="154"/>
        <v>0</v>
      </c>
      <c r="AB25" s="18">
        <f t="shared" si="154"/>
        <v>0</v>
      </c>
      <c r="AC25" s="18">
        <f t="shared" si="154"/>
        <v>0</v>
      </c>
      <c r="AD25" s="18">
        <f t="shared" si="154"/>
        <v>0</v>
      </c>
      <c r="AE25" s="18">
        <f t="shared" si="154"/>
        <v>0</v>
      </c>
      <c r="AF25" s="18">
        <f t="shared" si="154"/>
        <v>0</v>
      </c>
      <c r="AG25" s="18">
        <f t="shared" si="154"/>
        <v>0</v>
      </c>
      <c r="AH25" s="18">
        <f t="shared" si="154"/>
        <v>0</v>
      </c>
      <c r="AI25" s="144">
        <f t="shared" ref="AI25:BJ25" si="155">AI$5*AI22/2/100</f>
        <v>0</v>
      </c>
      <c r="AJ25" s="144">
        <f t="shared" si="155"/>
        <v>0</v>
      </c>
      <c r="AK25" s="18">
        <f t="shared" si="155"/>
        <v>0</v>
      </c>
      <c r="AL25" s="18">
        <f t="shared" si="155"/>
        <v>0</v>
      </c>
      <c r="AM25" s="18">
        <f t="shared" si="155"/>
        <v>0</v>
      </c>
      <c r="AN25" s="18">
        <f t="shared" si="155"/>
        <v>0</v>
      </c>
      <c r="AO25" s="18">
        <f t="shared" si="155"/>
        <v>0</v>
      </c>
      <c r="AP25" s="96">
        <f t="shared" si="155"/>
        <v>0</v>
      </c>
      <c r="AQ25" s="18">
        <f t="shared" si="155"/>
        <v>0</v>
      </c>
      <c r="AR25" s="18">
        <f t="shared" si="155"/>
        <v>0</v>
      </c>
      <c r="AS25" s="18">
        <f t="shared" si="155"/>
        <v>0</v>
      </c>
      <c r="AT25" s="18">
        <f t="shared" si="155"/>
        <v>0</v>
      </c>
      <c r="AU25" s="18">
        <f t="shared" si="155"/>
        <v>0</v>
      </c>
      <c r="AV25" s="18">
        <f t="shared" si="155"/>
        <v>0</v>
      </c>
      <c r="AW25" s="18">
        <f t="shared" si="155"/>
        <v>0</v>
      </c>
      <c r="AX25" s="18">
        <f t="shared" si="155"/>
        <v>0</v>
      </c>
      <c r="AY25" s="18">
        <f t="shared" si="155"/>
        <v>0</v>
      </c>
      <c r="AZ25" s="18">
        <f t="shared" si="155"/>
        <v>0</v>
      </c>
      <c r="BA25" s="18">
        <f t="shared" si="155"/>
        <v>0</v>
      </c>
      <c r="BB25" s="18">
        <f t="shared" si="155"/>
        <v>0</v>
      </c>
      <c r="BC25" s="18">
        <f t="shared" si="155"/>
        <v>0</v>
      </c>
      <c r="BD25" s="18">
        <f t="shared" si="155"/>
        <v>0</v>
      </c>
      <c r="BE25" s="18">
        <f t="shared" si="155"/>
        <v>0</v>
      </c>
      <c r="BF25" s="18">
        <f t="shared" si="155"/>
        <v>0</v>
      </c>
      <c r="BG25" s="18">
        <f t="shared" si="155"/>
        <v>0</v>
      </c>
      <c r="BH25" s="18">
        <f t="shared" si="155"/>
        <v>0</v>
      </c>
      <c r="BI25" s="18">
        <f t="shared" si="155"/>
        <v>0</v>
      </c>
      <c r="BJ25" s="18">
        <f t="shared" si="155"/>
        <v>0</v>
      </c>
      <c r="BK25" s="74"/>
      <c r="BL25" s="74"/>
      <c r="BM25" s="74"/>
      <c r="BN25" s="74"/>
      <c r="BO25" s="74"/>
      <c r="BP25" s="74"/>
      <c r="BQ25" s="74"/>
      <c r="BR25" s="74"/>
      <c r="BS25" s="74"/>
      <c r="BT25" s="74"/>
      <c r="BU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row>
    <row r="26" spans="1:132" s="32" customFormat="1" x14ac:dyDescent="0.2">
      <c r="A26" s="98" t="s">
        <v>235</v>
      </c>
      <c r="B26" s="18">
        <v>0</v>
      </c>
      <c r="C26" s="18">
        <v>0</v>
      </c>
      <c r="D26" s="18">
        <v>0</v>
      </c>
      <c r="E26" s="18">
        <v>0</v>
      </c>
      <c r="F26" s="18">
        <v>0</v>
      </c>
      <c r="G26" s="18">
        <v>0</v>
      </c>
      <c r="H26" s="18">
        <v>0</v>
      </c>
      <c r="I26" s="18">
        <v>0</v>
      </c>
      <c r="J26" s="18">
        <v>0</v>
      </c>
      <c r="K26" s="18">
        <v>0</v>
      </c>
      <c r="L26" s="96">
        <v>0</v>
      </c>
      <c r="M26" s="18">
        <v>0</v>
      </c>
      <c r="N26" s="18">
        <v>0</v>
      </c>
      <c r="O26" s="18">
        <v>0</v>
      </c>
      <c r="P26" s="18">
        <v>0</v>
      </c>
      <c r="Q26" s="18">
        <v>0</v>
      </c>
      <c r="R26" s="18">
        <v>0</v>
      </c>
      <c r="S26" s="18">
        <v>0</v>
      </c>
      <c r="T26" s="18">
        <v>0</v>
      </c>
      <c r="U26" s="18">
        <v>0</v>
      </c>
      <c r="V26" s="96">
        <v>0</v>
      </c>
      <c r="W26" s="18">
        <v>0</v>
      </c>
      <c r="X26" s="18">
        <v>0</v>
      </c>
      <c r="Y26" s="18">
        <v>0</v>
      </c>
      <c r="Z26" s="18">
        <v>0</v>
      </c>
      <c r="AA26" s="18">
        <v>0</v>
      </c>
      <c r="AB26" s="18">
        <v>0</v>
      </c>
      <c r="AC26" s="18">
        <v>0</v>
      </c>
      <c r="AD26" s="18">
        <v>0</v>
      </c>
      <c r="AE26" s="18">
        <v>0</v>
      </c>
      <c r="AF26" s="18">
        <v>0</v>
      </c>
      <c r="AG26" s="18">
        <v>0</v>
      </c>
      <c r="AH26" s="18">
        <v>0</v>
      </c>
      <c r="AI26" s="144">
        <v>0</v>
      </c>
      <c r="AJ26" s="144">
        <v>0</v>
      </c>
      <c r="AK26" s="18">
        <v>0</v>
      </c>
      <c r="AL26" s="18">
        <v>0</v>
      </c>
      <c r="AM26" s="18">
        <v>0</v>
      </c>
      <c r="AN26" s="18">
        <v>0</v>
      </c>
      <c r="AO26" s="18">
        <v>0</v>
      </c>
      <c r="AP26" s="96">
        <v>0</v>
      </c>
      <c r="AQ26" s="18">
        <f>AQ23/20</f>
        <v>6.8981971434435438</v>
      </c>
      <c r="AR26" s="18">
        <f t="shared" ref="AR26:BJ26" si="156">AQ26</f>
        <v>6.8981971434435438</v>
      </c>
      <c r="AS26" s="18">
        <f t="shared" si="156"/>
        <v>6.8981971434435438</v>
      </c>
      <c r="AT26" s="18">
        <f t="shared" si="156"/>
        <v>6.8981971434435438</v>
      </c>
      <c r="AU26" s="18">
        <f t="shared" si="156"/>
        <v>6.8981971434435438</v>
      </c>
      <c r="AV26" s="18">
        <f t="shared" si="156"/>
        <v>6.8981971434435438</v>
      </c>
      <c r="AW26" s="18">
        <f t="shared" si="156"/>
        <v>6.8981971434435438</v>
      </c>
      <c r="AX26" s="18">
        <f t="shared" si="156"/>
        <v>6.8981971434435438</v>
      </c>
      <c r="AY26" s="18">
        <f t="shared" si="156"/>
        <v>6.8981971434435438</v>
      </c>
      <c r="AZ26" s="18">
        <f t="shared" si="156"/>
        <v>6.8981971434435438</v>
      </c>
      <c r="BA26" s="18">
        <f t="shared" si="156"/>
        <v>6.8981971434435438</v>
      </c>
      <c r="BB26" s="18">
        <f t="shared" si="156"/>
        <v>6.8981971434435438</v>
      </c>
      <c r="BC26" s="18">
        <f t="shared" si="156"/>
        <v>6.8981971434435438</v>
      </c>
      <c r="BD26" s="18">
        <f t="shared" si="156"/>
        <v>6.8981971434435438</v>
      </c>
      <c r="BE26" s="18">
        <f t="shared" si="156"/>
        <v>6.8981971434435438</v>
      </c>
      <c r="BF26" s="18">
        <f t="shared" si="156"/>
        <v>6.8981971434435438</v>
      </c>
      <c r="BG26" s="18">
        <f t="shared" si="156"/>
        <v>6.8981971434435438</v>
      </c>
      <c r="BH26" s="18">
        <f t="shared" si="156"/>
        <v>6.8981971434435438</v>
      </c>
      <c r="BI26" s="18">
        <f t="shared" si="156"/>
        <v>6.8981971434435438</v>
      </c>
      <c r="BJ26" s="18">
        <f t="shared" si="156"/>
        <v>6.8981971434435438</v>
      </c>
      <c r="BK26" s="74"/>
      <c r="BL26" s="74"/>
      <c r="BM26" s="74"/>
      <c r="BN26" s="74"/>
      <c r="BO26" s="74"/>
      <c r="BP26" s="74"/>
      <c r="BQ26" s="74"/>
      <c r="BR26" s="74"/>
      <c r="BS26" s="74"/>
      <c r="BT26" s="74"/>
      <c r="BU26" s="74"/>
      <c r="DD26" s="74"/>
      <c r="DE26" s="74"/>
      <c r="DF26" s="74"/>
      <c r="DG26" s="74"/>
      <c r="DH26" s="74"/>
      <c r="DI26" s="74"/>
      <c r="DJ26" s="74"/>
      <c r="DK26" s="74"/>
      <c r="DL26" s="74"/>
      <c r="DM26" s="74"/>
      <c r="DN26" s="74"/>
      <c r="DO26" s="74"/>
      <c r="DP26" s="74"/>
      <c r="DQ26" s="74"/>
      <c r="DR26" s="74"/>
      <c r="DS26" s="74"/>
      <c r="DT26" s="74"/>
      <c r="DU26" s="74"/>
      <c r="DV26" s="74"/>
      <c r="DW26" s="74"/>
      <c r="DX26" s="74"/>
      <c r="DY26" s="74"/>
      <c r="DZ26" s="74"/>
      <c r="EA26" s="74"/>
      <c r="EB26" s="74"/>
    </row>
    <row r="27" spans="1:132" s="32" customFormat="1" x14ac:dyDescent="0.2">
      <c r="A27" s="98" t="s">
        <v>236</v>
      </c>
      <c r="B27" s="18">
        <f>B26+B24</f>
        <v>0</v>
      </c>
      <c r="C27" s="18">
        <f t="shared" ref="C27" si="157">C26+C24</f>
        <v>1.875</v>
      </c>
      <c r="D27" s="18">
        <f t="shared" ref="D27" si="158">D26+D24</f>
        <v>1.9131562499999999</v>
      </c>
      <c r="E27" s="18">
        <f t="shared" ref="E27" si="159">E26+E24</f>
        <v>1.9521347671875</v>
      </c>
      <c r="F27" s="18">
        <f t="shared" ref="F27" si="160">F26+F24</f>
        <v>1.9919532714203907</v>
      </c>
      <c r="G27" s="18">
        <f t="shared" ref="G27" si="161">G26+G24</f>
        <v>2.0326298644195</v>
      </c>
      <c r="H27" s="18">
        <f t="shared" ref="H27" si="162">H26+H24</f>
        <v>2.0741830379977402</v>
      </c>
      <c r="I27" s="18">
        <f t="shared" ref="I27" si="163">I26+I24</f>
        <v>2.1166316824665916</v>
      </c>
      <c r="J27" s="18">
        <f t="shared" ref="J27" si="164">J26+J24</f>
        <v>2.1599950952237466</v>
      </c>
      <c r="K27" s="18">
        <f t="shared" ref="K27" si="165">K26+K24</f>
        <v>2.2042929895258183</v>
      </c>
      <c r="L27" s="96">
        <f t="shared" ref="L27" si="166">L26+L24</f>
        <v>2.2495455034500997</v>
      </c>
      <c r="M27" s="18">
        <f t="shared" ref="M27" si="167">M26+M24</f>
        <v>3.3365237304852</v>
      </c>
      <c r="N27" s="18">
        <f t="shared" ref="N27" si="168">N26+N24</f>
        <v>3.3764888520451346</v>
      </c>
      <c r="O27" s="18">
        <f t="shared" ref="O27" si="169">O26+O24</f>
        <v>3.4169555358806476</v>
      </c>
      <c r="P27" s="18">
        <f t="shared" ref="P27" si="170">P26+P24</f>
        <v>3.4579300765982954</v>
      </c>
      <c r="Q27" s="18">
        <f t="shared" ref="Q27" si="171">Q26+Q24</f>
        <v>3.4994188478019495</v>
      </c>
      <c r="R27" s="18">
        <f t="shared" ref="R27" si="172">R26+R24</f>
        <v>3.5414283030842095</v>
      </c>
      <c r="S27" s="18">
        <f t="shared" ref="S27" si="173">S26+S24</f>
        <v>3.5839649770302628</v>
      </c>
      <c r="T27" s="18">
        <f t="shared" ref="T27" si="174">T26+T24</f>
        <v>3.6270354862343379</v>
      </c>
      <c r="U27" s="18">
        <f t="shared" ref="U27" si="175">U26+U24</f>
        <v>3.6706465303289249</v>
      </c>
      <c r="V27" s="96">
        <f t="shared" ref="V27" si="176">V26+V24</f>
        <v>3.7148048930268982</v>
      </c>
      <c r="W27" s="18">
        <f t="shared" ref="W27" si="177">W26+W24</f>
        <v>5.3943901661728511</v>
      </c>
      <c r="X27" s="18">
        <f t="shared" ref="X27" si="178">X26+X24</f>
        <v>5.3943901661728511</v>
      </c>
      <c r="Y27" s="18">
        <f t="shared" ref="Y27" si="179">Y26+Y24</f>
        <v>5.3943901661728511</v>
      </c>
      <c r="Z27" s="18">
        <f t="shared" ref="Z27" si="180">Z26+Z24</f>
        <v>5.3943901661728511</v>
      </c>
      <c r="AA27" s="18">
        <f t="shared" ref="AA27" si="181">AA26+AA24</f>
        <v>5.3943901661728511</v>
      </c>
      <c r="AB27" s="18">
        <f t="shared" ref="AB27" si="182">AB26+AB24</f>
        <v>5.3943901661728511</v>
      </c>
      <c r="AC27" s="18">
        <f t="shared" ref="AC27" si="183">AC26+AC24</f>
        <v>5.3943901661728511</v>
      </c>
      <c r="AD27" s="18">
        <f t="shared" ref="AD27" si="184">AD26+AD24</f>
        <v>5.3943901661728511</v>
      </c>
      <c r="AE27" s="18">
        <f t="shared" ref="AE27" si="185">AE26+AE24</f>
        <v>5.3943901661728511</v>
      </c>
      <c r="AF27" s="18">
        <f t="shared" ref="AF27" si="186">AF26+AF24</f>
        <v>5.3943901661728511</v>
      </c>
      <c r="AG27" s="18">
        <f t="shared" ref="AG27" si="187">AG26+AG24</f>
        <v>5.3943901661728511</v>
      </c>
      <c r="AH27" s="18">
        <f t="shared" ref="AH27" si="188">AH26+AH24</f>
        <v>5.3943901661728511</v>
      </c>
      <c r="AI27" s="144">
        <f t="shared" ref="AI27" si="189">AI26+AI24</f>
        <v>5.3943901661728511</v>
      </c>
      <c r="AJ27" s="144">
        <f t="shared" ref="AJ27" si="190">AJ26+AJ24</f>
        <v>5.3943901661728511</v>
      </c>
      <c r="AK27" s="18">
        <f t="shared" ref="AK27" si="191">AK26+AK24</f>
        <v>5.3943901661728511</v>
      </c>
      <c r="AL27" s="18">
        <f t="shared" ref="AL27" si="192">AL26+AL24</f>
        <v>5.3943901661728511</v>
      </c>
      <c r="AM27" s="18">
        <f t="shared" ref="AM27" si="193">AM26+AM24</f>
        <v>5.3943901661728511</v>
      </c>
      <c r="AN27" s="18">
        <f t="shared" ref="AN27" si="194">AN26+AN24</f>
        <v>5.3943901661728511</v>
      </c>
      <c r="AO27" s="18">
        <f t="shared" ref="AO27" si="195">AO26+AO24</f>
        <v>5.3943901661728511</v>
      </c>
      <c r="AP27" s="96">
        <f t="shared" ref="AP27" si="196">AP26+AP24</f>
        <v>5.3943901661728511</v>
      </c>
      <c r="AQ27" s="18">
        <f t="shared" ref="AQ27" si="197">AQ26+AQ24</f>
        <v>12.292587309616394</v>
      </c>
      <c r="AR27" s="18">
        <f t="shared" ref="AR27" si="198">AR26+AR24</f>
        <v>12.022867801307751</v>
      </c>
      <c r="AS27" s="18">
        <f t="shared" ref="AS27" si="199">AS26+AS24</f>
        <v>11.753148292999111</v>
      </c>
      <c r="AT27" s="18">
        <f t="shared" ref="AT27" si="200">AT26+AT24</f>
        <v>11.483428784690467</v>
      </c>
      <c r="AU27" s="18">
        <f t="shared" ref="AU27" si="201">AU26+AU24</f>
        <v>11.213709276381826</v>
      </c>
      <c r="AV27" s="18">
        <f t="shared" ref="AV27" si="202">AV26+AV24</f>
        <v>10.943989768073182</v>
      </c>
      <c r="AW27" s="18">
        <f t="shared" ref="AW27" si="203">AW26+AW24</f>
        <v>10.67427025976454</v>
      </c>
      <c r="AX27" s="18">
        <f t="shared" ref="AX27" si="204">AX26+AX24</f>
        <v>10.404550751455897</v>
      </c>
      <c r="AY27" s="18">
        <f t="shared" ref="AY27" si="205">AY26+AY24</f>
        <v>10.134831243147255</v>
      </c>
      <c r="AZ27" s="18">
        <f t="shared" ref="AZ27" si="206">AZ26+AZ24</f>
        <v>9.8651117348386137</v>
      </c>
      <c r="BA27" s="18">
        <f t="shared" ref="BA27" si="207">BA26+BA24</f>
        <v>9.5953922265299703</v>
      </c>
      <c r="BB27" s="18">
        <f t="shared" ref="BB27" si="208">BB26+BB24</f>
        <v>9.3256727182213268</v>
      </c>
      <c r="BC27" s="18">
        <f t="shared" ref="BC27" si="209">BC26+BC24</f>
        <v>9.0559532099126852</v>
      </c>
      <c r="BD27" s="18">
        <f t="shared" ref="BD27" si="210">BD26+BD24</f>
        <v>8.7862337016040435</v>
      </c>
      <c r="BE27" s="18">
        <f t="shared" ref="BE27" si="211">BE26+BE24</f>
        <v>8.5165141932954</v>
      </c>
      <c r="BF27" s="18">
        <f t="shared" ref="BF27" si="212">BF26+BF24</f>
        <v>8.2467946849867566</v>
      </c>
      <c r="BG27" s="18">
        <f t="shared" ref="BG27" si="213">BG26+BG24</f>
        <v>7.9770751766781149</v>
      </c>
      <c r="BH27" s="18">
        <f t="shared" ref="BH27" si="214">BH26+BH24</f>
        <v>7.7073556683694724</v>
      </c>
      <c r="BI27" s="18">
        <f t="shared" ref="BI27" si="215">BI26+BI24</f>
        <v>7.4376361600608298</v>
      </c>
      <c r="BJ27" s="18">
        <f t="shared" ref="BJ27" si="216">BJ26+BJ24</f>
        <v>7.1679166517521873</v>
      </c>
      <c r="BK27" s="74"/>
      <c r="BL27" s="74"/>
      <c r="BM27" s="74"/>
      <c r="BN27" s="74"/>
      <c r="BO27" s="74"/>
      <c r="BP27" s="74"/>
      <c r="BQ27" s="74"/>
      <c r="BR27" s="74"/>
      <c r="BS27" s="74"/>
      <c r="BT27" s="74"/>
      <c r="BU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row>
    <row r="28" spans="1:132" s="32" customFormat="1" x14ac:dyDescent="0.2">
      <c r="A28" s="9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44"/>
      <c r="AJ28" s="144"/>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74"/>
      <c r="BL28" s="74"/>
      <c r="BM28" s="74"/>
      <c r="BN28" s="74"/>
      <c r="BO28" s="74"/>
      <c r="BP28" s="74"/>
      <c r="BQ28" s="74"/>
      <c r="BR28" s="74"/>
      <c r="BS28" s="74"/>
      <c r="BT28" s="74"/>
      <c r="BU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row>
    <row r="29" spans="1:132" x14ac:dyDescent="0.2">
      <c r="A29" s="196" t="s">
        <v>241</v>
      </c>
      <c r="B29" s="32"/>
      <c r="C29" s="74" t="s">
        <v>240</v>
      </c>
      <c r="D29" s="62"/>
      <c r="E29" s="62"/>
      <c r="F29" s="62"/>
      <c r="G29" s="62"/>
      <c r="H29" s="62"/>
      <c r="I29" s="62"/>
      <c r="J29" s="62"/>
      <c r="K29" s="62"/>
      <c r="L29" s="62"/>
      <c r="M29" s="62" t="s">
        <v>146</v>
      </c>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89"/>
      <c r="AO29" s="74"/>
      <c r="AP29" s="74"/>
      <c r="AQ29" s="74"/>
      <c r="AR29" s="74"/>
      <c r="AS29" s="74"/>
      <c r="AT29" s="74"/>
      <c r="AU29" s="74"/>
      <c r="AV29" s="74"/>
      <c r="AW29" s="74"/>
      <c r="AX29" s="74"/>
      <c r="AY29" s="74"/>
      <c r="AZ29" s="74"/>
      <c r="BA29" s="89"/>
      <c r="BB29" s="74"/>
      <c r="BC29" s="74"/>
      <c r="BD29" s="74"/>
      <c r="BE29" s="74"/>
      <c r="BF29" s="74"/>
      <c r="BG29" s="74"/>
      <c r="BH29" s="74"/>
      <c r="BI29" s="74"/>
      <c r="BJ29" s="74"/>
      <c r="BK29" s="74"/>
      <c r="BL29" s="74"/>
      <c r="BM29" s="74"/>
      <c r="BN29" s="74"/>
      <c r="BO29" s="74"/>
      <c r="BP29" s="74"/>
      <c r="BQ29" s="74"/>
      <c r="BR29" s="74"/>
      <c r="BS29" s="74"/>
      <c r="BT29" s="74"/>
      <c r="BU29" s="74" t="s">
        <v>239</v>
      </c>
    </row>
    <row r="30" spans="1:132" x14ac:dyDescent="0.2">
      <c r="A30" s="98" t="s">
        <v>227</v>
      </c>
      <c r="B30" s="242">
        <v>37986</v>
      </c>
      <c r="C30" s="162">
        <f>EDATE(B30,3)</f>
        <v>38077</v>
      </c>
      <c r="D30" s="162">
        <f>EDATE(C30,6)</f>
        <v>38260</v>
      </c>
      <c r="E30" s="162">
        <f>EDATE(C30,12)</f>
        <v>38442</v>
      </c>
      <c r="F30" s="162">
        <f t="shared" ref="F30" si="217">EDATE(D30,12)</f>
        <v>38625</v>
      </c>
      <c r="G30" s="162">
        <f t="shared" ref="G30" si="218">EDATE(E30,12)</f>
        <v>38807</v>
      </c>
      <c r="H30" s="162">
        <f t="shared" ref="H30" si="219">EDATE(F30,12)</f>
        <v>38990</v>
      </c>
      <c r="I30" s="162">
        <f t="shared" ref="I30" si="220">EDATE(G30,12)</f>
        <v>39172</v>
      </c>
      <c r="J30" s="162">
        <f t="shared" ref="J30" si="221">EDATE(H30,12)</f>
        <v>39355</v>
      </c>
      <c r="K30" s="162">
        <f t="shared" ref="K30" si="222">EDATE(I30,12)</f>
        <v>39538</v>
      </c>
      <c r="L30" s="162">
        <f t="shared" ref="L30" si="223">EDATE(J30,12)</f>
        <v>39721</v>
      </c>
      <c r="M30" s="240">
        <f t="shared" ref="M30" si="224">EDATE(K30,12)</f>
        <v>39903</v>
      </c>
      <c r="N30" s="162">
        <f t="shared" ref="N30" si="225">EDATE(L30,12)</f>
        <v>40086</v>
      </c>
      <c r="O30" s="162">
        <f t="shared" ref="O30" si="226">EDATE(M30,12)</f>
        <v>40268</v>
      </c>
      <c r="P30" s="162">
        <f t="shared" ref="P30" si="227">EDATE(N30,12)</f>
        <v>40451</v>
      </c>
      <c r="Q30" s="162">
        <f t="shared" ref="Q30" si="228">EDATE(O30,12)</f>
        <v>40633</v>
      </c>
      <c r="R30" s="162">
        <f t="shared" ref="R30" si="229">EDATE(P30,12)</f>
        <v>40816</v>
      </c>
      <c r="S30" s="162">
        <f t="shared" ref="S30" si="230">EDATE(Q30,12)</f>
        <v>40999</v>
      </c>
      <c r="T30" s="162">
        <f t="shared" ref="T30" si="231">EDATE(R30,12)</f>
        <v>41182</v>
      </c>
      <c r="U30" s="162">
        <f t="shared" ref="U30" si="232">EDATE(S30,12)</f>
        <v>41364</v>
      </c>
      <c r="V30" s="162">
        <f t="shared" ref="V30" si="233">EDATE(T30,12)</f>
        <v>41547</v>
      </c>
      <c r="W30" s="162">
        <f t="shared" ref="W30" si="234">EDATE(U30,12)</f>
        <v>41729</v>
      </c>
      <c r="X30" s="162">
        <f t="shared" ref="X30" si="235">EDATE(V30,12)</f>
        <v>41912</v>
      </c>
      <c r="Y30" s="162">
        <f t="shared" ref="Y30" si="236">EDATE(W30,12)</f>
        <v>42094</v>
      </c>
      <c r="Z30" s="162">
        <f t="shared" ref="Z30" si="237">EDATE(X30,12)</f>
        <v>42277</v>
      </c>
      <c r="AA30" s="162">
        <f t="shared" ref="AA30" si="238">EDATE(Y30,12)</f>
        <v>42460</v>
      </c>
      <c r="AB30" s="162">
        <f t="shared" ref="AB30" si="239">EDATE(Z30,12)</f>
        <v>42643</v>
      </c>
      <c r="AC30" s="162">
        <f t="shared" ref="AC30" si="240">EDATE(AA30,12)</f>
        <v>42825</v>
      </c>
      <c r="AD30" s="162">
        <f t="shared" ref="AD30" si="241">EDATE(AB30,12)</f>
        <v>43008</v>
      </c>
      <c r="AE30" s="162">
        <f t="shared" ref="AE30" si="242">EDATE(AC30,12)</f>
        <v>43190</v>
      </c>
      <c r="AF30" s="162">
        <f t="shared" ref="AF30" si="243">EDATE(AD30,12)</f>
        <v>43373</v>
      </c>
      <c r="AG30" s="240">
        <f t="shared" ref="AG30" si="244">EDATE(AE30,12)</f>
        <v>43555</v>
      </c>
      <c r="AH30" s="162">
        <f>EDATE(AF30,12)</f>
        <v>43738</v>
      </c>
      <c r="AI30" s="241">
        <f>EDATE(AG30,12)</f>
        <v>43921</v>
      </c>
      <c r="AJ30" s="241">
        <f t="shared" ref="AJ30" si="245">EDATE(AH30,12)</f>
        <v>44104</v>
      </c>
      <c r="AK30" s="241">
        <f t="shared" ref="AK30" si="246">EDATE(AI30,12)</f>
        <v>44286</v>
      </c>
      <c r="AL30" s="162">
        <f t="shared" ref="AL30" si="247">EDATE(AJ30,12)</f>
        <v>44469</v>
      </c>
      <c r="AM30" s="162">
        <f t="shared" ref="AM30" si="248">EDATE(AK30,12)</f>
        <v>44651</v>
      </c>
      <c r="AN30" s="162">
        <f t="shared" ref="AN30" si="249">EDATE(AL30,12)</f>
        <v>44834</v>
      </c>
      <c r="AO30" s="162">
        <f t="shared" ref="AO30" si="250">EDATE(AM30,12)</f>
        <v>45016</v>
      </c>
      <c r="AP30" s="162">
        <f t="shared" ref="AP30" si="251">EDATE(AN30,12)</f>
        <v>45199</v>
      </c>
      <c r="AQ30" s="162">
        <f t="shared" ref="AQ30" si="252">EDATE(AO30,12)</f>
        <v>45382</v>
      </c>
      <c r="AR30" s="162">
        <f t="shared" ref="AR30" si="253">EDATE(AP30,12)</f>
        <v>45565</v>
      </c>
      <c r="AS30" s="162">
        <f t="shared" ref="AS30" si="254">EDATE(AQ30,12)</f>
        <v>45747</v>
      </c>
      <c r="AT30" s="162">
        <f t="shared" ref="AT30" si="255">EDATE(AR30,12)</f>
        <v>45930</v>
      </c>
      <c r="AU30" s="162">
        <f t="shared" ref="AU30" si="256">EDATE(AS30,12)</f>
        <v>46112</v>
      </c>
      <c r="AV30" s="162">
        <f t="shared" ref="AV30" si="257">EDATE(AT30,12)</f>
        <v>46295</v>
      </c>
      <c r="AW30" s="162">
        <f t="shared" ref="AW30" si="258">EDATE(AU30,12)</f>
        <v>46477</v>
      </c>
      <c r="AX30" s="162">
        <f t="shared" ref="AX30" si="259">EDATE(AV30,12)</f>
        <v>46660</v>
      </c>
      <c r="AY30" s="162">
        <f t="shared" ref="AY30" si="260">EDATE(AW30,12)</f>
        <v>46843</v>
      </c>
      <c r="AZ30" s="162">
        <f t="shared" ref="AZ30" si="261">EDATE(AX30,12)</f>
        <v>47026</v>
      </c>
      <c r="BA30" s="240">
        <f t="shared" ref="BA30" si="262">EDATE(AY30,12)</f>
        <v>47208</v>
      </c>
      <c r="BB30" s="162">
        <f t="shared" ref="BB30" si="263">EDATE(AZ30,12)</f>
        <v>47391</v>
      </c>
      <c r="BC30" s="162">
        <f t="shared" ref="BC30" si="264">EDATE(BA30,12)</f>
        <v>47573</v>
      </c>
      <c r="BD30" s="162">
        <f t="shared" ref="BD30" si="265">EDATE(BB30,12)</f>
        <v>47756</v>
      </c>
      <c r="BE30" s="162">
        <f t="shared" ref="BE30" si="266">EDATE(BC30,12)</f>
        <v>47938</v>
      </c>
      <c r="BF30" s="162">
        <f t="shared" ref="BF30" si="267">EDATE(BD30,12)</f>
        <v>48121</v>
      </c>
      <c r="BG30" s="162">
        <f t="shared" ref="BG30" si="268">EDATE(BE30,12)</f>
        <v>48304</v>
      </c>
      <c r="BH30" s="162">
        <f t="shared" ref="BH30" si="269">EDATE(BF30,12)</f>
        <v>48487</v>
      </c>
      <c r="BI30" s="162">
        <f t="shared" ref="BI30" si="270">EDATE(BG30,12)</f>
        <v>48669</v>
      </c>
      <c r="BJ30" s="162">
        <f t="shared" ref="BJ30" si="271">EDATE(BH30,12)</f>
        <v>48852</v>
      </c>
      <c r="BK30" s="162">
        <f t="shared" ref="BK30" si="272">EDATE(BI30,12)</f>
        <v>49034</v>
      </c>
      <c r="BL30" s="162">
        <f t="shared" ref="BL30" si="273">EDATE(BJ30,12)</f>
        <v>49217</v>
      </c>
      <c r="BM30" s="162">
        <f t="shared" ref="BM30" si="274">EDATE(BK30,12)</f>
        <v>49399</v>
      </c>
      <c r="BN30" s="162">
        <f t="shared" ref="BN30" si="275">EDATE(BL30,12)</f>
        <v>49582</v>
      </c>
      <c r="BO30" s="162">
        <f t="shared" ref="BO30" si="276">EDATE(BM30,12)</f>
        <v>49765</v>
      </c>
      <c r="BP30" s="162">
        <f t="shared" ref="BP30" si="277">EDATE(BN30,12)</f>
        <v>49948</v>
      </c>
      <c r="BQ30" s="162">
        <f t="shared" ref="BQ30" si="278">EDATE(BO30,12)</f>
        <v>50130</v>
      </c>
      <c r="BR30" s="162">
        <f t="shared" ref="BR30" si="279">EDATE(BP30,12)</f>
        <v>50313</v>
      </c>
      <c r="BS30" s="162">
        <f t="shared" ref="BS30" si="280">EDATE(BQ30,12)</f>
        <v>50495</v>
      </c>
      <c r="BT30" s="162">
        <f t="shared" ref="BT30" si="281">EDATE(BR30,12)</f>
        <v>50678</v>
      </c>
      <c r="BU30" s="242">
        <v>50770</v>
      </c>
    </row>
    <row r="31" spans="1:132" x14ac:dyDescent="0.2">
      <c r="A31" s="99" t="s">
        <v>238</v>
      </c>
      <c r="B31" s="91">
        <v>1.2</v>
      </c>
      <c r="C31" s="91">
        <v>1.2</v>
      </c>
      <c r="D31" s="91">
        <v>1.2</v>
      </c>
      <c r="E31" s="91">
        <v>1.2</v>
      </c>
      <c r="F31" s="91">
        <v>1.2</v>
      </c>
      <c r="G31" s="91">
        <v>1.2</v>
      </c>
      <c r="H31" s="91">
        <v>1.2</v>
      </c>
      <c r="I31" s="91">
        <v>1.2</v>
      </c>
      <c r="J31" s="91">
        <v>1.2</v>
      </c>
      <c r="K31" s="91">
        <v>1.2</v>
      </c>
      <c r="L31" s="91">
        <v>1.2</v>
      </c>
      <c r="M31" s="94">
        <v>1.2</v>
      </c>
      <c r="N31" s="92">
        <v>2.2599999999999998</v>
      </c>
      <c r="O31" s="92">
        <v>2.2599999999999998</v>
      </c>
      <c r="P31" s="92">
        <v>2.2599999999999998</v>
      </c>
      <c r="Q31" s="92">
        <v>2.2599999999999998</v>
      </c>
      <c r="R31" s="92">
        <v>2.2599999999999998</v>
      </c>
      <c r="S31" s="92">
        <v>2.2599999999999998</v>
      </c>
      <c r="T31" s="92">
        <v>2.2599999999999998</v>
      </c>
      <c r="U31" s="92">
        <v>2.2599999999999998</v>
      </c>
      <c r="V31" s="92">
        <v>2.2599999999999998</v>
      </c>
      <c r="W31" s="92">
        <v>2.2599999999999998</v>
      </c>
      <c r="X31" s="92">
        <v>2.2599999999999998</v>
      </c>
      <c r="Y31" s="92">
        <v>2.2599999999999998</v>
      </c>
      <c r="Z31" s="92">
        <v>2.2599999999999998</v>
      </c>
      <c r="AA31" s="92">
        <v>2.2599999999999998</v>
      </c>
      <c r="AB31" s="92">
        <v>2.2599999999999998</v>
      </c>
      <c r="AC31" s="92">
        <v>2.2599999999999998</v>
      </c>
      <c r="AD31" s="92">
        <v>2.2599999999999998</v>
      </c>
      <c r="AE31" s="92">
        <v>2.2599999999999998</v>
      </c>
      <c r="AF31" s="92">
        <v>2.2599999999999998</v>
      </c>
      <c r="AG31" s="97">
        <v>2.2599999999999998</v>
      </c>
      <c r="AH31" s="92">
        <v>3.38</v>
      </c>
      <c r="AI31" s="142">
        <v>3.38</v>
      </c>
      <c r="AJ31" s="142">
        <v>3.38</v>
      </c>
      <c r="AK31" s="142">
        <v>3.38</v>
      </c>
      <c r="AL31" s="92">
        <v>3.38</v>
      </c>
      <c r="AM31" s="92">
        <v>3.38</v>
      </c>
      <c r="AN31" s="92">
        <v>3.38</v>
      </c>
      <c r="AO31" s="92">
        <v>3.38</v>
      </c>
      <c r="AP31" s="92">
        <v>3.38</v>
      </c>
      <c r="AQ31" s="92">
        <v>3.38</v>
      </c>
      <c r="AR31" s="92">
        <v>3.38</v>
      </c>
      <c r="AS31" s="92">
        <v>3.38</v>
      </c>
      <c r="AT31" s="92">
        <v>3.38</v>
      </c>
      <c r="AU31" s="92">
        <v>3.38</v>
      </c>
      <c r="AV31" s="92">
        <v>3.38</v>
      </c>
      <c r="AW31" s="92">
        <v>3.38</v>
      </c>
      <c r="AX31" s="92">
        <v>3.38</v>
      </c>
      <c r="AY31" s="92">
        <v>3.38</v>
      </c>
      <c r="AZ31" s="92">
        <v>3.38</v>
      </c>
      <c r="BA31" s="97">
        <v>3.38</v>
      </c>
      <c r="BB31" s="92">
        <v>4.74</v>
      </c>
      <c r="BC31" s="92">
        <v>4.74</v>
      </c>
      <c r="BD31" s="92">
        <v>4.74</v>
      </c>
      <c r="BE31" s="92">
        <v>4.74</v>
      </c>
      <c r="BF31" s="92">
        <v>4.74</v>
      </c>
      <c r="BG31" s="92">
        <v>4.74</v>
      </c>
      <c r="BH31" s="92">
        <v>4.74</v>
      </c>
      <c r="BI31" s="92">
        <v>4.74</v>
      </c>
      <c r="BJ31" s="92">
        <v>4.74</v>
      </c>
      <c r="BK31" s="92">
        <v>4.74</v>
      </c>
      <c r="BL31" s="92">
        <v>4.74</v>
      </c>
      <c r="BM31" s="92">
        <v>4.74</v>
      </c>
      <c r="BN31" s="92">
        <v>4.74</v>
      </c>
      <c r="BO31" s="92">
        <v>4.74</v>
      </c>
      <c r="BP31" s="92">
        <v>4.74</v>
      </c>
      <c r="BQ31" s="92">
        <v>4.74</v>
      </c>
      <c r="BR31" s="92">
        <v>4.74</v>
      </c>
      <c r="BS31" s="92">
        <v>4.74</v>
      </c>
      <c r="BT31" s="92">
        <v>4.74</v>
      </c>
      <c r="BU31" s="92">
        <v>4.74</v>
      </c>
    </row>
    <row r="32" spans="1:132" x14ac:dyDescent="0.2">
      <c r="A32" s="100" t="s">
        <v>232</v>
      </c>
      <c r="B32" s="93">
        <v>100</v>
      </c>
      <c r="C32" s="93">
        <f>B32-B34</f>
        <v>100</v>
      </c>
      <c r="D32" s="93">
        <f t="shared" ref="D32:AG32" si="282">C32-C34</f>
        <v>100</v>
      </c>
      <c r="E32" s="93">
        <f t="shared" si="282"/>
        <v>100</v>
      </c>
      <c r="F32" s="93">
        <f t="shared" si="282"/>
        <v>100</v>
      </c>
      <c r="G32" s="93">
        <f t="shared" si="282"/>
        <v>100</v>
      </c>
      <c r="H32" s="93">
        <f t="shared" si="282"/>
        <v>100</v>
      </c>
      <c r="I32" s="93">
        <f t="shared" si="282"/>
        <v>100</v>
      </c>
      <c r="J32" s="93">
        <f t="shared" si="282"/>
        <v>100</v>
      </c>
      <c r="K32" s="93">
        <f t="shared" si="282"/>
        <v>100</v>
      </c>
      <c r="L32" s="93">
        <f t="shared" si="282"/>
        <v>100</v>
      </c>
      <c r="M32" s="95">
        <f t="shared" si="282"/>
        <v>100</v>
      </c>
      <c r="N32" s="93">
        <f t="shared" si="282"/>
        <v>100</v>
      </c>
      <c r="O32" s="93">
        <f t="shared" si="282"/>
        <v>100</v>
      </c>
      <c r="P32" s="93">
        <f t="shared" si="282"/>
        <v>100</v>
      </c>
      <c r="Q32" s="93">
        <f t="shared" si="282"/>
        <v>100</v>
      </c>
      <c r="R32" s="93">
        <f t="shared" si="282"/>
        <v>100</v>
      </c>
      <c r="S32" s="93">
        <f t="shared" si="282"/>
        <v>100</v>
      </c>
      <c r="T32" s="93">
        <f t="shared" si="282"/>
        <v>100</v>
      </c>
      <c r="U32" s="93">
        <f t="shared" si="282"/>
        <v>100</v>
      </c>
      <c r="V32" s="93">
        <f t="shared" si="282"/>
        <v>100</v>
      </c>
      <c r="W32" s="93">
        <f t="shared" si="282"/>
        <v>100</v>
      </c>
      <c r="X32" s="93">
        <f t="shared" si="282"/>
        <v>100</v>
      </c>
      <c r="Y32" s="93">
        <f t="shared" si="282"/>
        <v>100</v>
      </c>
      <c r="Z32" s="93">
        <f t="shared" si="282"/>
        <v>100</v>
      </c>
      <c r="AA32" s="93">
        <f t="shared" si="282"/>
        <v>100</v>
      </c>
      <c r="AB32" s="93">
        <f t="shared" si="282"/>
        <v>100</v>
      </c>
      <c r="AC32" s="93">
        <f t="shared" si="282"/>
        <v>100</v>
      </c>
      <c r="AD32" s="93">
        <f t="shared" si="282"/>
        <v>100</v>
      </c>
      <c r="AE32" s="93">
        <f t="shared" si="282"/>
        <v>100</v>
      </c>
      <c r="AF32" s="93">
        <f t="shared" si="282"/>
        <v>100</v>
      </c>
      <c r="AG32" s="95">
        <f t="shared" si="282"/>
        <v>100</v>
      </c>
      <c r="AH32" s="93">
        <f t="shared" ref="AH32:BO32" si="283">AG32-AG34</f>
        <v>100</v>
      </c>
      <c r="AI32" s="143">
        <f t="shared" si="283"/>
        <v>100</v>
      </c>
      <c r="AJ32" s="143">
        <f t="shared" si="283"/>
        <v>100</v>
      </c>
      <c r="AK32" s="143">
        <f t="shared" si="283"/>
        <v>100</v>
      </c>
      <c r="AL32" s="93">
        <f t="shared" si="283"/>
        <v>100</v>
      </c>
      <c r="AM32" s="93">
        <f t="shared" si="283"/>
        <v>100</v>
      </c>
      <c r="AN32" s="93">
        <f t="shared" si="283"/>
        <v>100</v>
      </c>
      <c r="AO32" s="93">
        <f t="shared" si="283"/>
        <v>100</v>
      </c>
      <c r="AP32" s="93">
        <f t="shared" si="283"/>
        <v>100</v>
      </c>
      <c r="AQ32" s="93">
        <f t="shared" si="283"/>
        <v>100</v>
      </c>
      <c r="AR32" s="93">
        <f t="shared" si="283"/>
        <v>100</v>
      </c>
      <c r="AS32" s="93">
        <f t="shared" si="283"/>
        <v>100</v>
      </c>
      <c r="AT32" s="93">
        <f t="shared" si="283"/>
        <v>100</v>
      </c>
      <c r="AU32" s="93">
        <f t="shared" si="283"/>
        <v>100</v>
      </c>
      <c r="AV32" s="93">
        <f t="shared" si="283"/>
        <v>100</v>
      </c>
      <c r="AW32" s="93">
        <f t="shared" si="283"/>
        <v>100</v>
      </c>
      <c r="AX32" s="93">
        <f t="shared" si="283"/>
        <v>100</v>
      </c>
      <c r="AY32" s="93">
        <f t="shared" si="283"/>
        <v>100</v>
      </c>
      <c r="AZ32" s="93">
        <f t="shared" si="283"/>
        <v>100</v>
      </c>
      <c r="BA32" s="95">
        <f t="shared" si="283"/>
        <v>100</v>
      </c>
      <c r="BB32" s="93">
        <f t="shared" si="283"/>
        <v>100</v>
      </c>
      <c r="BC32" s="93">
        <f t="shared" si="283"/>
        <v>95</v>
      </c>
      <c r="BD32" s="93">
        <f t="shared" si="283"/>
        <v>90</v>
      </c>
      <c r="BE32" s="93">
        <f t="shared" si="283"/>
        <v>85</v>
      </c>
      <c r="BF32" s="93">
        <f t="shared" si="283"/>
        <v>80</v>
      </c>
      <c r="BG32" s="93">
        <f t="shared" si="283"/>
        <v>75</v>
      </c>
      <c r="BH32" s="93">
        <f t="shared" si="283"/>
        <v>70</v>
      </c>
      <c r="BI32" s="93">
        <f t="shared" si="283"/>
        <v>65</v>
      </c>
      <c r="BJ32" s="93">
        <f t="shared" si="283"/>
        <v>60</v>
      </c>
      <c r="BK32" s="93">
        <f t="shared" si="283"/>
        <v>55</v>
      </c>
      <c r="BL32" s="93">
        <f t="shared" si="283"/>
        <v>50</v>
      </c>
      <c r="BM32" s="93">
        <f t="shared" si="283"/>
        <v>45</v>
      </c>
      <c r="BN32" s="93">
        <f t="shared" si="283"/>
        <v>40</v>
      </c>
      <c r="BO32" s="93">
        <f t="shared" si="283"/>
        <v>35</v>
      </c>
      <c r="BP32" s="93">
        <f t="shared" ref="BP32:BU32" si="284">BO32-BO34</f>
        <v>30</v>
      </c>
      <c r="BQ32" s="93">
        <f t="shared" si="284"/>
        <v>25</v>
      </c>
      <c r="BR32" s="93">
        <f t="shared" si="284"/>
        <v>20</v>
      </c>
      <c r="BS32" s="93">
        <f t="shared" si="284"/>
        <v>15</v>
      </c>
      <c r="BT32" s="93">
        <f t="shared" si="284"/>
        <v>10</v>
      </c>
      <c r="BU32" s="93">
        <f t="shared" si="284"/>
        <v>5</v>
      </c>
    </row>
    <row r="33" spans="1:96" x14ac:dyDescent="0.2">
      <c r="A33" s="101" t="s">
        <v>316</v>
      </c>
      <c r="B33" s="18">
        <v>0</v>
      </c>
      <c r="C33" s="102">
        <f>C32*C31/2/100/2</f>
        <v>0.3</v>
      </c>
      <c r="D33" s="18">
        <f t="shared" ref="D33" si="285">D32*D31/2/100</f>
        <v>0.6</v>
      </c>
      <c r="E33" s="18">
        <f t="shared" ref="E33" si="286">E32*E31/2/100</f>
        <v>0.6</v>
      </c>
      <c r="F33" s="18">
        <f t="shared" ref="F33" si="287">F32*F31/2/100</f>
        <v>0.6</v>
      </c>
      <c r="G33" s="18">
        <f t="shared" ref="G33" si="288">G32*G31/2/100</f>
        <v>0.6</v>
      </c>
      <c r="H33" s="18">
        <f t="shared" ref="H33" si="289">H32*H31/2/100</f>
        <v>0.6</v>
      </c>
      <c r="I33" s="18">
        <f t="shared" ref="I33" si="290">I32*I31/2/100</f>
        <v>0.6</v>
      </c>
      <c r="J33" s="18">
        <f t="shared" ref="J33" si="291">J32*J31/2/100</f>
        <v>0.6</v>
      </c>
      <c r="K33" s="18">
        <f t="shared" ref="K33" si="292">K32*K31/2/100</f>
        <v>0.6</v>
      </c>
      <c r="L33" s="18">
        <f t="shared" ref="L33" si="293">L32*L31/2/100</f>
        <v>0.6</v>
      </c>
      <c r="M33" s="96">
        <f t="shared" ref="M33" si="294">M32*M31/2/100</f>
        <v>0.6</v>
      </c>
      <c r="N33" s="18">
        <f t="shared" ref="N33" si="295">N32*N31/2/100</f>
        <v>1.1299999999999999</v>
      </c>
      <c r="O33" s="18">
        <f t="shared" ref="O33" si="296">O32*O31/2/100</f>
        <v>1.1299999999999999</v>
      </c>
      <c r="P33" s="18">
        <f t="shared" ref="P33" si="297">P32*P31/2/100</f>
        <v>1.1299999999999999</v>
      </c>
      <c r="Q33" s="18">
        <f t="shared" ref="Q33" si="298">Q32*Q31/2/100</f>
        <v>1.1299999999999999</v>
      </c>
      <c r="R33" s="18">
        <f t="shared" ref="R33" si="299">R32*R31/2/100</f>
        <v>1.1299999999999999</v>
      </c>
      <c r="S33" s="18">
        <f t="shared" ref="S33" si="300">S32*S31/2/100</f>
        <v>1.1299999999999999</v>
      </c>
      <c r="T33" s="18">
        <f t="shared" ref="T33" si="301">T32*T31/2/100</f>
        <v>1.1299999999999999</v>
      </c>
      <c r="U33" s="18">
        <f t="shared" ref="U33" si="302">U32*U31/2/100</f>
        <v>1.1299999999999999</v>
      </c>
      <c r="V33" s="18">
        <f t="shared" ref="V33" si="303">V32*V31/2/100</f>
        <v>1.1299999999999999</v>
      </c>
      <c r="W33" s="18">
        <f t="shared" ref="W33" si="304">W32*W31/2/100</f>
        <v>1.1299999999999999</v>
      </c>
      <c r="X33" s="18">
        <f t="shared" ref="X33" si="305">X32*X31/2/100</f>
        <v>1.1299999999999999</v>
      </c>
      <c r="Y33" s="18">
        <f t="shared" ref="Y33" si="306">Y32*Y31/2/100</f>
        <v>1.1299999999999999</v>
      </c>
      <c r="Z33" s="18">
        <f t="shared" ref="Z33" si="307">Z32*Z31/2/100</f>
        <v>1.1299999999999999</v>
      </c>
      <c r="AA33" s="18">
        <f t="shared" ref="AA33" si="308">AA32*AA31/2/100</f>
        <v>1.1299999999999999</v>
      </c>
      <c r="AB33" s="18">
        <f t="shared" ref="AB33" si="309">AB32*AB31/2/100</f>
        <v>1.1299999999999999</v>
      </c>
      <c r="AC33" s="18">
        <f t="shared" ref="AC33" si="310">AC32*AC31/2/100</f>
        <v>1.1299999999999999</v>
      </c>
      <c r="AD33" s="18">
        <f t="shared" ref="AD33" si="311">AD32*AD31/2/100</f>
        <v>1.1299999999999999</v>
      </c>
      <c r="AE33" s="18">
        <f t="shared" ref="AE33" si="312">AE32*AE31/2/100</f>
        <v>1.1299999999999999</v>
      </c>
      <c r="AF33" s="18">
        <f t="shared" ref="AF33" si="313">AF32*AF31/2/100</f>
        <v>1.1299999999999999</v>
      </c>
      <c r="AG33" s="96">
        <f t="shared" ref="AG33" si="314">AG32*AG31/2/100</f>
        <v>1.1299999999999999</v>
      </c>
      <c r="AH33" s="18">
        <f t="shared" ref="AH33" si="315">AH32*AH31/2/100</f>
        <v>1.69</v>
      </c>
      <c r="AI33" s="144">
        <f t="shared" ref="AI33" si="316">AI32*AI31/2/100</f>
        <v>1.69</v>
      </c>
      <c r="AJ33" s="144">
        <f t="shared" ref="AJ33" si="317">AJ32*AJ31/2/100</f>
        <v>1.69</v>
      </c>
      <c r="AK33" s="144">
        <f t="shared" ref="AK33" si="318">AK32*AK31/2/100</f>
        <v>1.69</v>
      </c>
      <c r="AL33" s="18">
        <f t="shared" ref="AL33" si="319">AL32*AL31/2/100</f>
        <v>1.69</v>
      </c>
      <c r="AM33" s="18">
        <f t="shared" ref="AM33" si="320">AM32*AM31/2/100</f>
        <v>1.69</v>
      </c>
      <c r="AN33" s="18">
        <f t="shared" ref="AN33" si="321">AN32*AN31/2/100</f>
        <v>1.69</v>
      </c>
      <c r="AO33" s="18">
        <f t="shared" ref="AO33" si="322">AO32*AO31/2/100</f>
        <v>1.69</v>
      </c>
      <c r="AP33" s="18">
        <f t="shared" ref="AP33" si="323">AP32*AP31/2/100</f>
        <v>1.69</v>
      </c>
      <c r="AQ33" s="18">
        <f t="shared" ref="AQ33" si="324">AQ32*AQ31/2/100</f>
        <v>1.69</v>
      </c>
      <c r="AR33" s="18">
        <f t="shared" ref="AR33" si="325">AR32*AR31/2/100</f>
        <v>1.69</v>
      </c>
      <c r="AS33" s="18">
        <f t="shared" ref="AS33" si="326">AS32*AS31/2/100</f>
        <v>1.69</v>
      </c>
      <c r="AT33" s="18">
        <f t="shared" ref="AT33" si="327">AT32*AT31/2/100</f>
        <v>1.69</v>
      </c>
      <c r="AU33" s="18">
        <f t="shared" ref="AU33" si="328">AU32*AU31/2/100</f>
        <v>1.69</v>
      </c>
      <c r="AV33" s="18">
        <f t="shared" ref="AV33" si="329">AV32*AV31/2/100</f>
        <v>1.69</v>
      </c>
      <c r="AW33" s="18">
        <f t="shared" ref="AW33" si="330">AW32*AW31/2/100</f>
        <v>1.69</v>
      </c>
      <c r="AX33" s="18">
        <f t="shared" ref="AX33" si="331">AX32*AX31/2/100</f>
        <v>1.69</v>
      </c>
      <c r="AY33" s="18">
        <f t="shared" ref="AY33" si="332">AY32*AY31/2/100</f>
        <v>1.69</v>
      </c>
      <c r="AZ33" s="18">
        <f t="shared" ref="AZ33" si="333">AZ32*AZ31/2/100</f>
        <v>1.69</v>
      </c>
      <c r="BA33" s="96">
        <f t="shared" ref="BA33" si="334">BA32*BA31/2/100</f>
        <v>1.69</v>
      </c>
      <c r="BB33" s="18">
        <f t="shared" ref="BB33" si="335">BB32*BB31/2/100</f>
        <v>2.37</v>
      </c>
      <c r="BC33" s="18">
        <f t="shared" ref="BC33" si="336">BC32*BC31/2/100</f>
        <v>2.2515000000000001</v>
      </c>
      <c r="BD33" s="18">
        <f t="shared" ref="BD33" si="337">BD32*BD31/2/100</f>
        <v>2.133</v>
      </c>
      <c r="BE33" s="18">
        <f t="shared" ref="BE33" si="338">BE32*BE31/2/100</f>
        <v>2.0145</v>
      </c>
      <c r="BF33" s="18">
        <f t="shared" ref="BF33" si="339">BF32*BF31/2/100</f>
        <v>1.8960000000000001</v>
      </c>
      <c r="BG33" s="18">
        <f t="shared" ref="BG33" si="340">BG32*BG31/2/100</f>
        <v>1.7775000000000001</v>
      </c>
      <c r="BH33" s="18">
        <f t="shared" ref="BH33" si="341">BH32*BH31/2/100</f>
        <v>1.659</v>
      </c>
      <c r="BI33" s="18">
        <f t="shared" ref="BI33" si="342">BI32*BI31/2/100</f>
        <v>1.5405000000000002</v>
      </c>
      <c r="BJ33" s="18">
        <f t="shared" ref="BJ33" si="343">BJ32*BJ31/2/100</f>
        <v>1.4220000000000002</v>
      </c>
      <c r="BK33" s="18">
        <f t="shared" ref="BK33" si="344">BK32*BK31/2/100</f>
        <v>1.3034999999999999</v>
      </c>
      <c r="BL33" s="18">
        <f t="shared" ref="BL33" si="345">BL32*BL31/2/100</f>
        <v>1.1850000000000001</v>
      </c>
      <c r="BM33" s="18">
        <f t="shared" ref="BM33" si="346">BM32*BM31/2/100</f>
        <v>1.0665</v>
      </c>
      <c r="BN33" s="18">
        <f t="shared" ref="BN33" si="347">BN32*BN31/2/100</f>
        <v>0.94800000000000006</v>
      </c>
      <c r="BO33" s="18">
        <f t="shared" ref="BO33" si="348">BO32*BO31/2/100</f>
        <v>0.82950000000000002</v>
      </c>
      <c r="BP33" s="18">
        <f t="shared" ref="BP33" si="349">BP32*BP31/2/100</f>
        <v>0.71100000000000008</v>
      </c>
      <c r="BQ33" s="18">
        <f t="shared" ref="BQ33" si="350">BQ32*BQ31/2/100</f>
        <v>0.59250000000000003</v>
      </c>
      <c r="BR33" s="18">
        <f t="shared" ref="BR33" si="351">BR32*BR31/2/100</f>
        <v>0.47400000000000003</v>
      </c>
      <c r="BS33" s="18">
        <f t="shared" ref="BS33" si="352">BS32*BS31/2/100</f>
        <v>0.35550000000000004</v>
      </c>
      <c r="BT33" s="18">
        <f t="shared" ref="BT33" si="353">BT32*BT31/2/100</f>
        <v>0.23700000000000002</v>
      </c>
      <c r="BU33" s="102">
        <f>BU32*BU31/2/100/2</f>
        <v>5.9250000000000004E-2</v>
      </c>
    </row>
    <row r="34" spans="1:96" x14ac:dyDescent="0.2">
      <c r="A34" s="98" t="s">
        <v>235</v>
      </c>
      <c r="B34" s="18">
        <v>0</v>
      </c>
      <c r="C34" s="18">
        <v>0</v>
      </c>
      <c r="D34" s="18">
        <v>0</v>
      </c>
      <c r="E34" s="18">
        <v>0</v>
      </c>
      <c r="F34" s="18">
        <v>0</v>
      </c>
      <c r="G34" s="18">
        <v>0</v>
      </c>
      <c r="H34" s="18">
        <v>0</v>
      </c>
      <c r="I34" s="18">
        <v>0</v>
      </c>
      <c r="J34" s="18">
        <v>0</v>
      </c>
      <c r="K34" s="18">
        <v>0</v>
      </c>
      <c r="L34" s="18">
        <v>0</v>
      </c>
      <c r="M34" s="96">
        <v>0</v>
      </c>
      <c r="N34" s="18">
        <v>0</v>
      </c>
      <c r="O34" s="18">
        <v>0</v>
      </c>
      <c r="P34" s="18">
        <v>0</v>
      </c>
      <c r="Q34" s="18">
        <v>0</v>
      </c>
      <c r="R34" s="18">
        <v>0</v>
      </c>
      <c r="S34" s="18">
        <v>0</v>
      </c>
      <c r="T34" s="18">
        <v>0</v>
      </c>
      <c r="U34" s="18">
        <v>0</v>
      </c>
      <c r="V34" s="18">
        <v>0</v>
      </c>
      <c r="W34" s="18">
        <v>0</v>
      </c>
      <c r="X34" s="18">
        <v>0</v>
      </c>
      <c r="Y34" s="18">
        <v>0</v>
      </c>
      <c r="Z34" s="18">
        <v>0</v>
      </c>
      <c r="AA34" s="18">
        <v>0</v>
      </c>
      <c r="AB34" s="18">
        <v>0</v>
      </c>
      <c r="AC34" s="18">
        <v>0</v>
      </c>
      <c r="AD34" s="18">
        <v>0</v>
      </c>
      <c r="AE34" s="18">
        <v>0</v>
      </c>
      <c r="AF34" s="18">
        <v>0</v>
      </c>
      <c r="AG34" s="96">
        <v>0</v>
      </c>
      <c r="AH34" s="18">
        <v>0</v>
      </c>
      <c r="AI34" s="144">
        <v>0</v>
      </c>
      <c r="AJ34" s="144">
        <v>0</v>
      </c>
      <c r="AK34" s="144">
        <v>0</v>
      </c>
      <c r="AL34" s="18">
        <v>0</v>
      </c>
      <c r="AM34" s="18">
        <v>0</v>
      </c>
      <c r="AN34" s="18">
        <v>0</v>
      </c>
      <c r="AO34" s="18">
        <v>0</v>
      </c>
      <c r="AP34" s="18">
        <v>0</v>
      </c>
      <c r="AQ34" s="18">
        <v>0</v>
      </c>
      <c r="AR34" s="18">
        <v>0</v>
      </c>
      <c r="AS34" s="18">
        <v>0</v>
      </c>
      <c r="AT34" s="18">
        <v>0</v>
      </c>
      <c r="AU34" s="18">
        <v>0</v>
      </c>
      <c r="AV34" s="18">
        <v>0</v>
      </c>
      <c r="AW34" s="18">
        <v>0</v>
      </c>
      <c r="AX34" s="18">
        <v>0</v>
      </c>
      <c r="AY34" s="18">
        <v>0</v>
      </c>
      <c r="AZ34" s="18">
        <v>0</v>
      </c>
      <c r="BA34" s="96">
        <v>0</v>
      </c>
      <c r="BB34" s="18">
        <f>BA32/20</f>
        <v>5</v>
      </c>
      <c r="BC34" s="18">
        <f>BB34</f>
        <v>5</v>
      </c>
      <c r="BD34" s="18">
        <f t="shared" ref="BD34:BU34" si="354">BC34</f>
        <v>5</v>
      </c>
      <c r="BE34" s="18">
        <f t="shared" si="354"/>
        <v>5</v>
      </c>
      <c r="BF34" s="18">
        <f t="shared" si="354"/>
        <v>5</v>
      </c>
      <c r="BG34" s="18">
        <f t="shared" si="354"/>
        <v>5</v>
      </c>
      <c r="BH34" s="18">
        <f t="shared" si="354"/>
        <v>5</v>
      </c>
      <c r="BI34" s="18">
        <f t="shared" si="354"/>
        <v>5</v>
      </c>
      <c r="BJ34" s="18">
        <f t="shared" si="354"/>
        <v>5</v>
      </c>
      <c r="BK34" s="18">
        <f t="shared" si="354"/>
        <v>5</v>
      </c>
      <c r="BL34" s="18">
        <f t="shared" si="354"/>
        <v>5</v>
      </c>
      <c r="BM34" s="18">
        <f t="shared" si="354"/>
        <v>5</v>
      </c>
      <c r="BN34" s="18">
        <f t="shared" si="354"/>
        <v>5</v>
      </c>
      <c r="BO34" s="18">
        <f t="shared" si="354"/>
        <v>5</v>
      </c>
      <c r="BP34" s="18">
        <f t="shared" si="354"/>
        <v>5</v>
      </c>
      <c r="BQ34" s="18">
        <f t="shared" si="354"/>
        <v>5</v>
      </c>
      <c r="BR34" s="18">
        <f t="shared" si="354"/>
        <v>5</v>
      </c>
      <c r="BS34" s="18">
        <f t="shared" si="354"/>
        <v>5</v>
      </c>
      <c r="BT34" s="18">
        <f t="shared" si="354"/>
        <v>5</v>
      </c>
      <c r="BU34" s="18">
        <f t="shared" si="354"/>
        <v>5</v>
      </c>
    </row>
    <row r="35" spans="1:96" x14ac:dyDescent="0.2">
      <c r="A35" s="98" t="s">
        <v>236</v>
      </c>
      <c r="B35" s="18">
        <f t="shared" ref="B35:AG35" si="355">B34+B33</f>
        <v>0</v>
      </c>
      <c r="C35" s="18">
        <f t="shared" si="355"/>
        <v>0.3</v>
      </c>
      <c r="D35" s="18">
        <f t="shared" si="355"/>
        <v>0.6</v>
      </c>
      <c r="E35" s="18">
        <f t="shared" si="355"/>
        <v>0.6</v>
      </c>
      <c r="F35" s="18">
        <f t="shared" si="355"/>
        <v>0.6</v>
      </c>
      <c r="G35" s="18">
        <f t="shared" si="355"/>
        <v>0.6</v>
      </c>
      <c r="H35" s="18">
        <f t="shared" si="355"/>
        <v>0.6</v>
      </c>
      <c r="I35" s="18">
        <f t="shared" si="355"/>
        <v>0.6</v>
      </c>
      <c r="J35" s="18">
        <f t="shared" si="355"/>
        <v>0.6</v>
      </c>
      <c r="K35" s="18">
        <f t="shared" si="355"/>
        <v>0.6</v>
      </c>
      <c r="L35" s="18">
        <f t="shared" si="355"/>
        <v>0.6</v>
      </c>
      <c r="M35" s="96">
        <f t="shared" si="355"/>
        <v>0.6</v>
      </c>
      <c r="N35" s="18">
        <f t="shared" si="355"/>
        <v>1.1299999999999999</v>
      </c>
      <c r="O35" s="18">
        <f t="shared" si="355"/>
        <v>1.1299999999999999</v>
      </c>
      <c r="P35" s="18">
        <f t="shared" si="355"/>
        <v>1.1299999999999999</v>
      </c>
      <c r="Q35" s="18">
        <f t="shared" si="355"/>
        <v>1.1299999999999999</v>
      </c>
      <c r="R35" s="18">
        <f t="shared" si="355"/>
        <v>1.1299999999999999</v>
      </c>
      <c r="S35" s="18">
        <f t="shared" si="355"/>
        <v>1.1299999999999999</v>
      </c>
      <c r="T35" s="18">
        <f t="shared" si="355"/>
        <v>1.1299999999999999</v>
      </c>
      <c r="U35" s="18">
        <f t="shared" si="355"/>
        <v>1.1299999999999999</v>
      </c>
      <c r="V35" s="18">
        <f t="shared" si="355"/>
        <v>1.1299999999999999</v>
      </c>
      <c r="W35" s="18">
        <f t="shared" si="355"/>
        <v>1.1299999999999999</v>
      </c>
      <c r="X35" s="18">
        <f t="shared" si="355"/>
        <v>1.1299999999999999</v>
      </c>
      <c r="Y35" s="18">
        <f t="shared" si="355"/>
        <v>1.1299999999999999</v>
      </c>
      <c r="Z35" s="18">
        <f t="shared" si="355"/>
        <v>1.1299999999999999</v>
      </c>
      <c r="AA35" s="18">
        <f t="shared" si="355"/>
        <v>1.1299999999999999</v>
      </c>
      <c r="AB35" s="18">
        <f t="shared" si="355"/>
        <v>1.1299999999999999</v>
      </c>
      <c r="AC35" s="18">
        <f t="shared" si="355"/>
        <v>1.1299999999999999</v>
      </c>
      <c r="AD35" s="18">
        <f t="shared" si="355"/>
        <v>1.1299999999999999</v>
      </c>
      <c r="AE35" s="18">
        <f t="shared" si="355"/>
        <v>1.1299999999999999</v>
      </c>
      <c r="AF35" s="18">
        <f t="shared" si="355"/>
        <v>1.1299999999999999</v>
      </c>
      <c r="AG35" s="96">
        <f t="shared" si="355"/>
        <v>1.1299999999999999</v>
      </c>
      <c r="AH35" s="18">
        <f t="shared" ref="AH35:BJ35" si="356">AH34+AH33</f>
        <v>1.69</v>
      </c>
      <c r="AI35" s="144">
        <f t="shared" si="356"/>
        <v>1.69</v>
      </c>
      <c r="AJ35" s="144">
        <f t="shared" si="356"/>
        <v>1.69</v>
      </c>
      <c r="AK35" s="144">
        <f t="shared" si="356"/>
        <v>1.69</v>
      </c>
      <c r="AL35" s="18">
        <f t="shared" si="356"/>
        <v>1.69</v>
      </c>
      <c r="AM35" s="18">
        <f t="shared" si="356"/>
        <v>1.69</v>
      </c>
      <c r="AN35" s="18">
        <f t="shared" si="356"/>
        <v>1.69</v>
      </c>
      <c r="AO35" s="18">
        <f t="shared" si="356"/>
        <v>1.69</v>
      </c>
      <c r="AP35" s="18">
        <f t="shared" si="356"/>
        <v>1.69</v>
      </c>
      <c r="AQ35" s="18">
        <f t="shared" si="356"/>
        <v>1.69</v>
      </c>
      <c r="AR35" s="18">
        <f t="shared" si="356"/>
        <v>1.69</v>
      </c>
      <c r="AS35" s="18">
        <f t="shared" si="356"/>
        <v>1.69</v>
      </c>
      <c r="AT35" s="18">
        <f t="shared" si="356"/>
        <v>1.69</v>
      </c>
      <c r="AU35" s="18">
        <f t="shared" si="356"/>
        <v>1.69</v>
      </c>
      <c r="AV35" s="18">
        <f t="shared" si="356"/>
        <v>1.69</v>
      </c>
      <c r="AW35" s="18">
        <f t="shared" si="356"/>
        <v>1.69</v>
      </c>
      <c r="AX35" s="18">
        <f t="shared" si="356"/>
        <v>1.69</v>
      </c>
      <c r="AY35" s="18">
        <f t="shared" si="356"/>
        <v>1.69</v>
      </c>
      <c r="AZ35" s="18">
        <f t="shared" si="356"/>
        <v>1.69</v>
      </c>
      <c r="BA35" s="96">
        <f t="shared" si="356"/>
        <v>1.69</v>
      </c>
      <c r="BB35" s="18">
        <f t="shared" si="356"/>
        <v>7.37</v>
      </c>
      <c r="BC35" s="18">
        <f t="shared" si="356"/>
        <v>7.2515000000000001</v>
      </c>
      <c r="BD35" s="18">
        <f t="shared" si="356"/>
        <v>7.133</v>
      </c>
      <c r="BE35" s="18">
        <f t="shared" si="356"/>
        <v>7.0145</v>
      </c>
      <c r="BF35" s="18">
        <f t="shared" si="356"/>
        <v>6.8959999999999999</v>
      </c>
      <c r="BG35" s="18">
        <f t="shared" si="356"/>
        <v>6.7774999999999999</v>
      </c>
      <c r="BH35" s="18">
        <f t="shared" si="356"/>
        <v>6.6589999999999998</v>
      </c>
      <c r="BI35" s="18">
        <f t="shared" si="356"/>
        <v>6.5404999999999998</v>
      </c>
      <c r="BJ35" s="18">
        <f t="shared" si="356"/>
        <v>6.4220000000000006</v>
      </c>
      <c r="BK35" s="18">
        <f t="shared" ref="BK35" si="357">BK34+BK33</f>
        <v>6.3034999999999997</v>
      </c>
      <c r="BL35" s="18">
        <f t="shared" ref="BL35" si="358">BL34+BL33</f>
        <v>6.1850000000000005</v>
      </c>
      <c r="BM35" s="18">
        <f t="shared" ref="BM35" si="359">BM34+BM33</f>
        <v>6.0664999999999996</v>
      </c>
      <c r="BN35" s="18">
        <f t="shared" ref="BN35" si="360">BN34+BN33</f>
        <v>5.9480000000000004</v>
      </c>
      <c r="BO35" s="18">
        <f t="shared" ref="BO35" si="361">BO34+BO33</f>
        <v>5.8295000000000003</v>
      </c>
      <c r="BP35" s="18">
        <f t="shared" ref="BP35" si="362">BP34+BP33</f>
        <v>5.7110000000000003</v>
      </c>
      <c r="BQ35" s="18">
        <f t="shared" ref="BQ35" si="363">BQ34+BQ33</f>
        <v>5.5925000000000002</v>
      </c>
      <c r="BR35" s="18">
        <f t="shared" ref="BR35" si="364">BR34+BR33</f>
        <v>5.4740000000000002</v>
      </c>
      <c r="BS35" s="18">
        <f t="shared" ref="BS35" si="365">BS34+BS33</f>
        <v>5.3555000000000001</v>
      </c>
      <c r="BT35" s="18">
        <f t="shared" ref="BT35" si="366">BT34+BT33</f>
        <v>5.2370000000000001</v>
      </c>
      <c r="BU35" s="18">
        <f t="shared" ref="BU35" si="367">BU34+BU33</f>
        <v>5.0592499999999996</v>
      </c>
    </row>
    <row r="36" spans="1:96" x14ac:dyDescent="0.2">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row>
    <row r="37" spans="1:96" x14ac:dyDescent="0.2">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row>
    <row r="38" spans="1:96" x14ac:dyDescent="0.2">
      <c r="AJ38" s="62"/>
      <c r="AK38" s="18"/>
      <c r="AL38" s="7"/>
      <c r="AM38" s="7"/>
      <c r="AN38" s="18"/>
      <c r="AO38" s="18"/>
      <c r="AP38" s="7"/>
      <c r="AQ38" s="7"/>
      <c r="AY38" s="7"/>
      <c r="AZ38" s="7"/>
      <c r="BA38" s="7"/>
      <c r="BB38" s="7"/>
      <c r="BC38" s="7"/>
      <c r="BD38" s="7"/>
      <c r="BE38" s="7"/>
      <c r="BF38" s="7"/>
      <c r="BG38" s="7"/>
      <c r="BH38" s="7"/>
      <c r="BI38" s="7"/>
      <c r="BJ38" s="7"/>
      <c r="BK38" s="7"/>
      <c r="BL38" s="7"/>
      <c r="BM38" s="7"/>
      <c r="BN38" s="7"/>
      <c r="BO38" s="7"/>
      <c r="BP38" s="7"/>
      <c r="BQ38" s="7"/>
      <c r="BR38" s="7"/>
      <c r="BS38" s="7"/>
      <c r="BT38" s="7"/>
      <c r="BU38" s="7"/>
      <c r="BV38" s="7"/>
    </row>
    <row r="39" spans="1:96" x14ac:dyDescent="0.2">
      <c r="AJ39" s="62"/>
      <c r="AK39" s="18"/>
      <c r="AL39" s="7"/>
      <c r="AM39" s="7"/>
      <c r="AN39" s="18"/>
      <c r="AO39" s="18"/>
      <c r="AP39" s="7"/>
      <c r="AQ39" s="7"/>
      <c r="AY39" s="7"/>
      <c r="AZ39" s="7"/>
      <c r="BA39" s="7"/>
      <c r="BB39" s="7"/>
      <c r="BC39" s="7"/>
      <c r="BD39" s="7"/>
      <c r="BE39" s="7"/>
      <c r="BF39" s="7"/>
      <c r="BG39" s="7"/>
      <c r="BH39" s="7"/>
      <c r="BI39" s="7"/>
      <c r="BJ39" s="7"/>
      <c r="BK39" s="7"/>
      <c r="BL39" s="7"/>
      <c r="BM39" s="7"/>
      <c r="BN39" s="7"/>
      <c r="BO39" s="7"/>
      <c r="BP39" s="7"/>
      <c r="BQ39" s="7"/>
      <c r="BR39" s="7"/>
      <c r="BS39" s="7"/>
      <c r="BT39" s="7"/>
      <c r="BU39" s="7"/>
      <c r="BV39" s="7"/>
    </row>
    <row r="40" spans="1:96" x14ac:dyDescent="0.2">
      <c r="AJ40" s="62"/>
      <c r="AK40" s="18"/>
      <c r="AL40" s="7"/>
      <c r="AM40" s="7"/>
      <c r="AN40" s="18"/>
      <c r="AO40" s="18"/>
      <c r="AP40" s="7"/>
      <c r="AQ40" s="7"/>
      <c r="AY40" s="7"/>
      <c r="AZ40" s="7"/>
      <c r="BA40" s="7"/>
      <c r="BB40" s="7"/>
      <c r="BC40" s="7"/>
      <c r="BD40" s="7"/>
      <c r="BE40" s="7"/>
      <c r="BF40" s="7"/>
      <c r="BG40" s="7"/>
      <c r="BH40" s="7"/>
      <c r="BI40" s="7"/>
      <c r="BJ40" s="7"/>
      <c r="BK40" s="7"/>
      <c r="BL40" s="7"/>
      <c r="BM40" s="7"/>
      <c r="BN40" s="7"/>
      <c r="BO40" s="7"/>
      <c r="BP40" s="7"/>
      <c r="BQ40" s="7"/>
      <c r="BR40" s="7"/>
      <c r="BS40" s="7"/>
      <c r="BT40" s="7"/>
      <c r="BU40" s="7"/>
      <c r="BV40" s="7"/>
    </row>
    <row r="41" spans="1:96" x14ac:dyDescent="0.2">
      <c r="AJ41" s="62"/>
      <c r="AK41" s="18"/>
      <c r="AL41" s="7"/>
      <c r="AM41" s="7"/>
      <c r="AN41" s="18"/>
      <c r="AO41" s="18"/>
      <c r="AP41" s="7"/>
      <c r="AQ41" s="7"/>
      <c r="AY41" s="7"/>
      <c r="AZ41" s="7"/>
      <c r="BA41" s="7"/>
      <c r="BB41" s="7"/>
      <c r="BC41" s="7"/>
      <c r="BD41" s="7"/>
      <c r="BE41" s="7"/>
      <c r="BF41" s="7"/>
      <c r="BG41" s="7"/>
      <c r="BH41" s="7"/>
      <c r="BI41" s="7"/>
      <c r="BJ41" s="7"/>
      <c r="BK41" s="7"/>
      <c r="BL41" s="7"/>
      <c r="BM41" s="7"/>
      <c r="BN41" s="7"/>
      <c r="BO41" s="7"/>
      <c r="BP41" s="7"/>
      <c r="BQ41" s="7"/>
      <c r="BR41" s="7"/>
      <c r="BS41" s="7"/>
      <c r="BT41" s="7"/>
      <c r="BU41" s="7"/>
      <c r="BV41" s="7"/>
    </row>
    <row r="42" spans="1:96" x14ac:dyDescent="0.2">
      <c r="AJ42" s="62"/>
      <c r="AK42" s="18"/>
      <c r="AL42" s="7"/>
      <c r="AM42" s="7"/>
      <c r="AN42" s="18"/>
      <c r="AO42" s="18"/>
      <c r="AP42" s="7"/>
      <c r="AQ42" s="7"/>
      <c r="AY42" s="7"/>
      <c r="AZ42" s="7"/>
      <c r="BA42" s="7"/>
      <c r="BB42" s="7"/>
      <c r="BC42" s="7"/>
      <c r="BD42" s="7"/>
      <c r="BE42" s="7"/>
      <c r="BF42" s="7"/>
      <c r="BG42" s="7"/>
      <c r="BH42" s="7"/>
      <c r="BI42" s="7"/>
      <c r="BJ42" s="7"/>
      <c r="BK42" s="7"/>
      <c r="BL42" s="7"/>
      <c r="BM42" s="7"/>
      <c r="BN42" s="7"/>
      <c r="BO42" s="7"/>
      <c r="BP42" s="7"/>
      <c r="BQ42" s="7"/>
      <c r="BR42" s="7"/>
      <c r="BS42" s="7"/>
      <c r="BT42" s="7"/>
      <c r="BU42" s="7"/>
      <c r="BV42" s="7"/>
    </row>
    <row r="43" spans="1:96" x14ac:dyDescent="0.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2"/>
      <c r="BK43" s="7"/>
      <c r="BL43" s="7"/>
      <c r="BM43" s="7"/>
      <c r="BN43" s="7"/>
      <c r="BO43" s="7"/>
      <c r="BP43" s="7"/>
      <c r="BQ43" s="7"/>
      <c r="BR43" s="7"/>
      <c r="BS43" s="7"/>
      <c r="BT43" s="7"/>
      <c r="BU43" s="7"/>
      <c r="BV43" s="7"/>
    </row>
    <row r="44" spans="1:96" x14ac:dyDescent="0.2">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7"/>
      <c r="BL44" s="7"/>
      <c r="BM44" s="7"/>
      <c r="BN44" s="7"/>
      <c r="BO44" s="7"/>
      <c r="BP44" s="7"/>
      <c r="BQ44" s="7"/>
      <c r="BR44" s="7"/>
      <c r="BS44" s="7"/>
      <c r="BT44" s="7"/>
      <c r="BU44" s="7"/>
      <c r="BV44" s="7"/>
    </row>
    <row r="45" spans="1:96" x14ac:dyDescent="0.2">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row>
    <row r="46" spans="1:96" x14ac:dyDescent="0.2">
      <c r="AJ46" s="62"/>
      <c r="AK46" s="18"/>
      <c r="AL46" s="7"/>
      <c r="AM46" s="7"/>
      <c r="AN46" s="18"/>
      <c r="AO46" s="18"/>
      <c r="AP46" s="7"/>
      <c r="AQ46" s="7"/>
      <c r="AY46" s="7"/>
      <c r="AZ46" s="7"/>
      <c r="BA46" s="7"/>
      <c r="BB46" s="7"/>
      <c r="BC46" s="7"/>
      <c r="BD46" s="7"/>
      <c r="BE46" s="7"/>
      <c r="BF46" s="7"/>
      <c r="BG46" s="7"/>
      <c r="BH46" s="7"/>
      <c r="BI46" s="7"/>
      <c r="BJ46" s="7"/>
      <c r="BK46" s="7"/>
      <c r="BL46" s="7"/>
      <c r="BM46" s="7"/>
      <c r="BN46" s="7"/>
      <c r="BO46" s="7"/>
      <c r="BP46" s="7"/>
      <c r="BQ46" s="7"/>
      <c r="BR46" s="7"/>
      <c r="BS46" s="7"/>
      <c r="BT46" s="7"/>
      <c r="BU46" s="7"/>
      <c r="BV46" s="7"/>
    </row>
    <row r="47" spans="1:96" x14ac:dyDescent="0.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c r="BP47" s="62"/>
      <c r="BQ47" s="62"/>
      <c r="BR47" s="62"/>
      <c r="BS47" s="62"/>
      <c r="BT47" s="62"/>
      <c r="BU47" s="7"/>
      <c r="BV47" s="7"/>
    </row>
    <row r="48" spans="1:96" x14ac:dyDescent="0.2">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7"/>
      <c r="BV48" s="7"/>
    </row>
    <row r="49" spans="36:74" x14ac:dyDescent="0.2">
      <c r="AJ49" s="62"/>
      <c r="AK49" s="18"/>
      <c r="AL49" s="7"/>
      <c r="AM49" s="7"/>
      <c r="AN49" s="18"/>
      <c r="AO49" s="18"/>
      <c r="AP49" s="7"/>
      <c r="AQ49" s="7"/>
      <c r="AY49" s="7"/>
      <c r="AZ49" s="7"/>
      <c r="BA49" s="7"/>
      <c r="BB49" s="7"/>
      <c r="BC49" s="7"/>
      <c r="BD49" s="7"/>
      <c r="BE49" s="7"/>
      <c r="BF49" s="7"/>
      <c r="BG49" s="7"/>
      <c r="BH49" s="7"/>
      <c r="BI49" s="7"/>
      <c r="BJ49" s="7"/>
      <c r="BK49" s="7"/>
      <c r="BL49" s="7"/>
      <c r="BM49" s="7"/>
      <c r="BN49" s="7"/>
      <c r="BO49" s="7"/>
      <c r="BP49" s="7"/>
      <c r="BQ49" s="7"/>
      <c r="BR49" s="7"/>
      <c r="BS49" s="7"/>
      <c r="BT49" s="7"/>
      <c r="BU49" s="7"/>
      <c r="BV49" s="7"/>
    </row>
    <row r="50" spans="36:74" x14ac:dyDescent="0.2">
      <c r="AJ50" s="62"/>
      <c r="AK50" s="18"/>
      <c r="AL50" s="7"/>
      <c r="AM50" s="7"/>
      <c r="AN50" s="18"/>
      <c r="AO50" s="18"/>
      <c r="AP50" s="7"/>
      <c r="AQ50" s="7"/>
      <c r="AY50" s="7"/>
      <c r="AZ50" s="7"/>
      <c r="BA50" s="7"/>
      <c r="BB50" s="7"/>
      <c r="BC50" s="7"/>
      <c r="BD50" s="7"/>
      <c r="BE50" s="7"/>
      <c r="BF50" s="7"/>
      <c r="BG50" s="7"/>
      <c r="BH50" s="7"/>
      <c r="BI50" s="7"/>
      <c r="BJ50" s="7"/>
      <c r="BK50" s="7"/>
      <c r="BL50" s="7"/>
      <c r="BM50" s="7"/>
      <c r="BN50" s="7"/>
      <c r="BO50" s="7"/>
      <c r="BP50" s="7"/>
      <c r="BQ50" s="7"/>
      <c r="BR50" s="7"/>
      <c r="BS50" s="7"/>
      <c r="BT50" s="7"/>
      <c r="BU50" s="7"/>
      <c r="BV50" s="7"/>
    </row>
    <row r="51" spans="36:74" x14ac:dyDescent="0.2">
      <c r="AJ51" s="62"/>
      <c r="AK51" s="18"/>
      <c r="AL51" s="7"/>
      <c r="AM51" s="7"/>
      <c r="AN51" s="18"/>
      <c r="AO51" s="18"/>
      <c r="AP51" s="7"/>
      <c r="AQ51" s="7"/>
      <c r="AY51" s="7"/>
      <c r="AZ51" s="7"/>
      <c r="BA51" s="7"/>
      <c r="BB51" s="7"/>
      <c r="BC51" s="7"/>
      <c r="BD51" s="7"/>
      <c r="BE51" s="7"/>
      <c r="BF51" s="7"/>
      <c r="BG51" s="7"/>
      <c r="BH51" s="7"/>
      <c r="BI51" s="7"/>
      <c r="BJ51" s="7"/>
      <c r="BK51" s="7"/>
      <c r="BL51" s="7"/>
      <c r="BM51" s="7"/>
      <c r="BN51" s="7"/>
      <c r="BO51" s="7"/>
      <c r="BP51" s="7"/>
      <c r="BQ51" s="7"/>
      <c r="BR51" s="7"/>
      <c r="BS51" s="7"/>
      <c r="BT51" s="7"/>
      <c r="BU51" s="7"/>
      <c r="BV51" s="7"/>
    </row>
    <row r="52" spans="36:74" x14ac:dyDescent="0.2">
      <c r="AJ52" s="62"/>
      <c r="AK52" s="18"/>
      <c r="AL52" s="7"/>
      <c r="AM52" s="7"/>
      <c r="AN52" s="18"/>
      <c r="AO52" s="18"/>
      <c r="AP52" s="7"/>
      <c r="AQ52" s="7"/>
      <c r="AY52" s="7"/>
      <c r="AZ52" s="7"/>
      <c r="BA52" s="7"/>
      <c r="BB52" s="7"/>
      <c r="BC52" s="7"/>
      <c r="BD52" s="7"/>
      <c r="BE52" s="7"/>
      <c r="BF52" s="7"/>
      <c r="BG52" s="7"/>
      <c r="BH52" s="7"/>
      <c r="BI52" s="7"/>
      <c r="BJ52" s="7"/>
      <c r="BK52" s="7"/>
      <c r="BL52" s="7"/>
      <c r="BM52" s="7"/>
      <c r="BN52" s="7"/>
      <c r="BO52" s="7"/>
      <c r="BP52" s="7"/>
      <c r="BQ52" s="7"/>
      <c r="BR52" s="7"/>
      <c r="BS52" s="7"/>
      <c r="BT52" s="7"/>
      <c r="BU52" s="7"/>
      <c r="BV52" s="7"/>
    </row>
    <row r="53" spans="36:74" x14ac:dyDescent="0.2">
      <c r="AJ53" s="62"/>
      <c r="AK53" s="18"/>
      <c r="AL53" s="7"/>
      <c r="AM53" s="7"/>
      <c r="AN53" s="18"/>
      <c r="AO53" s="18"/>
      <c r="AP53" s="7"/>
      <c r="AQ53" s="7"/>
      <c r="AY53" s="7"/>
      <c r="AZ53" s="7"/>
      <c r="BA53" s="7"/>
      <c r="BB53" s="7"/>
      <c r="BC53" s="7"/>
      <c r="BD53" s="7"/>
      <c r="BE53" s="7"/>
      <c r="BF53" s="7"/>
      <c r="BG53" s="7"/>
      <c r="BH53" s="7"/>
      <c r="BI53" s="7"/>
      <c r="BJ53" s="7"/>
      <c r="BK53" s="7"/>
      <c r="BL53" s="7"/>
      <c r="BM53" s="7"/>
      <c r="BN53" s="7"/>
      <c r="BO53" s="7"/>
      <c r="BP53" s="7"/>
      <c r="BQ53" s="7"/>
      <c r="BR53" s="7"/>
      <c r="BS53" s="7"/>
      <c r="BT53" s="7"/>
      <c r="BU53" s="7"/>
      <c r="BV53" s="7"/>
    </row>
    <row r="54" spans="36:74" x14ac:dyDescent="0.2">
      <c r="AJ54" s="62"/>
      <c r="AK54" s="18"/>
      <c r="AL54" s="7"/>
      <c r="AM54" s="7"/>
      <c r="AN54" s="18"/>
      <c r="AO54" s="18"/>
      <c r="AP54" s="7"/>
      <c r="AQ54" s="7"/>
      <c r="AY54" s="7"/>
      <c r="AZ54" s="7"/>
      <c r="BA54" s="7"/>
      <c r="BB54" s="7"/>
      <c r="BC54" s="7"/>
      <c r="BD54" s="7"/>
      <c r="BE54" s="7"/>
      <c r="BF54" s="7"/>
      <c r="BG54" s="7"/>
      <c r="BH54" s="7"/>
      <c r="BI54" s="7"/>
      <c r="BJ54" s="7"/>
      <c r="BK54" s="7"/>
      <c r="BL54" s="7"/>
      <c r="BM54" s="7"/>
      <c r="BN54" s="7"/>
      <c r="BO54" s="7"/>
      <c r="BP54" s="7"/>
      <c r="BQ54" s="7"/>
      <c r="BR54" s="7"/>
      <c r="BS54" s="7"/>
      <c r="BT54" s="7"/>
      <c r="BU54" s="7"/>
      <c r="BV54" s="7"/>
    </row>
    <row r="55" spans="36:74" x14ac:dyDescent="0.2">
      <c r="AJ55" s="62"/>
      <c r="AK55" s="18"/>
      <c r="AL55" s="7"/>
      <c r="AM55" s="7"/>
      <c r="AN55" s="18"/>
      <c r="AO55" s="18"/>
      <c r="AP55" s="18"/>
      <c r="AQ55" s="7"/>
      <c r="AY55" s="7"/>
      <c r="AZ55" s="7"/>
      <c r="BA55" s="7"/>
      <c r="BB55" s="7"/>
      <c r="BC55" s="7"/>
      <c r="BD55" s="7"/>
      <c r="BE55" s="7"/>
      <c r="BF55" s="7"/>
      <c r="BG55" s="7"/>
      <c r="BH55" s="7"/>
      <c r="BI55" s="7"/>
      <c r="BJ55" s="7"/>
      <c r="BK55" s="7"/>
      <c r="BL55" s="7"/>
      <c r="BM55" s="7"/>
      <c r="BN55" s="7"/>
      <c r="BO55" s="7"/>
      <c r="BP55" s="7"/>
      <c r="BQ55" s="7"/>
      <c r="BR55" s="7"/>
      <c r="BS55" s="7"/>
      <c r="BT55" s="7"/>
      <c r="BU55" s="7"/>
      <c r="BV55" s="7"/>
    </row>
    <row r="56" spans="36:74" x14ac:dyDescent="0.2">
      <c r="AJ56" s="62"/>
      <c r="AK56" s="18"/>
      <c r="AL56" s="7"/>
      <c r="AM56" s="7"/>
      <c r="AN56" s="18"/>
      <c r="AO56" s="18"/>
      <c r="AP56" s="18"/>
      <c r="AQ56" s="7"/>
      <c r="AY56" s="7"/>
      <c r="AZ56" s="7"/>
      <c r="BA56" s="7"/>
      <c r="BB56" s="7"/>
      <c r="BC56" s="7"/>
      <c r="BD56" s="7"/>
      <c r="BE56" s="7"/>
      <c r="BF56" s="7"/>
      <c r="BG56" s="7"/>
      <c r="BH56" s="7"/>
      <c r="BI56" s="7"/>
      <c r="BJ56" s="7"/>
      <c r="BK56" s="7"/>
      <c r="BL56" s="7"/>
      <c r="BM56" s="7"/>
      <c r="BN56" s="7"/>
      <c r="BO56" s="7"/>
      <c r="BP56" s="7"/>
      <c r="BQ56" s="7"/>
      <c r="BR56" s="7"/>
      <c r="BS56" s="7"/>
      <c r="BT56" s="7"/>
      <c r="BU56" s="7"/>
      <c r="BV56" s="7"/>
    </row>
    <row r="57" spans="36:74" x14ac:dyDescent="0.2">
      <c r="AJ57" s="62"/>
      <c r="AK57" s="18"/>
      <c r="AL57" s="7"/>
      <c r="AM57" s="7"/>
      <c r="AN57" s="18"/>
      <c r="AO57" s="18"/>
      <c r="AP57" s="18"/>
      <c r="AQ57" s="7"/>
      <c r="AY57" s="7"/>
      <c r="AZ57" s="7"/>
      <c r="BA57" s="7"/>
      <c r="BB57" s="7"/>
      <c r="BC57" s="7"/>
      <c r="BD57" s="7"/>
      <c r="BE57" s="7"/>
      <c r="BF57" s="7"/>
      <c r="BG57" s="7"/>
      <c r="BH57" s="7"/>
      <c r="BI57" s="7"/>
      <c r="BJ57" s="7"/>
      <c r="BK57" s="7"/>
      <c r="BL57" s="7"/>
      <c r="BM57" s="7"/>
      <c r="BN57" s="7"/>
      <c r="BO57" s="7"/>
      <c r="BP57" s="7"/>
      <c r="BQ57" s="7"/>
      <c r="BR57" s="7"/>
      <c r="BS57" s="7"/>
      <c r="BT57" s="7"/>
      <c r="BU57" s="7"/>
      <c r="BV57" s="7"/>
    </row>
    <row r="58" spans="36:74" x14ac:dyDescent="0.2">
      <c r="AJ58" s="62"/>
      <c r="AK58" s="18"/>
      <c r="AL58" s="7"/>
      <c r="AM58" s="7"/>
      <c r="AN58" s="18"/>
      <c r="AO58" s="18"/>
      <c r="AP58" s="18"/>
    </row>
    <row r="59" spans="36:74" x14ac:dyDescent="0.2">
      <c r="AJ59" s="62"/>
      <c r="AK59" s="18"/>
      <c r="AL59" s="7"/>
      <c r="AM59" s="7"/>
      <c r="AN59" s="18"/>
      <c r="AO59" s="18"/>
      <c r="AP59" s="18"/>
    </row>
    <row r="60" spans="36:74" x14ac:dyDescent="0.2">
      <c r="AJ60" s="62"/>
      <c r="AK60" s="18"/>
      <c r="AL60" s="7"/>
      <c r="AM60" s="7"/>
      <c r="AN60" s="18"/>
      <c r="AO60" s="18"/>
      <c r="AP60" s="18"/>
    </row>
    <row r="61" spans="36:74" x14ac:dyDescent="0.2">
      <c r="AJ61" s="62"/>
      <c r="AK61" s="18"/>
      <c r="AL61" s="7"/>
      <c r="AM61" s="7"/>
      <c r="AN61" s="18"/>
      <c r="AO61" s="18"/>
      <c r="AP61" s="18"/>
    </row>
    <row r="62" spans="36:74" x14ac:dyDescent="0.2">
      <c r="AJ62" s="62"/>
      <c r="AK62" s="18"/>
      <c r="AL62" s="7"/>
      <c r="AM62" s="7"/>
      <c r="AN62" s="18"/>
      <c r="AO62" s="18"/>
      <c r="AP62" s="18"/>
    </row>
    <row r="63" spans="36:74" x14ac:dyDescent="0.2">
      <c r="AJ63" s="62"/>
      <c r="AK63" s="18"/>
      <c r="AL63" s="7"/>
      <c r="AM63" s="7"/>
      <c r="AN63" s="18"/>
      <c r="AO63" s="18"/>
      <c r="AP63" s="18"/>
    </row>
    <row r="64" spans="36:74" x14ac:dyDescent="0.2">
      <c r="AJ64" s="62"/>
      <c r="AK64" s="18"/>
      <c r="AL64" s="7"/>
      <c r="AM64" s="7"/>
      <c r="AN64" s="18"/>
      <c r="AO64" s="18"/>
      <c r="AP64" s="18"/>
    </row>
    <row r="65" spans="36:42" x14ac:dyDescent="0.2">
      <c r="AJ65" s="62"/>
      <c r="AK65" s="18"/>
      <c r="AL65" s="7"/>
      <c r="AM65" s="7"/>
      <c r="AN65" s="18"/>
      <c r="AO65" s="18"/>
      <c r="AP65" s="18"/>
    </row>
    <row r="66" spans="36:42" x14ac:dyDescent="0.2">
      <c r="AJ66" s="62"/>
      <c r="AK66" s="18"/>
      <c r="AL66" s="7"/>
      <c r="AM66" s="7"/>
      <c r="AN66" s="18"/>
      <c r="AO66" s="18"/>
      <c r="AP66" s="18"/>
    </row>
    <row r="67" spans="36:42" x14ac:dyDescent="0.2">
      <c r="AJ67" s="62"/>
      <c r="AK67" s="18"/>
      <c r="AL67" s="7"/>
      <c r="AM67" s="7"/>
      <c r="AN67" s="18"/>
      <c r="AO67" s="18"/>
      <c r="AP67" s="18"/>
    </row>
    <row r="68" spans="36:42" x14ac:dyDescent="0.2">
      <c r="AJ68" s="62"/>
      <c r="AK68" s="18"/>
      <c r="AL68" s="7"/>
      <c r="AM68" s="7"/>
      <c r="AN68" s="18"/>
      <c r="AO68" s="18"/>
      <c r="AP68" s="18"/>
    </row>
    <row r="69" spans="36:42" x14ac:dyDescent="0.2">
      <c r="AJ69" s="62"/>
      <c r="AK69" s="18"/>
      <c r="AL69" s="7"/>
      <c r="AM69" s="7"/>
      <c r="AN69" s="18"/>
      <c r="AO69" s="18"/>
      <c r="AP69" s="18"/>
    </row>
    <row r="70" spans="36:42" x14ac:dyDescent="0.2">
      <c r="AJ70" s="62"/>
      <c r="AK70" s="18"/>
      <c r="AL70" s="7"/>
      <c r="AM70" s="7"/>
      <c r="AN70" s="18"/>
      <c r="AO70" s="18"/>
      <c r="AP70" s="18"/>
    </row>
    <row r="71" spans="36:42" x14ac:dyDescent="0.2">
      <c r="AJ71" s="62"/>
      <c r="AK71" s="18"/>
      <c r="AL71" s="7"/>
      <c r="AM71" s="7"/>
      <c r="AN71" s="18"/>
      <c r="AO71" s="18"/>
      <c r="AP71" s="18"/>
    </row>
    <row r="72" spans="36:42" x14ac:dyDescent="0.2">
      <c r="AJ72" s="62"/>
      <c r="AK72" s="18"/>
      <c r="AL72" s="7"/>
      <c r="AM72" s="7"/>
      <c r="AN72" s="18"/>
      <c r="AO72" s="18"/>
      <c r="AP72" s="18"/>
    </row>
    <row r="73" spans="36:42" x14ac:dyDescent="0.2">
      <c r="AJ73" s="62"/>
      <c r="AK73" s="18"/>
      <c r="AL73" s="7"/>
      <c r="AM73" s="7"/>
      <c r="AN73" s="18"/>
      <c r="AO73" s="18"/>
      <c r="AP73" s="18"/>
    </row>
    <row r="74" spans="36:42" x14ac:dyDescent="0.2">
      <c r="AJ74" s="62"/>
      <c r="AK74" s="18"/>
      <c r="AL74" s="7"/>
      <c r="AM74" s="7"/>
      <c r="AN74" s="18"/>
      <c r="AO74" s="18"/>
      <c r="AP74" s="18"/>
    </row>
    <row r="75" spans="36:42" x14ac:dyDescent="0.2">
      <c r="AJ75" s="62"/>
    </row>
    <row r="76" spans="36:42" x14ac:dyDescent="0.2">
      <c r="AJ76" s="62"/>
    </row>
    <row r="77" spans="36:42" x14ac:dyDescent="0.2">
      <c r="AJ77" s="62"/>
    </row>
    <row r="78" spans="36:42" x14ac:dyDescent="0.2">
      <c r="AJ78" s="62"/>
    </row>
    <row r="79" spans="36:42" x14ac:dyDescent="0.2">
      <c r="AJ79" s="90"/>
      <c r="AK79" s="7"/>
      <c r="AL79" s="249"/>
      <c r="AM79" s="249"/>
      <c r="AN79" s="249"/>
      <c r="AO79" s="249"/>
      <c r="AP79" s="7"/>
    </row>
    <row r="80" spans="36:42" x14ac:dyDescent="0.2">
      <c r="AJ80" s="62"/>
      <c r="AK80" s="62"/>
      <c r="AL80" s="62"/>
      <c r="AM80" s="62"/>
      <c r="AN80" s="62"/>
      <c r="AO80" s="62"/>
      <c r="AP80" s="62"/>
    </row>
    <row r="81" spans="36:42" x14ac:dyDescent="0.2">
      <c r="AJ81" s="62"/>
      <c r="AK81" s="18"/>
      <c r="AL81" s="18"/>
      <c r="AM81" s="18"/>
      <c r="AN81" s="18"/>
      <c r="AO81" s="18"/>
      <c r="AP81" s="7"/>
    </row>
    <row r="82" spans="36:42" x14ac:dyDescent="0.2">
      <c r="AJ82" s="62"/>
      <c r="AK82" s="18"/>
      <c r="AL82" s="18"/>
      <c r="AM82" s="18"/>
      <c r="AN82" s="18"/>
      <c r="AO82" s="18"/>
      <c r="AP82" s="7"/>
    </row>
    <row r="83" spans="36:42" x14ac:dyDescent="0.2">
      <c r="AJ83" s="62"/>
      <c r="AK83" s="18"/>
      <c r="AL83" s="18"/>
      <c r="AM83" s="18"/>
      <c r="AN83" s="18"/>
      <c r="AO83" s="18"/>
      <c r="AP83" s="7"/>
    </row>
    <row r="84" spans="36:42" x14ac:dyDescent="0.2">
      <c r="AJ84" s="62"/>
      <c r="AK84" s="18"/>
      <c r="AL84" s="18"/>
      <c r="AM84" s="18"/>
      <c r="AN84" s="18"/>
      <c r="AO84" s="18"/>
      <c r="AP84" s="7"/>
    </row>
    <row r="85" spans="36:42" x14ac:dyDescent="0.2">
      <c r="AJ85" s="62"/>
      <c r="AK85" s="18"/>
      <c r="AL85" s="18"/>
      <c r="AM85" s="18"/>
      <c r="AN85" s="18"/>
      <c r="AO85" s="18"/>
      <c r="AP85" s="7"/>
    </row>
    <row r="86" spans="36:42" x14ac:dyDescent="0.2">
      <c r="AJ86" s="62"/>
      <c r="AK86" s="18"/>
      <c r="AL86" s="18"/>
      <c r="AM86" s="18"/>
      <c r="AN86" s="18"/>
      <c r="AO86" s="18"/>
      <c r="AP86" s="7"/>
    </row>
    <row r="87" spans="36:42" x14ac:dyDescent="0.2">
      <c r="AJ87" s="62"/>
      <c r="AK87" s="18"/>
      <c r="AL87" s="18"/>
      <c r="AM87" s="18"/>
      <c r="AN87" s="18"/>
      <c r="AO87" s="18"/>
      <c r="AP87" s="7"/>
    </row>
    <row r="88" spans="36:42" x14ac:dyDescent="0.2">
      <c r="AJ88" s="62"/>
      <c r="AK88" s="18"/>
      <c r="AL88" s="18"/>
      <c r="AM88" s="18"/>
      <c r="AN88" s="18"/>
      <c r="AO88" s="18"/>
      <c r="AP88" s="7"/>
    </row>
    <row r="89" spans="36:42" x14ac:dyDescent="0.2">
      <c r="AJ89" s="62"/>
      <c r="AK89" s="18"/>
      <c r="AL89" s="18"/>
      <c r="AM89" s="18"/>
      <c r="AN89" s="18"/>
      <c r="AO89" s="18"/>
      <c r="AP89" s="7"/>
    </row>
    <row r="90" spans="36:42" x14ac:dyDescent="0.2">
      <c r="AJ90" s="62"/>
      <c r="AK90" s="18"/>
      <c r="AL90" s="18"/>
      <c r="AM90" s="18"/>
      <c r="AN90" s="18"/>
      <c r="AO90" s="18"/>
      <c r="AP90" s="7"/>
    </row>
    <row r="91" spans="36:42" x14ac:dyDescent="0.2">
      <c r="AJ91" s="62"/>
      <c r="AK91" s="18"/>
      <c r="AL91" s="18"/>
      <c r="AM91" s="18"/>
      <c r="AN91" s="18"/>
      <c r="AO91" s="18"/>
      <c r="AP91" s="7"/>
    </row>
    <row r="92" spans="36:42" x14ac:dyDescent="0.2">
      <c r="AJ92" s="62"/>
      <c r="AK92" s="18"/>
      <c r="AL92" s="7"/>
      <c r="AM92" s="7"/>
      <c r="AN92" s="18"/>
      <c r="AO92" s="18"/>
      <c r="AP92" s="7"/>
    </row>
    <row r="93" spans="36:42" x14ac:dyDescent="0.2">
      <c r="AJ93" s="62"/>
      <c r="AK93" s="18"/>
      <c r="AL93" s="7"/>
      <c r="AM93" s="7"/>
      <c r="AN93" s="18"/>
      <c r="AO93" s="18"/>
      <c r="AP93" s="7"/>
    </row>
    <row r="94" spans="36:42" x14ac:dyDescent="0.2">
      <c r="AJ94" s="62"/>
      <c r="AK94" s="18"/>
      <c r="AL94" s="7"/>
      <c r="AM94" s="7"/>
      <c r="AN94" s="18"/>
      <c r="AO94" s="18"/>
      <c r="AP94" s="7"/>
    </row>
    <row r="95" spans="36:42" x14ac:dyDescent="0.2">
      <c r="AJ95" s="62"/>
      <c r="AK95" s="18"/>
      <c r="AL95" s="7"/>
      <c r="AM95" s="7"/>
      <c r="AN95" s="18"/>
      <c r="AO95" s="18"/>
      <c r="AP95" s="7"/>
    </row>
    <row r="96" spans="36:42" x14ac:dyDescent="0.2">
      <c r="AJ96" s="62"/>
      <c r="AK96" s="18"/>
      <c r="AL96" s="7"/>
      <c r="AM96" s="7"/>
      <c r="AN96" s="18"/>
      <c r="AO96" s="18"/>
      <c r="AP96" s="7"/>
    </row>
    <row r="97" spans="36:42" x14ac:dyDescent="0.2">
      <c r="AJ97" s="62"/>
      <c r="AK97" s="18"/>
      <c r="AL97" s="7"/>
      <c r="AM97" s="7"/>
      <c r="AN97" s="18"/>
      <c r="AO97" s="18"/>
      <c r="AP97" s="7"/>
    </row>
    <row r="98" spans="36:42" x14ac:dyDescent="0.2">
      <c r="AJ98" s="62"/>
      <c r="AK98" s="18"/>
      <c r="AL98" s="7"/>
      <c r="AM98" s="7"/>
      <c r="AN98" s="18"/>
      <c r="AO98" s="18"/>
      <c r="AP98" s="7"/>
    </row>
    <row r="99" spans="36:42" x14ac:dyDescent="0.2">
      <c r="AJ99" s="62"/>
      <c r="AK99" s="18"/>
      <c r="AL99" s="7"/>
      <c r="AM99" s="7"/>
      <c r="AN99" s="18"/>
      <c r="AO99" s="18"/>
      <c r="AP99" s="7"/>
    </row>
    <row r="100" spans="36:42" x14ac:dyDescent="0.2">
      <c r="AJ100" s="62"/>
      <c r="AK100" s="18"/>
      <c r="AL100" s="7"/>
      <c r="AM100" s="7"/>
      <c r="AN100" s="18"/>
      <c r="AO100" s="18"/>
      <c r="AP100" s="7"/>
    </row>
    <row r="101" spans="36:42" x14ac:dyDescent="0.2">
      <c r="AJ101" s="62"/>
      <c r="AK101" s="18"/>
      <c r="AL101" s="7"/>
      <c r="AM101" s="7"/>
      <c r="AN101" s="18"/>
      <c r="AO101" s="18"/>
      <c r="AP101" s="7"/>
    </row>
    <row r="102" spans="36:42" x14ac:dyDescent="0.2">
      <c r="AJ102" s="62"/>
      <c r="AK102" s="18"/>
      <c r="AL102" s="7"/>
      <c r="AM102" s="7"/>
      <c r="AN102" s="18"/>
      <c r="AO102" s="18"/>
      <c r="AP102" s="7"/>
    </row>
    <row r="103" spans="36:42" x14ac:dyDescent="0.2">
      <c r="AJ103" s="62"/>
      <c r="AK103" s="18"/>
      <c r="AL103" s="7"/>
      <c r="AM103" s="7"/>
      <c r="AN103" s="18"/>
      <c r="AO103" s="18"/>
      <c r="AP103" s="7"/>
    </row>
    <row r="104" spans="36:42" x14ac:dyDescent="0.2">
      <c r="AJ104" s="62"/>
      <c r="AK104" s="18"/>
      <c r="AL104" s="7"/>
      <c r="AM104" s="7"/>
      <c r="AN104" s="18"/>
      <c r="AO104" s="18"/>
      <c r="AP104" s="7"/>
    </row>
    <row r="105" spans="36:42" x14ac:dyDescent="0.2">
      <c r="AJ105" s="62"/>
      <c r="AK105" s="18"/>
      <c r="AL105" s="7"/>
      <c r="AM105" s="7"/>
      <c r="AN105" s="18"/>
      <c r="AO105" s="18"/>
      <c r="AP105" s="7"/>
    </row>
    <row r="106" spans="36:42" x14ac:dyDescent="0.2">
      <c r="AJ106" s="62"/>
      <c r="AK106" s="18"/>
      <c r="AL106" s="7"/>
      <c r="AM106" s="7"/>
      <c r="AN106" s="18"/>
      <c r="AO106" s="18"/>
      <c r="AP106" s="7"/>
    </row>
    <row r="107" spans="36:42" x14ac:dyDescent="0.2">
      <c r="AJ107" s="62"/>
      <c r="AK107" s="18"/>
      <c r="AL107" s="7"/>
      <c r="AM107" s="7"/>
      <c r="AN107" s="18"/>
      <c r="AO107" s="18"/>
      <c r="AP107" s="7"/>
    </row>
    <row r="108" spans="36:42" x14ac:dyDescent="0.2">
      <c r="AJ108" s="62"/>
      <c r="AK108" s="18"/>
      <c r="AL108" s="7"/>
      <c r="AM108" s="7"/>
      <c r="AN108" s="18"/>
      <c r="AO108" s="18"/>
      <c r="AP108" s="7"/>
    </row>
    <row r="109" spans="36:42" x14ac:dyDescent="0.2">
      <c r="AJ109" s="62"/>
      <c r="AK109" s="18"/>
      <c r="AL109" s="7"/>
      <c r="AM109" s="7"/>
      <c r="AN109" s="18"/>
      <c r="AO109" s="18"/>
      <c r="AP109" s="7"/>
    </row>
    <row r="110" spans="36:42" x14ac:dyDescent="0.2">
      <c r="AJ110" s="62"/>
      <c r="AK110" s="18"/>
      <c r="AL110" s="7"/>
      <c r="AM110" s="7"/>
      <c r="AN110" s="18"/>
      <c r="AO110" s="18"/>
      <c r="AP110" s="7"/>
    </row>
    <row r="111" spans="36:42" x14ac:dyDescent="0.2">
      <c r="AJ111" s="62"/>
      <c r="AK111" s="18"/>
      <c r="AL111" s="7"/>
      <c r="AM111" s="7"/>
      <c r="AN111" s="18"/>
      <c r="AO111" s="18"/>
      <c r="AP111" s="7"/>
    </row>
    <row r="112" spans="36:42" x14ac:dyDescent="0.2">
      <c r="AJ112" s="62"/>
      <c r="AK112" s="18"/>
      <c r="AL112" s="7"/>
      <c r="AM112" s="7"/>
      <c r="AN112" s="18"/>
      <c r="AO112" s="18"/>
      <c r="AP112" s="7"/>
    </row>
    <row r="113" spans="36:42" x14ac:dyDescent="0.2">
      <c r="AJ113" s="62"/>
      <c r="AK113" s="18"/>
      <c r="AL113" s="7"/>
      <c r="AM113" s="7"/>
      <c r="AN113" s="18"/>
      <c r="AO113" s="18"/>
      <c r="AP113" s="7"/>
    </row>
    <row r="114" spans="36:42" x14ac:dyDescent="0.2">
      <c r="AJ114" s="62"/>
      <c r="AK114" s="18"/>
      <c r="AL114" s="7"/>
      <c r="AM114" s="7"/>
      <c r="AN114" s="18"/>
      <c r="AO114" s="18"/>
      <c r="AP114" s="7"/>
    </row>
    <row r="115" spans="36:42" x14ac:dyDescent="0.2">
      <c r="AJ115" s="62"/>
      <c r="AK115" s="18"/>
      <c r="AL115" s="7"/>
      <c r="AM115" s="7"/>
      <c r="AN115" s="18"/>
      <c r="AO115" s="18"/>
      <c r="AP115" s="7"/>
    </row>
    <row r="116" spans="36:42" x14ac:dyDescent="0.2">
      <c r="AJ116" s="62"/>
      <c r="AK116" s="18"/>
      <c r="AL116" s="7"/>
      <c r="AM116" s="7"/>
      <c r="AN116" s="18"/>
      <c r="AO116" s="18"/>
      <c r="AP116" s="7"/>
    </row>
    <row r="117" spans="36:42" x14ac:dyDescent="0.2">
      <c r="AJ117" s="62"/>
      <c r="AK117" s="18"/>
      <c r="AL117" s="7"/>
      <c r="AM117" s="7"/>
      <c r="AN117" s="18"/>
      <c r="AO117" s="18"/>
      <c r="AP117" s="7"/>
    </row>
    <row r="118" spans="36:42" x14ac:dyDescent="0.2">
      <c r="AJ118" s="62"/>
      <c r="AK118" s="18"/>
      <c r="AL118" s="7"/>
      <c r="AM118" s="7"/>
      <c r="AN118" s="18"/>
      <c r="AO118" s="18"/>
      <c r="AP118" s="7"/>
    </row>
    <row r="119" spans="36:42" x14ac:dyDescent="0.2">
      <c r="AJ119" s="62"/>
      <c r="AK119" s="18"/>
      <c r="AL119" s="7"/>
      <c r="AM119" s="7"/>
      <c r="AN119" s="18"/>
      <c r="AO119" s="18"/>
      <c r="AP119" s="7"/>
    </row>
    <row r="120" spans="36:42" x14ac:dyDescent="0.2">
      <c r="AJ120" s="62"/>
      <c r="AK120" s="18"/>
      <c r="AL120" s="7"/>
      <c r="AM120" s="7"/>
      <c r="AN120" s="18"/>
      <c r="AO120" s="18"/>
      <c r="AP120" s="7"/>
    </row>
    <row r="121" spans="36:42" x14ac:dyDescent="0.2">
      <c r="AJ121" s="62"/>
      <c r="AK121" s="18"/>
      <c r="AL121" s="7"/>
      <c r="AM121" s="7"/>
      <c r="AN121" s="18"/>
      <c r="AO121" s="18"/>
      <c r="AP121" s="7"/>
    </row>
    <row r="122" spans="36:42" x14ac:dyDescent="0.2">
      <c r="AJ122" s="62"/>
      <c r="AK122" s="18"/>
      <c r="AL122" s="7"/>
      <c r="AM122" s="7"/>
      <c r="AN122" s="18"/>
      <c r="AO122" s="18"/>
      <c r="AP122" s="18"/>
    </row>
    <row r="123" spans="36:42" x14ac:dyDescent="0.2">
      <c r="AJ123" s="62"/>
      <c r="AK123" s="18"/>
      <c r="AL123" s="7"/>
      <c r="AM123" s="7"/>
      <c r="AN123" s="18"/>
      <c r="AO123" s="18"/>
      <c r="AP123" s="18"/>
    </row>
    <row r="124" spans="36:42" x14ac:dyDescent="0.2">
      <c r="AJ124" s="62"/>
      <c r="AK124" s="18"/>
      <c r="AL124" s="7"/>
      <c r="AM124" s="7"/>
      <c r="AN124" s="18"/>
      <c r="AO124" s="18"/>
      <c r="AP124" s="18"/>
    </row>
    <row r="125" spans="36:42" x14ac:dyDescent="0.2">
      <c r="AJ125" s="62"/>
      <c r="AK125" s="18"/>
      <c r="AL125" s="7"/>
      <c r="AM125" s="7"/>
      <c r="AN125" s="18"/>
      <c r="AO125" s="18"/>
      <c r="AP125" s="18"/>
    </row>
    <row r="126" spans="36:42" x14ac:dyDescent="0.2">
      <c r="AJ126" s="62"/>
      <c r="AK126" s="18"/>
      <c r="AL126" s="7"/>
      <c r="AM126" s="7"/>
      <c r="AN126" s="18"/>
      <c r="AO126" s="18"/>
      <c r="AP126" s="18"/>
    </row>
    <row r="127" spans="36:42" x14ac:dyDescent="0.2">
      <c r="AJ127" s="62"/>
      <c r="AK127" s="18"/>
      <c r="AL127" s="7"/>
      <c r="AM127" s="7"/>
      <c r="AN127" s="18"/>
      <c r="AO127" s="18"/>
      <c r="AP127" s="18"/>
    </row>
    <row r="128" spans="36:42" x14ac:dyDescent="0.2">
      <c r="AJ128" s="62"/>
      <c r="AK128" s="18"/>
      <c r="AL128" s="7"/>
      <c r="AM128" s="7"/>
      <c r="AN128" s="18"/>
      <c r="AO128" s="18"/>
      <c r="AP128" s="18"/>
    </row>
    <row r="129" spans="36:42" x14ac:dyDescent="0.2">
      <c r="AJ129" s="62"/>
      <c r="AK129" s="18"/>
      <c r="AL129" s="7"/>
      <c r="AM129" s="7"/>
      <c r="AN129" s="18"/>
      <c r="AO129" s="18"/>
      <c r="AP129" s="18"/>
    </row>
    <row r="130" spans="36:42" x14ac:dyDescent="0.2">
      <c r="AJ130" s="62"/>
      <c r="AK130" s="18"/>
      <c r="AL130" s="7"/>
      <c r="AM130" s="7"/>
      <c r="AN130" s="18"/>
      <c r="AO130" s="18"/>
      <c r="AP130" s="18"/>
    </row>
    <row r="131" spans="36:42" x14ac:dyDescent="0.2">
      <c r="AJ131" s="62"/>
      <c r="AK131" s="18"/>
      <c r="AL131" s="7"/>
      <c r="AM131" s="7"/>
      <c r="AN131" s="18"/>
      <c r="AO131" s="18"/>
      <c r="AP131" s="18"/>
    </row>
    <row r="132" spans="36:42" x14ac:dyDescent="0.2">
      <c r="AJ132" s="62"/>
      <c r="AK132" s="18"/>
      <c r="AL132" s="7"/>
      <c r="AM132" s="7"/>
      <c r="AN132" s="18"/>
      <c r="AO132" s="18"/>
      <c r="AP132" s="18"/>
    </row>
    <row r="133" spans="36:42" x14ac:dyDescent="0.2">
      <c r="AJ133" s="62"/>
      <c r="AK133" s="18"/>
      <c r="AL133" s="7"/>
      <c r="AM133" s="7"/>
      <c r="AN133" s="18"/>
      <c r="AO133" s="18"/>
      <c r="AP133" s="18"/>
    </row>
    <row r="134" spans="36:42" x14ac:dyDescent="0.2">
      <c r="AJ134" s="62"/>
      <c r="AK134" s="18"/>
      <c r="AL134" s="7"/>
      <c r="AM134" s="7"/>
      <c r="AN134" s="18"/>
      <c r="AO134" s="18"/>
      <c r="AP134" s="18"/>
    </row>
    <row r="135" spans="36:42" x14ac:dyDescent="0.2">
      <c r="AJ135" s="62"/>
      <c r="AK135" s="18"/>
      <c r="AL135" s="7"/>
      <c r="AM135" s="7"/>
      <c r="AN135" s="18"/>
      <c r="AO135" s="18"/>
      <c r="AP135" s="18"/>
    </row>
    <row r="136" spans="36:42" x14ac:dyDescent="0.2">
      <c r="AJ136" s="62"/>
      <c r="AK136" s="18"/>
      <c r="AL136" s="7"/>
      <c r="AM136" s="7"/>
      <c r="AN136" s="18"/>
      <c r="AO136" s="18"/>
      <c r="AP136" s="18"/>
    </row>
    <row r="137" spans="36:42" x14ac:dyDescent="0.2">
      <c r="AJ137" s="62"/>
      <c r="AK137" s="18"/>
      <c r="AL137" s="7"/>
      <c r="AM137" s="7"/>
      <c r="AN137" s="18"/>
      <c r="AO137" s="18"/>
      <c r="AP137" s="18"/>
    </row>
    <row r="138" spans="36:42" x14ac:dyDescent="0.2">
      <c r="AJ138" s="62"/>
      <c r="AK138" s="18"/>
      <c r="AL138" s="7"/>
      <c r="AM138" s="7"/>
      <c r="AN138" s="18"/>
      <c r="AO138" s="18"/>
      <c r="AP138" s="18"/>
    </row>
    <row r="139" spans="36:42" x14ac:dyDescent="0.2">
      <c r="AJ139" s="62"/>
      <c r="AK139" s="18"/>
      <c r="AL139" s="7"/>
      <c r="AM139" s="7"/>
      <c r="AN139" s="18"/>
      <c r="AO139" s="18"/>
      <c r="AP139" s="18"/>
    </row>
    <row r="140" spans="36:42" x14ac:dyDescent="0.2">
      <c r="AJ140" s="62"/>
      <c r="AK140" s="18"/>
      <c r="AL140" s="7"/>
      <c r="AM140" s="7"/>
      <c r="AN140" s="18"/>
      <c r="AO140" s="18"/>
      <c r="AP140" s="18"/>
    </row>
    <row r="141" spans="36:42" x14ac:dyDescent="0.2">
      <c r="AJ141" s="62"/>
      <c r="AK141" s="18"/>
      <c r="AL141" s="7"/>
      <c r="AM141" s="7"/>
      <c r="AN141" s="18"/>
      <c r="AO141" s="18"/>
      <c r="AP141" s="18"/>
    </row>
  </sheetData>
  <mergeCells count="2">
    <mergeCell ref="AL79:AM79"/>
    <mergeCell ref="AN79:AO7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141F-7F93-4B19-9E5E-CC318EEB4657}">
  <sheetPr codeName="Sheet2"/>
  <dimension ref="A1:GZ146"/>
  <sheetViews>
    <sheetView showGridLines="0" zoomScale="90" zoomScaleNormal="90" workbookViewId="0"/>
  </sheetViews>
  <sheetFormatPr baseColWidth="10" defaultColWidth="8.83203125" defaultRowHeight="15" x14ac:dyDescent="0.2"/>
  <cols>
    <col min="1" max="1" width="27.5" bestFit="1" customWidth="1"/>
    <col min="2" max="2" width="18.5" customWidth="1"/>
    <col min="3" max="3" width="28.5" customWidth="1"/>
    <col min="4" max="4" width="21.1640625" customWidth="1"/>
    <col min="5" max="102" width="10.83203125" customWidth="1"/>
  </cols>
  <sheetData>
    <row r="1" spans="2:199" x14ac:dyDescent="0.2">
      <c r="B1" s="70" t="s">
        <v>150</v>
      </c>
      <c r="C1" s="243">
        <v>44089</v>
      </c>
      <c r="D1" s="113"/>
      <c r="GQ1" t="s">
        <v>146</v>
      </c>
    </row>
    <row r="2" spans="2:199" x14ac:dyDescent="0.2">
      <c r="B2" t="s">
        <v>218</v>
      </c>
    </row>
    <row r="3" spans="2:199" x14ac:dyDescent="0.2">
      <c r="B3" t="s">
        <v>219</v>
      </c>
      <c r="C3" s="67">
        <f>'NBs Prices'!G49</f>
        <v>11.341844884930985</v>
      </c>
      <c r="D3" s="67"/>
    </row>
    <row r="4" spans="2:199" x14ac:dyDescent="0.2">
      <c r="B4" t="s">
        <v>220</v>
      </c>
      <c r="C4" s="67">
        <f>'NBs Prices'!G50</f>
        <v>13.393884519457522</v>
      </c>
      <c r="D4" s="67"/>
      <c r="E4" s="58"/>
      <c r="F4" s="4"/>
    </row>
    <row r="5" spans="2:199" x14ac:dyDescent="0.2">
      <c r="B5" t="s">
        <v>221</v>
      </c>
      <c r="C5" s="67">
        <f>'NBs Prices'!G51</f>
        <v>11.513868277078432</v>
      </c>
      <c r="D5" s="67"/>
      <c r="E5" s="13" t="s">
        <v>224</v>
      </c>
      <c r="F5" s="13" t="s">
        <v>225</v>
      </c>
    </row>
    <row r="6" spans="2:199" x14ac:dyDescent="0.2">
      <c r="B6" t="s">
        <v>222</v>
      </c>
      <c r="C6" s="67">
        <f>'NBs Prices'!G52</f>
        <v>14.151281290373376</v>
      </c>
      <c r="D6" s="67"/>
      <c r="E6" s="244">
        <f>MAX(E9:E33)</f>
        <v>44038</v>
      </c>
      <c r="F6" s="244">
        <f>MIN(F9:F33)</f>
        <v>44104</v>
      </c>
    </row>
    <row r="8" spans="2:199" x14ac:dyDescent="0.2">
      <c r="B8" t="s">
        <v>8</v>
      </c>
      <c r="C8" t="s">
        <v>186</v>
      </c>
      <c r="E8" s="16" t="s">
        <v>149</v>
      </c>
    </row>
    <row r="9" spans="2:199" x14ac:dyDescent="0.2">
      <c r="B9" t="s">
        <v>10</v>
      </c>
      <c r="C9" t="s">
        <v>134</v>
      </c>
      <c r="D9" s="238">
        <f>EDATE(E9,-ROUND((F9-E9)/30,0))</f>
        <v>43829</v>
      </c>
      <c r="E9" s="238">
        <v>44012</v>
      </c>
      <c r="F9" s="238">
        <v>44196</v>
      </c>
      <c r="G9" s="238">
        <v>44377</v>
      </c>
      <c r="H9" s="238">
        <v>44561</v>
      </c>
      <c r="I9" s="238">
        <v>44742</v>
      </c>
      <c r="J9" s="238">
        <v>44926</v>
      </c>
      <c r="K9" s="238">
        <v>45107</v>
      </c>
      <c r="L9" s="238">
        <v>45291</v>
      </c>
      <c r="M9" s="238">
        <v>45473</v>
      </c>
      <c r="N9" s="238">
        <v>45657</v>
      </c>
      <c r="O9" s="238">
        <v>45838</v>
      </c>
      <c r="P9" s="238">
        <v>46022</v>
      </c>
      <c r="Q9" s="238">
        <v>46203</v>
      </c>
      <c r="R9" s="238">
        <v>46387</v>
      </c>
      <c r="S9" s="238">
        <v>46568</v>
      </c>
      <c r="T9" s="238">
        <v>46752</v>
      </c>
      <c r="U9" s="238">
        <v>46934</v>
      </c>
      <c r="V9" s="238">
        <v>47118</v>
      </c>
      <c r="W9" s="238">
        <v>47299</v>
      </c>
      <c r="X9" s="238">
        <v>47483</v>
      </c>
      <c r="Y9" s="238">
        <v>47664</v>
      </c>
      <c r="Z9" s="238">
        <v>47848</v>
      </c>
      <c r="AA9" s="238">
        <v>48029</v>
      </c>
      <c r="AB9" s="238">
        <v>48213</v>
      </c>
      <c r="AC9" s="238">
        <v>48395</v>
      </c>
      <c r="AD9" s="238">
        <v>48579</v>
      </c>
      <c r="AE9" s="238">
        <v>48760</v>
      </c>
      <c r="AF9" s="238">
        <v>48944</v>
      </c>
      <c r="AG9" s="238"/>
      <c r="AH9" s="238"/>
      <c r="AI9" s="238"/>
      <c r="AJ9" s="238"/>
      <c r="AK9" s="238"/>
      <c r="AL9" s="238"/>
      <c r="AM9" s="238"/>
      <c r="AN9" s="238"/>
      <c r="AO9" s="238"/>
      <c r="AP9" s="238"/>
      <c r="AQ9" s="238"/>
      <c r="AR9" s="238"/>
      <c r="AS9" s="238"/>
      <c r="AT9" s="238"/>
      <c r="AU9" s="238"/>
      <c r="AV9" s="238"/>
      <c r="AW9" s="238"/>
      <c r="AX9" s="238"/>
      <c r="AY9" s="238"/>
      <c r="AZ9" s="238"/>
      <c r="BA9" s="238"/>
      <c r="BB9" s="238"/>
      <c r="BC9" s="238"/>
      <c r="BD9" s="238"/>
      <c r="BE9" s="238"/>
      <c r="BF9" s="238"/>
      <c r="BG9" s="238"/>
      <c r="BH9" s="238"/>
      <c r="BI9" s="238"/>
      <c r="BJ9" s="238"/>
      <c r="BK9" s="238"/>
      <c r="BL9" s="238"/>
      <c r="BM9" s="238"/>
      <c r="BN9" s="238"/>
      <c r="BO9" s="238"/>
      <c r="BP9" s="238"/>
      <c r="BQ9" s="238"/>
      <c r="BR9" s="238"/>
      <c r="BS9" s="238"/>
      <c r="BT9" s="238"/>
      <c r="BU9" s="238"/>
      <c r="BV9" s="238"/>
      <c r="BW9" s="238"/>
      <c r="BX9" s="238"/>
      <c r="BY9" s="238"/>
      <c r="BZ9" s="238"/>
      <c r="CA9" s="238"/>
      <c r="CB9" s="238"/>
      <c r="CC9" s="238"/>
      <c r="CD9" s="238"/>
      <c r="CE9" s="238"/>
      <c r="CF9" s="238"/>
      <c r="CG9" s="238"/>
      <c r="CH9" s="238"/>
      <c r="CI9" s="238"/>
      <c r="CJ9" s="238"/>
      <c r="CK9" s="238"/>
      <c r="CL9" s="238"/>
      <c r="CM9" s="238"/>
      <c r="CN9" s="238"/>
      <c r="CO9" s="238"/>
      <c r="CP9" s="238"/>
      <c r="CQ9" s="238"/>
      <c r="CR9" s="238"/>
      <c r="CS9" s="238"/>
      <c r="CT9" s="238"/>
      <c r="CU9" s="238"/>
      <c r="CV9" s="238"/>
      <c r="CW9" s="238"/>
      <c r="CX9" s="238"/>
      <c r="CY9" s="238"/>
      <c r="CZ9" s="238"/>
      <c r="DA9" s="238"/>
      <c r="DB9" s="238"/>
      <c r="DC9" s="238"/>
      <c r="DD9" s="238"/>
      <c r="DE9" s="238"/>
      <c r="DF9" s="238"/>
      <c r="DG9" s="238"/>
      <c r="DH9" s="238"/>
      <c r="DI9" s="238"/>
      <c r="DJ9" s="238"/>
      <c r="DK9" s="238"/>
      <c r="DL9" s="238"/>
      <c r="DM9" s="238"/>
      <c r="DN9" s="238"/>
      <c r="DO9" s="238"/>
      <c r="DP9" s="238"/>
      <c r="DQ9" s="238"/>
      <c r="DR9" s="238"/>
      <c r="DS9" s="238"/>
      <c r="DT9" s="238"/>
      <c r="DU9" s="238"/>
      <c r="DV9" s="238"/>
      <c r="DW9" s="238"/>
      <c r="DX9" s="238"/>
      <c r="DY9" s="238"/>
      <c r="DZ9" s="238"/>
      <c r="EA9" s="238"/>
      <c r="EB9" s="238"/>
      <c r="EC9" s="238"/>
      <c r="ED9" s="238"/>
      <c r="EE9" s="238"/>
      <c r="EF9" s="238"/>
      <c r="EG9" s="238"/>
      <c r="EH9" s="238"/>
      <c r="EI9" s="238"/>
      <c r="EJ9" s="238"/>
      <c r="EK9" s="238"/>
      <c r="EL9" s="238"/>
      <c r="EM9" s="238"/>
      <c r="EN9" s="238"/>
      <c r="EO9" s="238"/>
      <c r="EP9" s="238"/>
      <c r="EQ9" s="238"/>
      <c r="ER9" s="238"/>
      <c r="ES9" s="238"/>
      <c r="ET9" s="238"/>
      <c r="EU9" s="238"/>
      <c r="EV9" s="238"/>
      <c r="EW9" s="238"/>
      <c r="EX9" s="238"/>
      <c r="EY9" s="238"/>
      <c r="EZ9" s="238"/>
      <c r="FA9" s="238"/>
      <c r="FB9" s="238"/>
      <c r="FC9" s="238"/>
      <c r="FD9" s="238"/>
      <c r="FE9" s="238"/>
      <c r="FF9" s="238"/>
      <c r="FG9" s="238"/>
      <c r="FH9" s="238"/>
      <c r="FI9" s="238"/>
      <c r="FJ9" s="238"/>
      <c r="FK9" s="238"/>
      <c r="FL9" s="238"/>
      <c r="FM9" s="238"/>
      <c r="FN9" s="238"/>
      <c r="FO9" s="238"/>
      <c r="FP9" s="238"/>
      <c r="FQ9" s="238"/>
      <c r="FR9" s="238"/>
      <c r="FS9" s="238"/>
      <c r="FT9" s="238"/>
      <c r="FU9" s="238"/>
      <c r="FV9" s="238"/>
      <c r="FW9" s="238"/>
      <c r="FX9" s="238"/>
      <c r="FY9" s="238"/>
      <c r="FZ9" s="238"/>
      <c r="GA9" s="238"/>
      <c r="GB9" s="238"/>
      <c r="GC9" s="238"/>
      <c r="GD9" s="238"/>
      <c r="GE9" s="238"/>
      <c r="GF9" s="238"/>
      <c r="GG9" s="238"/>
      <c r="GH9" s="238"/>
      <c r="GI9" s="238"/>
      <c r="GJ9" s="238"/>
      <c r="GK9" s="238"/>
      <c r="GL9" s="238"/>
      <c r="GM9" s="238"/>
      <c r="GN9" s="238"/>
      <c r="GO9" s="238"/>
      <c r="GP9" s="238"/>
      <c r="GQ9" s="238"/>
    </row>
    <row r="10" spans="2:199" x14ac:dyDescent="0.2">
      <c r="B10" t="s">
        <v>12</v>
      </c>
      <c r="C10" t="s">
        <v>135</v>
      </c>
      <c r="D10" s="238">
        <f t="shared" ref="D10:D33" si="0">EDATE(E10,-ROUND((F10-E10)/30,0))</f>
        <v>43829</v>
      </c>
      <c r="E10" s="238">
        <v>44012</v>
      </c>
      <c r="F10" s="238">
        <v>44196</v>
      </c>
      <c r="G10" s="238">
        <v>44377</v>
      </c>
      <c r="H10" s="238">
        <v>44561</v>
      </c>
      <c r="I10" s="238">
        <v>44742</v>
      </c>
      <c r="J10" s="238">
        <v>44926</v>
      </c>
      <c r="K10" s="238">
        <v>45107</v>
      </c>
      <c r="L10" s="238">
        <v>45291</v>
      </c>
      <c r="M10" s="238">
        <v>45473</v>
      </c>
      <c r="N10" s="238">
        <v>45657</v>
      </c>
      <c r="O10" s="238">
        <v>45838</v>
      </c>
      <c r="P10" s="238">
        <v>46022</v>
      </c>
      <c r="Q10" s="238">
        <v>46203</v>
      </c>
      <c r="R10" s="238">
        <v>46387</v>
      </c>
      <c r="S10" s="238">
        <v>46568</v>
      </c>
      <c r="T10" s="238">
        <v>46752</v>
      </c>
      <c r="U10" s="238">
        <v>46934</v>
      </c>
      <c r="V10" s="238">
        <v>47118</v>
      </c>
      <c r="W10" s="238">
        <v>47299</v>
      </c>
      <c r="X10" s="238">
        <v>47483</v>
      </c>
      <c r="Y10" s="238">
        <v>47664</v>
      </c>
      <c r="Z10" s="238">
        <v>47848</v>
      </c>
      <c r="AA10" s="238">
        <v>48029</v>
      </c>
      <c r="AB10" s="238">
        <v>48213</v>
      </c>
      <c r="AC10" s="238">
        <v>48395</v>
      </c>
      <c r="AD10" s="238">
        <v>48579</v>
      </c>
      <c r="AE10" s="238">
        <v>48760</v>
      </c>
      <c r="AF10" s="238">
        <v>48944</v>
      </c>
      <c r="AG10" s="238"/>
      <c r="AH10" s="238"/>
      <c r="AI10" s="238"/>
      <c r="AJ10" s="238"/>
      <c r="AK10" s="238"/>
      <c r="AL10" s="238"/>
      <c r="AM10" s="238"/>
      <c r="AN10" s="238"/>
      <c r="AO10" s="238"/>
      <c r="AP10" s="238"/>
      <c r="AQ10" s="238"/>
      <c r="AR10" s="238"/>
      <c r="AS10" s="238"/>
      <c r="AT10" s="238"/>
      <c r="AU10" s="238"/>
      <c r="AV10" s="238"/>
      <c r="AW10" s="238"/>
      <c r="AX10" s="238"/>
      <c r="AY10" s="238"/>
      <c r="AZ10" s="238"/>
      <c r="BA10" s="238"/>
      <c r="BB10" s="238"/>
      <c r="BC10" s="238"/>
      <c r="BD10" s="238"/>
      <c r="BE10" s="238"/>
      <c r="BF10" s="238"/>
      <c r="BG10" s="238"/>
      <c r="BH10" s="238"/>
      <c r="BI10" s="238"/>
      <c r="BJ10" s="238"/>
      <c r="BK10" s="238"/>
      <c r="BL10" s="238"/>
      <c r="BM10" s="238"/>
      <c r="BN10" s="238"/>
      <c r="BO10" s="238"/>
      <c r="BP10" s="238"/>
      <c r="BQ10" s="238"/>
      <c r="BR10" s="238"/>
      <c r="BS10" s="238"/>
      <c r="BT10" s="238"/>
      <c r="BU10" s="238"/>
      <c r="BV10" s="238"/>
      <c r="BW10" s="238"/>
      <c r="BX10" s="238"/>
      <c r="BY10" s="238"/>
      <c r="BZ10" s="238"/>
      <c r="CA10" s="238"/>
      <c r="CB10" s="238"/>
      <c r="CC10" s="238"/>
      <c r="CD10" s="238"/>
      <c r="CE10" s="238"/>
      <c r="CF10" s="238"/>
      <c r="CG10" s="238"/>
      <c r="CH10" s="238"/>
      <c r="CI10" s="238"/>
      <c r="CJ10" s="238"/>
      <c r="CK10" s="238"/>
      <c r="CL10" s="238"/>
      <c r="CM10" s="238"/>
      <c r="CN10" s="238"/>
      <c r="CO10" s="238"/>
      <c r="CP10" s="238"/>
      <c r="CQ10" s="238"/>
      <c r="CR10" s="238"/>
      <c r="CS10" s="238"/>
      <c r="CT10" s="238"/>
      <c r="CU10" s="238"/>
      <c r="CV10" s="238"/>
      <c r="CW10" s="238"/>
      <c r="CX10" s="238"/>
      <c r="CY10" s="238"/>
      <c r="CZ10" s="238"/>
      <c r="DA10" s="238"/>
      <c r="DB10" s="238"/>
      <c r="DC10" s="238"/>
      <c r="DD10" s="238"/>
      <c r="DE10" s="238"/>
      <c r="DF10" s="238"/>
      <c r="DG10" s="238"/>
      <c r="DH10" s="238"/>
      <c r="DI10" s="238"/>
      <c r="DJ10" s="238"/>
      <c r="DK10" s="238"/>
      <c r="DL10" s="238"/>
      <c r="DM10" s="238"/>
      <c r="DN10" s="238"/>
      <c r="DO10" s="238"/>
      <c r="DP10" s="238"/>
      <c r="DQ10" s="238"/>
      <c r="DR10" s="238"/>
      <c r="DS10" s="238"/>
      <c r="DT10" s="238"/>
      <c r="DU10" s="238"/>
      <c r="DV10" s="238"/>
      <c r="DW10" s="238"/>
      <c r="DX10" s="238"/>
      <c r="DY10" s="238"/>
      <c r="DZ10" s="238"/>
      <c r="EA10" s="238"/>
      <c r="EB10" s="238"/>
      <c r="EC10" s="238"/>
      <c r="ED10" s="238"/>
      <c r="EE10" s="238"/>
      <c r="EF10" s="238"/>
      <c r="EG10" s="238"/>
      <c r="EH10" s="238"/>
      <c r="EI10" s="238"/>
      <c r="EJ10" s="238"/>
      <c r="EK10" s="238"/>
      <c r="EL10" s="238"/>
      <c r="EM10" s="238"/>
      <c r="EN10" s="238"/>
      <c r="EO10" s="238"/>
      <c r="EP10" s="238"/>
      <c r="EQ10" s="238"/>
      <c r="ER10" s="238"/>
      <c r="ES10" s="238"/>
      <c r="ET10" s="238"/>
      <c r="EU10" s="238"/>
      <c r="EV10" s="238"/>
      <c r="EW10" s="238"/>
      <c r="EX10" s="238"/>
      <c r="EY10" s="238"/>
      <c r="EZ10" s="238"/>
      <c r="FA10" s="238"/>
      <c r="FB10" s="238"/>
      <c r="FC10" s="238"/>
      <c r="FD10" s="238"/>
      <c r="FE10" s="238"/>
      <c r="FF10" s="238"/>
      <c r="FG10" s="238"/>
      <c r="FH10" s="238"/>
      <c r="FI10" s="238"/>
      <c r="FJ10" s="238"/>
      <c r="FK10" s="238"/>
      <c r="FL10" s="238"/>
      <c r="FM10" s="238"/>
      <c r="FN10" s="238"/>
      <c r="FO10" s="238"/>
      <c r="FP10" s="238"/>
      <c r="FQ10" s="238"/>
      <c r="FR10" s="238"/>
      <c r="FS10" s="238"/>
      <c r="FT10" s="238"/>
      <c r="FU10" s="238"/>
      <c r="FV10" s="238"/>
      <c r="FW10" s="238"/>
      <c r="FX10" s="238"/>
      <c r="FY10" s="238"/>
      <c r="FZ10" s="238"/>
      <c r="GA10" s="238"/>
      <c r="GB10" s="238"/>
      <c r="GC10" s="238"/>
      <c r="GD10" s="238"/>
      <c r="GE10" s="238"/>
      <c r="GF10" s="238"/>
      <c r="GG10" s="238"/>
      <c r="GH10" s="238"/>
      <c r="GI10" s="238"/>
      <c r="GJ10" s="238"/>
      <c r="GK10" s="238"/>
      <c r="GL10" s="238"/>
      <c r="GM10" s="238"/>
      <c r="GN10" s="238"/>
      <c r="GO10" s="238"/>
      <c r="GP10" s="238"/>
      <c r="GQ10" s="238"/>
    </row>
    <row r="11" spans="2:199" s="32" customFormat="1" x14ac:dyDescent="0.2">
      <c r="B11" t="s">
        <v>20</v>
      </c>
      <c r="C11" t="s">
        <v>136</v>
      </c>
      <c r="D11" s="238">
        <f t="shared" si="0"/>
        <v>43738</v>
      </c>
      <c r="E11" s="238">
        <v>43921</v>
      </c>
      <c r="F11" s="238">
        <v>44104</v>
      </c>
      <c r="G11" s="238">
        <v>44286</v>
      </c>
      <c r="H11" s="238">
        <v>44469</v>
      </c>
      <c r="I11" s="238">
        <v>44651</v>
      </c>
      <c r="J11" s="238">
        <v>44834</v>
      </c>
      <c r="K11" s="238">
        <v>45016</v>
      </c>
      <c r="L11" s="238">
        <v>45199</v>
      </c>
      <c r="M11" s="238">
        <v>45382</v>
      </c>
      <c r="N11" s="238">
        <v>45565</v>
      </c>
      <c r="O11" s="238">
        <v>45747</v>
      </c>
      <c r="P11" s="238">
        <v>45930</v>
      </c>
      <c r="Q11" s="238">
        <v>46112</v>
      </c>
      <c r="R11" s="238">
        <v>46295</v>
      </c>
      <c r="S11" s="238">
        <v>46477</v>
      </c>
      <c r="T11" s="238">
        <v>46660</v>
      </c>
      <c r="U11" s="238">
        <v>46843</v>
      </c>
      <c r="V11" s="238">
        <v>47026</v>
      </c>
      <c r="W11" s="238">
        <v>47208</v>
      </c>
      <c r="X11" s="238">
        <v>47391</v>
      </c>
      <c r="Y11" s="238">
        <v>47573</v>
      </c>
      <c r="Z11" s="238">
        <v>47756</v>
      </c>
      <c r="AA11" s="238">
        <v>47938</v>
      </c>
      <c r="AB11" s="238">
        <v>48121</v>
      </c>
      <c r="AC11" s="238">
        <v>48304</v>
      </c>
      <c r="AD11" s="238">
        <v>48487</v>
      </c>
      <c r="AE11" s="238">
        <v>48669</v>
      </c>
      <c r="AF11" s="238">
        <v>48852</v>
      </c>
      <c r="AG11" s="238">
        <v>49034</v>
      </c>
      <c r="AH11" s="238">
        <v>49217</v>
      </c>
      <c r="AI11" s="238">
        <v>49399</v>
      </c>
      <c r="AJ11" s="238">
        <v>49582</v>
      </c>
      <c r="AK11" s="238">
        <v>49765</v>
      </c>
      <c r="AL11" s="238">
        <v>49948</v>
      </c>
      <c r="AM11" s="238">
        <v>50130</v>
      </c>
      <c r="AN11" s="238">
        <v>50313</v>
      </c>
      <c r="AO11" s="238">
        <v>50495</v>
      </c>
      <c r="AP11" s="238">
        <v>50678</v>
      </c>
      <c r="AQ11" s="238">
        <v>50770</v>
      </c>
      <c r="AR11" s="245"/>
      <c r="AS11" s="245"/>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5"/>
      <c r="BW11" s="245"/>
      <c r="BX11" s="245"/>
      <c r="BY11" s="245"/>
      <c r="BZ11" s="245"/>
      <c r="CA11" s="245"/>
      <c r="CB11" s="245"/>
      <c r="CC11" s="245"/>
      <c r="CD11" s="245"/>
      <c r="CE11" s="245"/>
      <c r="CF11" s="245"/>
      <c r="CG11" s="245"/>
      <c r="CH11" s="245"/>
      <c r="CI11" s="245"/>
      <c r="CJ11" s="245"/>
      <c r="CK11" s="245"/>
      <c r="CL11" s="245"/>
      <c r="CM11" s="245"/>
      <c r="CN11" s="245"/>
      <c r="CO11" s="245"/>
      <c r="CP11" s="245"/>
      <c r="CQ11" s="245"/>
      <c r="CR11" s="245"/>
      <c r="CS11" s="245"/>
      <c r="CT11" s="245"/>
      <c r="CU11" s="245"/>
      <c r="CV11" s="245"/>
      <c r="CW11" s="245"/>
      <c r="CX11" s="245"/>
      <c r="CY11" s="245"/>
      <c r="CZ11" s="245"/>
      <c r="DA11" s="245"/>
      <c r="DB11" s="245"/>
      <c r="DC11" s="245"/>
      <c r="DD11" s="245"/>
      <c r="DE11" s="245"/>
      <c r="DF11" s="245"/>
      <c r="DG11" s="245"/>
      <c r="DH11" s="245"/>
      <c r="DI11" s="245"/>
      <c r="DJ11" s="245"/>
      <c r="DK11" s="245"/>
      <c r="DL11" s="245"/>
      <c r="DM11" s="245"/>
      <c r="DN11" s="245"/>
      <c r="DO11" s="245"/>
      <c r="DP11" s="245"/>
      <c r="DQ11" s="245"/>
      <c r="DR11" s="245"/>
      <c r="DS11" s="245"/>
      <c r="DT11" s="245"/>
      <c r="DU11" s="245"/>
      <c r="DV11" s="245"/>
      <c r="DW11" s="245"/>
      <c r="DX11" s="245"/>
      <c r="DY11" s="245"/>
      <c r="DZ11" s="245"/>
      <c r="EA11" s="245"/>
      <c r="EB11" s="245"/>
      <c r="EC11" s="245"/>
      <c r="ED11" s="245"/>
      <c r="EE11" s="245"/>
      <c r="EF11" s="245"/>
      <c r="EG11" s="245"/>
      <c r="EH11" s="245"/>
      <c r="EI11" s="245"/>
      <c r="EJ11" s="245"/>
      <c r="EK11" s="245"/>
      <c r="EL11" s="245"/>
      <c r="EM11" s="245"/>
      <c r="EN11" s="245"/>
      <c r="EO11" s="245"/>
      <c r="EP11" s="245"/>
      <c r="EQ11" s="245"/>
      <c r="ER11" s="245"/>
      <c r="ES11" s="245"/>
      <c r="ET11" s="245"/>
      <c r="EU11" s="245"/>
      <c r="EV11" s="245"/>
      <c r="EW11" s="245"/>
      <c r="EX11" s="245"/>
      <c r="EY11" s="245"/>
      <c r="EZ11" s="245"/>
      <c r="FA11" s="245"/>
      <c r="FB11" s="245"/>
      <c r="FC11" s="245"/>
      <c r="FD11" s="245"/>
      <c r="FE11" s="245"/>
      <c r="FF11" s="245"/>
      <c r="FG11" s="245"/>
      <c r="FH11" s="245"/>
      <c r="FI11" s="245"/>
      <c r="FJ11" s="245"/>
      <c r="FK11" s="245"/>
      <c r="FL11" s="245"/>
      <c r="FM11" s="245"/>
      <c r="FN11" s="245"/>
      <c r="FO11" s="245"/>
      <c r="FP11" s="245"/>
      <c r="FQ11" s="245"/>
      <c r="FR11" s="245"/>
      <c r="FS11" s="245"/>
      <c r="FT11" s="245"/>
      <c r="FU11" s="245"/>
      <c r="FV11" s="245"/>
      <c r="FW11" s="245"/>
      <c r="FX11" s="245"/>
      <c r="FY11" s="245"/>
      <c r="FZ11" s="245"/>
      <c r="GA11" s="245"/>
      <c r="GB11" s="245"/>
      <c r="GC11" s="245"/>
      <c r="GD11" s="245"/>
      <c r="GE11" s="245"/>
      <c r="GF11" s="245"/>
      <c r="GG11" s="245"/>
      <c r="GH11" s="245"/>
      <c r="GI11" s="245"/>
      <c r="GJ11" s="245"/>
      <c r="GK11" s="245"/>
      <c r="GL11" s="245"/>
      <c r="GM11" s="245"/>
      <c r="GN11" s="245"/>
      <c r="GO11" s="245"/>
      <c r="GP11" s="245"/>
      <c r="GQ11" s="245"/>
    </row>
    <row r="12" spans="2:199" s="32" customFormat="1" x14ac:dyDescent="0.2">
      <c r="B12" t="s">
        <v>22</v>
      </c>
      <c r="C12" t="s">
        <v>157</v>
      </c>
      <c r="D12" s="238">
        <f t="shared" si="0"/>
        <v>43738</v>
      </c>
      <c r="E12" s="238">
        <v>43921</v>
      </c>
      <c r="F12" s="238">
        <v>44104</v>
      </c>
      <c r="G12" s="238">
        <v>44286</v>
      </c>
      <c r="H12" s="238">
        <v>44469</v>
      </c>
      <c r="I12" s="238">
        <v>44651</v>
      </c>
      <c r="J12" s="238">
        <v>44834</v>
      </c>
      <c r="K12" s="238">
        <v>45016</v>
      </c>
      <c r="L12" s="238">
        <v>45199</v>
      </c>
      <c r="M12" s="238">
        <v>45382</v>
      </c>
      <c r="N12" s="238">
        <v>45565</v>
      </c>
      <c r="O12" s="238">
        <v>45747</v>
      </c>
      <c r="P12" s="238">
        <v>45930</v>
      </c>
      <c r="Q12" s="238">
        <v>46112</v>
      </c>
      <c r="R12" s="238">
        <v>46295</v>
      </c>
      <c r="S12" s="238">
        <v>46477</v>
      </c>
      <c r="T12" s="238">
        <v>46660</v>
      </c>
      <c r="U12" s="238">
        <v>46843</v>
      </c>
      <c r="V12" s="238">
        <v>47026</v>
      </c>
      <c r="W12" s="238">
        <v>47208</v>
      </c>
      <c r="X12" s="238">
        <v>47391</v>
      </c>
      <c r="Y12" s="238">
        <v>47573</v>
      </c>
      <c r="Z12" s="238">
        <v>47756</v>
      </c>
      <c r="AA12" s="238">
        <v>47938</v>
      </c>
      <c r="AB12" s="238">
        <v>48121</v>
      </c>
      <c r="AC12" s="238">
        <v>48304</v>
      </c>
      <c r="AD12" s="238">
        <v>48487</v>
      </c>
      <c r="AE12" s="238">
        <v>48669</v>
      </c>
      <c r="AF12" s="238">
        <v>48852</v>
      </c>
      <c r="AG12" s="238">
        <v>49034</v>
      </c>
      <c r="AH12" s="238">
        <v>49217</v>
      </c>
      <c r="AI12" s="238">
        <v>49399</v>
      </c>
      <c r="AJ12" s="238">
        <v>49582</v>
      </c>
      <c r="AK12" s="238">
        <v>49765</v>
      </c>
      <c r="AL12" s="238">
        <v>49948</v>
      </c>
      <c r="AM12" s="238">
        <v>50130</v>
      </c>
      <c r="AN12" s="238">
        <v>50313</v>
      </c>
      <c r="AO12" s="238">
        <v>50495</v>
      </c>
      <c r="AP12" s="238">
        <v>50678</v>
      </c>
      <c r="AQ12" s="238">
        <v>50770</v>
      </c>
      <c r="AR12" s="245"/>
      <c r="AS12" s="245"/>
      <c r="AT12" s="245"/>
      <c r="AU12" s="245"/>
      <c r="AV12" s="245"/>
      <c r="AW12" s="245"/>
      <c r="AX12" s="245"/>
      <c r="AY12" s="245"/>
      <c r="AZ12" s="245"/>
      <c r="BA12" s="245"/>
      <c r="BB12" s="245"/>
      <c r="BC12" s="245"/>
      <c r="BD12" s="245"/>
      <c r="BE12" s="245"/>
      <c r="BF12" s="245"/>
      <c r="BG12" s="245"/>
      <c r="BH12" s="245"/>
      <c r="BI12" s="245"/>
      <c r="BJ12" s="245"/>
      <c r="BK12" s="245"/>
      <c r="BL12" s="245"/>
      <c r="BM12" s="245"/>
      <c r="BN12" s="245"/>
      <c r="BO12" s="245"/>
      <c r="BP12" s="245"/>
      <c r="BQ12" s="245"/>
      <c r="BR12" s="245"/>
      <c r="BS12" s="245"/>
      <c r="BT12" s="245"/>
      <c r="BU12" s="245"/>
      <c r="BV12" s="245"/>
      <c r="BW12" s="245"/>
      <c r="BX12" s="245"/>
      <c r="BY12" s="245"/>
      <c r="BZ12" s="245"/>
      <c r="CA12" s="245"/>
      <c r="CB12" s="245"/>
      <c r="CC12" s="245"/>
      <c r="CD12" s="245"/>
      <c r="CE12" s="245"/>
      <c r="CF12" s="245"/>
      <c r="CG12" s="245"/>
      <c r="CH12" s="245"/>
      <c r="CI12" s="245"/>
      <c r="CJ12" s="245"/>
      <c r="CK12" s="245"/>
      <c r="CL12" s="245"/>
      <c r="CM12" s="245"/>
      <c r="CN12" s="245"/>
      <c r="CO12" s="245"/>
      <c r="CP12" s="245"/>
      <c r="CQ12" s="245"/>
      <c r="CR12" s="245"/>
      <c r="CS12" s="245"/>
      <c r="CT12" s="245"/>
      <c r="CU12" s="245"/>
      <c r="CV12" s="245"/>
      <c r="CW12" s="245"/>
      <c r="CX12" s="245"/>
      <c r="CY12" s="245"/>
      <c r="CZ12" s="245"/>
      <c r="DA12" s="245"/>
      <c r="DB12" s="245"/>
      <c r="DC12" s="245"/>
      <c r="DD12" s="245"/>
      <c r="DE12" s="245"/>
      <c r="DF12" s="245"/>
      <c r="DG12" s="245"/>
      <c r="DH12" s="245"/>
      <c r="DI12" s="245"/>
      <c r="DJ12" s="245"/>
      <c r="DK12" s="245"/>
      <c r="DL12" s="245"/>
      <c r="DM12" s="245"/>
      <c r="DN12" s="245"/>
      <c r="DO12" s="245"/>
      <c r="DP12" s="245"/>
      <c r="DQ12" s="245"/>
      <c r="DR12" s="245"/>
      <c r="DS12" s="245"/>
      <c r="DT12" s="245"/>
      <c r="DU12" s="245"/>
      <c r="DV12" s="245"/>
      <c r="DW12" s="245"/>
      <c r="DX12" s="245"/>
      <c r="DY12" s="245"/>
      <c r="DZ12" s="245"/>
      <c r="EA12" s="245"/>
      <c r="EB12" s="245"/>
      <c r="EC12" s="245"/>
      <c r="ED12" s="245"/>
      <c r="EE12" s="245"/>
      <c r="EF12" s="245"/>
      <c r="EG12" s="245"/>
      <c r="EH12" s="245"/>
      <c r="EI12" s="245"/>
      <c r="EJ12" s="245"/>
      <c r="EK12" s="245"/>
      <c r="EL12" s="245"/>
      <c r="EM12" s="245"/>
      <c r="EN12" s="245"/>
      <c r="EO12" s="245"/>
      <c r="EP12" s="245"/>
      <c r="EQ12" s="245"/>
      <c r="ER12" s="245"/>
      <c r="ES12" s="245"/>
      <c r="ET12" s="245"/>
      <c r="EU12" s="245"/>
      <c r="EV12" s="245"/>
      <c r="EW12" s="245"/>
      <c r="EX12" s="245"/>
      <c r="EY12" s="245"/>
      <c r="EZ12" s="245"/>
      <c r="FA12" s="245"/>
      <c r="FB12" s="245"/>
      <c r="FC12" s="245"/>
      <c r="FD12" s="245"/>
      <c r="FE12" s="245"/>
      <c r="FF12" s="245"/>
      <c r="FG12" s="245"/>
      <c r="FH12" s="245"/>
      <c r="FI12" s="245"/>
      <c r="FJ12" s="245"/>
      <c r="FK12" s="245"/>
      <c r="FL12" s="245"/>
      <c r="FM12" s="245"/>
      <c r="FN12" s="245"/>
      <c r="FO12" s="245"/>
      <c r="FP12" s="245"/>
      <c r="FQ12" s="245"/>
      <c r="FR12" s="245"/>
      <c r="FS12" s="245"/>
      <c r="FT12" s="245"/>
      <c r="FU12" s="245"/>
      <c r="FV12" s="245"/>
      <c r="FW12" s="245"/>
      <c r="FX12" s="245"/>
      <c r="FY12" s="245"/>
      <c r="FZ12" s="245"/>
      <c r="GA12" s="245"/>
      <c r="GB12" s="245"/>
      <c r="GC12" s="245"/>
      <c r="GD12" s="245"/>
      <c r="GE12" s="245"/>
      <c r="GF12" s="245"/>
      <c r="GG12" s="245"/>
      <c r="GH12" s="245"/>
      <c r="GI12" s="245"/>
      <c r="GJ12" s="245"/>
      <c r="GK12" s="245"/>
      <c r="GL12" s="245"/>
      <c r="GM12" s="245"/>
      <c r="GN12" s="245"/>
      <c r="GO12" s="245"/>
      <c r="GP12" s="245"/>
      <c r="GQ12" s="245"/>
    </row>
    <row r="13" spans="2:199" x14ac:dyDescent="0.2">
      <c r="B13" t="s">
        <v>15</v>
      </c>
      <c r="C13" t="s">
        <v>154</v>
      </c>
      <c r="D13" s="238">
        <f t="shared" si="0"/>
        <v>43829</v>
      </c>
      <c r="E13" s="238">
        <v>44012</v>
      </c>
      <c r="F13" s="238">
        <v>44196</v>
      </c>
      <c r="G13" s="238">
        <v>44377</v>
      </c>
      <c r="H13" s="238">
        <v>44561</v>
      </c>
      <c r="I13" s="238">
        <v>44742</v>
      </c>
      <c r="J13" s="238">
        <v>44926</v>
      </c>
      <c r="K13" s="238">
        <v>45107</v>
      </c>
      <c r="L13" s="238">
        <v>45291</v>
      </c>
      <c r="M13" s="238">
        <v>45473</v>
      </c>
      <c r="N13" s="238">
        <v>45657</v>
      </c>
      <c r="O13" s="238">
        <v>45838</v>
      </c>
      <c r="P13" s="238">
        <v>46022</v>
      </c>
      <c r="Q13" s="238">
        <v>46203</v>
      </c>
      <c r="R13" s="238">
        <v>46387</v>
      </c>
      <c r="S13" s="238">
        <v>46568</v>
      </c>
      <c r="T13" s="238">
        <v>46752</v>
      </c>
      <c r="U13" s="238">
        <v>46934</v>
      </c>
      <c r="V13" s="238">
        <v>47118</v>
      </c>
      <c r="W13" s="238">
        <v>47299</v>
      </c>
      <c r="X13" s="238">
        <v>47483</v>
      </c>
      <c r="Y13" s="238">
        <v>47664</v>
      </c>
      <c r="Z13" s="238">
        <v>47848</v>
      </c>
      <c r="AA13" s="238">
        <v>48029</v>
      </c>
      <c r="AB13" s="238">
        <v>48213</v>
      </c>
      <c r="AC13" s="238">
        <v>48395</v>
      </c>
      <c r="AD13" s="238">
        <v>48579</v>
      </c>
      <c r="AE13" s="238">
        <v>48760</v>
      </c>
      <c r="AF13" s="238">
        <v>48944</v>
      </c>
      <c r="AG13" s="238"/>
      <c r="AH13" s="238"/>
      <c r="AI13" s="238"/>
      <c r="AJ13" s="238"/>
      <c r="AK13" s="238"/>
      <c r="AL13" s="238"/>
      <c r="AM13" s="238"/>
      <c r="AN13" s="238"/>
      <c r="AO13" s="238"/>
      <c r="AP13" s="238"/>
      <c r="AQ13" s="238"/>
      <c r="AR13" s="238"/>
      <c r="AS13" s="238"/>
      <c r="AT13" s="238"/>
      <c r="AU13" s="238"/>
      <c r="AV13" s="238"/>
      <c r="AW13" s="238"/>
      <c r="AX13" s="238"/>
      <c r="AY13" s="238"/>
      <c r="AZ13" s="238"/>
      <c r="BA13" s="238"/>
      <c r="BB13" s="238"/>
      <c r="BC13" s="238"/>
      <c r="BD13" s="238"/>
      <c r="BE13" s="238"/>
      <c r="BF13" s="238"/>
      <c r="BG13" s="238"/>
      <c r="BH13" s="238"/>
      <c r="BI13" s="238"/>
      <c r="BJ13" s="238"/>
      <c r="BK13" s="238"/>
      <c r="BL13" s="238"/>
      <c r="BM13" s="238"/>
      <c r="BN13" s="238"/>
      <c r="BO13" s="238"/>
      <c r="BP13" s="238"/>
      <c r="BQ13" s="238"/>
      <c r="BR13" s="238"/>
      <c r="BS13" s="238"/>
      <c r="BT13" s="238"/>
      <c r="BU13" s="238"/>
      <c r="BV13" s="238"/>
      <c r="BW13" s="238"/>
      <c r="BX13" s="238"/>
      <c r="BY13" s="238"/>
      <c r="BZ13" s="238"/>
      <c r="CA13" s="238"/>
      <c r="CB13" s="238"/>
      <c r="CC13" s="238"/>
      <c r="CD13" s="238"/>
      <c r="CE13" s="238"/>
      <c r="CF13" s="238"/>
      <c r="CG13" s="238"/>
      <c r="CH13" s="238"/>
      <c r="CI13" s="238"/>
      <c r="CJ13" s="238"/>
      <c r="CK13" s="238"/>
      <c r="CL13" s="238"/>
      <c r="CM13" s="238"/>
      <c r="CN13" s="238"/>
      <c r="CO13" s="238"/>
      <c r="CP13" s="238"/>
      <c r="CQ13" s="238"/>
      <c r="CR13" s="238"/>
      <c r="CS13" s="238"/>
      <c r="CT13" s="238"/>
      <c r="CU13" s="238"/>
      <c r="CV13" s="238"/>
      <c r="CW13" s="238"/>
      <c r="CX13" s="238"/>
      <c r="CY13" s="238"/>
      <c r="CZ13" s="238"/>
      <c r="DA13" s="238"/>
      <c r="DB13" s="238"/>
      <c r="DC13" s="238"/>
      <c r="DD13" s="238"/>
      <c r="DE13" s="238"/>
      <c r="DF13" s="238"/>
      <c r="DG13" s="238"/>
      <c r="DH13" s="238"/>
      <c r="DI13" s="238"/>
      <c r="DJ13" s="238"/>
      <c r="DK13" s="238"/>
      <c r="DL13" s="238"/>
      <c r="DM13" s="238"/>
      <c r="DN13" s="238"/>
      <c r="DO13" s="238"/>
      <c r="DP13" s="238"/>
      <c r="DQ13" s="238"/>
      <c r="DR13" s="238"/>
      <c r="DS13" s="238"/>
      <c r="DT13" s="238"/>
      <c r="DU13" s="238"/>
      <c r="DV13" s="238"/>
      <c r="DW13" s="238"/>
      <c r="DX13" s="238"/>
      <c r="DY13" s="238"/>
      <c r="DZ13" s="238"/>
      <c r="EA13" s="238"/>
      <c r="EB13" s="238"/>
      <c r="EC13" s="238"/>
      <c r="ED13" s="238"/>
      <c r="EE13" s="238"/>
      <c r="EF13" s="238"/>
      <c r="EG13" s="238"/>
      <c r="EH13" s="238"/>
      <c r="EI13" s="238"/>
      <c r="EJ13" s="238"/>
      <c r="EK13" s="238"/>
      <c r="EL13" s="238"/>
      <c r="EM13" s="238"/>
      <c r="EN13" s="238"/>
      <c r="EO13" s="238"/>
      <c r="EP13" s="238"/>
      <c r="EQ13" s="238"/>
      <c r="ER13" s="238"/>
      <c r="ES13" s="238"/>
      <c r="ET13" s="238"/>
      <c r="EU13" s="238"/>
      <c r="EV13" s="238"/>
      <c r="EW13" s="238"/>
      <c r="EX13" s="238"/>
      <c r="EY13" s="238"/>
      <c r="EZ13" s="238"/>
      <c r="FA13" s="238"/>
      <c r="FB13" s="238"/>
      <c r="FC13" s="238"/>
      <c r="FD13" s="238"/>
      <c r="FE13" s="238"/>
      <c r="FF13" s="238"/>
      <c r="FG13" s="238"/>
      <c r="FH13" s="238"/>
      <c r="FI13" s="238"/>
      <c r="FJ13" s="238"/>
      <c r="FK13" s="238"/>
      <c r="FL13" s="238"/>
      <c r="FM13" s="238"/>
      <c r="FN13" s="238"/>
      <c r="FO13" s="238"/>
      <c r="FP13" s="238"/>
      <c r="FQ13" s="238"/>
      <c r="FR13" s="238"/>
      <c r="FS13" s="238"/>
      <c r="FT13" s="238"/>
      <c r="FU13" s="238"/>
      <c r="FV13" s="238"/>
      <c r="FW13" s="238"/>
      <c r="FX13" s="238"/>
      <c r="FY13" s="238"/>
      <c r="FZ13" s="238"/>
      <c r="GA13" s="238"/>
      <c r="GB13" s="238"/>
      <c r="GC13" s="238"/>
      <c r="GD13" s="238"/>
      <c r="GE13" s="238"/>
      <c r="GF13" s="238"/>
      <c r="GG13" s="238"/>
      <c r="GH13" s="238"/>
      <c r="GI13" s="238"/>
      <c r="GJ13" s="238"/>
      <c r="GK13" s="238"/>
      <c r="GL13" s="238"/>
      <c r="GM13" s="238"/>
      <c r="GN13" s="238"/>
      <c r="GO13" s="238"/>
      <c r="GP13" s="238"/>
      <c r="GQ13" s="238"/>
    </row>
    <row r="14" spans="2:199" x14ac:dyDescent="0.2">
      <c r="B14" t="s">
        <v>17</v>
      </c>
      <c r="C14" t="s">
        <v>155</v>
      </c>
      <c r="D14" s="238">
        <f t="shared" si="0"/>
        <v>43829</v>
      </c>
      <c r="E14" s="238">
        <v>44012</v>
      </c>
      <c r="F14" s="238">
        <v>44196</v>
      </c>
      <c r="G14" s="238">
        <v>44377</v>
      </c>
      <c r="H14" s="238">
        <v>44561</v>
      </c>
      <c r="I14" s="238">
        <v>44742</v>
      </c>
      <c r="J14" s="238">
        <v>44926</v>
      </c>
      <c r="K14" s="238">
        <v>45107</v>
      </c>
      <c r="L14" s="238">
        <v>45291</v>
      </c>
      <c r="M14" s="238">
        <v>45473</v>
      </c>
      <c r="N14" s="238">
        <v>45657</v>
      </c>
      <c r="O14" s="238">
        <v>45838</v>
      </c>
      <c r="P14" s="238">
        <v>46022</v>
      </c>
      <c r="Q14" s="238">
        <v>46203</v>
      </c>
      <c r="R14" s="238">
        <v>46387</v>
      </c>
      <c r="S14" s="238">
        <v>46568</v>
      </c>
      <c r="T14" s="238">
        <v>46752</v>
      </c>
      <c r="U14" s="238">
        <v>46934</v>
      </c>
      <c r="V14" s="238">
        <v>47118</v>
      </c>
      <c r="W14" s="238">
        <v>47299</v>
      </c>
      <c r="X14" s="238">
        <v>47483</v>
      </c>
      <c r="Y14" s="238">
        <v>47664</v>
      </c>
      <c r="Z14" s="238">
        <v>47848</v>
      </c>
      <c r="AA14" s="238">
        <v>48029</v>
      </c>
      <c r="AB14" s="238">
        <v>48213</v>
      </c>
      <c r="AC14" s="238">
        <v>48395</v>
      </c>
      <c r="AD14" s="238">
        <v>48579</v>
      </c>
      <c r="AE14" s="238">
        <v>48760</v>
      </c>
      <c r="AF14" s="238">
        <v>48944</v>
      </c>
      <c r="AG14" s="238"/>
      <c r="AH14" s="238"/>
      <c r="AI14" s="238"/>
      <c r="AJ14" s="238"/>
      <c r="AK14" s="238"/>
      <c r="AL14" s="238"/>
      <c r="AM14" s="238"/>
      <c r="AN14" s="238"/>
      <c r="AO14" s="238"/>
      <c r="AP14" s="238"/>
      <c r="AQ14" s="238"/>
      <c r="AR14" s="238"/>
      <c r="AS14" s="238"/>
      <c r="AT14" s="238"/>
      <c r="AU14" s="238"/>
      <c r="AV14" s="238"/>
      <c r="AW14" s="238"/>
      <c r="AX14" s="238"/>
      <c r="AY14" s="238"/>
      <c r="AZ14" s="238"/>
      <c r="BA14" s="238"/>
      <c r="BB14" s="238"/>
      <c r="BC14" s="238"/>
      <c r="BD14" s="238"/>
      <c r="BE14" s="238"/>
      <c r="BF14" s="238"/>
      <c r="BG14" s="238"/>
      <c r="BH14" s="238"/>
      <c r="BI14" s="238"/>
      <c r="BJ14" s="238"/>
      <c r="BK14" s="238"/>
      <c r="BL14" s="238"/>
      <c r="BM14" s="238"/>
      <c r="BN14" s="238"/>
      <c r="BO14" s="238"/>
      <c r="BP14" s="238"/>
      <c r="BQ14" s="238"/>
      <c r="BR14" s="238"/>
      <c r="BS14" s="238"/>
      <c r="BT14" s="238"/>
      <c r="BU14" s="238"/>
      <c r="BV14" s="238"/>
      <c r="BW14" s="238"/>
      <c r="BX14" s="238"/>
      <c r="BY14" s="238"/>
      <c r="BZ14" s="238"/>
      <c r="CA14" s="238"/>
      <c r="CB14" s="238"/>
      <c r="CC14" s="238"/>
      <c r="CD14" s="238"/>
      <c r="CE14" s="238"/>
      <c r="CF14" s="238"/>
      <c r="CG14" s="238"/>
      <c r="CH14" s="238"/>
      <c r="CI14" s="238"/>
      <c r="CJ14" s="238"/>
      <c r="CK14" s="238"/>
      <c r="CL14" s="238"/>
      <c r="CM14" s="238"/>
      <c r="CN14" s="238"/>
      <c r="CO14" s="238"/>
      <c r="CP14" s="238"/>
      <c r="CQ14" s="238"/>
      <c r="CR14" s="238"/>
      <c r="CS14" s="238"/>
      <c r="CT14" s="238"/>
      <c r="CU14" s="238"/>
      <c r="CV14" s="238"/>
      <c r="CW14" s="238"/>
      <c r="CX14" s="238"/>
      <c r="CY14" s="238"/>
      <c r="CZ14" s="238"/>
      <c r="DA14" s="238"/>
      <c r="DB14" s="238"/>
      <c r="DC14" s="238"/>
      <c r="DD14" s="238"/>
      <c r="DE14" s="238"/>
      <c r="DF14" s="238"/>
      <c r="DG14" s="238"/>
      <c r="DH14" s="238"/>
      <c r="DI14" s="238"/>
      <c r="DJ14" s="238"/>
      <c r="DK14" s="238"/>
      <c r="DL14" s="238"/>
      <c r="DM14" s="238"/>
      <c r="DN14" s="238"/>
      <c r="DO14" s="238"/>
      <c r="DP14" s="238"/>
      <c r="DQ14" s="238"/>
      <c r="DR14" s="238"/>
      <c r="DS14" s="238"/>
      <c r="DT14" s="238"/>
      <c r="DU14" s="238"/>
      <c r="DV14" s="238"/>
      <c r="DW14" s="238"/>
      <c r="DX14" s="238"/>
      <c r="DY14" s="238"/>
      <c r="DZ14" s="238"/>
      <c r="EA14" s="238"/>
      <c r="EB14" s="238"/>
      <c r="EC14" s="238"/>
      <c r="ED14" s="238"/>
      <c r="EE14" s="238"/>
      <c r="EF14" s="238"/>
      <c r="EG14" s="238"/>
      <c r="EH14" s="238"/>
      <c r="EI14" s="238"/>
      <c r="EJ14" s="238"/>
      <c r="EK14" s="238"/>
      <c r="EL14" s="238"/>
      <c r="EM14" s="238"/>
      <c r="EN14" s="238"/>
      <c r="EO14" s="238"/>
      <c r="EP14" s="238"/>
      <c r="EQ14" s="238"/>
      <c r="ER14" s="238"/>
      <c r="ES14" s="238"/>
      <c r="ET14" s="238"/>
      <c r="EU14" s="238"/>
      <c r="EV14" s="238"/>
      <c r="EW14" s="238"/>
      <c r="EX14" s="238"/>
      <c r="EY14" s="238"/>
      <c r="EZ14" s="238"/>
      <c r="FA14" s="238"/>
      <c r="FB14" s="238"/>
      <c r="FC14" s="238"/>
      <c r="FD14" s="238"/>
      <c r="FE14" s="238"/>
      <c r="FF14" s="238"/>
      <c r="FG14" s="238"/>
      <c r="FH14" s="238"/>
      <c r="FI14" s="238"/>
      <c r="FJ14" s="238"/>
      <c r="FK14" s="238"/>
      <c r="FL14" s="238"/>
      <c r="FM14" s="238"/>
      <c r="FN14" s="238"/>
      <c r="FO14" s="238"/>
      <c r="FP14" s="238"/>
      <c r="FQ14" s="238"/>
      <c r="FR14" s="238"/>
      <c r="FS14" s="238"/>
      <c r="FT14" s="238"/>
      <c r="FU14" s="238"/>
      <c r="FV14" s="238"/>
      <c r="FW14" s="238"/>
      <c r="FX14" s="238"/>
      <c r="FY14" s="238"/>
      <c r="FZ14" s="238"/>
      <c r="GA14" s="238"/>
      <c r="GB14" s="238"/>
      <c r="GC14" s="238"/>
      <c r="GD14" s="238"/>
      <c r="GE14" s="238"/>
      <c r="GF14" s="238"/>
      <c r="GG14" s="238"/>
      <c r="GH14" s="238"/>
      <c r="GI14" s="238"/>
      <c r="GJ14" s="238"/>
      <c r="GK14" s="238"/>
      <c r="GL14" s="238"/>
      <c r="GM14" s="238"/>
      <c r="GN14" s="238"/>
      <c r="GO14" s="238"/>
      <c r="GP14" s="238"/>
      <c r="GQ14" s="238"/>
    </row>
    <row r="15" spans="2:199" s="32" customFormat="1" x14ac:dyDescent="0.2">
      <c r="B15" t="s">
        <v>25</v>
      </c>
      <c r="C15" t="s">
        <v>156</v>
      </c>
      <c r="D15" s="238">
        <f t="shared" si="0"/>
        <v>43738</v>
      </c>
      <c r="E15" s="238">
        <v>43921</v>
      </c>
      <c r="F15" s="238">
        <v>44104</v>
      </c>
      <c r="G15" s="238">
        <v>44286</v>
      </c>
      <c r="H15" s="238">
        <v>44469</v>
      </c>
      <c r="I15" s="238">
        <v>44651</v>
      </c>
      <c r="J15" s="238">
        <v>44834</v>
      </c>
      <c r="K15" s="238">
        <v>45016</v>
      </c>
      <c r="L15" s="238">
        <v>45199</v>
      </c>
      <c r="M15" s="238">
        <v>45382</v>
      </c>
      <c r="N15" s="238">
        <v>45565</v>
      </c>
      <c r="O15" s="238">
        <v>45747</v>
      </c>
      <c r="P15" s="238">
        <v>45930</v>
      </c>
      <c r="Q15" s="238">
        <v>46112</v>
      </c>
      <c r="R15" s="238">
        <v>46295</v>
      </c>
      <c r="S15" s="238">
        <v>46477</v>
      </c>
      <c r="T15" s="238">
        <v>46660</v>
      </c>
      <c r="U15" s="238">
        <v>46843</v>
      </c>
      <c r="V15" s="238">
        <v>47026</v>
      </c>
      <c r="W15" s="238">
        <v>47208</v>
      </c>
      <c r="X15" s="238">
        <v>47391</v>
      </c>
      <c r="Y15" s="238">
        <v>47573</v>
      </c>
      <c r="Z15" s="238">
        <v>47756</v>
      </c>
      <c r="AA15" s="238">
        <v>47938</v>
      </c>
      <c r="AB15" s="238">
        <v>48121</v>
      </c>
      <c r="AC15" s="238">
        <v>48304</v>
      </c>
      <c r="AD15" s="238">
        <v>48487</v>
      </c>
      <c r="AE15" s="238">
        <v>48669</v>
      </c>
      <c r="AF15" s="238">
        <v>48852</v>
      </c>
      <c r="AG15" s="238">
        <v>49034</v>
      </c>
      <c r="AH15" s="238">
        <v>49217</v>
      </c>
      <c r="AI15" s="238">
        <v>49399</v>
      </c>
      <c r="AJ15" s="238">
        <v>49582</v>
      </c>
      <c r="AK15" s="238">
        <v>49765</v>
      </c>
      <c r="AL15" s="238">
        <v>49948</v>
      </c>
      <c r="AM15" s="238">
        <v>50130</v>
      </c>
      <c r="AN15" s="238">
        <v>50313</v>
      </c>
      <c r="AO15" s="238">
        <v>50495</v>
      </c>
      <c r="AP15" s="238">
        <v>50678</v>
      </c>
      <c r="AQ15" s="238">
        <v>50770</v>
      </c>
      <c r="AR15" s="245"/>
      <c r="AS15" s="245"/>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5"/>
      <c r="BW15" s="245"/>
      <c r="BX15" s="245"/>
      <c r="BY15" s="245"/>
      <c r="BZ15" s="245"/>
      <c r="CA15" s="245"/>
      <c r="CB15" s="245"/>
      <c r="CC15" s="245"/>
      <c r="CD15" s="245"/>
      <c r="CE15" s="245"/>
      <c r="CF15" s="245"/>
      <c r="CG15" s="245"/>
      <c r="CH15" s="245"/>
      <c r="CI15" s="245"/>
      <c r="CJ15" s="245"/>
      <c r="CK15" s="245"/>
      <c r="CL15" s="245"/>
      <c r="CM15" s="245"/>
      <c r="CN15" s="245"/>
      <c r="CO15" s="245"/>
      <c r="CP15" s="245"/>
      <c r="CQ15" s="245"/>
      <c r="CR15" s="245"/>
      <c r="CS15" s="245"/>
      <c r="CT15" s="245"/>
      <c r="CU15" s="245"/>
      <c r="CV15" s="245"/>
      <c r="CW15" s="245"/>
      <c r="CX15" s="245"/>
      <c r="CY15" s="245"/>
      <c r="CZ15" s="245"/>
      <c r="DA15" s="245"/>
      <c r="DB15" s="245"/>
      <c r="DC15" s="245"/>
      <c r="DD15" s="245"/>
      <c r="DE15" s="245"/>
      <c r="DF15" s="245"/>
      <c r="DG15" s="245"/>
      <c r="DH15" s="245"/>
      <c r="DI15" s="245"/>
      <c r="DJ15" s="245"/>
      <c r="DK15" s="245"/>
      <c r="DL15" s="245"/>
      <c r="DM15" s="245"/>
      <c r="DN15" s="245"/>
      <c r="DO15" s="245"/>
      <c r="DP15" s="245"/>
      <c r="DQ15" s="245"/>
      <c r="DR15" s="245"/>
      <c r="DS15" s="245"/>
      <c r="DT15" s="245"/>
      <c r="DU15" s="245"/>
      <c r="DV15" s="245"/>
      <c r="DW15" s="245"/>
      <c r="DX15" s="245"/>
      <c r="DY15" s="245"/>
      <c r="DZ15" s="245"/>
      <c r="EA15" s="245"/>
      <c r="EB15" s="245"/>
      <c r="EC15" s="245"/>
      <c r="ED15" s="245"/>
      <c r="EE15" s="245"/>
      <c r="EF15" s="245"/>
      <c r="EG15" s="245"/>
      <c r="EH15" s="245"/>
      <c r="EI15" s="245"/>
      <c r="EJ15" s="245"/>
      <c r="EK15" s="245"/>
      <c r="EL15" s="245"/>
      <c r="EM15" s="245"/>
      <c r="EN15" s="245"/>
      <c r="EO15" s="245"/>
      <c r="EP15" s="245"/>
      <c r="EQ15" s="245"/>
      <c r="ER15" s="245"/>
      <c r="ES15" s="245"/>
      <c r="ET15" s="245"/>
      <c r="EU15" s="245"/>
      <c r="EV15" s="245"/>
      <c r="EW15" s="245"/>
      <c r="EX15" s="245"/>
      <c r="EY15" s="245"/>
      <c r="EZ15" s="245"/>
      <c r="FA15" s="245"/>
      <c r="FB15" s="245"/>
      <c r="FC15" s="245"/>
      <c r="FD15" s="245"/>
      <c r="FE15" s="245"/>
      <c r="FF15" s="245"/>
      <c r="FG15" s="245"/>
      <c r="FH15" s="245"/>
      <c r="FI15" s="245"/>
      <c r="FJ15" s="245"/>
      <c r="FK15" s="245"/>
      <c r="FL15" s="245"/>
      <c r="FM15" s="245"/>
      <c r="FN15" s="245"/>
      <c r="FO15" s="245"/>
      <c r="FP15" s="245"/>
      <c r="FQ15" s="245"/>
      <c r="FR15" s="245"/>
      <c r="FS15" s="245"/>
      <c r="FT15" s="245"/>
      <c r="FU15" s="245"/>
      <c r="FV15" s="245"/>
      <c r="FW15" s="245"/>
      <c r="FX15" s="245"/>
      <c r="FY15" s="245"/>
      <c r="FZ15" s="245"/>
      <c r="GA15" s="245"/>
      <c r="GB15" s="245"/>
      <c r="GC15" s="245"/>
      <c r="GD15" s="245"/>
      <c r="GE15" s="245"/>
      <c r="GF15" s="245"/>
      <c r="GG15" s="245"/>
      <c r="GH15" s="245"/>
      <c r="GI15" s="245"/>
      <c r="GJ15" s="245"/>
      <c r="GK15" s="245"/>
      <c r="GL15" s="245"/>
      <c r="GM15" s="245"/>
      <c r="GN15" s="245"/>
      <c r="GO15" s="245"/>
      <c r="GP15" s="245"/>
      <c r="GQ15" s="245"/>
    </row>
    <row r="16" spans="2:199" s="32" customFormat="1" x14ac:dyDescent="0.2">
      <c r="B16" t="s">
        <v>27</v>
      </c>
      <c r="C16" t="s">
        <v>158</v>
      </c>
      <c r="D16" s="238">
        <f t="shared" si="0"/>
        <v>43738</v>
      </c>
      <c r="E16" s="238">
        <v>43921</v>
      </c>
      <c r="F16" s="238">
        <v>44104</v>
      </c>
      <c r="G16" s="238">
        <v>44286</v>
      </c>
      <c r="H16" s="238">
        <v>44469</v>
      </c>
      <c r="I16" s="238">
        <v>44651</v>
      </c>
      <c r="J16" s="238">
        <v>44834</v>
      </c>
      <c r="K16" s="238">
        <v>45016</v>
      </c>
      <c r="L16" s="238">
        <v>45199</v>
      </c>
      <c r="M16" s="238">
        <v>45382</v>
      </c>
      <c r="N16" s="238">
        <v>45565</v>
      </c>
      <c r="O16" s="238">
        <v>45747</v>
      </c>
      <c r="P16" s="238">
        <v>45930</v>
      </c>
      <c r="Q16" s="238">
        <v>46112</v>
      </c>
      <c r="R16" s="238">
        <v>46295</v>
      </c>
      <c r="S16" s="238">
        <v>46477</v>
      </c>
      <c r="T16" s="238">
        <v>46660</v>
      </c>
      <c r="U16" s="238">
        <v>46843</v>
      </c>
      <c r="V16" s="238">
        <v>47026</v>
      </c>
      <c r="W16" s="238">
        <v>47208</v>
      </c>
      <c r="X16" s="238">
        <v>47391</v>
      </c>
      <c r="Y16" s="238">
        <v>47573</v>
      </c>
      <c r="Z16" s="238">
        <v>47756</v>
      </c>
      <c r="AA16" s="238">
        <v>47938</v>
      </c>
      <c r="AB16" s="238">
        <v>48121</v>
      </c>
      <c r="AC16" s="238">
        <v>48304</v>
      </c>
      <c r="AD16" s="238">
        <v>48487</v>
      </c>
      <c r="AE16" s="238">
        <v>48669</v>
      </c>
      <c r="AF16" s="238">
        <v>48852</v>
      </c>
      <c r="AG16" s="238">
        <v>49034</v>
      </c>
      <c r="AH16" s="238">
        <v>49217</v>
      </c>
      <c r="AI16" s="238">
        <v>49399</v>
      </c>
      <c r="AJ16" s="238">
        <v>49582</v>
      </c>
      <c r="AK16" s="238">
        <v>49765</v>
      </c>
      <c r="AL16" s="238">
        <v>49948</v>
      </c>
      <c r="AM16" s="238">
        <v>50130</v>
      </c>
      <c r="AN16" s="238">
        <v>50313</v>
      </c>
      <c r="AO16" s="238">
        <v>50495</v>
      </c>
      <c r="AP16" s="238">
        <v>50678</v>
      </c>
      <c r="AQ16" s="238">
        <v>50770</v>
      </c>
      <c r="AR16" s="245"/>
      <c r="AS16" s="245"/>
      <c r="AT16" s="245"/>
      <c r="AU16" s="245"/>
      <c r="AV16" s="245"/>
      <c r="AW16" s="245"/>
      <c r="AX16" s="245"/>
      <c r="AY16" s="245"/>
      <c r="AZ16" s="245"/>
      <c r="BA16" s="245"/>
      <c r="BB16" s="245"/>
      <c r="BC16" s="245"/>
      <c r="BD16" s="245"/>
      <c r="BE16" s="245"/>
      <c r="BF16" s="245"/>
      <c r="BG16" s="245"/>
      <c r="BH16" s="245"/>
      <c r="BI16" s="245"/>
      <c r="BJ16" s="245"/>
      <c r="BK16" s="245"/>
      <c r="BL16" s="245"/>
      <c r="BM16" s="245"/>
      <c r="BN16" s="245"/>
      <c r="BO16" s="245"/>
      <c r="BP16" s="245"/>
      <c r="BQ16" s="245"/>
      <c r="BR16" s="245"/>
      <c r="BS16" s="245"/>
      <c r="BT16" s="245"/>
      <c r="BU16" s="245"/>
      <c r="BV16" s="245"/>
      <c r="BW16" s="245"/>
      <c r="BX16" s="245"/>
      <c r="BY16" s="245"/>
      <c r="BZ16" s="245"/>
      <c r="CA16" s="245"/>
      <c r="CB16" s="245"/>
      <c r="CC16" s="245"/>
      <c r="CD16" s="245"/>
      <c r="CE16" s="245"/>
      <c r="CF16" s="245"/>
      <c r="CG16" s="245"/>
      <c r="CH16" s="245"/>
      <c r="CI16" s="245"/>
      <c r="CJ16" s="245"/>
      <c r="CK16" s="245"/>
      <c r="CL16" s="245"/>
      <c r="CM16" s="245"/>
      <c r="CN16" s="245"/>
      <c r="CO16" s="245"/>
      <c r="CP16" s="245"/>
      <c r="CQ16" s="245"/>
      <c r="CR16" s="245"/>
      <c r="CS16" s="245"/>
      <c r="CT16" s="245"/>
      <c r="CU16" s="245"/>
      <c r="CV16" s="245"/>
      <c r="CW16" s="245"/>
      <c r="CX16" s="245"/>
      <c r="CY16" s="245"/>
      <c r="CZ16" s="245"/>
      <c r="DA16" s="245"/>
      <c r="DB16" s="245"/>
      <c r="DC16" s="245"/>
      <c r="DD16" s="245"/>
      <c r="DE16" s="245"/>
      <c r="DF16" s="245"/>
      <c r="DG16" s="245"/>
      <c r="DH16" s="245"/>
      <c r="DI16" s="245"/>
      <c r="DJ16" s="245"/>
      <c r="DK16" s="245"/>
      <c r="DL16" s="245"/>
      <c r="DM16" s="245"/>
      <c r="DN16" s="245"/>
      <c r="DO16" s="245"/>
      <c r="DP16" s="245"/>
      <c r="DQ16" s="245"/>
      <c r="DR16" s="245"/>
      <c r="DS16" s="245"/>
      <c r="DT16" s="245"/>
      <c r="DU16" s="245"/>
      <c r="DV16" s="245"/>
      <c r="DW16" s="245"/>
      <c r="DX16" s="245"/>
      <c r="DY16" s="245"/>
      <c r="DZ16" s="245"/>
      <c r="EA16" s="245"/>
      <c r="EB16" s="245"/>
      <c r="EC16" s="245"/>
      <c r="ED16" s="245"/>
      <c r="EE16" s="245"/>
      <c r="EF16" s="245"/>
      <c r="EG16" s="245"/>
      <c r="EH16" s="245"/>
      <c r="EI16" s="245"/>
      <c r="EJ16" s="245"/>
      <c r="EK16" s="245"/>
      <c r="EL16" s="245"/>
      <c r="EM16" s="245"/>
      <c r="EN16" s="245"/>
      <c r="EO16" s="245"/>
      <c r="EP16" s="245"/>
      <c r="EQ16" s="245"/>
      <c r="ER16" s="245"/>
      <c r="ES16" s="245"/>
      <c r="ET16" s="245"/>
      <c r="EU16" s="245"/>
      <c r="EV16" s="245"/>
      <c r="EW16" s="245"/>
      <c r="EX16" s="245"/>
      <c r="EY16" s="245"/>
      <c r="EZ16" s="245"/>
      <c r="FA16" s="245"/>
      <c r="FB16" s="245"/>
      <c r="FC16" s="245"/>
      <c r="FD16" s="245"/>
      <c r="FE16" s="245"/>
      <c r="FF16" s="245"/>
      <c r="FG16" s="245"/>
      <c r="FH16" s="245"/>
      <c r="FI16" s="245"/>
      <c r="FJ16" s="245"/>
      <c r="FK16" s="245"/>
      <c r="FL16" s="245"/>
      <c r="FM16" s="245"/>
      <c r="FN16" s="245"/>
      <c r="FO16" s="245"/>
      <c r="FP16" s="245"/>
      <c r="FQ16" s="245"/>
      <c r="FR16" s="245"/>
      <c r="FS16" s="245"/>
      <c r="FT16" s="245"/>
      <c r="FU16" s="245"/>
      <c r="FV16" s="245"/>
      <c r="FW16" s="245"/>
      <c r="FX16" s="245"/>
      <c r="FY16" s="245"/>
      <c r="FZ16" s="245"/>
      <c r="GA16" s="245"/>
      <c r="GB16" s="245"/>
      <c r="GC16" s="245"/>
      <c r="GD16" s="245"/>
      <c r="GE16" s="245"/>
      <c r="GF16" s="245"/>
      <c r="GG16" s="245"/>
      <c r="GH16" s="245"/>
      <c r="GI16" s="245"/>
      <c r="GJ16" s="245"/>
      <c r="GK16" s="245"/>
      <c r="GL16" s="245"/>
      <c r="GM16" s="245"/>
      <c r="GN16" s="245"/>
      <c r="GO16" s="245"/>
      <c r="GP16" s="245"/>
      <c r="GQ16" s="245"/>
    </row>
    <row r="17" spans="2:208" x14ac:dyDescent="0.2">
      <c r="B17" t="s">
        <v>74</v>
      </c>
      <c r="C17" t="s">
        <v>117</v>
      </c>
      <c r="D17" s="238">
        <f t="shared" si="0"/>
        <v>43760</v>
      </c>
      <c r="E17" s="238">
        <v>43943</v>
      </c>
      <c r="F17" s="238">
        <v>44126</v>
      </c>
      <c r="G17" s="238">
        <v>44308</v>
      </c>
      <c r="H17" s="238"/>
      <c r="I17" s="238"/>
      <c r="J17" s="238"/>
      <c r="K17" s="238"/>
      <c r="L17" s="238"/>
      <c r="M17" s="238"/>
      <c r="N17" s="238"/>
      <c r="O17" s="238"/>
      <c r="P17" s="238"/>
      <c r="Q17" s="238"/>
      <c r="R17" s="238"/>
      <c r="S17" s="238"/>
      <c r="T17" s="238"/>
      <c r="U17" s="238"/>
      <c r="V17" s="238"/>
      <c r="W17" s="238"/>
      <c r="X17" s="238"/>
      <c r="Y17" s="238"/>
      <c r="Z17" s="238"/>
      <c r="AA17" s="238"/>
      <c r="AB17" s="238"/>
      <c r="AC17" s="238"/>
      <c r="AD17" s="238"/>
      <c r="AE17" s="238"/>
      <c r="AF17" s="238"/>
      <c r="AG17" s="238"/>
      <c r="AH17" s="238"/>
      <c r="AI17" s="238"/>
      <c r="AJ17" s="238"/>
      <c r="AK17" s="238"/>
      <c r="AL17" s="238"/>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8"/>
      <c r="BK17" s="238"/>
      <c r="BL17" s="238"/>
      <c r="BM17" s="238"/>
      <c r="BN17" s="238"/>
      <c r="BO17" s="238"/>
      <c r="BP17" s="238"/>
      <c r="BQ17" s="238"/>
      <c r="BR17" s="238"/>
      <c r="BS17" s="238"/>
      <c r="BT17" s="238"/>
      <c r="BU17" s="238"/>
      <c r="BV17" s="238"/>
      <c r="BW17" s="238"/>
      <c r="BX17" s="238"/>
      <c r="BY17" s="238"/>
      <c r="BZ17" s="238"/>
      <c r="CA17" s="238"/>
      <c r="CB17" s="238"/>
      <c r="CC17" s="238"/>
      <c r="CD17" s="238"/>
      <c r="CE17" s="238"/>
      <c r="CF17" s="238"/>
      <c r="CG17" s="238"/>
      <c r="CH17" s="238"/>
      <c r="CI17" s="238"/>
      <c r="CJ17" s="238"/>
      <c r="CK17" s="238"/>
      <c r="CL17" s="238"/>
      <c r="CM17" s="238"/>
      <c r="CN17" s="238"/>
      <c r="CO17" s="238"/>
      <c r="CP17" s="238"/>
      <c r="CQ17" s="238"/>
      <c r="CR17" s="238"/>
      <c r="CS17" s="238"/>
      <c r="CT17" s="238"/>
      <c r="CU17" s="238"/>
      <c r="CV17" s="238"/>
      <c r="CW17" s="238"/>
      <c r="CX17" s="238"/>
      <c r="CY17" s="238"/>
      <c r="CZ17" s="238"/>
      <c r="DA17" s="238"/>
      <c r="DB17" s="238"/>
      <c r="DC17" s="238"/>
      <c r="DD17" s="238"/>
      <c r="DE17" s="238"/>
      <c r="DF17" s="238"/>
      <c r="DG17" s="238"/>
      <c r="DH17" s="238"/>
      <c r="DI17" s="238"/>
      <c r="DJ17" s="238"/>
      <c r="DK17" s="238"/>
      <c r="DL17" s="238"/>
      <c r="DM17" s="238"/>
      <c r="DN17" s="238"/>
      <c r="DO17" s="238"/>
      <c r="DP17" s="238"/>
      <c r="DQ17" s="238"/>
      <c r="DR17" s="238"/>
      <c r="DS17" s="238"/>
      <c r="DT17" s="238"/>
      <c r="DU17" s="238"/>
      <c r="DV17" s="238"/>
      <c r="DW17" s="238"/>
      <c r="DX17" s="238"/>
      <c r="DY17" s="238"/>
      <c r="DZ17" s="238"/>
      <c r="EA17" s="238"/>
      <c r="EB17" s="238"/>
      <c r="EC17" s="238"/>
      <c r="ED17" s="238"/>
      <c r="EE17" s="238"/>
      <c r="EF17" s="238"/>
      <c r="EG17" s="238"/>
      <c r="EH17" s="238"/>
      <c r="EI17" s="238"/>
      <c r="EJ17" s="238"/>
      <c r="EK17" s="238"/>
      <c r="EL17" s="238"/>
      <c r="EM17" s="238"/>
      <c r="EN17" s="238"/>
      <c r="EO17" s="238"/>
      <c r="EP17" s="238"/>
      <c r="EQ17" s="238"/>
      <c r="ER17" s="238"/>
      <c r="ES17" s="238"/>
      <c r="ET17" s="238"/>
      <c r="EU17" s="238"/>
      <c r="EV17" s="238"/>
      <c r="EW17" s="238"/>
      <c r="EX17" s="238"/>
      <c r="EY17" s="238"/>
      <c r="EZ17" s="238"/>
      <c r="FA17" s="238"/>
      <c r="FB17" s="238"/>
      <c r="FC17" s="238"/>
      <c r="FD17" s="238"/>
      <c r="FE17" s="238"/>
      <c r="FF17" s="238"/>
      <c r="FG17" s="238"/>
      <c r="FH17" s="238"/>
      <c r="FI17" s="238"/>
      <c r="FJ17" s="238"/>
      <c r="FK17" s="238"/>
      <c r="FL17" s="238"/>
      <c r="FM17" s="238"/>
      <c r="FN17" s="238"/>
      <c r="FO17" s="238"/>
      <c r="FP17" s="238"/>
      <c r="FQ17" s="238"/>
      <c r="FR17" s="238"/>
      <c r="FS17" s="238"/>
      <c r="FT17" s="238"/>
      <c r="FU17" s="238"/>
      <c r="FV17" s="238"/>
      <c r="FW17" s="238"/>
      <c r="FX17" s="238"/>
      <c r="FY17" s="238"/>
      <c r="FZ17" s="238"/>
      <c r="GA17" s="238"/>
      <c r="GB17" s="238"/>
      <c r="GC17" s="238"/>
      <c r="GD17" s="238"/>
      <c r="GE17" s="238"/>
      <c r="GF17" s="238"/>
      <c r="GG17" s="238"/>
      <c r="GH17" s="238"/>
      <c r="GI17" s="238"/>
      <c r="GJ17" s="238"/>
      <c r="GK17" s="238"/>
      <c r="GL17" s="238"/>
      <c r="GM17" s="238"/>
      <c r="GN17" s="238"/>
      <c r="GO17" s="238"/>
      <c r="GP17" s="238"/>
      <c r="GQ17" s="238"/>
    </row>
    <row r="18" spans="2:208" x14ac:dyDescent="0.2">
      <c r="B18" t="s">
        <v>76</v>
      </c>
      <c r="C18" t="s">
        <v>118</v>
      </c>
      <c r="D18" s="238">
        <f t="shared" si="0"/>
        <v>43856</v>
      </c>
      <c r="E18" s="238">
        <v>44038</v>
      </c>
      <c r="F18" s="238">
        <v>44222</v>
      </c>
      <c r="G18" s="238">
        <v>44403</v>
      </c>
      <c r="H18" s="238">
        <v>44587</v>
      </c>
      <c r="I18" s="238"/>
      <c r="J18" s="238"/>
      <c r="K18" s="238"/>
      <c r="L18" s="238"/>
      <c r="M18" s="238"/>
      <c r="N18" s="238"/>
      <c r="O18" s="238"/>
      <c r="P18" s="238"/>
      <c r="Q18" s="238"/>
      <c r="R18" s="238"/>
      <c r="S18" s="238"/>
      <c r="T18" s="238"/>
      <c r="U18" s="238"/>
      <c r="V18" s="238"/>
      <c r="W18" s="238"/>
      <c r="X18" s="238"/>
      <c r="Y18" s="238"/>
      <c r="Z18" s="238"/>
      <c r="AA18" s="238"/>
      <c r="AB18" s="238"/>
      <c r="AC18" s="238"/>
      <c r="AD18" s="238"/>
      <c r="AE18" s="238"/>
      <c r="AF18" s="238"/>
      <c r="AG18" s="238"/>
      <c r="AH18" s="238"/>
      <c r="AI18" s="238"/>
      <c r="AJ18" s="238"/>
      <c r="AK18" s="238"/>
      <c r="AL18" s="238"/>
      <c r="AM18" s="238"/>
      <c r="AN18" s="238"/>
      <c r="AO18" s="238"/>
      <c r="AP18" s="238"/>
      <c r="AQ18" s="238"/>
      <c r="AR18" s="238"/>
      <c r="AS18" s="238"/>
      <c r="AT18" s="238"/>
      <c r="AU18" s="238"/>
      <c r="AV18" s="238"/>
      <c r="AW18" s="238"/>
      <c r="AX18" s="238"/>
      <c r="AY18" s="238"/>
      <c r="AZ18" s="238"/>
      <c r="BA18" s="238"/>
      <c r="BB18" s="238"/>
      <c r="BC18" s="238"/>
      <c r="BD18" s="238"/>
      <c r="BE18" s="238"/>
      <c r="BF18" s="238"/>
      <c r="BG18" s="238"/>
      <c r="BH18" s="238"/>
      <c r="BI18" s="238"/>
      <c r="BJ18" s="238"/>
      <c r="BK18" s="238"/>
      <c r="BL18" s="238"/>
      <c r="BM18" s="238"/>
      <c r="BN18" s="238"/>
      <c r="BO18" s="238"/>
      <c r="BP18" s="238"/>
      <c r="BQ18" s="238"/>
      <c r="BR18" s="238"/>
      <c r="BS18" s="238"/>
      <c r="BT18" s="238"/>
      <c r="BU18" s="238"/>
      <c r="BV18" s="238"/>
      <c r="BW18" s="238"/>
      <c r="BX18" s="238"/>
      <c r="BY18" s="238"/>
      <c r="BZ18" s="238"/>
      <c r="CA18" s="238"/>
      <c r="CB18" s="238"/>
      <c r="CC18" s="238"/>
      <c r="CD18" s="238"/>
      <c r="CE18" s="238"/>
      <c r="CF18" s="238"/>
      <c r="CG18" s="238"/>
      <c r="CH18" s="238"/>
      <c r="CI18" s="238"/>
      <c r="CJ18" s="238"/>
      <c r="CK18" s="238"/>
      <c r="CL18" s="238"/>
      <c r="CM18" s="238"/>
      <c r="CN18" s="238"/>
      <c r="CO18" s="238"/>
      <c r="CP18" s="238"/>
      <c r="CQ18" s="238"/>
      <c r="CR18" s="238"/>
      <c r="CS18" s="238"/>
      <c r="CT18" s="238"/>
      <c r="CU18" s="238"/>
      <c r="CV18" s="238"/>
      <c r="CW18" s="238"/>
      <c r="CX18" s="238"/>
      <c r="CY18" s="238"/>
      <c r="CZ18" s="238"/>
      <c r="DA18" s="238"/>
      <c r="DB18" s="238"/>
      <c r="DC18" s="238"/>
      <c r="DD18" s="238"/>
      <c r="DE18" s="238"/>
      <c r="DF18" s="238"/>
      <c r="DG18" s="238"/>
      <c r="DH18" s="238"/>
      <c r="DI18" s="238"/>
      <c r="DJ18" s="238"/>
      <c r="DK18" s="238"/>
      <c r="DL18" s="238"/>
      <c r="DM18" s="238"/>
      <c r="DN18" s="238"/>
      <c r="DO18" s="238"/>
      <c r="DP18" s="238"/>
      <c r="DQ18" s="238"/>
      <c r="DR18" s="238"/>
      <c r="DS18" s="238"/>
      <c r="DT18" s="238"/>
      <c r="DU18" s="238"/>
      <c r="DV18" s="238"/>
      <c r="DW18" s="238"/>
      <c r="DX18" s="238"/>
      <c r="DY18" s="238"/>
      <c r="DZ18" s="238"/>
      <c r="EA18" s="238"/>
      <c r="EB18" s="238"/>
      <c r="EC18" s="238"/>
      <c r="ED18" s="238"/>
      <c r="EE18" s="238"/>
      <c r="EF18" s="238"/>
      <c r="EG18" s="238"/>
      <c r="EH18" s="238"/>
      <c r="EI18" s="238"/>
      <c r="EJ18" s="238"/>
      <c r="EK18" s="238"/>
      <c r="EL18" s="238"/>
      <c r="EM18" s="238"/>
      <c r="EN18" s="238"/>
      <c r="EO18" s="238"/>
      <c r="EP18" s="238"/>
      <c r="EQ18" s="238"/>
      <c r="ER18" s="238"/>
      <c r="ES18" s="238"/>
      <c r="ET18" s="238"/>
      <c r="EU18" s="238"/>
      <c r="EV18" s="238"/>
      <c r="EW18" s="238"/>
      <c r="EX18" s="238"/>
      <c r="EY18" s="238"/>
      <c r="EZ18" s="238"/>
      <c r="FA18" s="238"/>
      <c r="FB18" s="238"/>
      <c r="FC18" s="238"/>
      <c r="FD18" s="238"/>
      <c r="FE18" s="238"/>
      <c r="FF18" s="238"/>
      <c r="FG18" s="238"/>
      <c r="FH18" s="238"/>
      <c r="FI18" s="238"/>
      <c r="FJ18" s="238"/>
      <c r="FK18" s="238"/>
      <c r="FL18" s="238"/>
      <c r="FM18" s="238"/>
      <c r="FN18" s="238"/>
      <c r="FO18" s="238"/>
      <c r="FP18" s="238"/>
      <c r="FQ18" s="238"/>
      <c r="FR18" s="238"/>
      <c r="FS18" s="238"/>
      <c r="FT18" s="238"/>
      <c r="FU18" s="238"/>
      <c r="FV18" s="238"/>
      <c r="FW18" s="238"/>
      <c r="FX18" s="238"/>
      <c r="FY18" s="238"/>
      <c r="FZ18" s="238"/>
      <c r="GA18" s="238"/>
      <c r="GB18" s="238"/>
      <c r="GC18" s="238"/>
      <c r="GD18" s="238"/>
      <c r="GE18" s="238"/>
      <c r="GF18" s="238"/>
      <c r="GG18" s="238"/>
      <c r="GH18" s="238"/>
      <c r="GI18" s="238"/>
      <c r="GJ18" s="238"/>
      <c r="GK18" s="238"/>
      <c r="GL18" s="238"/>
      <c r="GM18" s="238"/>
      <c r="GN18" s="238"/>
      <c r="GO18" s="238"/>
      <c r="GP18" s="238"/>
      <c r="GQ18" s="238"/>
    </row>
    <row r="19" spans="2:208" x14ac:dyDescent="0.2">
      <c r="B19" t="s">
        <v>32</v>
      </c>
      <c r="C19" t="s">
        <v>119</v>
      </c>
      <c r="D19" s="238">
        <f t="shared" si="0"/>
        <v>43841</v>
      </c>
      <c r="E19" s="238">
        <v>44023</v>
      </c>
      <c r="F19" s="238">
        <v>44207</v>
      </c>
      <c r="G19" s="238">
        <v>44388</v>
      </c>
      <c r="H19" s="238">
        <v>44572</v>
      </c>
      <c r="I19" s="238">
        <v>44753</v>
      </c>
      <c r="J19" s="238">
        <v>44937</v>
      </c>
      <c r="K19" s="238"/>
      <c r="L19" s="238"/>
      <c r="M19" s="238"/>
      <c r="N19" s="238"/>
      <c r="O19" s="238"/>
      <c r="P19" s="238"/>
      <c r="Q19" s="238"/>
      <c r="R19" s="238"/>
      <c r="S19" s="238"/>
      <c r="T19" s="238"/>
      <c r="U19" s="238"/>
      <c r="V19" s="238"/>
      <c r="W19" s="238"/>
      <c r="X19" s="238"/>
      <c r="Y19" s="238"/>
      <c r="Z19" s="238"/>
      <c r="AA19" s="238"/>
      <c r="AB19" s="238"/>
      <c r="AC19" s="238"/>
      <c r="AD19" s="238"/>
      <c r="AE19" s="238"/>
      <c r="AF19" s="238"/>
      <c r="AG19" s="238"/>
      <c r="AH19" s="238"/>
      <c r="AI19" s="238"/>
      <c r="AJ19" s="238"/>
      <c r="AK19" s="238"/>
      <c r="AL19" s="238"/>
      <c r="AM19" s="238"/>
      <c r="AN19" s="238"/>
      <c r="AO19" s="238"/>
      <c r="AP19" s="238"/>
      <c r="AQ19" s="238"/>
      <c r="AR19" s="238"/>
      <c r="AS19" s="238"/>
      <c r="AT19" s="238"/>
      <c r="AU19" s="238"/>
      <c r="AV19" s="238"/>
      <c r="AW19" s="238"/>
      <c r="AX19" s="238"/>
      <c r="AY19" s="238"/>
      <c r="AZ19" s="238"/>
      <c r="BA19" s="238"/>
      <c r="BB19" s="238"/>
      <c r="BC19" s="238"/>
      <c r="BD19" s="238"/>
      <c r="BE19" s="238"/>
      <c r="BF19" s="238"/>
      <c r="BG19" s="238"/>
      <c r="BH19" s="238"/>
      <c r="BI19" s="238"/>
      <c r="BJ19" s="238"/>
      <c r="BK19" s="238"/>
      <c r="BL19" s="238"/>
      <c r="BM19" s="238"/>
      <c r="BN19" s="238"/>
      <c r="BO19" s="238"/>
      <c r="BP19" s="238"/>
      <c r="BQ19" s="238"/>
      <c r="BR19" s="238"/>
      <c r="BS19" s="238"/>
      <c r="BT19" s="238"/>
      <c r="BU19" s="238"/>
      <c r="BV19" s="238"/>
      <c r="BW19" s="238"/>
      <c r="BX19" s="238"/>
      <c r="BY19" s="238"/>
      <c r="BZ19" s="238"/>
      <c r="CA19" s="238"/>
      <c r="CB19" s="238"/>
      <c r="CC19" s="238"/>
      <c r="CD19" s="238"/>
      <c r="CE19" s="238"/>
      <c r="CF19" s="238"/>
      <c r="CG19" s="238"/>
      <c r="CH19" s="238"/>
      <c r="CI19" s="238"/>
      <c r="CJ19" s="238"/>
      <c r="CK19" s="238"/>
      <c r="CL19" s="238"/>
      <c r="CM19" s="238"/>
      <c r="CN19" s="238"/>
      <c r="CO19" s="238"/>
      <c r="CP19" s="238"/>
      <c r="CQ19" s="238"/>
      <c r="CR19" s="238"/>
      <c r="CS19" s="238"/>
      <c r="CT19" s="238"/>
      <c r="CU19" s="238"/>
      <c r="CV19" s="238"/>
      <c r="CW19" s="238"/>
      <c r="CX19" s="238"/>
      <c r="CY19" s="238"/>
      <c r="CZ19" s="238"/>
      <c r="DA19" s="238"/>
      <c r="DB19" s="238"/>
      <c r="DC19" s="238"/>
      <c r="DD19" s="238"/>
      <c r="DE19" s="238"/>
      <c r="DF19" s="238"/>
      <c r="DG19" s="238"/>
      <c r="DH19" s="238"/>
      <c r="DI19" s="238"/>
      <c r="DJ19" s="238"/>
      <c r="DK19" s="238"/>
      <c r="DL19" s="238"/>
      <c r="DM19" s="238"/>
      <c r="DN19" s="238"/>
      <c r="DO19" s="238"/>
      <c r="DP19" s="238"/>
      <c r="DQ19" s="238"/>
      <c r="DR19" s="238"/>
      <c r="DS19" s="238"/>
      <c r="DT19" s="238"/>
      <c r="DU19" s="238"/>
      <c r="DV19" s="238"/>
      <c r="DW19" s="238"/>
      <c r="DX19" s="238"/>
      <c r="DY19" s="238"/>
      <c r="DZ19" s="238"/>
      <c r="EA19" s="238"/>
      <c r="EB19" s="238"/>
      <c r="EC19" s="238"/>
      <c r="ED19" s="238"/>
      <c r="EE19" s="238"/>
      <c r="EF19" s="238"/>
      <c r="EG19" s="238"/>
      <c r="EH19" s="238"/>
      <c r="EI19" s="238"/>
      <c r="EJ19" s="238"/>
      <c r="EK19" s="238"/>
      <c r="EL19" s="238"/>
      <c r="EM19" s="238"/>
      <c r="EN19" s="238"/>
      <c r="EO19" s="238"/>
      <c r="EP19" s="238"/>
      <c r="EQ19" s="238"/>
      <c r="ER19" s="238"/>
      <c r="ES19" s="238"/>
      <c r="ET19" s="238"/>
      <c r="EU19" s="238"/>
      <c r="EV19" s="238"/>
      <c r="EW19" s="238"/>
      <c r="EX19" s="238"/>
      <c r="EY19" s="238"/>
      <c r="EZ19" s="238"/>
      <c r="FA19" s="238"/>
      <c r="FB19" s="238"/>
      <c r="FC19" s="238"/>
      <c r="FD19" s="238"/>
      <c r="FE19" s="238"/>
      <c r="FF19" s="238"/>
      <c r="FG19" s="238"/>
      <c r="FH19" s="238"/>
      <c r="FI19" s="238"/>
      <c r="FJ19" s="238"/>
      <c r="FK19" s="238"/>
      <c r="FL19" s="238"/>
      <c r="FM19" s="238"/>
      <c r="FN19" s="238"/>
      <c r="FO19" s="238"/>
      <c r="FP19" s="238"/>
      <c r="FQ19" s="238"/>
      <c r="FR19" s="238"/>
      <c r="FS19" s="238"/>
      <c r="FT19" s="238"/>
      <c r="FU19" s="238"/>
      <c r="FV19" s="238"/>
      <c r="FW19" s="238"/>
      <c r="FX19" s="238"/>
      <c r="FY19" s="238"/>
      <c r="FZ19" s="238"/>
      <c r="GA19" s="238"/>
      <c r="GB19" s="238"/>
      <c r="GC19" s="238"/>
      <c r="GD19" s="238"/>
      <c r="GE19" s="238"/>
      <c r="GF19" s="238"/>
      <c r="GG19" s="238"/>
      <c r="GH19" s="238"/>
      <c r="GI19" s="238"/>
      <c r="GJ19" s="238"/>
      <c r="GK19" s="238"/>
      <c r="GL19" s="238"/>
      <c r="GM19" s="238"/>
      <c r="GN19" s="238"/>
      <c r="GO19" s="238"/>
      <c r="GP19" s="238"/>
      <c r="GQ19" s="238"/>
    </row>
    <row r="20" spans="2:208" x14ac:dyDescent="0.2">
      <c r="B20" t="s">
        <v>78</v>
      </c>
      <c r="C20" t="s">
        <v>120</v>
      </c>
      <c r="D20" s="238">
        <f t="shared" si="0"/>
        <v>43760</v>
      </c>
      <c r="E20" s="238">
        <v>43943</v>
      </c>
      <c r="F20" s="238">
        <v>44126</v>
      </c>
      <c r="G20" s="238">
        <v>44308</v>
      </c>
      <c r="H20" s="238">
        <v>44491</v>
      </c>
      <c r="I20" s="238">
        <v>44673</v>
      </c>
      <c r="J20" s="238">
        <v>44856</v>
      </c>
      <c r="K20" s="238">
        <v>45038</v>
      </c>
      <c r="L20" s="238">
        <v>45221</v>
      </c>
      <c r="M20" s="238">
        <v>45404</v>
      </c>
      <c r="N20" s="238">
        <v>45587</v>
      </c>
      <c r="O20" s="238">
        <v>45769</v>
      </c>
      <c r="P20" s="238">
        <v>45952</v>
      </c>
      <c r="Q20" s="238">
        <v>46134</v>
      </c>
      <c r="R20" s="238"/>
      <c r="S20" s="238"/>
      <c r="T20" s="238"/>
      <c r="U20" s="238"/>
      <c r="V20" s="238"/>
      <c r="W20" s="238"/>
      <c r="X20" s="238"/>
      <c r="Y20" s="238"/>
      <c r="Z20" s="238"/>
      <c r="AA20" s="238"/>
      <c r="AB20" s="238"/>
      <c r="AC20" s="238"/>
      <c r="AD20" s="238"/>
      <c r="AE20" s="238"/>
      <c r="AF20" s="238"/>
      <c r="AG20" s="238"/>
      <c r="AH20" s="238"/>
      <c r="AI20" s="238"/>
      <c r="AJ20" s="238"/>
      <c r="AK20" s="238"/>
      <c r="AL20" s="238"/>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8"/>
      <c r="BK20" s="238"/>
      <c r="BL20" s="238"/>
      <c r="BM20" s="238"/>
      <c r="BN20" s="238"/>
      <c r="BO20" s="238"/>
      <c r="BP20" s="238"/>
      <c r="BQ20" s="238"/>
      <c r="BR20" s="238"/>
      <c r="BS20" s="238"/>
      <c r="BT20" s="238"/>
      <c r="BU20" s="238"/>
      <c r="BV20" s="238"/>
      <c r="BW20" s="238"/>
      <c r="BX20" s="238"/>
      <c r="BY20" s="238"/>
      <c r="BZ20" s="238"/>
      <c r="CA20" s="238"/>
      <c r="CB20" s="238"/>
      <c r="CC20" s="238"/>
      <c r="CD20" s="238"/>
      <c r="CE20" s="238"/>
      <c r="CF20" s="238"/>
      <c r="CG20" s="238"/>
      <c r="CH20" s="238"/>
      <c r="CI20" s="238"/>
      <c r="CJ20" s="238"/>
      <c r="CK20" s="238"/>
      <c r="CL20" s="238"/>
      <c r="CM20" s="238"/>
      <c r="CN20" s="238"/>
      <c r="CO20" s="238"/>
      <c r="CP20" s="238"/>
      <c r="CQ20" s="238"/>
      <c r="CR20" s="238"/>
      <c r="CS20" s="238"/>
      <c r="CT20" s="238"/>
      <c r="CU20" s="238"/>
      <c r="CV20" s="238"/>
      <c r="CW20" s="238"/>
      <c r="CX20" s="238"/>
      <c r="CY20" s="238"/>
      <c r="CZ20" s="238"/>
      <c r="DA20" s="238"/>
      <c r="DB20" s="238"/>
      <c r="DC20" s="238"/>
      <c r="DD20" s="238"/>
      <c r="DE20" s="238"/>
      <c r="DF20" s="238"/>
      <c r="DG20" s="238"/>
      <c r="DH20" s="238"/>
      <c r="DI20" s="238"/>
      <c r="DJ20" s="238"/>
      <c r="DK20" s="238"/>
      <c r="DL20" s="238"/>
      <c r="DM20" s="238"/>
      <c r="DN20" s="238"/>
      <c r="DO20" s="238"/>
      <c r="DP20" s="238"/>
      <c r="DQ20" s="238"/>
      <c r="DR20" s="238"/>
      <c r="DS20" s="238"/>
      <c r="DT20" s="238"/>
      <c r="DU20" s="238"/>
      <c r="DV20" s="238"/>
      <c r="DW20" s="238"/>
      <c r="DX20" s="238"/>
      <c r="DY20" s="238"/>
      <c r="DZ20" s="238"/>
      <c r="EA20" s="238"/>
      <c r="EB20" s="238"/>
      <c r="EC20" s="238"/>
      <c r="ED20" s="238"/>
      <c r="EE20" s="238"/>
      <c r="EF20" s="238"/>
      <c r="EG20" s="238"/>
      <c r="EH20" s="238"/>
      <c r="EI20" s="238"/>
      <c r="EJ20" s="238"/>
      <c r="EK20" s="238"/>
      <c r="EL20" s="238"/>
      <c r="EM20" s="238"/>
      <c r="EN20" s="238"/>
      <c r="EO20" s="238"/>
      <c r="EP20" s="238"/>
      <c r="EQ20" s="238"/>
      <c r="ER20" s="238"/>
      <c r="ES20" s="238"/>
      <c r="ET20" s="238"/>
      <c r="EU20" s="238"/>
      <c r="EV20" s="238"/>
      <c r="EW20" s="238"/>
      <c r="EX20" s="238"/>
      <c r="EY20" s="238"/>
      <c r="EZ20" s="238"/>
      <c r="FA20" s="238"/>
      <c r="FB20" s="238"/>
      <c r="FC20" s="238"/>
      <c r="FD20" s="238"/>
      <c r="FE20" s="238"/>
      <c r="FF20" s="238"/>
      <c r="FG20" s="238"/>
      <c r="FH20" s="238"/>
      <c r="FI20" s="238"/>
      <c r="FJ20" s="238"/>
      <c r="FK20" s="238"/>
      <c r="FL20" s="238"/>
      <c r="FM20" s="238"/>
      <c r="FN20" s="238"/>
      <c r="FO20" s="238"/>
      <c r="FP20" s="238"/>
      <c r="FQ20" s="238"/>
      <c r="FR20" s="238"/>
      <c r="FS20" s="238"/>
      <c r="FT20" s="238"/>
      <c r="FU20" s="238"/>
      <c r="FV20" s="238"/>
      <c r="FW20" s="238"/>
      <c r="FX20" s="238"/>
      <c r="FY20" s="238"/>
      <c r="FZ20" s="238"/>
      <c r="GA20" s="238"/>
      <c r="GB20" s="238"/>
      <c r="GC20" s="238"/>
      <c r="GD20" s="238"/>
      <c r="GE20" s="238"/>
      <c r="GF20" s="238"/>
      <c r="GG20" s="238"/>
      <c r="GH20" s="238"/>
      <c r="GI20" s="238"/>
      <c r="GJ20" s="238"/>
      <c r="GK20" s="238"/>
      <c r="GL20" s="238"/>
      <c r="GM20" s="238"/>
      <c r="GN20" s="238"/>
      <c r="GO20" s="238"/>
      <c r="GP20" s="238"/>
      <c r="GQ20" s="238"/>
    </row>
    <row r="21" spans="2:208" x14ac:dyDescent="0.2">
      <c r="B21" t="s">
        <v>81</v>
      </c>
      <c r="C21" t="s">
        <v>121</v>
      </c>
      <c r="D21" s="238">
        <f t="shared" si="0"/>
        <v>43856</v>
      </c>
      <c r="E21" s="238">
        <v>44038</v>
      </c>
      <c r="F21" s="238">
        <v>44222</v>
      </c>
      <c r="G21" s="238">
        <v>44403</v>
      </c>
      <c r="H21" s="238">
        <v>44587</v>
      </c>
      <c r="I21" s="238">
        <v>44768</v>
      </c>
      <c r="J21" s="238">
        <v>44952</v>
      </c>
      <c r="K21" s="238">
        <v>45133</v>
      </c>
      <c r="L21" s="238">
        <v>45317</v>
      </c>
      <c r="M21" s="238">
        <v>45499</v>
      </c>
      <c r="N21" s="238">
        <v>45683</v>
      </c>
      <c r="O21" s="238">
        <v>45864</v>
      </c>
      <c r="P21" s="238">
        <v>46048</v>
      </c>
      <c r="Q21" s="238">
        <v>46229</v>
      </c>
      <c r="R21" s="238">
        <v>46413</v>
      </c>
      <c r="S21" s="238"/>
      <c r="T21" s="238"/>
      <c r="U21" s="238"/>
      <c r="V21" s="238"/>
      <c r="W21" s="238"/>
      <c r="X21" s="238"/>
      <c r="Y21" s="238"/>
      <c r="Z21" s="238"/>
      <c r="AA21" s="238"/>
      <c r="AB21" s="238"/>
      <c r="AC21" s="238"/>
      <c r="AD21" s="238"/>
      <c r="AE21" s="238"/>
      <c r="AF21" s="238"/>
      <c r="AG21" s="238"/>
      <c r="AH21" s="238"/>
      <c r="AI21" s="238"/>
      <c r="AJ21" s="238"/>
      <c r="AK21" s="238"/>
      <c r="AL21" s="238"/>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8"/>
      <c r="BK21" s="238"/>
      <c r="BL21" s="238"/>
      <c r="BM21" s="238"/>
      <c r="BN21" s="238"/>
      <c r="BO21" s="238"/>
      <c r="BP21" s="238"/>
      <c r="BQ21" s="238"/>
      <c r="BR21" s="238"/>
      <c r="BS21" s="238"/>
      <c r="BT21" s="238"/>
      <c r="BU21" s="238"/>
      <c r="BV21" s="238"/>
      <c r="BW21" s="238"/>
      <c r="BX21" s="238"/>
      <c r="BY21" s="238"/>
      <c r="BZ21" s="238"/>
      <c r="CA21" s="238"/>
      <c r="CB21" s="238"/>
      <c r="CC21" s="238"/>
      <c r="CD21" s="238"/>
      <c r="CE21" s="238"/>
      <c r="CF21" s="238"/>
      <c r="CG21" s="238"/>
      <c r="CH21" s="238"/>
      <c r="CI21" s="238"/>
      <c r="CJ21" s="238"/>
      <c r="CK21" s="238"/>
      <c r="CL21" s="238"/>
      <c r="CM21" s="238"/>
      <c r="CN21" s="238"/>
      <c r="CO21" s="238"/>
      <c r="CP21" s="238"/>
      <c r="CQ21" s="238"/>
      <c r="CR21" s="238"/>
      <c r="CS21" s="238"/>
      <c r="CT21" s="238"/>
      <c r="CU21" s="238"/>
      <c r="CV21" s="238"/>
      <c r="CW21" s="238"/>
      <c r="CX21" s="238"/>
      <c r="CY21" s="238"/>
      <c r="CZ21" s="238"/>
      <c r="DA21" s="238"/>
      <c r="DB21" s="238"/>
      <c r="DC21" s="238"/>
      <c r="DD21" s="238"/>
      <c r="DE21" s="238"/>
      <c r="DF21" s="238"/>
      <c r="DG21" s="238"/>
      <c r="DH21" s="238"/>
      <c r="DI21" s="238"/>
      <c r="DJ21" s="238"/>
      <c r="DK21" s="238"/>
      <c r="DL21" s="238"/>
      <c r="DM21" s="238"/>
      <c r="DN21" s="238"/>
      <c r="DO21" s="238"/>
      <c r="DP21" s="238"/>
      <c r="DQ21" s="238"/>
      <c r="DR21" s="238"/>
      <c r="DS21" s="238"/>
      <c r="DT21" s="238"/>
      <c r="DU21" s="238"/>
      <c r="DV21" s="238"/>
      <c r="DW21" s="238"/>
      <c r="DX21" s="238"/>
      <c r="DY21" s="238"/>
      <c r="DZ21" s="238"/>
      <c r="EA21" s="238"/>
      <c r="EB21" s="238"/>
      <c r="EC21" s="238"/>
      <c r="ED21" s="238"/>
      <c r="EE21" s="238"/>
      <c r="EF21" s="238"/>
      <c r="EG21" s="238"/>
      <c r="EH21" s="238"/>
      <c r="EI21" s="238"/>
      <c r="EJ21" s="238"/>
      <c r="EK21" s="238"/>
      <c r="EL21" s="238"/>
      <c r="EM21" s="238"/>
      <c r="EN21" s="238"/>
      <c r="EO21" s="238"/>
      <c r="EP21" s="238"/>
      <c r="EQ21" s="238"/>
      <c r="ER21" s="238"/>
      <c r="ES21" s="238"/>
      <c r="ET21" s="238"/>
      <c r="EU21" s="238"/>
      <c r="EV21" s="238"/>
      <c r="EW21" s="238"/>
      <c r="EX21" s="238"/>
      <c r="EY21" s="238"/>
      <c r="EZ21" s="238"/>
      <c r="FA21" s="238"/>
      <c r="FB21" s="238"/>
      <c r="FC21" s="238"/>
      <c r="FD21" s="238"/>
      <c r="FE21" s="238"/>
      <c r="FF21" s="238"/>
      <c r="FG21" s="238"/>
      <c r="FH21" s="238"/>
      <c r="FI21" s="238"/>
      <c r="FJ21" s="238"/>
      <c r="FK21" s="238"/>
      <c r="FL21" s="238"/>
      <c r="FM21" s="238"/>
      <c r="FN21" s="238"/>
      <c r="FO21" s="238"/>
      <c r="FP21" s="238"/>
      <c r="FQ21" s="238"/>
      <c r="FR21" s="238"/>
      <c r="FS21" s="238"/>
      <c r="FT21" s="238"/>
      <c r="FU21" s="238"/>
      <c r="FV21" s="238"/>
      <c r="FW21" s="238"/>
      <c r="FX21" s="238"/>
      <c r="FY21" s="238"/>
      <c r="FZ21" s="238"/>
      <c r="GA21" s="238"/>
      <c r="GB21" s="238"/>
      <c r="GC21" s="238"/>
      <c r="GD21" s="238"/>
      <c r="GE21" s="238"/>
      <c r="GF21" s="238"/>
      <c r="GG21" s="238"/>
      <c r="GH21" s="238"/>
      <c r="GI21" s="238"/>
      <c r="GJ21" s="238"/>
      <c r="GK21" s="238"/>
      <c r="GL21" s="238"/>
      <c r="GM21" s="238"/>
      <c r="GN21" s="238"/>
      <c r="GO21" s="238"/>
      <c r="GP21" s="238"/>
      <c r="GQ21" s="238"/>
    </row>
    <row r="22" spans="2:208" x14ac:dyDescent="0.2">
      <c r="B22" t="s">
        <v>43</v>
      </c>
      <c r="C22" t="s">
        <v>122</v>
      </c>
      <c r="D22" s="238">
        <f t="shared" si="0"/>
        <v>43841</v>
      </c>
      <c r="E22" s="238">
        <v>44023</v>
      </c>
      <c r="F22" s="238">
        <v>44207</v>
      </c>
      <c r="G22" s="238">
        <v>44388</v>
      </c>
      <c r="H22" s="238">
        <v>44572</v>
      </c>
      <c r="I22" s="238">
        <v>44753</v>
      </c>
      <c r="J22" s="238">
        <v>44937</v>
      </c>
      <c r="K22" s="238">
        <v>45118</v>
      </c>
      <c r="L22" s="238">
        <v>45302</v>
      </c>
      <c r="M22" s="238">
        <v>45484</v>
      </c>
      <c r="N22" s="238">
        <v>45668</v>
      </c>
      <c r="O22" s="238">
        <v>45849</v>
      </c>
      <c r="P22" s="238">
        <v>46033</v>
      </c>
      <c r="Q22" s="238">
        <v>46214</v>
      </c>
      <c r="R22" s="238">
        <v>46398</v>
      </c>
      <c r="S22" s="238">
        <v>46579</v>
      </c>
      <c r="T22" s="238">
        <v>46763</v>
      </c>
      <c r="U22" s="238"/>
      <c r="V22" s="238"/>
      <c r="W22" s="238"/>
      <c r="X22" s="238"/>
      <c r="Y22" s="238"/>
      <c r="Z22" s="238"/>
      <c r="AA22" s="238"/>
      <c r="AB22" s="238"/>
      <c r="AC22" s="238"/>
      <c r="AD22" s="238"/>
      <c r="AE22" s="238"/>
      <c r="AF22" s="238"/>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38"/>
      <c r="BK22" s="238"/>
      <c r="BL22" s="238"/>
      <c r="BM22" s="238"/>
      <c r="BN22" s="238"/>
      <c r="BO22" s="238"/>
      <c r="BP22" s="238"/>
      <c r="BQ22" s="238"/>
      <c r="BR22" s="238"/>
      <c r="BS22" s="238"/>
      <c r="BT22" s="238"/>
      <c r="BU22" s="238"/>
      <c r="BV22" s="238"/>
      <c r="BW22" s="238"/>
      <c r="BX22" s="238"/>
      <c r="BY22" s="238"/>
      <c r="BZ22" s="238"/>
      <c r="CA22" s="238"/>
      <c r="CB22" s="238"/>
      <c r="CC22" s="238"/>
      <c r="CD22" s="238"/>
      <c r="CE22" s="238"/>
      <c r="CF22" s="238"/>
      <c r="CG22" s="238"/>
      <c r="CH22" s="238"/>
      <c r="CI22" s="238"/>
      <c r="CJ22" s="238"/>
      <c r="CK22" s="238"/>
      <c r="CL22" s="238"/>
      <c r="CM22" s="238"/>
      <c r="CN22" s="238"/>
      <c r="CO22" s="238"/>
      <c r="CP22" s="238"/>
      <c r="CQ22" s="238"/>
      <c r="CR22" s="238"/>
      <c r="CS22" s="238"/>
      <c r="CT22" s="238"/>
      <c r="CU22" s="238"/>
      <c r="CV22" s="238"/>
      <c r="CW22" s="238"/>
      <c r="CX22" s="238"/>
      <c r="CY22" s="238"/>
      <c r="CZ22" s="238"/>
      <c r="DA22" s="238"/>
      <c r="DB22" s="238"/>
      <c r="DC22" s="238"/>
      <c r="DD22" s="238"/>
      <c r="DE22" s="238"/>
      <c r="DF22" s="238"/>
      <c r="DG22" s="238"/>
      <c r="DH22" s="238"/>
      <c r="DI22" s="238"/>
      <c r="DJ22" s="238"/>
      <c r="DK22" s="238"/>
      <c r="DL22" s="238"/>
      <c r="DM22" s="238"/>
      <c r="DN22" s="238"/>
      <c r="DO22" s="238"/>
      <c r="DP22" s="238"/>
      <c r="DQ22" s="238"/>
      <c r="DR22" s="238"/>
      <c r="DS22" s="238"/>
      <c r="DT22" s="238"/>
      <c r="DU22" s="238"/>
      <c r="DV22" s="238"/>
      <c r="DW22" s="238"/>
      <c r="DX22" s="238"/>
      <c r="DY22" s="238"/>
      <c r="DZ22" s="238"/>
      <c r="EA22" s="238"/>
      <c r="EB22" s="238"/>
      <c r="EC22" s="238"/>
      <c r="ED22" s="238"/>
      <c r="EE22" s="238"/>
      <c r="EF22" s="238"/>
      <c r="EG22" s="238"/>
      <c r="EH22" s="238"/>
      <c r="EI22" s="238"/>
      <c r="EJ22" s="238"/>
      <c r="EK22" s="238"/>
      <c r="EL22" s="238"/>
      <c r="EM22" s="238"/>
      <c r="EN22" s="238"/>
      <c r="EO22" s="238"/>
      <c r="EP22" s="238"/>
      <c r="EQ22" s="238"/>
      <c r="ER22" s="238"/>
      <c r="ES22" s="238"/>
      <c r="ET22" s="238"/>
      <c r="EU22" s="238"/>
      <c r="EV22" s="238"/>
      <c r="EW22" s="238"/>
      <c r="EX22" s="238"/>
      <c r="EY22" s="238"/>
      <c r="EZ22" s="238"/>
      <c r="FA22" s="238"/>
      <c r="FB22" s="238"/>
      <c r="FC22" s="238"/>
      <c r="FD22" s="238"/>
      <c r="FE22" s="238"/>
      <c r="FF22" s="238"/>
      <c r="FG22" s="238"/>
      <c r="FH22" s="238"/>
      <c r="FI22" s="238"/>
      <c r="FJ22" s="238"/>
      <c r="FK22" s="238"/>
      <c r="FL22" s="238"/>
      <c r="FM22" s="238"/>
      <c r="FN22" s="238"/>
      <c r="FO22" s="238"/>
      <c r="FP22" s="238"/>
      <c r="FQ22" s="238"/>
      <c r="FR22" s="238"/>
      <c r="FS22" s="238"/>
      <c r="FT22" s="238"/>
      <c r="FU22" s="238"/>
      <c r="FV22" s="238"/>
      <c r="FW22" s="238"/>
      <c r="FX22" s="238"/>
      <c r="FY22" s="238"/>
      <c r="FZ22" s="238"/>
      <c r="GA22" s="238"/>
      <c r="GB22" s="238"/>
      <c r="GC22" s="238"/>
      <c r="GD22" s="238"/>
      <c r="GE22" s="238"/>
      <c r="GF22" s="238"/>
      <c r="GG22" s="238"/>
      <c r="GH22" s="238"/>
      <c r="GI22" s="238"/>
      <c r="GJ22" s="238"/>
      <c r="GK22" s="238"/>
      <c r="GL22" s="238"/>
      <c r="GM22" s="238"/>
      <c r="GN22" s="238"/>
      <c r="GO22" s="238"/>
      <c r="GP22" s="238"/>
      <c r="GQ22" s="238"/>
    </row>
    <row r="23" spans="2:208" x14ac:dyDescent="0.2">
      <c r="B23" t="s">
        <v>83</v>
      </c>
      <c r="C23" t="s">
        <v>123</v>
      </c>
      <c r="D23" s="238">
        <f t="shared" si="0"/>
        <v>43836</v>
      </c>
      <c r="E23" s="238">
        <v>44018</v>
      </c>
      <c r="F23" s="238">
        <f>EDATE(E23,6)</f>
        <v>44202</v>
      </c>
      <c r="G23" s="238">
        <f t="shared" ref="G23:U23" si="1">EDATE(F23,6)</f>
        <v>44383</v>
      </c>
      <c r="H23" s="238">
        <f t="shared" si="1"/>
        <v>44567</v>
      </c>
      <c r="I23" s="238">
        <f t="shared" si="1"/>
        <v>44748</v>
      </c>
      <c r="J23" s="238">
        <f t="shared" si="1"/>
        <v>44932</v>
      </c>
      <c r="K23" s="238">
        <f t="shared" si="1"/>
        <v>45113</v>
      </c>
      <c r="L23" s="238">
        <f t="shared" si="1"/>
        <v>45297</v>
      </c>
      <c r="M23" s="238">
        <f t="shared" si="1"/>
        <v>45479</v>
      </c>
      <c r="N23" s="238">
        <f t="shared" si="1"/>
        <v>45663</v>
      </c>
      <c r="O23" s="238">
        <f t="shared" si="1"/>
        <v>45844</v>
      </c>
      <c r="P23" s="238">
        <f t="shared" si="1"/>
        <v>46028</v>
      </c>
      <c r="Q23" s="238">
        <f t="shared" si="1"/>
        <v>46209</v>
      </c>
      <c r="R23" s="238">
        <f t="shared" si="1"/>
        <v>46393</v>
      </c>
      <c r="S23" s="238">
        <f t="shared" si="1"/>
        <v>46574</v>
      </c>
      <c r="T23" s="238">
        <f t="shared" si="1"/>
        <v>46758</v>
      </c>
      <c r="U23" s="238">
        <f t="shared" si="1"/>
        <v>46940</v>
      </c>
      <c r="V23" s="238"/>
      <c r="W23" s="238"/>
      <c r="X23" s="238"/>
      <c r="Y23" s="238"/>
      <c r="Z23" s="238"/>
      <c r="AA23" s="238"/>
      <c r="AB23" s="238"/>
      <c r="AC23" s="238"/>
      <c r="AD23" s="238"/>
      <c r="AE23" s="238"/>
      <c r="AF23" s="238"/>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38"/>
      <c r="BK23" s="238"/>
      <c r="BL23" s="238"/>
      <c r="BM23" s="238"/>
      <c r="BN23" s="238"/>
      <c r="BO23" s="238"/>
      <c r="BP23" s="238"/>
      <c r="BQ23" s="238"/>
      <c r="BR23" s="238"/>
      <c r="BS23" s="238"/>
      <c r="BT23" s="238"/>
      <c r="BU23" s="238"/>
      <c r="BV23" s="238"/>
      <c r="BW23" s="238"/>
      <c r="BX23" s="238"/>
      <c r="BY23" s="238"/>
      <c r="BZ23" s="238"/>
      <c r="CA23" s="238"/>
      <c r="CB23" s="238"/>
      <c r="CC23" s="238"/>
      <c r="CD23" s="238"/>
      <c r="CE23" s="238"/>
      <c r="CF23" s="238"/>
      <c r="CG23" s="238"/>
      <c r="CH23" s="238"/>
      <c r="CI23" s="238"/>
      <c r="CJ23" s="238"/>
      <c r="CK23" s="238"/>
      <c r="CL23" s="238"/>
      <c r="CM23" s="238"/>
      <c r="CN23" s="238"/>
      <c r="CO23" s="238"/>
      <c r="CP23" s="238"/>
      <c r="CQ23" s="238"/>
      <c r="CR23" s="238"/>
      <c r="CS23" s="238"/>
      <c r="CT23" s="238"/>
      <c r="CU23" s="238"/>
      <c r="CV23" s="238"/>
      <c r="CW23" s="238"/>
      <c r="CX23" s="238"/>
      <c r="CY23" s="238"/>
      <c r="CZ23" s="238"/>
      <c r="DA23" s="238"/>
      <c r="DB23" s="238"/>
      <c r="DC23" s="238"/>
      <c r="DD23" s="238"/>
      <c r="DE23" s="238"/>
      <c r="DF23" s="238"/>
      <c r="DG23" s="238"/>
      <c r="DH23" s="238"/>
      <c r="DI23" s="238"/>
      <c r="DJ23" s="238"/>
      <c r="DK23" s="238"/>
      <c r="DL23" s="238"/>
      <c r="DM23" s="238"/>
      <c r="DN23" s="238"/>
      <c r="DO23" s="238"/>
      <c r="DP23" s="238"/>
      <c r="DQ23" s="238"/>
      <c r="DR23" s="238"/>
      <c r="DS23" s="238"/>
      <c r="DT23" s="238"/>
      <c r="DU23" s="238"/>
      <c r="DV23" s="238"/>
      <c r="DW23" s="238"/>
      <c r="DX23" s="238"/>
      <c r="DY23" s="238"/>
      <c r="DZ23" s="238"/>
      <c r="EA23" s="238"/>
      <c r="EB23" s="238"/>
      <c r="EC23" s="238"/>
      <c r="ED23" s="238"/>
      <c r="EE23" s="238"/>
      <c r="EF23" s="238"/>
      <c r="EG23" s="238"/>
      <c r="EH23" s="238"/>
      <c r="EI23" s="238"/>
      <c r="EJ23" s="238"/>
      <c r="EK23" s="238"/>
      <c r="EL23" s="238"/>
      <c r="EM23" s="238"/>
      <c r="EN23" s="238"/>
      <c r="EO23" s="238"/>
      <c r="EP23" s="238"/>
      <c r="EQ23" s="238"/>
      <c r="ER23" s="238"/>
      <c r="ES23" s="238"/>
      <c r="ET23" s="238"/>
      <c r="EU23" s="238"/>
      <c r="EV23" s="238"/>
      <c r="EW23" s="238"/>
      <c r="EX23" s="238"/>
      <c r="EY23" s="238"/>
      <c r="EZ23" s="238"/>
      <c r="FA23" s="238"/>
      <c r="FB23" s="238"/>
      <c r="FC23" s="238"/>
      <c r="FD23" s="238"/>
      <c r="FE23" s="238"/>
      <c r="FF23" s="238"/>
      <c r="FG23" s="238"/>
      <c r="FH23" s="238"/>
      <c r="FI23" s="238"/>
      <c r="FJ23" s="238"/>
      <c r="FK23" s="238"/>
      <c r="FL23" s="238"/>
      <c r="FM23" s="238"/>
      <c r="FN23" s="238"/>
      <c r="FO23" s="238"/>
      <c r="FP23" s="238"/>
      <c r="FQ23" s="238"/>
      <c r="FR23" s="238"/>
      <c r="FS23" s="238"/>
      <c r="FT23" s="238"/>
      <c r="FU23" s="238"/>
      <c r="FV23" s="238"/>
      <c r="FW23" s="238"/>
      <c r="FX23" s="238"/>
      <c r="FY23" s="238"/>
      <c r="FZ23" s="238"/>
      <c r="GA23" s="238"/>
      <c r="GB23" s="238"/>
      <c r="GC23" s="238"/>
      <c r="GD23" s="238"/>
      <c r="GE23" s="238"/>
      <c r="GF23" s="238"/>
      <c r="GG23" s="238"/>
      <c r="GH23" s="238"/>
      <c r="GI23" s="238"/>
      <c r="GJ23" s="238"/>
      <c r="GK23" s="238"/>
      <c r="GL23" s="238"/>
      <c r="GM23" s="238"/>
      <c r="GN23" s="238"/>
      <c r="GO23" s="238"/>
      <c r="GP23" s="238"/>
      <c r="GQ23" s="238"/>
    </row>
    <row r="24" spans="2:208" x14ac:dyDescent="0.2">
      <c r="B24" t="s">
        <v>85</v>
      </c>
      <c r="C24" t="s">
        <v>124</v>
      </c>
      <c r="D24" s="238">
        <f t="shared" si="0"/>
        <v>43836</v>
      </c>
      <c r="E24" s="238">
        <v>44018</v>
      </c>
      <c r="F24" s="238">
        <v>44202</v>
      </c>
      <c r="G24" s="238">
        <v>44383</v>
      </c>
      <c r="H24" s="238">
        <v>44567</v>
      </c>
      <c r="I24" s="238">
        <v>44748</v>
      </c>
      <c r="J24" s="238">
        <v>44932</v>
      </c>
      <c r="K24" s="238">
        <v>45113</v>
      </c>
      <c r="L24" s="238">
        <v>45297</v>
      </c>
      <c r="M24" s="238">
        <v>45479</v>
      </c>
      <c r="N24" s="238">
        <v>45663</v>
      </c>
      <c r="O24" s="238">
        <v>45844</v>
      </c>
      <c r="P24" s="238">
        <v>46028</v>
      </c>
      <c r="Q24" s="238">
        <v>46209</v>
      </c>
      <c r="R24" s="238">
        <v>46393</v>
      </c>
      <c r="S24" s="238">
        <v>46574</v>
      </c>
      <c r="T24" s="238">
        <v>46758</v>
      </c>
      <c r="U24" s="238">
        <v>46940</v>
      </c>
      <c r="V24" s="238">
        <v>47124</v>
      </c>
      <c r="W24" s="238">
        <v>47305</v>
      </c>
      <c r="X24" s="238">
        <v>47489</v>
      </c>
      <c r="Y24" s="238">
        <v>47670</v>
      </c>
      <c r="Z24" s="238">
        <v>47854</v>
      </c>
      <c r="AA24" s="238">
        <v>48035</v>
      </c>
      <c r="AB24" s="238">
        <v>48219</v>
      </c>
      <c r="AC24" s="238">
        <v>48401</v>
      </c>
      <c r="AD24" s="238">
        <v>48585</v>
      </c>
      <c r="AE24" s="238">
        <v>48766</v>
      </c>
      <c r="AF24" s="238">
        <v>48950</v>
      </c>
      <c r="AG24" s="238">
        <v>49131</v>
      </c>
      <c r="AH24" s="238">
        <v>49315</v>
      </c>
      <c r="AI24" s="238">
        <v>49496</v>
      </c>
      <c r="AJ24" s="238">
        <v>49680</v>
      </c>
      <c r="AK24" s="238">
        <v>49862</v>
      </c>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8"/>
      <c r="BK24" s="238"/>
      <c r="BL24" s="238"/>
      <c r="BM24" s="238"/>
      <c r="BN24" s="238"/>
      <c r="BO24" s="238"/>
      <c r="BP24" s="238"/>
      <c r="BQ24" s="238"/>
      <c r="BR24" s="238"/>
      <c r="BS24" s="238"/>
      <c r="BT24" s="238"/>
      <c r="BU24" s="238"/>
      <c r="BV24" s="238"/>
      <c r="BW24" s="238"/>
      <c r="BX24" s="238"/>
      <c r="BY24" s="238"/>
      <c r="BZ24" s="238"/>
      <c r="CA24" s="238"/>
      <c r="CB24" s="238"/>
      <c r="CC24" s="238"/>
      <c r="CD24" s="238"/>
      <c r="CE24" s="238"/>
      <c r="CF24" s="238"/>
      <c r="CG24" s="238"/>
      <c r="CH24" s="238"/>
      <c r="CI24" s="238"/>
      <c r="CJ24" s="238"/>
      <c r="CK24" s="238"/>
      <c r="CL24" s="238"/>
      <c r="CM24" s="238"/>
      <c r="CN24" s="238"/>
      <c r="CO24" s="238"/>
      <c r="CP24" s="238"/>
      <c r="CQ24" s="238"/>
      <c r="CR24" s="238"/>
      <c r="CS24" s="238"/>
      <c r="CT24" s="238"/>
      <c r="CU24" s="238"/>
      <c r="CV24" s="238"/>
      <c r="CW24" s="238"/>
      <c r="CX24" s="238"/>
      <c r="CY24" s="238"/>
      <c r="CZ24" s="238"/>
      <c r="DA24" s="238"/>
      <c r="DB24" s="238"/>
      <c r="DC24" s="238"/>
      <c r="DD24" s="238"/>
      <c r="DE24" s="238"/>
      <c r="DF24" s="238"/>
      <c r="DG24" s="238"/>
      <c r="DH24" s="238"/>
      <c r="DI24" s="238"/>
      <c r="DJ24" s="238"/>
      <c r="DK24" s="238"/>
      <c r="DL24" s="238"/>
      <c r="DM24" s="238"/>
      <c r="DN24" s="238"/>
      <c r="DO24" s="238"/>
      <c r="DP24" s="238"/>
      <c r="DQ24" s="238"/>
      <c r="DR24" s="238"/>
      <c r="DS24" s="238"/>
      <c r="DT24" s="238"/>
      <c r="DU24" s="238"/>
      <c r="DV24" s="238"/>
      <c r="DW24" s="238"/>
      <c r="DX24" s="238"/>
      <c r="DY24" s="238"/>
      <c r="DZ24" s="238"/>
      <c r="EA24" s="238"/>
      <c r="EB24" s="238"/>
      <c r="EC24" s="238"/>
      <c r="ED24" s="238"/>
      <c r="EE24" s="238"/>
      <c r="EF24" s="238"/>
      <c r="EG24" s="238"/>
      <c r="EH24" s="238"/>
      <c r="EI24" s="238"/>
      <c r="EJ24" s="238"/>
      <c r="EK24" s="238"/>
      <c r="EL24" s="238"/>
      <c r="EM24" s="238"/>
      <c r="EN24" s="238"/>
      <c r="EO24" s="238"/>
      <c r="EP24" s="238"/>
      <c r="EQ24" s="238"/>
      <c r="ER24" s="238"/>
      <c r="ES24" s="238"/>
      <c r="ET24" s="238"/>
      <c r="EU24" s="238"/>
      <c r="EV24" s="238"/>
      <c r="EW24" s="238"/>
      <c r="EX24" s="238"/>
      <c r="EY24" s="238"/>
      <c r="EZ24" s="238"/>
      <c r="FA24" s="238"/>
      <c r="FB24" s="238"/>
      <c r="FC24" s="238"/>
      <c r="FD24" s="238"/>
      <c r="FE24" s="238"/>
      <c r="FF24" s="238"/>
      <c r="FG24" s="238"/>
      <c r="FH24" s="238"/>
      <c r="FI24" s="238"/>
      <c r="FJ24" s="238"/>
      <c r="FK24" s="238"/>
      <c r="FL24" s="238"/>
      <c r="FM24" s="238"/>
      <c r="FN24" s="238"/>
      <c r="FO24" s="238"/>
      <c r="FP24" s="238"/>
      <c r="FQ24" s="238"/>
      <c r="FR24" s="238"/>
      <c r="FS24" s="238"/>
      <c r="FT24" s="238"/>
      <c r="FU24" s="238"/>
      <c r="FV24" s="238"/>
      <c r="FW24" s="238"/>
      <c r="FX24" s="238"/>
      <c r="FY24" s="238"/>
      <c r="FZ24" s="238"/>
      <c r="GA24" s="238"/>
      <c r="GB24" s="238"/>
      <c r="GC24" s="238"/>
      <c r="GD24" s="238"/>
      <c r="GE24" s="238"/>
      <c r="GF24" s="238"/>
      <c r="GG24" s="238"/>
      <c r="GH24" s="238"/>
      <c r="GI24" s="238"/>
      <c r="GJ24" s="238"/>
      <c r="GK24" s="238"/>
      <c r="GL24" s="238"/>
      <c r="GM24" s="238"/>
      <c r="GN24" s="238"/>
      <c r="GO24" s="238"/>
      <c r="GP24" s="238"/>
      <c r="GQ24" s="238"/>
    </row>
    <row r="25" spans="2:208" x14ac:dyDescent="0.2">
      <c r="B25" t="s">
        <v>88</v>
      </c>
      <c r="C25" t="s">
        <v>125</v>
      </c>
      <c r="D25" s="238">
        <f t="shared" si="0"/>
        <v>43760</v>
      </c>
      <c r="E25" s="238">
        <v>43943</v>
      </c>
      <c r="F25" s="238">
        <v>44126</v>
      </c>
      <c r="G25" s="238">
        <v>44308</v>
      </c>
      <c r="H25" s="238">
        <v>44491</v>
      </c>
      <c r="I25" s="238">
        <v>44673</v>
      </c>
      <c r="J25" s="238">
        <v>44856</v>
      </c>
      <c r="K25" s="238">
        <v>45038</v>
      </c>
      <c r="L25" s="238">
        <v>45221</v>
      </c>
      <c r="M25" s="238">
        <v>45404</v>
      </c>
      <c r="N25" s="238">
        <v>45587</v>
      </c>
      <c r="O25" s="238">
        <v>45769</v>
      </c>
      <c r="P25" s="238">
        <v>45952</v>
      </c>
      <c r="Q25" s="238">
        <v>46134</v>
      </c>
      <c r="R25" s="238">
        <v>46317</v>
      </c>
      <c r="S25" s="238">
        <v>46499</v>
      </c>
      <c r="T25" s="238">
        <v>46682</v>
      </c>
      <c r="U25" s="238">
        <v>46865</v>
      </c>
      <c r="V25" s="238">
        <v>47048</v>
      </c>
      <c r="W25" s="238">
        <v>47230</v>
      </c>
      <c r="X25" s="238">
        <v>47413</v>
      </c>
      <c r="Y25" s="238">
        <v>47595</v>
      </c>
      <c r="Z25" s="238">
        <v>47778</v>
      </c>
      <c r="AA25" s="238">
        <v>47960</v>
      </c>
      <c r="AB25" s="238">
        <v>48143</v>
      </c>
      <c r="AC25" s="238">
        <v>48326</v>
      </c>
      <c r="AD25" s="238">
        <v>48509</v>
      </c>
      <c r="AE25" s="238">
        <v>48691</v>
      </c>
      <c r="AF25" s="238">
        <v>48874</v>
      </c>
      <c r="AG25" s="238">
        <v>49056</v>
      </c>
      <c r="AH25" s="238">
        <v>49239</v>
      </c>
      <c r="AI25" s="238">
        <v>49421</v>
      </c>
      <c r="AJ25" s="238">
        <v>49604</v>
      </c>
      <c r="AK25" s="238">
        <v>49787</v>
      </c>
      <c r="AL25" s="238">
        <v>49970</v>
      </c>
      <c r="AM25" s="238">
        <v>50152</v>
      </c>
      <c r="AN25" s="238">
        <v>50335</v>
      </c>
      <c r="AO25" s="238">
        <v>50517</v>
      </c>
      <c r="AP25" s="238">
        <v>50700</v>
      </c>
      <c r="AQ25" s="238">
        <v>50882</v>
      </c>
      <c r="AR25" s="238">
        <v>51065</v>
      </c>
      <c r="AS25" s="238">
        <v>51248</v>
      </c>
      <c r="AT25" s="238">
        <v>51431</v>
      </c>
      <c r="AU25" s="238">
        <v>51613</v>
      </c>
      <c r="AV25" s="238">
        <v>51796</v>
      </c>
      <c r="AW25" s="238">
        <v>51978</v>
      </c>
      <c r="AX25" s="238">
        <v>52161</v>
      </c>
      <c r="AY25" s="238">
        <v>52343</v>
      </c>
      <c r="AZ25" s="238">
        <v>52526</v>
      </c>
      <c r="BA25" s="238">
        <v>52709</v>
      </c>
      <c r="BB25" s="238">
        <v>52892</v>
      </c>
      <c r="BC25" s="238">
        <v>53074</v>
      </c>
      <c r="BD25" s="238">
        <v>53257</v>
      </c>
      <c r="BE25" s="238">
        <v>53439</v>
      </c>
      <c r="BF25" s="238"/>
      <c r="BG25" s="238"/>
      <c r="BH25" s="238"/>
      <c r="BI25" s="238"/>
      <c r="BJ25" s="238"/>
      <c r="BK25" s="238"/>
      <c r="BL25" s="238"/>
      <c r="BM25" s="238"/>
      <c r="BN25" s="238"/>
      <c r="BO25" s="238"/>
      <c r="BP25" s="238"/>
      <c r="BQ25" s="238"/>
      <c r="BR25" s="238"/>
      <c r="BS25" s="238"/>
      <c r="BT25" s="238"/>
      <c r="BU25" s="238"/>
      <c r="BV25" s="238"/>
      <c r="BW25" s="238"/>
      <c r="BX25" s="238"/>
      <c r="BY25" s="238"/>
      <c r="BZ25" s="238"/>
      <c r="CA25" s="238"/>
      <c r="CB25" s="238"/>
      <c r="CC25" s="238"/>
      <c r="CD25" s="238"/>
      <c r="CE25" s="238"/>
      <c r="CF25" s="238"/>
      <c r="CG25" s="238"/>
      <c r="CH25" s="238"/>
      <c r="CI25" s="238"/>
      <c r="CJ25" s="238"/>
      <c r="CK25" s="238"/>
      <c r="CL25" s="238"/>
      <c r="CM25" s="238"/>
      <c r="CN25" s="238"/>
      <c r="CO25" s="238"/>
      <c r="CP25" s="238"/>
      <c r="CQ25" s="238"/>
      <c r="CR25" s="238"/>
      <c r="CS25" s="238"/>
      <c r="CT25" s="238"/>
      <c r="CU25" s="238"/>
      <c r="CV25" s="238"/>
      <c r="CW25" s="238"/>
      <c r="CX25" s="238"/>
      <c r="CY25" s="238"/>
      <c r="CZ25" s="238"/>
      <c r="DA25" s="238"/>
      <c r="DB25" s="238"/>
      <c r="DC25" s="238"/>
      <c r="DD25" s="238"/>
      <c r="DE25" s="238"/>
      <c r="DF25" s="238"/>
      <c r="DG25" s="238"/>
      <c r="DH25" s="238"/>
      <c r="DI25" s="238"/>
      <c r="DJ25" s="238"/>
      <c r="DK25" s="238"/>
      <c r="DL25" s="238"/>
      <c r="DM25" s="238"/>
      <c r="DN25" s="238"/>
      <c r="DO25" s="238"/>
      <c r="DP25" s="238"/>
      <c r="DQ25" s="238"/>
      <c r="DR25" s="238"/>
      <c r="DS25" s="238"/>
      <c r="DT25" s="238"/>
      <c r="DU25" s="238"/>
      <c r="DV25" s="238"/>
      <c r="DW25" s="238"/>
      <c r="DX25" s="238"/>
      <c r="DY25" s="238"/>
      <c r="DZ25" s="238"/>
      <c r="EA25" s="238"/>
      <c r="EB25" s="238"/>
      <c r="EC25" s="238"/>
      <c r="ED25" s="238"/>
      <c r="EE25" s="238"/>
      <c r="EF25" s="238"/>
      <c r="EG25" s="238"/>
      <c r="EH25" s="238"/>
      <c r="EI25" s="238"/>
      <c r="EJ25" s="238"/>
      <c r="EK25" s="238"/>
      <c r="EL25" s="238"/>
      <c r="EM25" s="238"/>
      <c r="EN25" s="238"/>
      <c r="EO25" s="238"/>
      <c r="EP25" s="238"/>
      <c r="EQ25" s="238"/>
      <c r="ER25" s="238"/>
      <c r="ES25" s="238"/>
      <c r="ET25" s="238"/>
      <c r="EU25" s="238"/>
      <c r="EV25" s="238"/>
      <c r="EW25" s="238"/>
      <c r="EX25" s="238"/>
      <c r="EY25" s="238"/>
      <c r="EZ25" s="238"/>
      <c r="FA25" s="238"/>
      <c r="FB25" s="238"/>
      <c r="FC25" s="238"/>
      <c r="FD25" s="238"/>
      <c r="FE25" s="238"/>
      <c r="FF25" s="238"/>
      <c r="FG25" s="238"/>
      <c r="FH25" s="238"/>
      <c r="FI25" s="238"/>
      <c r="FJ25" s="238"/>
      <c r="FK25" s="238"/>
      <c r="FL25" s="238"/>
      <c r="FM25" s="238"/>
      <c r="FN25" s="238"/>
      <c r="FO25" s="238"/>
      <c r="FP25" s="238"/>
      <c r="FQ25" s="238"/>
      <c r="FR25" s="238"/>
      <c r="FS25" s="238"/>
      <c r="FT25" s="238"/>
      <c r="FU25" s="238"/>
      <c r="FV25" s="238"/>
      <c r="FW25" s="238"/>
      <c r="FX25" s="238"/>
      <c r="FY25" s="238"/>
      <c r="FZ25" s="238"/>
      <c r="GA25" s="238"/>
      <c r="GB25" s="238"/>
      <c r="GC25" s="238"/>
      <c r="GD25" s="238"/>
      <c r="GE25" s="238"/>
      <c r="GF25" s="238"/>
      <c r="GG25" s="238"/>
      <c r="GH25" s="238"/>
      <c r="GI25" s="238"/>
      <c r="GJ25" s="238"/>
      <c r="GK25" s="238"/>
      <c r="GL25" s="238"/>
      <c r="GM25" s="238"/>
      <c r="GN25" s="238"/>
      <c r="GO25" s="238"/>
      <c r="GP25" s="238"/>
      <c r="GQ25" s="238"/>
    </row>
    <row r="26" spans="2:208" x14ac:dyDescent="0.2">
      <c r="B26" t="s">
        <v>52</v>
      </c>
      <c r="C26" t="s">
        <v>126</v>
      </c>
      <c r="D26" s="238">
        <f t="shared" si="0"/>
        <v>43841</v>
      </c>
      <c r="E26" s="238">
        <v>44023</v>
      </c>
      <c r="F26" s="238">
        <v>44207</v>
      </c>
      <c r="G26" s="238">
        <v>44388</v>
      </c>
      <c r="H26" s="238">
        <v>44572</v>
      </c>
      <c r="I26" s="238">
        <v>44753</v>
      </c>
      <c r="J26" s="238">
        <v>44937</v>
      </c>
      <c r="K26" s="238">
        <v>45118</v>
      </c>
      <c r="L26" s="238">
        <v>45302</v>
      </c>
      <c r="M26" s="238">
        <v>45484</v>
      </c>
      <c r="N26" s="238">
        <v>45668</v>
      </c>
      <c r="O26" s="238">
        <v>45849</v>
      </c>
      <c r="P26" s="238">
        <v>46033</v>
      </c>
      <c r="Q26" s="238">
        <v>46214</v>
      </c>
      <c r="R26" s="238">
        <v>46398</v>
      </c>
      <c r="S26" s="238">
        <v>46579</v>
      </c>
      <c r="T26" s="238">
        <v>46763</v>
      </c>
      <c r="U26" s="238">
        <v>46945</v>
      </c>
      <c r="V26" s="238">
        <v>47129</v>
      </c>
      <c r="W26" s="238">
        <v>47310</v>
      </c>
      <c r="X26" s="238">
        <v>47494</v>
      </c>
      <c r="Y26" s="238">
        <v>47675</v>
      </c>
      <c r="Z26" s="238">
        <v>47859</v>
      </c>
      <c r="AA26" s="238">
        <v>48040</v>
      </c>
      <c r="AB26" s="238">
        <v>48224</v>
      </c>
      <c r="AC26" s="238">
        <v>48406</v>
      </c>
      <c r="AD26" s="238">
        <v>48590</v>
      </c>
      <c r="AE26" s="238">
        <v>48771</v>
      </c>
      <c r="AF26" s="238">
        <v>48955</v>
      </c>
      <c r="AG26" s="238">
        <v>49136</v>
      </c>
      <c r="AH26" s="238">
        <v>49320</v>
      </c>
      <c r="AI26" s="238">
        <v>49501</v>
      </c>
      <c r="AJ26" s="238">
        <v>49685</v>
      </c>
      <c r="AK26" s="238">
        <v>49867</v>
      </c>
      <c r="AL26" s="238">
        <v>50051</v>
      </c>
      <c r="AM26" s="238">
        <v>50232</v>
      </c>
      <c r="AN26" s="238">
        <v>50416</v>
      </c>
      <c r="AO26" s="238">
        <v>50597</v>
      </c>
      <c r="AP26" s="238">
        <v>50781</v>
      </c>
      <c r="AQ26" s="238">
        <v>50962</v>
      </c>
      <c r="AR26" s="238">
        <v>51146</v>
      </c>
      <c r="AS26" s="238">
        <v>51328</v>
      </c>
      <c r="AT26" s="238">
        <v>51512</v>
      </c>
      <c r="AU26" s="238">
        <v>51693</v>
      </c>
      <c r="AV26" s="238">
        <v>51877</v>
      </c>
      <c r="AW26" s="238">
        <v>52058</v>
      </c>
      <c r="AX26" s="238">
        <v>52242</v>
      </c>
      <c r="AY26" s="238">
        <v>52423</v>
      </c>
      <c r="AZ26" s="238">
        <v>52607</v>
      </c>
      <c r="BA26" s="238">
        <v>52789</v>
      </c>
      <c r="BB26" s="238">
        <v>52973</v>
      </c>
      <c r="BC26" s="238">
        <v>53154</v>
      </c>
      <c r="BD26" s="238">
        <v>53338</v>
      </c>
      <c r="BE26" s="238">
        <v>53519</v>
      </c>
      <c r="BF26" s="238">
        <v>53703</v>
      </c>
      <c r="BG26" s="238">
        <v>53884</v>
      </c>
      <c r="BH26" s="238">
        <v>54068</v>
      </c>
      <c r="BI26" s="238"/>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c r="CX26" s="238"/>
      <c r="CY26" s="238"/>
      <c r="CZ26" s="238"/>
      <c r="DA26" s="238"/>
      <c r="DB26" s="238"/>
      <c r="DC26" s="238"/>
      <c r="DD26" s="238"/>
      <c r="DE26" s="238"/>
      <c r="DF26" s="238"/>
      <c r="DG26" s="238"/>
      <c r="DH26" s="238"/>
      <c r="DI26" s="238"/>
      <c r="DJ26" s="238"/>
      <c r="DK26" s="238"/>
      <c r="DL26" s="238"/>
      <c r="DM26" s="238"/>
      <c r="DN26" s="238"/>
      <c r="DO26" s="238"/>
      <c r="DP26" s="238"/>
      <c r="DQ26" s="238"/>
      <c r="DR26" s="238"/>
      <c r="DS26" s="238"/>
      <c r="DT26" s="238"/>
      <c r="DU26" s="238"/>
      <c r="DV26" s="238"/>
      <c r="DW26" s="238"/>
      <c r="DX26" s="238"/>
      <c r="DY26" s="238"/>
      <c r="DZ26" s="238"/>
      <c r="EA26" s="238"/>
      <c r="EB26" s="238"/>
      <c r="EC26" s="238"/>
      <c r="ED26" s="238"/>
      <c r="EE26" s="238"/>
      <c r="EF26" s="238"/>
      <c r="EG26" s="238"/>
      <c r="EH26" s="238"/>
      <c r="EI26" s="238"/>
      <c r="EJ26" s="238"/>
      <c r="EK26" s="238"/>
      <c r="EL26" s="238"/>
      <c r="EM26" s="238"/>
      <c r="EN26" s="238"/>
      <c r="EO26" s="238"/>
      <c r="EP26" s="238"/>
      <c r="EQ26" s="238"/>
      <c r="ER26" s="238"/>
      <c r="ES26" s="238"/>
      <c r="ET26" s="238"/>
      <c r="EU26" s="238"/>
      <c r="EV26" s="238"/>
      <c r="EW26" s="238"/>
      <c r="EX26" s="238"/>
      <c r="EY26" s="238"/>
      <c r="EZ26" s="238"/>
      <c r="FA26" s="238"/>
      <c r="FB26" s="238"/>
      <c r="FC26" s="238"/>
      <c r="FD26" s="238"/>
      <c r="FE26" s="238"/>
      <c r="FF26" s="238"/>
      <c r="FG26" s="238"/>
      <c r="FH26" s="238"/>
      <c r="FI26" s="238"/>
      <c r="FJ26" s="238"/>
      <c r="FK26" s="238"/>
      <c r="FL26" s="238"/>
      <c r="FM26" s="238"/>
      <c r="FN26" s="238"/>
      <c r="FO26" s="238"/>
      <c r="FP26" s="238"/>
      <c r="FQ26" s="238"/>
      <c r="FR26" s="238"/>
      <c r="FS26" s="238"/>
      <c r="FT26" s="238"/>
      <c r="FU26" s="238"/>
      <c r="FV26" s="238"/>
      <c r="FW26" s="238"/>
      <c r="FX26" s="238"/>
      <c r="FY26" s="238"/>
      <c r="FZ26" s="238"/>
      <c r="GA26" s="238"/>
      <c r="GB26" s="238"/>
      <c r="GC26" s="238"/>
      <c r="GD26" s="238"/>
      <c r="GE26" s="238"/>
      <c r="GF26" s="238"/>
      <c r="GG26" s="238"/>
      <c r="GH26" s="238"/>
      <c r="GI26" s="238"/>
      <c r="GJ26" s="238"/>
      <c r="GK26" s="238"/>
      <c r="GL26" s="238"/>
      <c r="GM26" s="238"/>
      <c r="GN26" s="238"/>
      <c r="GO26" s="238"/>
      <c r="GP26" s="238"/>
      <c r="GQ26" s="238"/>
    </row>
    <row r="27" spans="2:208" x14ac:dyDescent="0.2">
      <c r="B27" t="s">
        <v>92</v>
      </c>
      <c r="C27" t="s">
        <v>127</v>
      </c>
      <c r="D27" s="238">
        <f t="shared" si="0"/>
        <v>43827</v>
      </c>
      <c r="E27" s="238">
        <v>44010</v>
      </c>
      <c r="F27" s="238">
        <f>EDATE(E27,6)</f>
        <v>44193</v>
      </c>
      <c r="G27" s="238">
        <f t="shared" ref="G27:BR27" si="2">EDATE(F27,6)</f>
        <v>44375</v>
      </c>
      <c r="H27" s="238">
        <f t="shared" si="2"/>
        <v>44558</v>
      </c>
      <c r="I27" s="238">
        <f t="shared" si="2"/>
        <v>44740</v>
      </c>
      <c r="J27" s="238">
        <f t="shared" si="2"/>
        <v>44923</v>
      </c>
      <c r="K27" s="238">
        <f t="shared" si="2"/>
        <v>45105</v>
      </c>
      <c r="L27" s="238">
        <f t="shared" si="2"/>
        <v>45288</v>
      </c>
      <c r="M27" s="238">
        <f t="shared" si="2"/>
        <v>45471</v>
      </c>
      <c r="N27" s="238">
        <f t="shared" si="2"/>
        <v>45654</v>
      </c>
      <c r="O27" s="238">
        <f t="shared" si="2"/>
        <v>45836</v>
      </c>
      <c r="P27" s="238">
        <f t="shared" si="2"/>
        <v>46019</v>
      </c>
      <c r="Q27" s="238">
        <f t="shared" si="2"/>
        <v>46201</v>
      </c>
      <c r="R27" s="238">
        <f t="shared" si="2"/>
        <v>46384</v>
      </c>
      <c r="S27" s="238">
        <f t="shared" si="2"/>
        <v>46566</v>
      </c>
      <c r="T27" s="238">
        <f t="shared" si="2"/>
        <v>46749</v>
      </c>
      <c r="U27" s="238">
        <f t="shared" si="2"/>
        <v>46932</v>
      </c>
      <c r="V27" s="238">
        <f t="shared" si="2"/>
        <v>47115</v>
      </c>
      <c r="W27" s="238">
        <f t="shared" si="2"/>
        <v>47297</v>
      </c>
      <c r="X27" s="238">
        <f t="shared" si="2"/>
        <v>47480</v>
      </c>
      <c r="Y27" s="238">
        <f t="shared" si="2"/>
        <v>47662</v>
      </c>
      <c r="Z27" s="238">
        <f t="shared" si="2"/>
        <v>47845</v>
      </c>
      <c r="AA27" s="238">
        <f t="shared" si="2"/>
        <v>48027</v>
      </c>
      <c r="AB27" s="238">
        <f t="shared" si="2"/>
        <v>48210</v>
      </c>
      <c r="AC27" s="238">
        <f t="shared" si="2"/>
        <v>48393</v>
      </c>
      <c r="AD27" s="238">
        <f t="shared" si="2"/>
        <v>48576</v>
      </c>
      <c r="AE27" s="238">
        <f t="shared" si="2"/>
        <v>48758</v>
      </c>
      <c r="AF27" s="238">
        <f t="shared" si="2"/>
        <v>48941</v>
      </c>
      <c r="AG27" s="238">
        <f t="shared" si="2"/>
        <v>49123</v>
      </c>
      <c r="AH27" s="238">
        <f t="shared" si="2"/>
        <v>49306</v>
      </c>
      <c r="AI27" s="238">
        <f t="shared" si="2"/>
        <v>49488</v>
      </c>
      <c r="AJ27" s="238">
        <f t="shared" si="2"/>
        <v>49671</v>
      </c>
      <c r="AK27" s="238">
        <f t="shared" si="2"/>
        <v>49854</v>
      </c>
      <c r="AL27" s="238">
        <f t="shared" si="2"/>
        <v>50037</v>
      </c>
      <c r="AM27" s="238">
        <f t="shared" si="2"/>
        <v>50219</v>
      </c>
      <c r="AN27" s="238">
        <f t="shared" si="2"/>
        <v>50402</v>
      </c>
      <c r="AO27" s="238">
        <f t="shared" si="2"/>
        <v>50584</v>
      </c>
      <c r="AP27" s="238">
        <f t="shared" si="2"/>
        <v>50767</v>
      </c>
      <c r="AQ27" s="238">
        <f t="shared" si="2"/>
        <v>50949</v>
      </c>
      <c r="AR27" s="238">
        <f t="shared" si="2"/>
        <v>51132</v>
      </c>
      <c r="AS27" s="238">
        <f t="shared" si="2"/>
        <v>51315</v>
      </c>
      <c r="AT27" s="238">
        <f t="shared" si="2"/>
        <v>51498</v>
      </c>
      <c r="AU27" s="238">
        <f t="shared" si="2"/>
        <v>51680</v>
      </c>
      <c r="AV27" s="238">
        <f t="shared" si="2"/>
        <v>51863</v>
      </c>
      <c r="AW27" s="238">
        <f t="shared" si="2"/>
        <v>52045</v>
      </c>
      <c r="AX27" s="238">
        <f t="shared" si="2"/>
        <v>52228</v>
      </c>
      <c r="AY27" s="238">
        <f t="shared" si="2"/>
        <v>52410</v>
      </c>
      <c r="AZ27" s="238">
        <f t="shared" si="2"/>
        <v>52593</v>
      </c>
      <c r="BA27" s="238">
        <f t="shared" si="2"/>
        <v>52776</v>
      </c>
      <c r="BB27" s="238">
        <f t="shared" si="2"/>
        <v>52959</v>
      </c>
      <c r="BC27" s="238">
        <f t="shared" si="2"/>
        <v>53141</v>
      </c>
      <c r="BD27" s="238">
        <f t="shared" si="2"/>
        <v>53324</v>
      </c>
      <c r="BE27" s="238">
        <f t="shared" si="2"/>
        <v>53506</v>
      </c>
      <c r="BF27" s="238">
        <f t="shared" si="2"/>
        <v>53689</v>
      </c>
      <c r="BG27" s="238">
        <f t="shared" si="2"/>
        <v>53871</v>
      </c>
      <c r="BH27" s="238">
        <f t="shared" si="2"/>
        <v>54054</v>
      </c>
      <c r="BI27" s="238">
        <f t="shared" si="2"/>
        <v>54237</v>
      </c>
      <c r="BJ27" s="238">
        <f t="shared" si="2"/>
        <v>54420</v>
      </c>
      <c r="BK27" s="238">
        <f t="shared" si="2"/>
        <v>54602</v>
      </c>
      <c r="BL27" s="238">
        <f t="shared" si="2"/>
        <v>54785</v>
      </c>
      <c r="BM27" s="238">
        <f t="shared" si="2"/>
        <v>54967</v>
      </c>
      <c r="BN27" s="238">
        <f t="shared" si="2"/>
        <v>55150</v>
      </c>
      <c r="BO27" s="238">
        <f t="shared" si="2"/>
        <v>55332</v>
      </c>
      <c r="BP27" s="238">
        <f t="shared" si="2"/>
        <v>55515</v>
      </c>
      <c r="BQ27" s="238">
        <f t="shared" si="2"/>
        <v>55698</v>
      </c>
      <c r="BR27" s="238">
        <f t="shared" si="2"/>
        <v>55881</v>
      </c>
      <c r="BS27" s="238">
        <f t="shared" ref="BS27:ED27" si="3">EDATE(BR27,6)</f>
        <v>56063</v>
      </c>
      <c r="BT27" s="238">
        <f t="shared" si="3"/>
        <v>56246</v>
      </c>
      <c r="BU27" s="238">
        <f t="shared" si="3"/>
        <v>56428</v>
      </c>
      <c r="BV27" s="238">
        <f t="shared" si="3"/>
        <v>56611</v>
      </c>
      <c r="BW27" s="238">
        <f t="shared" si="3"/>
        <v>56793</v>
      </c>
      <c r="BX27" s="238">
        <f t="shared" si="3"/>
        <v>56976</v>
      </c>
      <c r="BY27" s="238">
        <f t="shared" si="3"/>
        <v>57159</v>
      </c>
      <c r="BZ27" s="238">
        <f t="shared" si="3"/>
        <v>57342</v>
      </c>
      <c r="CA27" s="238">
        <f t="shared" si="3"/>
        <v>57524</v>
      </c>
      <c r="CB27" s="238">
        <f t="shared" si="3"/>
        <v>57707</v>
      </c>
      <c r="CC27" s="238">
        <f t="shared" si="3"/>
        <v>57889</v>
      </c>
      <c r="CD27" s="238">
        <f t="shared" si="3"/>
        <v>58072</v>
      </c>
      <c r="CE27" s="238">
        <f t="shared" si="3"/>
        <v>58254</v>
      </c>
      <c r="CF27" s="238">
        <f t="shared" si="3"/>
        <v>58437</v>
      </c>
      <c r="CG27" s="238">
        <f t="shared" si="3"/>
        <v>58620</v>
      </c>
      <c r="CH27" s="238">
        <f t="shared" si="3"/>
        <v>58803</v>
      </c>
      <c r="CI27" s="238">
        <f t="shared" si="3"/>
        <v>58985</v>
      </c>
      <c r="CJ27" s="238">
        <f t="shared" si="3"/>
        <v>59168</v>
      </c>
      <c r="CK27" s="238">
        <f t="shared" si="3"/>
        <v>59350</v>
      </c>
      <c r="CL27" s="238">
        <f t="shared" si="3"/>
        <v>59533</v>
      </c>
      <c r="CM27" s="238">
        <f t="shared" si="3"/>
        <v>59715</v>
      </c>
      <c r="CN27" s="238">
        <f t="shared" si="3"/>
        <v>59898</v>
      </c>
      <c r="CO27" s="238">
        <f t="shared" si="3"/>
        <v>60081</v>
      </c>
      <c r="CP27" s="238">
        <f t="shared" si="3"/>
        <v>60264</v>
      </c>
      <c r="CQ27" s="238">
        <f t="shared" si="3"/>
        <v>60446</v>
      </c>
      <c r="CR27" s="238">
        <f t="shared" si="3"/>
        <v>60629</v>
      </c>
      <c r="CS27" s="238">
        <f t="shared" si="3"/>
        <v>60811</v>
      </c>
      <c r="CT27" s="238">
        <f t="shared" si="3"/>
        <v>60994</v>
      </c>
      <c r="CU27" s="238">
        <f t="shared" si="3"/>
        <v>61176</v>
      </c>
      <c r="CV27" s="238">
        <f t="shared" si="3"/>
        <v>61359</v>
      </c>
      <c r="CW27" s="238">
        <f t="shared" si="3"/>
        <v>61542</v>
      </c>
      <c r="CX27" s="238">
        <f t="shared" si="3"/>
        <v>61725</v>
      </c>
      <c r="CY27" s="238">
        <f t="shared" si="3"/>
        <v>61907</v>
      </c>
      <c r="CZ27" s="238">
        <f t="shared" si="3"/>
        <v>62090</v>
      </c>
      <c r="DA27" s="238">
        <f t="shared" si="3"/>
        <v>62272</v>
      </c>
      <c r="DB27" s="238">
        <f t="shared" si="3"/>
        <v>62455</v>
      </c>
      <c r="DC27" s="238">
        <f t="shared" si="3"/>
        <v>62637</v>
      </c>
      <c r="DD27" s="238">
        <f t="shared" si="3"/>
        <v>62820</v>
      </c>
      <c r="DE27" s="238">
        <f t="shared" si="3"/>
        <v>63003</v>
      </c>
      <c r="DF27" s="238">
        <f t="shared" si="3"/>
        <v>63186</v>
      </c>
      <c r="DG27" s="238">
        <f t="shared" si="3"/>
        <v>63368</v>
      </c>
      <c r="DH27" s="238">
        <f t="shared" si="3"/>
        <v>63551</v>
      </c>
      <c r="DI27" s="238">
        <f t="shared" si="3"/>
        <v>63733</v>
      </c>
      <c r="DJ27" s="238">
        <f t="shared" si="3"/>
        <v>63916</v>
      </c>
      <c r="DK27" s="238">
        <f t="shared" si="3"/>
        <v>64098</v>
      </c>
      <c r="DL27" s="238">
        <f t="shared" si="3"/>
        <v>64281</v>
      </c>
      <c r="DM27" s="238">
        <f t="shared" si="3"/>
        <v>64464</v>
      </c>
      <c r="DN27" s="238">
        <f t="shared" si="3"/>
        <v>64647</v>
      </c>
      <c r="DO27" s="238">
        <f t="shared" si="3"/>
        <v>64829</v>
      </c>
      <c r="DP27" s="238">
        <f t="shared" si="3"/>
        <v>65012</v>
      </c>
      <c r="DQ27" s="238">
        <f t="shared" si="3"/>
        <v>65194</v>
      </c>
      <c r="DR27" s="238">
        <f t="shared" si="3"/>
        <v>65377</v>
      </c>
      <c r="DS27" s="238">
        <f t="shared" si="3"/>
        <v>65559</v>
      </c>
      <c r="DT27" s="238">
        <f t="shared" si="3"/>
        <v>65742</v>
      </c>
      <c r="DU27" s="238">
        <f t="shared" si="3"/>
        <v>65925</v>
      </c>
      <c r="DV27" s="238">
        <f t="shared" si="3"/>
        <v>66108</v>
      </c>
      <c r="DW27" s="238">
        <f t="shared" si="3"/>
        <v>66290</v>
      </c>
      <c r="DX27" s="238">
        <f t="shared" si="3"/>
        <v>66473</v>
      </c>
      <c r="DY27" s="238">
        <f t="shared" si="3"/>
        <v>66655</v>
      </c>
      <c r="DZ27" s="238">
        <f t="shared" si="3"/>
        <v>66838</v>
      </c>
      <c r="EA27" s="238">
        <f t="shared" si="3"/>
        <v>67020</v>
      </c>
      <c r="EB27" s="238">
        <f t="shared" si="3"/>
        <v>67203</v>
      </c>
      <c r="EC27" s="238">
        <f t="shared" si="3"/>
        <v>67386</v>
      </c>
      <c r="ED27" s="238">
        <f t="shared" si="3"/>
        <v>67569</v>
      </c>
      <c r="EE27" s="238">
        <f t="shared" ref="EE27:GP27" si="4">EDATE(ED27,6)</f>
        <v>67751</v>
      </c>
      <c r="EF27" s="238">
        <f t="shared" si="4"/>
        <v>67934</v>
      </c>
      <c r="EG27" s="238">
        <f t="shared" si="4"/>
        <v>68116</v>
      </c>
      <c r="EH27" s="238">
        <f t="shared" si="4"/>
        <v>68299</v>
      </c>
      <c r="EI27" s="238">
        <f t="shared" si="4"/>
        <v>68481</v>
      </c>
      <c r="EJ27" s="238">
        <f t="shared" si="4"/>
        <v>68664</v>
      </c>
      <c r="EK27" s="238">
        <f t="shared" si="4"/>
        <v>68847</v>
      </c>
      <c r="EL27" s="238">
        <f t="shared" si="4"/>
        <v>69030</v>
      </c>
      <c r="EM27" s="238">
        <f t="shared" si="4"/>
        <v>69212</v>
      </c>
      <c r="EN27" s="238">
        <f t="shared" si="4"/>
        <v>69395</v>
      </c>
      <c r="EO27" s="238">
        <f t="shared" si="4"/>
        <v>69577</v>
      </c>
      <c r="EP27" s="238">
        <f t="shared" si="4"/>
        <v>69760</v>
      </c>
      <c r="EQ27" s="238">
        <f t="shared" si="4"/>
        <v>69942</v>
      </c>
      <c r="ER27" s="238">
        <f t="shared" si="4"/>
        <v>70125</v>
      </c>
      <c r="ES27" s="238">
        <f t="shared" si="4"/>
        <v>70308</v>
      </c>
      <c r="ET27" s="238">
        <f t="shared" si="4"/>
        <v>70491</v>
      </c>
      <c r="EU27" s="238">
        <f t="shared" si="4"/>
        <v>70673</v>
      </c>
      <c r="EV27" s="238">
        <f t="shared" si="4"/>
        <v>70856</v>
      </c>
      <c r="EW27" s="238">
        <f t="shared" si="4"/>
        <v>71038</v>
      </c>
      <c r="EX27" s="238">
        <f t="shared" si="4"/>
        <v>71221</v>
      </c>
      <c r="EY27" s="238">
        <f t="shared" si="4"/>
        <v>71403</v>
      </c>
      <c r="EZ27" s="238">
        <f t="shared" si="4"/>
        <v>71586</v>
      </c>
      <c r="FA27" s="238">
        <f t="shared" si="4"/>
        <v>71769</v>
      </c>
      <c r="FB27" s="238">
        <f t="shared" si="4"/>
        <v>71952</v>
      </c>
      <c r="FC27" s="238">
        <f t="shared" si="4"/>
        <v>72134</v>
      </c>
      <c r="FD27" s="238">
        <f t="shared" si="4"/>
        <v>72317</v>
      </c>
      <c r="FE27" s="238">
        <f t="shared" si="4"/>
        <v>72499</v>
      </c>
      <c r="FF27" s="238">
        <f t="shared" si="4"/>
        <v>72682</v>
      </c>
      <c r="FG27" s="238">
        <f t="shared" si="4"/>
        <v>72864</v>
      </c>
      <c r="FH27" s="238">
        <f t="shared" si="4"/>
        <v>73047</v>
      </c>
      <c r="FI27" s="238">
        <f t="shared" si="4"/>
        <v>73229</v>
      </c>
      <c r="FJ27" s="238">
        <f t="shared" si="4"/>
        <v>73412</v>
      </c>
      <c r="FK27" s="238">
        <f t="shared" si="4"/>
        <v>73594</v>
      </c>
      <c r="FL27" s="238">
        <f t="shared" si="4"/>
        <v>73777</v>
      </c>
      <c r="FM27" s="238">
        <f t="shared" si="4"/>
        <v>73959</v>
      </c>
      <c r="FN27" s="238">
        <f t="shared" si="4"/>
        <v>74142</v>
      </c>
      <c r="FO27" s="238">
        <f t="shared" si="4"/>
        <v>74324</v>
      </c>
      <c r="FP27" s="238">
        <f t="shared" si="4"/>
        <v>74507</v>
      </c>
      <c r="FQ27" s="238">
        <f t="shared" si="4"/>
        <v>74690</v>
      </c>
      <c r="FR27" s="238">
        <f t="shared" si="4"/>
        <v>74873</v>
      </c>
      <c r="FS27" s="238">
        <f t="shared" si="4"/>
        <v>75055</v>
      </c>
      <c r="FT27" s="238">
        <f t="shared" si="4"/>
        <v>75238</v>
      </c>
      <c r="FU27" s="238">
        <f t="shared" si="4"/>
        <v>75420</v>
      </c>
      <c r="FV27" s="238">
        <f t="shared" si="4"/>
        <v>75603</v>
      </c>
      <c r="FW27" s="238">
        <f t="shared" si="4"/>
        <v>75785</v>
      </c>
      <c r="FX27" s="238">
        <f t="shared" si="4"/>
        <v>75968</v>
      </c>
      <c r="FY27" s="238">
        <f t="shared" si="4"/>
        <v>76151</v>
      </c>
      <c r="FZ27" s="238">
        <f t="shared" si="4"/>
        <v>76334</v>
      </c>
      <c r="GA27" s="238">
        <f t="shared" si="4"/>
        <v>76516</v>
      </c>
      <c r="GB27" s="238">
        <f t="shared" si="4"/>
        <v>76699</v>
      </c>
      <c r="GC27" s="238">
        <f t="shared" si="4"/>
        <v>76881</v>
      </c>
      <c r="GD27" s="238">
        <f t="shared" si="4"/>
        <v>77064</v>
      </c>
      <c r="GE27" s="238">
        <f t="shared" si="4"/>
        <v>77246</v>
      </c>
      <c r="GF27" s="238">
        <f t="shared" si="4"/>
        <v>77429</v>
      </c>
      <c r="GG27" s="238">
        <f t="shared" si="4"/>
        <v>77612</v>
      </c>
      <c r="GH27" s="238">
        <f t="shared" si="4"/>
        <v>77795</v>
      </c>
      <c r="GI27" s="238">
        <f t="shared" si="4"/>
        <v>77977</v>
      </c>
      <c r="GJ27" s="238">
        <f t="shared" si="4"/>
        <v>78160</v>
      </c>
      <c r="GK27" s="238">
        <f t="shared" si="4"/>
        <v>78342</v>
      </c>
      <c r="GL27" s="238">
        <f t="shared" si="4"/>
        <v>78525</v>
      </c>
      <c r="GM27" s="238">
        <f t="shared" si="4"/>
        <v>78707</v>
      </c>
      <c r="GN27" s="238">
        <f t="shared" si="4"/>
        <v>78890</v>
      </c>
      <c r="GO27" s="238">
        <f t="shared" si="4"/>
        <v>79073</v>
      </c>
      <c r="GP27" s="238">
        <f t="shared" si="4"/>
        <v>79256</v>
      </c>
      <c r="GQ27" s="238">
        <f t="shared" ref="GQ27" si="5">EDATE(GP27,6)</f>
        <v>79438</v>
      </c>
      <c r="GR27" s="3"/>
      <c r="GS27" s="3"/>
      <c r="GT27" s="3"/>
      <c r="GU27" s="3"/>
      <c r="GV27" s="3"/>
      <c r="GW27" s="3"/>
      <c r="GX27" s="3"/>
      <c r="GY27" s="3"/>
      <c r="GZ27" s="3"/>
    </row>
    <row r="28" spans="2:208" x14ac:dyDescent="0.2">
      <c r="B28" t="s">
        <v>34</v>
      </c>
      <c r="C28" t="s">
        <v>128</v>
      </c>
      <c r="D28" s="238">
        <f t="shared" si="0"/>
        <v>43480</v>
      </c>
      <c r="E28" s="238">
        <v>43845</v>
      </c>
      <c r="F28" s="238">
        <f>EDATE(E28,12)</f>
        <v>44211</v>
      </c>
      <c r="G28" s="238">
        <f>EDATE(F28,12)</f>
        <v>44576</v>
      </c>
      <c r="H28" s="238"/>
      <c r="I28" s="238"/>
      <c r="J28" s="238"/>
      <c r="K28" s="238"/>
      <c r="L28" s="238"/>
      <c r="M28" s="238"/>
      <c r="N28" s="238"/>
      <c r="O28" s="238"/>
      <c r="P28" s="238"/>
      <c r="Q28" s="238"/>
      <c r="R28" s="238"/>
      <c r="S28" s="238"/>
      <c r="T28" s="238"/>
      <c r="U28" s="238"/>
      <c r="V28" s="238"/>
      <c r="W28" s="238"/>
      <c r="X28" s="238"/>
      <c r="Y28" s="238"/>
      <c r="Z28" s="238"/>
      <c r="AA28" s="238"/>
      <c r="AB28" s="238"/>
      <c r="AC28" s="238"/>
      <c r="AD28" s="238"/>
      <c r="AE28" s="238"/>
      <c r="AF28" s="238"/>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8"/>
      <c r="BK28" s="238"/>
      <c r="BL28" s="238"/>
      <c r="BM28" s="238"/>
      <c r="BN28" s="238"/>
      <c r="BO28" s="238"/>
      <c r="BP28" s="238"/>
      <c r="BQ28" s="238"/>
      <c r="BR28" s="238"/>
      <c r="BS28" s="238"/>
      <c r="BT28" s="238"/>
      <c r="BU28" s="238"/>
      <c r="BV28" s="238"/>
      <c r="BW28" s="238"/>
      <c r="BX28" s="238"/>
      <c r="BY28" s="238"/>
      <c r="BZ28" s="238"/>
      <c r="CA28" s="238"/>
      <c r="CB28" s="238"/>
      <c r="CC28" s="238"/>
      <c r="CD28" s="238"/>
      <c r="CE28" s="238"/>
      <c r="CF28" s="238"/>
      <c r="CG28" s="238"/>
      <c r="CH28" s="238"/>
      <c r="CI28" s="238"/>
      <c r="CJ28" s="238"/>
      <c r="CK28" s="238"/>
      <c r="CL28" s="238"/>
      <c r="CM28" s="238"/>
      <c r="CN28" s="238"/>
      <c r="CO28" s="238"/>
      <c r="CP28" s="238"/>
      <c r="CQ28" s="238"/>
      <c r="CR28" s="238"/>
      <c r="CS28" s="238"/>
      <c r="CT28" s="238"/>
      <c r="CU28" s="238"/>
      <c r="CV28" s="238"/>
      <c r="CW28" s="238"/>
      <c r="CX28" s="238"/>
      <c r="CY28" s="238"/>
      <c r="CZ28" s="238"/>
      <c r="DA28" s="238"/>
      <c r="DB28" s="238"/>
      <c r="DC28" s="238"/>
      <c r="DD28" s="238"/>
      <c r="DE28" s="238"/>
      <c r="DF28" s="238"/>
      <c r="DG28" s="238"/>
      <c r="DH28" s="238"/>
      <c r="DI28" s="238"/>
      <c r="DJ28" s="238"/>
      <c r="DK28" s="238"/>
      <c r="DL28" s="238"/>
      <c r="DM28" s="238"/>
      <c r="DN28" s="238"/>
      <c r="DO28" s="238"/>
      <c r="DP28" s="238"/>
      <c r="DQ28" s="238"/>
      <c r="DR28" s="238"/>
      <c r="DS28" s="238"/>
      <c r="DT28" s="238"/>
      <c r="DU28" s="238"/>
      <c r="DV28" s="238"/>
      <c r="DW28" s="238"/>
      <c r="DX28" s="238"/>
      <c r="DY28" s="238"/>
      <c r="DZ28" s="238"/>
      <c r="EA28" s="238"/>
      <c r="EB28" s="238"/>
      <c r="EC28" s="238"/>
      <c r="ED28" s="238"/>
      <c r="EE28" s="238"/>
      <c r="EF28" s="238"/>
      <c r="EG28" s="238"/>
      <c r="EH28" s="238"/>
      <c r="EI28" s="238"/>
      <c r="EJ28" s="238"/>
      <c r="EK28" s="238"/>
      <c r="EL28" s="238"/>
      <c r="EM28" s="238"/>
      <c r="EN28" s="238"/>
      <c r="EO28" s="238"/>
      <c r="EP28" s="238"/>
      <c r="EQ28" s="238"/>
      <c r="ER28" s="238"/>
      <c r="ES28" s="238"/>
      <c r="ET28" s="238"/>
      <c r="EU28" s="238"/>
      <c r="EV28" s="238"/>
      <c r="EW28" s="238"/>
      <c r="EX28" s="238"/>
      <c r="EY28" s="238"/>
      <c r="EZ28" s="238"/>
      <c r="FA28" s="238"/>
      <c r="FB28" s="238"/>
      <c r="FC28" s="238"/>
      <c r="FD28" s="238"/>
      <c r="FE28" s="238"/>
      <c r="FF28" s="238"/>
      <c r="FG28" s="238"/>
      <c r="FH28" s="238"/>
      <c r="FI28" s="238"/>
      <c r="FJ28" s="238"/>
      <c r="FK28" s="238"/>
      <c r="FL28" s="238"/>
      <c r="FM28" s="238"/>
      <c r="FN28" s="238"/>
      <c r="FO28" s="238"/>
      <c r="FP28" s="238"/>
      <c r="FQ28" s="238"/>
      <c r="FR28" s="238"/>
      <c r="FS28" s="238"/>
      <c r="FT28" s="238"/>
      <c r="FU28" s="238"/>
      <c r="FV28" s="238"/>
      <c r="FW28" s="238"/>
      <c r="FX28" s="238"/>
      <c r="FY28" s="238"/>
      <c r="FZ28" s="238"/>
      <c r="GA28" s="238"/>
      <c r="GB28" s="238"/>
      <c r="GC28" s="238"/>
      <c r="GD28" s="238"/>
      <c r="GE28" s="238"/>
      <c r="GF28" s="238"/>
      <c r="GG28" s="238"/>
      <c r="GH28" s="238"/>
      <c r="GI28" s="238"/>
      <c r="GJ28" s="238"/>
      <c r="GK28" s="238"/>
      <c r="GL28" s="238"/>
      <c r="GM28" s="238"/>
      <c r="GN28" s="238"/>
      <c r="GO28" s="238"/>
      <c r="GP28" s="238"/>
      <c r="GQ28" s="238"/>
    </row>
    <row r="29" spans="2:208" x14ac:dyDescent="0.2">
      <c r="B29" t="s">
        <v>36</v>
      </c>
      <c r="C29" t="s">
        <v>129</v>
      </c>
      <c r="D29" s="238">
        <f t="shared" si="0"/>
        <v>43480</v>
      </c>
      <c r="E29" s="238">
        <v>43845</v>
      </c>
      <c r="F29" s="238">
        <f>EDATE(E29,12)</f>
        <v>44211</v>
      </c>
      <c r="G29" s="238">
        <f t="shared" ref="G29:H29" si="6">EDATE(F29,12)</f>
        <v>44576</v>
      </c>
      <c r="H29" s="238">
        <f t="shared" si="6"/>
        <v>44941</v>
      </c>
      <c r="I29" s="238"/>
      <c r="J29" s="238"/>
      <c r="K29" s="238"/>
      <c r="L29" s="238"/>
      <c r="M29" s="238"/>
      <c r="N29" s="238"/>
      <c r="O29" s="238"/>
      <c r="P29" s="238"/>
      <c r="Q29" s="238"/>
      <c r="R29" s="238"/>
      <c r="S29" s="238"/>
      <c r="T29" s="238"/>
      <c r="U29" s="238"/>
      <c r="V29" s="238"/>
      <c r="W29" s="238"/>
      <c r="X29" s="238"/>
      <c r="Y29" s="238"/>
      <c r="Z29" s="238"/>
      <c r="AA29" s="238"/>
      <c r="AB29" s="238"/>
      <c r="AC29" s="238"/>
      <c r="AD29" s="238"/>
      <c r="AE29" s="238"/>
      <c r="AF29" s="238"/>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38"/>
      <c r="BK29" s="238"/>
      <c r="BL29" s="238"/>
      <c r="BM29" s="238"/>
      <c r="BN29" s="238"/>
      <c r="BO29" s="238"/>
      <c r="BP29" s="238"/>
      <c r="BQ29" s="238"/>
      <c r="BR29" s="238"/>
      <c r="BS29" s="238"/>
      <c r="BT29" s="238"/>
      <c r="BU29" s="238"/>
      <c r="BV29" s="238"/>
      <c r="BW29" s="238"/>
      <c r="BX29" s="238"/>
      <c r="BY29" s="238"/>
      <c r="BZ29" s="238"/>
      <c r="CA29" s="238"/>
      <c r="CB29" s="238"/>
      <c r="CC29" s="238"/>
      <c r="CD29" s="238"/>
      <c r="CE29" s="238"/>
      <c r="CF29" s="238"/>
      <c r="CG29" s="238"/>
      <c r="CH29" s="238"/>
      <c r="CI29" s="238"/>
      <c r="CJ29" s="238"/>
      <c r="CK29" s="238"/>
      <c r="CL29" s="238"/>
      <c r="CM29" s="238"/>
      <c r="CN29" s="238"/>
      <c r="CO29" s="238"/>
      <c r="CP29" s="238"/>
      <c r="CQ29" s="238"/>
      <c r="CR29" s="238"/>
      <c r="CS29" s="238"/>
      <c r="CT29" s="238"/>
      <c r="CU29" s="238"/>
      <c r="CV29" s="238"/>
      <c r="CW29" s="238"/>
      <c r="CX29" s="238"/>
      <c r="CY29" s="238"/>
      <c r="CZ29" s="238"/>
      <c r="DA29" s="238"/>
      <c r="DB29" s="238"/>
      <c r="DC29" s="238"/>
      <c r="DD29" s="238"/>
      <c r="DE29" s="238"/>
      <c r="DF29" s="238"/>
      <c r="DG29" s="238"/>
      <c r="DH29" s="238"/>
      <c r="DI29" s="238"/>
      <c r="DJ29" s="238"/>
      <c r="DK29" s="238"/>
      <c r="DL29" s="238"/>
      <c r="DM29" s="238"/>
      <c r="DN29" s="238"/>
      <c r="DO29" s="238"/>
      <c r="DP29" s="238"/>
      <c r="DQ29" s="238"/>
      <c r="DR29" s="238"/>
      <c r="DS29" s="238"/>
      <c r="DT29" s="238"/>
      <c r="DU29" s="238"/>
      <c r="DV29" s="238"/>
      <c r="DW29" s="238"/>
      <c r="DX29" s="238"/>
      <c r="DY29" s="238"/>
      <c r="DZ29" s="238"/>
      <c r="EA29" s="238"/>
      <c r="EB29" s="238"/>
      <c r="EC29" s="238"/>
      <c r="ED29" s="238"/>
      <c r="EE29" s="238"/>
      <c r="EF29" s="238"/>
      <c r="EG29" s="238"/>
      <c r="EH29" s="238"/>
      <c r="EI29" s="238"/>
      <c r="EJ29" s="238"/>
      <c r="EK29" s="238"/>
      <c r="EL29" s="238"/>
      <c r="EM29" s="238"/>
      <c r="EN29" s="238"/>
      <c r="EO29" s="238"/>
      <c r="EP29" s="238"/>
      <c r="EQ29" s="238"/>
      <c r="ER29" s="238"/>
      <c r="ES29" s="238"/>
      <c r="ET29" s="238"/>
      <c r="EU29" s="238"/>
      <c r="EV29" s="238"/>
      <c r="EW29" s="238"/>
      <c r="EX29" s="238"/>
      <c r="EY29" s="238"/>
      <c r="EZ29" s="238"/>
      <c r="FA29" s="238"/>
      <c r="FB29" s="238"/>
      <c r="FC29" s="238"/>
      <c r="FD29" s="238"/>
      <c r="FE29" s="238"/>
      <c r="FF29" s="238"/>
      <c r="FG29" s="238"/>
      <c r="FH29" s="238"/>
      <c r="FI29" s="238"/>
      <c r="FJ29" s="238"/>
      <c r="FK29" s="238"/>
      <c r="FL29" s="238"/>
      <c r="FM29" s="238"/>
      <c r="FN29" s="238"/>
      <c r="FO29" s="238"/>
      <c r="FP29" s="238"/>
      <c r="FQ29" s="238"/>
      <c r="FR29" s="238"/>
      <c r="FS29" s="238"/>
      <c r="FT29" s="238"/>
      <c r="FU29" s="238"/>
      <c r="FV29" s="238"/>
      <c r="FW29" s="238"/>
      <c r="FX29" s="238"/>
      <c r="FY29" s="238"/>
      <c r="FZ29" s="238"/>
      <c r="GA29" s="238"/>
      <c r="GB29" s="238"/>
      <c r="GC29" s="238"/>
      <c r="GD29" s="238"/>
      <c r="GE29" s="238"/>
      <c r="GF29" s="238"/>
      <c r="GG29" s="238"/>
      <c r="GH29" s="238"/>
      <c r="GI29" s="238"/>
      <c r="GJ29" s="238"/>
      <c r="GK29" s="238"/>
      <c r="GL29" s="238"/>
      <c r="GM29" s="238"/>
      <c r="GN29" s="238"/>
      <c r="GO29" s="238"/>
      <c r="GP29" s="238"/>
      <c r="GQ29" s="238"/>
    </row>
    <row r="30" spans="2:208" x14ac:dyDescent="0.2">
      <c r="B30" t="s">
        <v>47</v>
      </c>
      <c r="C30" t="s">
        <v>131</v>
      </c>
      <c r="D30" s="238">
        <f t="shared" si="0"/>
        <v>43480</v>
      </c>
      <c r="E30" s="238">
        <v>43845</v>
      </c>
      <c r="F30" s="238">
        <f>EDATE(E30,12)</f>
        <v>44211</v>
      </c>
      <c r="G30" s="238">
        <f t="shared" ref="G30:L30" si="7">EDATE(F30,12)</f>
        <v>44576</v>
      </c>
      <c r="H30" s="238">
        <f t="shared" si="7"/>
        <v>44941</v>
      </c>
      <c r="I30" s="238">
        <f t="shared" si="7"/>
        <v>45306</v>
      </c>
      <c r="J30" s="238">
        <f t="shared" si="7"/>
        <v>45672</v>
      </c>
      <c r="K30" s="238">
        <f t="shared" si="7"/>
        <v>46037</v>
      </c>
      <c r="L30" s="238">
        <f t="shared" si="7"/>
        <v>46402</v>
      </c>
      <c r="M30" s="238"/>
      <c r="N30" s="238"/>
      <c r="O30" s="238"/>
      <c r="P30" s="238"/>
      <c r="Q30" s="238"/>
      <c r="R30" s="238"/>
      <c r="S30" s="238"/>
      <c r="T30" s="238"/>
      <c r="U30" s="238"/>
      <c r="V30" s="238"/>
      <c r="W30" s="238"/>
      <c r="X30" s="238"/>
      <c r="Y30" s="238"/>
      <c r="Z30" s="238"/>
      <c r="AA30" s="238"/>
      <c r="AB30" s="238"/>
      <c r="AC30" s="238"/>
      <c r="AD30" s="238"/>
      <c r="AE30" s="238"/>
      <c r="AF30" s="238"/>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38"/>
      <c r="BK30" s="238"/>
      <c r="BL30" s="238"/>
      <c r="BM30" s="238"/>
      <c r="BN30" s="238"/>
      <c r="BO30" s="238"/>
      <c r="BP30" s="238"/>
      <c r="BQ30" s="238"/>
      <c r="BR30" s="238"/>
      <c r="BS30" s="238"/>
      <c r="BT30" s="238"/>
      <c r="BU30" s="238"/>
      <c r="BV30" s="238"/>
      <c r="BW30" s="238"/>
      <c r="BX30" s="238"/>
      <c r="BY30" s="238"/>
      <c r="BZ30" s="238"/>
      <c r="CA30" s="238"/>
      <c r="CB30" s="238"/>
      <c r="CC30" s="238"/>
      <c r="CD30" s="238"/>
      <c r="CE30" s="238"/>
      <c r="CF30" s="238"/>
      <c r="CG30" s="238"/>
      <c r="CH30" s="238"/>
      <c r="CI30" s="238"/>
      <c r="CJ30" s="238"/>
      <c r="CK30" s="238"/>
      <c r="CL30" s="238"/>
      <c r="CM30" s="238"/>
      <c r="CN30" s="238"/>
      <c r="CO30" s="238"/>
      <c r="CP30" s="238"/>
      <c r="CQ30" s="238"/>
      <c r="CR30" s="238"/>
      <c r="CS30" s="238"/>
      <c r="CT30" s="238"/>
      <c r="CU30" s="238"/>
      <c r="CV30" s="238"/>
      <c r="CW30" s="238"/>
      <c r="CX30" s="238"/>
      <c r="CY30" s="238"/>
      <c r="CZ30" s="238"/>
      <c r="DA30" s="238"/>
      <c r="DB30" s="238"/>
      <c r="DC30" s="238"/>
      <c r="DD30" s="238"/>
      <c r="DE30" s="238"/>
      <c r="DF30" s="238"/>
      <c r="DG30" s="238"/>
      <c r="DH30" s="238"/>
      <c r="DI30" s="238"/>
      <c r="DJ30" s="238"/>
      <c r="DK30" s="238"/>
      <c r="DL30" s="238"/>
      <c r="DM30" s="238"/>
      <c r="DN30" s="238"/>
      <c r="DO30" s="238"/>
      <c r="DP30" s="238"/>
      <c r="DQ30" s="238"/>
      <c r="DR30" s="238"/>
      <c r="DS30" s="238"/>
      <c r="DT30" s="238"/>
      <c r="DU30" s="238"/>
      <c r="DV30" s="238"/>
      <c r="DW30" s="238"/>
      <c r="DX30" s="238"/>
      <c r="DY30" s="238"/>
      <c r="DZ30" s="238"/>
      <c r="EA30" s="238"/>
      <c r="EB30" s="238"/>
      <c r="EC30" s="238"/>
      <c r="ED30" s="238"/>
      <c r="EE30" s="238"/>
      <c r="EF30" s="238"/>
      <c r="EG30" s="238"/>
      <c r="EH30" s="238"/>
      <c r="EI30" s="238"/>
      <c r="EJ30" s="238"/>
      <c r="EK30" s="238"/>
      <c r="EL30" s="238"/>
      <c r="EM30" s="238"/>
      <c r="EN30" s="238"/>
      <c r="EO30" s="238"/>
      <c r="EP30" s="238"/>
      <c r="EQ30" s="238"/>
      <c r="ER30" s="238"/>
      <c r="ES30" s="238"/>
      <c r="ET30" s="238"/>
      <c r="EU30" s="238"/>
      <c r="EV30" s="238"/>
      <c r="EW30" s="238"/>
      <c r="EX30" s="238"/>
      <c r="EY30" s="238"/>
      <c r="EZ30" s="238"/>
      <c r="FA30" s="238"/>
      <c r="FB30" s="238"/>
      <c r="FC30" s="238"/>
      <c r="FD30" s="238"/>
      <c r="FE30" s="238"/>
      <c r="FF30" s="238"/>
      <c r="FG30" s="238"/>
      <c r="FH30" s="238"/>
      <c r="FI30" s="238"/>
      <c r="FJ30" s="238"/>
      <c r="FK30" s="238"/>
      <c r="FL30" s="238"/>
      <c r="FM30" s="238"/>
      <c r="FN30" s="238"/>
      <c r="FO30" s="238"/>
      <c r="FP30" s="238"/>
      <c r="FQ30" s="238"/>
      <c r="FR30" s="238"/>
      <c r="FS30" s="238"/>
      <c r="FT30" s="238"/>
      <c r="FU30" s="238"/>
      <c r="FV30" s="238"/>
      <c r="FW30" s="238"/>
      <c r="FX30" s="238"/>
      <c r="FY30" s="238"/>
      <c r="FZ30" s="238"/>
      <c r="GA30" s="238"/>
      <c r="GB30" s="238"/>
      <c r="GC30" s="238"/>
      <c r="GD30" s="238"/>
      <c r="GE30" s="238"/>
      <c r="GF30" s="238"/>
      <c r="GG30" s="238"/>
      <c r="GH30" s="238"/>
      <c r="GI30" s="238"/>
      <c r="GJ30" s="238"/>
      <c r="GK30" s="238"/>
      <c r="GL30" s="238"/>
      <c r="GM30" s="238"/>
      <c r="GN30" s="238"/>
      <c r="GO30" s="238"/>
      <c r="GP30" s="238"/>
      <c r="GQ30" s="238"/>
    </row>
    <row r="31" spans="2:208" x14ac:dyDescent="0.2">
      <c r="B31" t="s">
        <v>49</v>
      </c>
      <c r="C31" t="s">
        <v>132</v>
      </c>
      <c r="D31" s="238">
        <f t="shared" si="0"/>
        <v>43480</v>
      </c>
      <c r="E31" s="238">
        <v>43845</v>
      </c>
      <c r="F31" s="238">
        <f t="shared" ref="F31:U33" si="8">EDATE(E31,12)</f>
        <v>44211</v>
      </c>
      <c r="G31" s="238">
        <f t="shared" si="8"/>
        <v>44576</v>
      </c>
      <c r="H31" s="238">
        <f t="shared" si="8"/>
        <v>44941</v>
      </c>
      <c r="I31" s="238">
        <f t="shared" si="8"/>
        <v>45306</v>
      </c>
      <c r="J31" s="238">
        <f t="shared" si="8"/>
        <v>45672</v>
      </c>
      <c r="K31" s="238">
        <f t="shared" si="8"/>
        <v>46037</v>
      </c>
      <c r="L31" s="238">
        <f t="shared" si="8"/>
        <v>46402</v>
      </c>
      <c r="M31" s="238">
        <f t="shared" si="8"/>
        <v>46767</v>
      </c>
      <c r="N31" s="238"/>
      <c r="O31" s="238"/>
      <c r="P31" s="238"/>
      <c r="Q31" s="238"/>
      <c r="R31" s="238"/>
      <c r="S31" s="238"/>
      <c r="T31" s="238"/>
      <c r="U31" s="238"/>
      <c r="V31" s="238"/>
      <c r="W31" s="238"/>
      <c r="X31" s="238"/>
      <c r="Y31" s="238"/>
      <c r="Z31" s="238"/>
      <c r="AA31" s="238"/>
      <c r="AB31" s="238"/>
      <c r="AC31" s="238"/>
      <c r="AD31" s="238"/>
      <c r="AE31" s="238"/>
      <c r="AF31" s="238"/>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38"/>
      <c r="BK31" s="238"/>
      <c r="BL31" s="238"/>
      <c r="BM31" s="238"/>
      <c r="BN31" s="238"/>
      <c r="BO31" s="238"/>
      <c r="BP31" s="238"/>
      <c r="BQ31" s="238"/>
      <c r="BR31" s="238"/>
      <c r="BS31" s="238"/>
      <c r="BT31" s="238"/>
      <c r="BU31" s="238"/>
      <c r="BV31" s="238"/>
      <c r="BW31" s="238"/>
      <c r="BX31" s="238"/>
      <c r="BY31" s="238"/>
      <c r="BZ31" s="238"/>
      <c r="CA31" s="238"/>
      <c r="CB31" s="238"/>
      <c r="CC31" s="238"/>
      <c r="CD31" s="238"/>
      <c r="CE31" s="238"/>
      <c r="CF31" s="238"/>
      <c r="CG31" s="238"/>
      <c r="CH31" s="238"/>
      <c r="CI31" s="238"/>
      <c r="CJ31" s="238"/>
      <c r="CK31" s="238"/>
      <c r="CL31" s="238"/>
      <c r="CM31" s="238"/>
      <c r="CN31" s="238"/>
      <c r="CO31" s="238"/>
      <c r="CP31" s="238"/>
      <c r="CQ31" s="238"/>
      <c r="CR31" s="238"/>
      <c r="CS31" s="238"/>
      <c r="CT31" s="238"/>
      <c r="CU31" s="238"/>
      <c r="CV31" s="238"/>
      <c r="CW31" s="238"/>
      <c r="CX31" s="238"/>
      <c r="CY31" s="238"/>
      <c r="CZ31" s="238"/>
      <c r="DA31" s="238"/>
      <c r="DB31" s="238"/>
      <c r="DC31" s="238"/>
      <c r="DD31" s="238"/>
      <c r="DE31" s="238"/>
      <c r="DF31" s="238"/>
      <c r="DG31" s="238"/>
      <c r="DH31" s="238"/>
      <c r="DI31" s="238"/>
      <c r="DJ31" s="238"/>
      <c r="DK31" s="238"/>
      <c r="DL31" s="238"/>
      <c r="DM31" s="238"/>
      <c r="DN31" s="238"/>
      <c r="DO31" s="238"/>
      <c r="DP31" s="238"/>
      <c r="DQ31" s="238"/>
      <c r="DR31" s="238"/>
      <c r="DS31" s="238"/>
      <c r="DT31" s="238"/>
      <c r="DU31" s="238"/>
      <c r="DV31" s="238"/>
      <c r="DW31" s="238"/>
      <c r="DX31" s="238"/>
      <c r="DY31" s="238"/>
      <c r="DZ31" s="238"/>
      <c r="EA31" s="238"/>
      <c r="EB31" s="238"/>
      <c r="EC31" s="238"/>
      <c r="ED31" s="238"/>
      <c r="EE31" s="238"/>
      <c r="EF31" s="238"/>
      <c r="EG31" s="238"/>
      <c r="EH31" s="238"/>
      <c r="EI31" s="238"/>
      <c r="EJ31" s="238"/>
      <c r="EK31" s="238"/>
      <c r="EL31" s="238"/>
      <c r="EM31" s="238"/>
      <c r="EN31" s="238"/>
      <c r="EO31" s="238"/>
      <c r="EP31" s="238"/>
      <c r="EQ31" s="238"/>
      <c r="ER31" s="238"/>
      <c r="ES31" s="238"/>
      <c r="ET31" s="238"/>
      <c r="EU31" s="238"/>
      <c r="EV31" s="238"/>
      <c r="EW31" s="238"/>
      <c r="EX31" s="238"/>
      <c r="EY31" s="238"/>
      <c r="EZ31" s="238"/>
      <c r="FA31" s="238"/>
      <c r="FB31" s="238"/>
      <c r="FC31" s="238"/>
      <c r="FD31" s="238"/>
      <c r="FE31" s="238"/>
      <c r="FF31" s="238"/>
      <c r="FG31" s="238"/>
      <c r="FH31" s="238"/>
      <c r="FI31" s="238"/>
      <c r="FJ31" s="238"/>
      <c r="FK31" s="238"/>
      <c r="FL31" s="238"/>
      <c r="FM31" s="238"/>
      <c r="FN31" s="238"/>
      <c r="FO31" s="238"/>
      <c r="FP31" s="238"/>
      <c r="FQ31" s="238"/>
      <c r="FR31" s="238"/>
      <c r="FS31" s="238"/>
      <c r="FT31" s="238"/>
      <c r="FU31" s="238"/>
      <c r="FV31" s="238"/>
      <c r="FW31" s="238"/>
      <c r="FX31" s="238"/>
      <c r="FY31" s="238"/>
      <c r="FZ31" s="238"/>
      <c r="GA31" s="238"/>
      <c r="GB31" s="238"/>
      <c r="GC31" s="238"/>
      <c r="GD31" s="238"/>
      <c r="GE31" s="238"/>
      <c r="GF31" s="238"/>
      <c r="GG31" s="238"/>
      <c r="GH31" s="238"/>
      <c r="GI31" s="238"/>
      <c r="GJ31" s="238"/>
      <c r="GK31" s="238"/>
      <c r="GL31" s="238"/>
      <c r="GM31" s="238"/>
      <c r="GN31" s="238"/>
      <c r="GO31" s="238"/>
      <c r="GP31" s="238"/>
      <c r="GQ31" s="238"/>
    </row>
    <row r="32" spans="2:208" x14ac:dyDescent="0.2">
      <c r="B32" t="s">
        <v>55</v>
      </c>
      <c r="C32" t="s">
        <v>133</v>
      </c>
      <c r="D32" s="238">
        <f t="shared" si="0"/>
        <v>43413</v>
      </c>
      <c r="E32" s="238">
        <v>43778</v>
      </c>
      <c r="F32" s="238">
        <f t="shared" si="8"/>
        <v>44144</v>
      </c>
      <c r="G32" s="238">
        <f t="shared" si="8"/>
        <v>44509</v>
      </c>
      <c r="H32" s="238">
        <f t="shared" si="8"/>
        <v>44874</v>
      </c>
      <c r="I32" s="238">
        <f t="shared" si="8"/>
        <v>45239</v>
      </c>
      <c r="J32" s="238">
        <f t="shared" si="8"/>
        <v>45605</v>
      </c>
      <c r="K32" s="238">
        <f t="shared" si="8"/>
        <v>45970</v>
      </c>
      <c r="L32" s="238">
        <f t="shared" si="8"/>
        <v>46335</v>
      </c>
      <c r="M32" s="238">
        <f t="shared" si="8"/>
        <v>46700</v>
      </c>
      <c r="N32" s="238">
        <f t="shared" si="8"/>
        <v>47066</v>
      </c>
      <c r="O32" s="238">
        <f t="shared" si="8"/>
        <v>47431</v>
      </c>
      <c r="P32" s="238">
        <f t="shared" si="8"/>
        <v>47796</v>
      </c>
      <c r="Q32" s="238">
        <f t="shared" si="8"/>
        <v>48161</v>
      </c>
      <c r="R32" s="238">
        <f t="shared" si="8"/>
        <v>48527</v>
      </c>
      <c r="S32" s="238">
        <f t="shared" si="8"/>
        <v>48892</v>
      </c>
      <c r="T32" s="238">
        <f t="shared" si="8"/>
        <v>49257</v>
      </c>
      <c r="U32" s="238">
        <f t="shared" si="8"/>
        <v>49622</v>
      </c>
      <c r="V32" s="238">
        <f t="shared" ref="V32:AG32" si="9">EDATE(U32,12)</f>
        <v>49988</v>
      </c>
      <c r="W32" s="238">
        <f t="shared" si="9"/>
        <v>50353</v>
      </c>
      <c r="X32" s="238">
        <f t="shared" si="9"/>
        <v>50718</v>
      </c>
      <c r="Y32" s="238">
        <f t="shared" si="9"/>
        <v>51083</v>
      </c>
      <c r="Z32" s="238">
        <f t="shared" si="9"/>
        <v>51449</v>
      </c>
      <c r="AA32" s="238">
        <f t="shared" si="9"/>
        <v>51814</v>
      </c>
      <c r="AB32" s="238">
        <f t="shared" si="9"/>
        <v>52179</v>
      </c>
      <c r="AC32" s="238">
        <f t="shared" si="9"/>
        <v>52544</v>
      </c>
      <c r="AD32" s="238">
        <f t="shared" si="9"/>
        <v>52910</v>
      </c>
      <c r="AE32" s="238">
        <f t="shared" si="9"/>
        <v>53275</v>
      </c>
      <c r="AF32" s="238">
        <f t="shared" si="9"/>
        <v>53640</v>
      </c>
      <c r="AG32" s="238">
        <f t="shared" si="9"/>
        <v>54005</v>
      </c>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38"/>
      <c r="BK32" s="238"/>
      <c r="BL32" s="238"/>
      <c r="BM32" s="238"/>
      <c r="BN32" s="238"/>
      <c r="BO32" s="238"/>
      <c r="BP32" s="238"/>
      <c r="BQ32" s="238"/>
      <c r="BR32" s="238"/>
      <c r="BS32" s="238"/>
      <c r="BT32" s="238"/>
      <c r="BU32" s="238"/>
      <c r="BV32" s="238"/>
      <c r="BW32" s="238"/>
      <c r="BX32" s="238"/>
      <c r="BY32" s="238"/>
      <c r="BZ32" s="238"/>
      <c r="CA32" s="238"/>
      <c r="CB32" s="238"/>
      <c r="CC32" s="238"/>
      <c r="CD32" s="238"/>
      <c r="CE32" s="238"/>
      <c r="CF32" s="238"/>
      <c r="CG32" s="238"/>
      <c r="CH32" s="238"/>
      <c r="CI32" s="238"/>
      <c r="CJ32" s="238"/>
      <c r="CK32" s="238"/>
      <c r="CL32" s="238"/>
      <c r="CM32" s="238"/>
      <c r="CN32" s="238"/>
      <c r="CO32" s="238"/>
      <c r="CP32" s="238"/>
      <c r="CQ32" s="238"/>
      <c r="CR32" s="238"/>
      <c r="CS32" s="238"/>
      <c r="CT32" s="238"/>
      <c r="CU32" s="238"/>
      <c r="CV32" s="238"/>
      <c r="CW32" s="238"/>
      <c r="CX32" s="238"/>
      <c r="CY32" s="238"/>
      <c r="CZ32" s="238"/>
      <c r="DA32" s="238"/>
      <c r="DB32" s="238"/>
      <c r="DC32" s="238"/>
      <c r="DD32" s="238"/>
      <c r="DE32" s="238"/>
      <c r="DF32" s="238"/>
      <c r="DG32" s="238"/>
      <c r="DH32" s="238"/>
      <c r="DI32" s="238"/>
      <c r="DJ32" s="238"/>
      <c r="DK32" s="238"/>
      <c r="DL32" s="238"/>
      <c r="DM32" s="238"/>
      <c r="DN32" s="238"/>
      <c r="DO32" s="238"/>
      <c r="DP32" s="238"/>
      <c r="DQ32" s="238"/>
      <c r="DR32" s="238"/>
      <c r="DS32" s="238"/>
      <c r="DT32" s="238"/>
      <c r="DU32" s="238"/>
      <c r="DV32" s="238"/>
      <c r="DW32" s="238"/>
      <c r="DX32" s="238"/>
      <c r="DY32" s="238"/>
      <c r="DZ32" s="238"/>
      <c r="EA32" s="238"/>
      <c r="EB32" s="238"/>
      <c r="EC32" s="238"/>
      <c r="ED32" s="238"/>
      <c r="EE32" s="238"/>
      <c r="EF32" s="238"/>
      <c r="EG32" s="238"/>
      <c r="EH32" s="238"/>
      <c r="EI32" s="238"/>
      <c r="EJ32" s="238"/>
      <c r="EK32" s="238"/>
      <c r="EL32" s="238"/>
      <c r="EM32" s="238"/>
      <c r="EN32" s="238"/>
      <c r="EO32" s="238"/>
      <c r="EP32" s="238"/>
      <c r="EQ32" s="238"/>
      <c r="ER32" s="238"/>
      <c r="ES32" s="238"/>
      <c r="ET32" s="238"/>
      <c r="EU32" s="238"/>
      <c r="EV32" s="238"/>
      <c r="EW32" s="238"/>
      <c r="EX32" s="238"/>
      <c r="EY32" s="238"/>
      <c r="EZ32" s="238"/>
      <c r="FA32" s="238"/>
      <c r="FB32" s="238"/>
      <c r="FC32" s="238"/>
      <c r="FD32" s="238"/>
      <c r="FE32" s="238"/>
      <c r="FF32" s="238"/>
      <c r="FG32" s="238"/>
      <c r="FH32" s="238"/>
      <c r="FI32" s="238"/>
      <c r="FJ32" s="238"/>
      <c r="FK32" s="238"/>
      <c r="FL32" s="238"/>
      <c r="FM32" s="238"/>
      <c r="FN32" s="238"/>
      <c r="FO32" s="238"/>
      <c r="FP32" s="238"/>
      <c r="FQ32" s="238"/>
      <c r="FR32" s="238"/>
      <c r="FS32" s="238"/>
      <c r="FT32" s="238"/>
      <c r="FU32" s="238"/>
      <c r="FV32" s="238"/>
      <c r="FW32" s="238"/>
      <c r="FX32" s="238"/>
      <c r="FY32" s="238"/>
      <c r="FZ32" s="238"/>
      <c r="GA32" s="238"/>
      <c r="GB32" s="238"/>
      <c r="GC32" s="238"/>
      <c r="GD32" s="238"/>
      <c r="GE32" s="238"/>
      <c r="GF32" s="238"/>
      <c r="GG32" s="238"/>
      <c r="GH32" s="238"/>
      <c r="GI32" s="238"/>
      <c r="GJ32" s="238"/>
      <c r="GK32" s="238"/>
      <c r="GL32" s="238"/>
      <c r="GM32" s="238"/>
      <c r="GN32" s="238"/>
      <c r="GO32" s="238"/>
      <c r="GP32" s="238"/>
      <c r="GQ32" s="238"/>
    </row>
    <row r="33" spans="2:199" x14ac:dyDescent="0.2">
      <c r="B33" t="s">
        <v>38</v>
      </c>
      <c r="C33" t="s">
        <v>130</v>
      </c>
      <c r="D33" s="238">
        <f t="shared" si="0"/>
        <v>43385</v>
      </c>
      <c r="E33" s="238">
        <v>43750</v>
      </c>
      <c r="F33" s="238">
        <f t="shared" si="8"/>
        <v>44116</v>
      </c>
      <c r="G33" s="238"/>
      <c r="H33" s="238"/>
      <c r="I33" s="238"/>
      <c r="J33" s="238"/>
      <c r="K33" s="238"/>
      <c r="L33" s="238"/>
      <c r="M33" s="238"/>
      <c r="N33" s="238"/>
      <c r="O33" s="238"/>
      <c r="P33" s="238"/>
      <c r="Q33" s="238"/>
      <c r="R33" s="238"/>
      <c r="S33" s="238"/>
      <c r="T33" s="238"/>
      <c r="U33" s="238"/>
      <c r="V33" s="238"/>
      <c r="W33" s="238"/>
      <c r="X33" s="238"/>
      <c r="Y33" s="238"/>
      <c r="Z33" s="238"/>
      <c r="AA33" s="238"/>
      <c r="AB33" s="238"/>
      <c r="AC33" s="238"/>
      <c r="AD33" s="238"/>
      <c r="AE33" s="238"/>
      <c r="AF33" s="238"/>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38"/>
      <c r="BK33" s="238"/>
      <c r="BL33" s="238"/>
      <c r="BM33" s="238"/>
      <c r="BN33" s="238"/>
      <c r="BO33" s="238"/>
      <c r="BP33" s="238"/>
      <c r="BQ33" s="238"/>
      <c r="BR33" s="238"/>
      <c r="BS33" s="238"/>
      <c r="BT33" s="238"/>
      <c r="BU33" s="238"/>
      <c r="BV33" s="238"/>
      <c r="BW33" s="238"/>
      <c r="BX33" s="238"/>
      <c r="BY33" s="238"/>
      <c r="BZ33" s="238"/>
      <c r="CA33" s="238"/>
      <c r="CB33" s="238"/>
      <c r="CC33" s="238"/>
      <c r="CD33" s="238"/>
      <c r="CE33" s="238"/>
      <c r="CF33" s="238"/>
      <c r="CG33" s="238"/>
      <c r="CH33" s="238"/>
      <c r="CI33" s="238"/>
      <c r="CJ33" s="238"/>
      <c r="CK33" s="238"/>
      <c r="CL33" s="238"/>
      <c r="CM33" s="238"/>
      <c r="CN33" s="238"/>
      <c r="CO33" s="238"/>
      <c r="CP33" s="238"/>
      <c r="CQ33" s="238"/>
      <c r="CR33" s="238"/>
      <c r="CS33" s="238"/>
      <c r="CT33" s="238"/>
      <c r="CU33" s="238"/>
      <c r="CV33" s="238"/>
      <c r="CW33" s="238"/>
      <c r="CX33" s="238"/>
      <c r="CY33" s="238"/>
      <c r="CZ33" s="238"/>
      <c r="DA33" s="238"/>
      <c r="DB33" s="238"/>
      <c r="DC33" s="238"/>
      <c r="DD33" s="238"/>
      <c r="DE33" s="238"/>
      <c r="DF33" s="238"/>
      <c r="DG33" s="238"/>
      <c r="DH33" s="238"/>
      <c r="DI33" s="238"/>
      <c r="DJ33" s="238"/>
      <c r="DK33" s="238"/>
      <c r="DL33" s="238"/>
      <c r="DM33" s="238"/>
      <c r="DN33" s="238"/>
      <c r="DO33" s="238"/>
      <c r="DP33" s="238"/>
      <c r="DQ33" s="238"/>
      <c r="DR33" s="238"/>
      <c r="DS33" s="238"/>
      <c r="DT33" s="238"/>
      <c r="DU33" s="238"/>
      <c r="DV33" s="238"/>
      <c r="DW33" s="238"/>
      <c r="DX33" s="238"/>
      <c r="DY33" s="238"/>
      <c r="DZ33" s="238"/>
      <c r="EA33" s="238"/>
      <c r="EB33" s="238"/>
      <c r="EC33" s="238"/>
      <c r="ED33" s="238"/>
      <c r="EE33" s="238"/>
      <c r="EF33" s="238"/>
      <c r="EG33" s="238"/>
      <c r="EH33" s="238"/>
      <c r="EI33" s="238"/>
      <c r="EJ33" s="238"/>
      <c r="EK33" s="238"/>
      <c r="EL33" s="238"/>
      <c r="EM33" s="238"/>
      <c r="EN33" s="238"/>
      <c r="EO33" s="238"/>
      <c r="EP33" s="238"/>
      <c r="EQ33" s="238"/>
      <c r="ER33" s="238"/>
      <c r="ES33" s="238"/>
      <c r="ET33" s="238"/>
      <c r="EU33" s="238"/>
      <c r="EV33" s="238"/>
      <c r="EW33" s="238"/>
      <c r="EX33" s="238"/>
      <c r="EY33" s="238"/>
      <c r="EZ33" s="238"/>
      <c r="FA33" s="238"/>
      <c r="FB33" s="238"/>
      <c r="FC33" s="238"/>
      <c r="FD33" s="238"/>
      <c r="FE33" s="238"/>
      <c r="FF33" s="238"/>
      <c r="FG33" s="238"/>
      <c r="FH33" s="238"/>
      <c r="FI33" s="238"/>
      <c r="FJ33" s="238"/>
      <c r="FK33" s="238"/>
      <c r="FL33" s="238"/>
      <c r="FM33" s="238"/>
      <c r="FN33" s="238"/>
      <c r="FO33" s="238"/>
      <c r="FP33" s="238"/>
      <c r="FQ33" s="238"/>
      <c r="FR33" s="238"/>
      <c r="FS33" s="238"/>
      <c r="FT33" s="238"/>
      <c r="FU33" s="238"/>
      <c r="FV33" s="238"/>
      <c r="FW33" s="238"/>
      <c r="FX33" s="238"/>
      <c r="FY33" s="238"/>
      <c r="FZ33" s="238"/>
      <c r="GA33" s="238"/>
      <c r="GB33" s="238"/>
      <c r="GC33" s="238"/>
      <c r="GD33" s="238"/>
      <c r="GE33" s="238"/>
      <c r="GF33" s="238"/>
      <c r="GG33" s="238"/>
      <c r="GH33" s="238"/>
      <c r="GI33" s="238"/>
      <c r="GJ33" s="238"/>
      <c r="GK33" s="238"/>
      <c r="GL33" s="238"/>
      <c r="GM33" s="238"/>
      <c r="GN33" s="238"/>
      <c r="GO33" s="238"/>
      <c r="GP33" s="238"/>
      <c r="GQ33" s="238"/>
    </row>
    <row r="34" spans="2:199" x14ac:dyDescent="0.2">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row>
    <row r="35" spans="2:199" x14ac:dyDescent="0.2">
      <c r="E35" s="58" t="s">
        <v>364</v>
      </c>
    </row>
    <row r="36" spans="2:199" x14ac:dyDescent="0.2">
      <c r="B36" t="s">
        <v>8</v>
      </c>
      <c r="C36" t="s">
        <v>186</v>
      </c>
      <c r="E36" s="16" t="s">
        <v>242</v>
      </c>
    </row>
    <row r="37" spans="2:199" x14ac:dyDescent="0.2">
      <c r="B37" t="s">
        <v>10</v>
      </c>
      <c r="C37" t="str">
        <f>C9</f>
        <v>USD 2033 Discount I</v>
      </c>
      <c r="E37" s="71"/>
      <c r="F37" s="71">
        <f>'Kirchner EBs Cashflows'!AJ9</f>
        <v>5.8044543827955017</v>
      </c>
      <c r="G37" s="71">
        <f>'Kirchner EBs Cashflows'!AK9</f>
        <v>5.8044543827955017</v>
      </c>
      <c r="H37" s="71">
        <f>'Kirchner EBs Cashflows'!AL9</f>
        <v>5.8044543827955017</v>
      </c>
      <c r="I37" s="71">
        <f>'Kirchner EBs Cashflows'!AM9</f>
        <v>5.8044543827955017</v>
      </c>
      <c r="J37" s="71">
        <f>'Kirchner EBs Cashflows'!AN9</f>
        <v>5.8044543827955017</v>
      </c>
      <c r="K37" s="71">
        <f>'Kirchner EBs Cashflows'!AO9</f>
        <v>5.8044543827955017</v>
      </c>
      <c r="L37" s="71">
        <f>'Kirchner EBs Cashflows'!AP9</f>
        <v>5.8044543827955017</v>
      </c>
      <c r="M37" s="71">
        <f>'Kirchner EBs Cashflows'!AQ9</f>
        <v>12.814664990036448</v>
      </c>
      <c r="N37" s="71">
        <f>'Kirchner EBs Cashflows'!AR9</f>
        <v>12.524442270896675</v>
      </c>
      <c r="O37" s="71">
        <f>'Kirchner EBs Cashflows'!AS9</f>
        <v>12.234219551756897</v>
      </c>
      <c r="P37" s="71">
        <f>'Kirchner EBs Cashflows'!AT9</f>
        <v>11.943996832617124</v>
      </c>
      <c r="Q37" s="71">
        <f>'Kirchner EBs Cashflows'!AU9</f>
        <v>11.653774113477347</v>
      </c>
      <c r="R37" s="71">
        <f>'Kirchner EBs Cashflows'!AV9</f>
        <v>11.363551394337572</v>
      </c>
      <c r="S37" s="71">
        <f>'Kirchner EBs Cashflows'!AW9</f>
        <v>11.073328675197796</v>
      </c>
      <c r="T37" s="71">
        <f>'Kirchner EBs Cashflows'!AX9</f>
        <v>10.783105956058021</v>
      </c>
      <c r="U37" s="71">
        <f>'Kirchner EBs Cashflows'!AY9</f>
        <v>10.492883236918246</v>
      </c>
      <c r="V37" s="71">
        <f>'Kirchner EBs Cashflows'!AZ9</f>
        <v>10.202660517778471</v>
      </c>
      <c r="W37" s="71">
        <f>'Kirchner EBs Cashflows'!BA9</f>
        <v>9.9124377986386953</v>
      </c>
      <c r="X37" s="71">
        <f>'Kirchner EBs Cashflows'!BB9</f>
        <v>9.6222150794989201</v>
      </c>
      <c r="Y37" s="71">
        <f>'Kirchner EBs Cashflows'!BC9</f>
        <v>9.3319923603591448</v>
      </c>
      <c r="Z37" s="71">
        <f>'Kirchner EBs Cashflows'!BD9</f>
        <v>9.0417696412193713</v>
      </c>
      <c r="AA37" s="71">
        <f>'Kirchner EBs Cashflows'!BE9</f>
        <v>8.7515469220795961</v>
      </c>
      <c r="AB37" s="71">
        <f>'Kirchner EBs Cashflows'!BF9</f>
        <v>8.4613242029398208</v>
      </c>
      <c r="AC37" s="71">
        <f>'Kirchner EBs Cashflows'!BG9</f>
        <v>8.1711014838000455</v>
      </c>
      <c r="AD37" s="71">
        <f>'Kirchner EBs Cashflows'!BH9</f>
        <v>7.8808787646602703</v>
      </c>
      <c r="AE37" s="71">
        <f>'Kirchner EBs Cashflows'!BI9</f>
        <v>7.590656045520495</v>
      </c>
      <c r="AF37" s="71">
        <f>'Kirchner EBs Cashflows'!BJ9</f>
        <v>7.3004333263807197</v>
      </c>
      <c r="AG37" s="71">
        <f>'Kirchner EBs Cashflows'!BK9</f>
        <v>0</v>
      </c>
      <c r="AH37" s="71">
        <f>'Kirchner EBs Cashflows'!BL9</f>
        <v>0</v>
      </c>
      <c r="AI37" s="71">
        <f>'Kirchner EBs Cashflows'!BM9</f>
        <v>0</v>
      </c>
      <c r="AJ37" s="71">
        <f>'Kirchner EBs Cashflows'!BN9</f>
        <v>0</v>
      </c>
      <c r="AK37" s="71">
        <f>'Kirchner EBs Cashflows'!BO9</f>
        <v>0</v>
      </c>
      <c r="AL37" s="71">
        <f>'Kirchner EBs Cashflows'!BP9</f>
        <v>0</v>
      </c>
      <c r="AM37" s="71">
        <f>'Kirchner EBs Cashflows'!BQ9</f>
        <v>0</v>
      </c>
      <c r="AN37" s="71">
        <f>'Kirchner EBs Cashflows'!BR9</f>
        <v>0</v>
      </c>
      <c r="AO37" s="71">
        <f>'Kirchner EBs Cashflows'!BS9</f>
        <v>0</v>
      </c>
      <c r="AP37" s="71">
        <f>'Kirchner EBs Cashflows'!BT9</f>
        <v>0</v>
      </c>
      <c r="AQ37" s="71">
        <f>'Kirchner EBs Cashflows'!BU9</f>
        <v>0</v>
      </c>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c r="CC37" s="73"/>
      <c r="CD37" s="73"/>
      <c r="CE37" s="73"/>
      <c r="CF37" s="73"/>
      <c r="CG37" s="73"/>
      <c r="CH37" s="73"/>
      <c r="CI37" s="73"/>
      <c r="CJ37" s="73"/>
      <c r="CK37" s="73"/>
      <c r="CL37" s="73"/>
      <c r="CM37" s="73"/>
      <c r="CN37" s="73"/>
      <c r="CO37" s="73"/>
      <c r="CP37" s="73"/>
      <c r="CQ37" s="73"/>
      <c r="CR37" s="73"/>
      <c r="CS37" s="73"/>
      <c r="CT37" s="73"/>
      <c r="CU37" s="73"/>
      <c r="CV37" s="73"/>
      <c r="CW37" s="73"/>
      <c r="CX37" s="73"/>
    </row>
    <row r="38" spans="2:199" x14ac:dyDescent="0.2">
      <c r="B38" t="s">
        <v>12</v>
      </c>
      <c r="C38" t="str">
        <f t="shared" ref="C38:C61" si="10">C10</f>
        <v>USD 2033 Discount II and III</v>
      </c>
      <c r="E38" s="71"/>
      <c r="F38" s="71">
        <f>F37</f>
        <v>5.8044543827955017</v>
      </c>
      <c r="G38" s="71">
        <f t="shared" ref="G38:AQ38" si="11">G37</f>
        <v>5.8044543827955017</v>
      </c>
      <c r="H38" s="71">
        <f t="shared" si="11"/>
        <v>5.8044543827955017</v>
      </c>
      <c r="I38" s="71">
        <f t="shared" si="11"/>
        <v>5.8044543827955017</v>
      </c>
      <c r="J38" s="71">
        <f t="shared" si="11"/>
        <v>5.8044543827955017</v>
      </c>
      <c r="K38" s="71">
        <f t="shared" si="11"/>
        <v>5.8044543827955017</v>
      </c>
      <c r="L38" s="71">
        <f t="shared" si="11"/>
        <v>5.8044543827955017</v>
      </c>
      <c r="M38" s="71">
        <f t="shared" si="11"/>
        <v>12.814664990036448</v>
      </c>
      <c r="N38" s="71">
        <f t="shared" si="11"/>
        <v>12.524442270896675</v>
      </c>
      <c r="O38" s="71">
        <f t="shared" si="11"/>
        <v>12.234219551756897</v>
      </c>
      <c r="P38" s="71">
        <f t="shared" si="11"/>
        <v>11.943996832617124</v>
      </c>
      <c r="Q38" s="71">
        <f t="shared" si="11"/>
        <v>11.653774113477347</v>
      </c>
      <c r="R38" s="71">
        <f t="shared" si="11"/>
        <v>11.363551394337572</v>
      </c>
      <c r="S38" s="71">
        <f t="shared" si="11"/>
        <v>11.073328675197796</v>
      </c>
      <c r="T38" s="71">
        <f t="shared" si="11"/>
        <v>10.783105956058021</v>
      </c>
      <c r="U38" s="71">
        <f t="shared" si="11"/>
        <v>10.492883236918246</v>
      </c>
      <c r="V38" s="71">
        <f t="shared" si="11"/>
        <v>10.202660517778471</v>
      </c>
      <c r="W38" s="71">
        <f t="shared" si="11"/>
        <v>9.9124377986386953</v>
      </c>
      <c r="X38" s="71">
        <f t="shared" si="11"/>
        <v>9.6222150794989201</v>
      </c>
      <c r="Y38" s="71">
        <f t="shared" si="11"/>
        <v>9.3319923603591448</v>
      </c>
      <c r="Z38" s="71">
        <f t="shared" si="11"/>
        <v>9.0417696412193713</v>
      </c>
      <c r="AA38" s="71">
        <f t="shared" si="11"/>
        <v>8.7515469220795961</v>
      </c>
      <c r="AB38" s="71">
        <f t="shared" si="11"/>
        <v>8.4613242029398208</v>
      </c>
      <c r="AC38" s="71">
        <f t="shared" si="11"/>
        <v>8.1711014838000455</v>
      </c>
      <c r="AD38" s="71">
        <f t="shared" si="11"/>
        <v>7.8808787646602703</v>
      </c>
      <c r="AE38" s="71">
        <f t="shared" si="11"/>
        <v>7.590656045520495</v>
      </c>
      <c r="AF38" s="71">
        <f t="shared" si="11"/>
        <v>7.3004333263807197</v>
      </c>
      <c r="AG38" s="71">
        <f t="shared" si="11"/>
        <v>0</v>
      </c>
      <c r="AH38" s="71">
        <f t="shared" si="11"/>
        <v>0</v>
      </c>
      <c r="AI38" s="71">
        <f t="shared" si="11"/>
        <v>0</v>
      </c>
      <c r="AJ38" s="71">
        <f t="shared" si="11"/>
        <v>0</v>
      </c>
      <c r="AK38" s="71">
        <f t="shared" si="11"/>
        <v>0</v>
      </c>
      <c r="AL38" s="71">
        <f t="shared" si="11"/>
        <v>0</v>
      </c>
      <c r="AM38" s="71">
        <f t="shared" si="11"/>
        <v>0</v>
      </c>
      <c r="AN38" s="71">
        <f t="shared" si="11"/>
        <v>0</v>
      </c>
      <c r="AO38" s="71">
        <f t="shared" si="11"/>
        <v>0</v>
      </c>
      <c r="AP38" s="71">
        <f t="shared" si="11"/>
        <v>0</v>
      </c>
      <c r="AQ38" s="71">
        <f t="shared" si="11"/>
        <v>0</v>
      </c>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c r="CC38" s="73"/>
      <c r="CD38" s="73"/>
      <c r="CE38" s="73"/>
      <c r="CF38" s="73"/>
      <c r="CG38" s="73"/>
      <c r="CH38" s="73"/>
      <c r="CI38" s="73"/>
      <c r="CJ38" s="73"/>
      <c r="CK38" s="73"/>
      <c r="CL38" s="73"/>
      <c r="CM38" s="73"/>
      <c r="CN38" s="73"/>
      <c r="CO38" s="73"/>
      <c r="CP38" s="73"/>
      <c r="CQ38" s="73"/>
      <c r="CR38" s="73"/>
      <c r="CS38" s="73"/>
      <c r="CT38" s="73"/>
      <c r="CU38" s="73"/>
      <c r="CV38" s="73"/>
      <c r="CW38" s="73"/>
      <c r="CX38" s="73"/>
    </row>
    <row r="39" spans="2:199" x14ac:dyDescent="0.2">
      <c r="B39" t="s">
        <v>20</v>
      </c>
      <c r="C39" t="str">
        <f t="shared" si="10"/>
        <v>USD Par 2038 I</v>
      </c>
      <c r="E39" s="71"/>
      <c r="F39" s="71">
        <f>'Kirchner EBs Cashflows'!AJ17</f>
        <v>1.875</v>
      </c>
      <c r="G39" s="71">
        <f>'Kirchner EBs Cashflows'!AK17</f>
        <v>1.875</v>
      </c>
      <c r="H39" s="71">
        <f>'Kirchner EBs Cashflows'!AL17</f>
        <v>1.875</v>
      </c>
      <c r="I39" s="71">
        <f>'Kirchner EBs Cashflows'!AM17</f>
        <v>1.875</v>
      </c>
      <c r="J39" s="71">
        <f>'Kirchner EBs Cashflows'!AN17</f>
        <v>1.875</v>
      </c>
      <c r="K39" s="71">
        <f>'Kirchner EBs Cashflows'!AO17</f>
        <v>1.875</v>
      </c>
      <c r="L39" s="71">
        <f>'Kirchner EBs Cashflows'!AP17</f>
        <v>1.875</v>
      </c>
      <c r="M39" s="71">
        <f>'Kirchner EBs Cashflows'!AQ17</f>
        <v>1.875</v>
      </c>
      <c r="N39" s="71">
        <f>'Kirchner EBs Cashflows'!AR17</f>
        <v>1.875</v>
      </c>
      <c r="O39" s="71">
        <f>'Kirchner EBs Cashflows'!AS17</f>
        <v>1.875</v>
      </c>
      <c r="P39" s="71">
        <f>'Kirchner EBs Cashflows'!AT17</f>
        <v>1.875</v>
      </c>
      <c r="Q39" s="71">
        <f>'Kirchner EBs Cashflows'!AU17</f>
        <v>1.875</v>
      </c>
      <c r="R39" s="71">
        <f>'Kirchner EBs Cashflows'!AV17</f>
        <v>1.875</v>
      </c>
      <c r="S39" s="71">
        <f>'Kirchner EBs Cashflows'!AW17</f>
        <v>1.875</v>
      </c>
      <c r="T39" s="71">
        <f>'Kirchner EBs Cashflows'!AX17</f>
        <v>1.875</v>
      </c>
      <c r="U39" s="71">
        <f>'Kirchner EBs Cashflows'!AY17</f>
        <v>1.875</v>
      </c>
      <c r="V39" s="71">
        <f>'Kirchner EBs Cashflows'!AZ17</f>
        <v>1.875</v>
      </c>
      <c r="W39" s="71">
        <f>'Kirchner EBs Cashflows'!BA17</f>
        <v>1.875</v>
      </c>
      <c r="X39" s="71">
        <f>'Kirchner EBs Cashflows'!BB17</f>
        <v>7.625</v>
      </c>
      <c r="Y39" s="71">
        <f>'Kirchner EBs Cashflows'!BC17</f>
        <v>7.4937500000000004</v>
      </c>
      <c r="Z39" s="71">
        <f>'Kirchner EBs Cashflows'!BD17</f>
        <v>7.3624999999999998</v>
      </c>
      <c r="AA39" s="71">
        <f>'Kirchner EBs Cashflows'!BE17</f>
        <v>7.2312500000000002</v>
      </c>
      <c r="AB39" s="71">
        <f>'Kirchner EBs Cashflows'!BF17</f>
        <v>7.1</v>
      </c>
      <c r="AC39" s="71">
        <f>'Kirchner EBs Cashflows'!BG17</f>
        <v>6.96875</v>
      </c>
      <c r="AD39" s="71">
        <f>'Kirchner EBs Cashflows'!BH17</f>
        <v>6.8375000000000004</v>
      </c>
      <c r="AE39" s="71">
        <f>'Kirchner EBs Cashflows'!BI17</f>
        <v>6.7062499999999998</v>
      </c>
      <c r="AF39" s="71">
        <f>'Kirchner EBs Cashflows'!BJ17</f>
        <v>6.5750000000000002</v>
      </c>
      <c r="AG39" s="71">
        <f>'Kirchner EBs Cashflows'!BK17</f>
        <v>6.4437499999999996</v>
      </c>
      <c r="AH39" s="71">
        <f>'Kirchner EBs Cashflows'!BL17</f>
        <v>6.3125</v>
      </c>
      <c r="AI39" s="71">
        <f>'Kirchner EBs Cashflows'!BM17</f>
        <v>6.1812500000000004</v>
      </c>
      <c r="AJ39" s="71">
        <f>'Kirchner EBs Cashflows'!BN17</f>
        <v>6.05</v>
      </c>
      <c r="AK39" s="71">
        <f>'Kirchner EBs Cashflows'!BO17</f>
        <v>5.9187500000000002</v>
      </c>
      <c r="AL39" s="71">
        <f>'Kirchner EBs Cashflows'!BP17</f>
        <v>5.7874999999999996</v>
      </c>
      <c r="AM39" s="71">
        <f>'Kirchner EBs Cashflows'!BQ17</f>
        <v>5.65625</v>
      </c>
      <c r="AN39" s="71">
        <f>'Kirchner EBs Cashflows'!BR17</f>
        <v>5.5250000000000004</v>
      </c>
      <c r="AO39" s="71">
        <f>'Kirchner EBs Cashflows'!BS17</f>
        <v>5.3937499999999998</v>
      </c>
      <c r="AP39" s="71">
        <f>'Kirchner EBs Cashflows'!BT17</f>
        <v>5.2625000000000002</v>
      </c>
      <c r="AQ39" s="71">
        <f>'Kirchner EBs Cashflows'!BU17</f>
        <v>5.0656249999999998</v>
      </c>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c r="CC39" s="73"/>
      <c r="CD39" s="73"/>
      <c r="CE39" s="73"/>
      <c r="CF39" s="73"/>
      <c r="CG39" s="73"/>
      <c r="CH39" s="73"/>
      <c r="CI39" s="73"/>
      <c r="CJ39" s="73"/>
      <c r="CK39" s="73"/>
      <c r="CL39" s="73"/>
      <c r="CM39" s="73"/>
      <c r="CN39" s="73"/>
      <c r="CO39" s="73"/>
      <c r="CP39" s="73"/>
      <c r="CQ39" s="73"/>
      <c r="CR39" s="73"/>
      <c r="CS39" s="73"/>
      <c r="CT39" s="73"/>
      <c r="CU39" s="73"/>
      <c r="CV39" s="73"/>
      <c r="CW39" s="73"/>
      <c r="CX39" s="73"/>
    </row>
    <row r="40" spans="2:199" x14ac:dyDescent="0.2">
      <c r="B40" t="s">
        <v>22</v>
      </c>
      <c r="C40" t="str">
        <f t="shared" si="10"/>
        <v>USD Par 2038 II and III</v>
      </c>
      <c r="E40" s="71"/>
      <c r="F40" s="71">
        <f>F39</f>
        <v>1.875</v>
      </c>
      <c r="G40" s="71">
        <f t="shared" ref="G40:AQ40" si="12">G39</f>
        <v>1.875</v>
      </c>
      <c r="H40" s="71">
        <f t="shared" si="12"/>
        <v>1.875</v>
      </c>
      <c r="I40" s="71">
        <f t="shared" si="12"/>
        <v>1.875</v>
      </c>
      <c r="J40" s="71">
        <f t="shared" si="12"/>
        <v>1.875</v>
      </c>
      <c r="K40" s="71">
        <f t="shared" si="12"/>
        <v>1.875</v>
      </c>
      <c r="L40" s="71">
        <f t="shared" si="12"/>
        <v>1.875</v>
      </c>
      <c r="M40" s="71">
        <f t="shared" si="12"/>
        <v>1.875</v>
      </c>
      <c r="N40" s="71">
        <f t="shared" si="12"/>
        <v>1.875</v>
      </c>
      <c r="O40" s="71">
        <f t="shared" si="12"/>
        <v>1.875</v>
      </c>
      <c r="P40" s="71">
        <f t="shared" si="12"/>
        <v>1.875</v>
      </c>
      <c r="Q40" s="71">
        <f t="shared" si="12"/>
        <v>1.875</v>
      </c>
      <c r="R40" s="71">
        <f t="shared" si="12"/>
        <v>1.875</v>
      </c>
      <c r="S40" s="71">
        <f t="shared" si="12"/>
        <v>1.875</v>
      </c>
      <c r="T40" s="71">
        <f t="shared" si="12"/>
        <v>1.875</v>
      </c>
      <c r="U40" s="71">
        <f t="shared" si="12"/>
        <v>1.875</v>
      </c>
      <c r="V40" s="71">
        <f t="shared" si="12"/>
        <v>1.875</v>
      </c>
      <c r="W40" s="71">
        <f t="shared" si="12"/>
        <v>1.875</v>
      </c>
      <c r="X40" s="71">
        <f t="shared" si="12"/>
        <v>7.625</v>
      </c>
      <c r="Y40" s="71">
        <f t="shared" si="12"/>
        <v>7.4937500000000004</v>
      </c>
      <c r="Z40" s="71">
        <f t="shared" si="12"/>
        <v>7.3624999999999998</v>
      </c>
      <c r="AA40" s="71">
        <f t="shared" si="12"/>
        <v>7.2312500000000002</v>
      </c>
      <c r="AB40" s="71">
        <f t="shared" si="12"/>
        <v>7.1</v>
      </c>
      <c r="AC40" s="71">
        <f t="shared" si="12"/>
        <v>6.96875</v>
      </c>
      <c r="AD40" s="71">
        <f t="shared" si="12"/>
        <v>6.8375000000000004</v>
      </c>
      <c r="AE40" s="71">
        <f t="shared" si="12"/>
        <v>6.7062499999999998</v>
      </c>
      <c r="AF40" s="71">
        <f t="shared" si="12"/>
        <v>6.5750000000000002</v>
      </c>
      <c r="AG40" s="71">
        <f t="shared" si="12"/>
        <v>6.4437499999999996</v>
      </c>
      <c r="AH40" s="71">
        <f t="shared" si="12"/>
        <v>6.3125</v>
      </c>
      <c r="AI40" s="71">
        <f t="shared" si="12"/>
        <v>6.1812500000000004</v>
      </c>
      <c r="AJ40" s="71">
        <f t="shared" si="12"/>
        <v>6.05</v>
      </c>
      <c r="AK40" s="71">
        <f t="shared" si="12"/>
        <v>5.9187500000000002</v>
      </c>
      <c r="AL40" s="71">
        <f t="shared" si="12"/>
        <v>5.7874999999999996</v>
      </c>
      <c r="AM40" s="71">
        <f t="shared" si="12"/>
        <v>5.65625</v>
      </c>
      <c r="AN40" s="71">
        <f t="shared" si="12"/>
        <v>5.5250000000000004</v>
      </c>
      <c r="AO40" s="71">
        <f t="shared" si="12"/>
        <v>5.3937499999999998</v>
      </c>
      <c r="AP40" s="71">
        <f t="shared" si="12"/>
        <v>5.2625000000000002</v>
      </c>
      <c r="AQ40" s="71">
        <f t="shared" si="12"/>
        <v>5.0656249999999998</v>
      </c>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c r="CC40" s="73"/>
      <c r="CD40" s="73"/>
      <c r="CE40" s="73"/>
      <c r="CF40" s="73"/>
      <c r="CG40" s="73"/>
      <c r="CH40" s="73"/>
      <c r="CI40" s="73"/>
      <c r="CJ40" s="73"/>
      <c r="CK40" s="73"/>
      <c r="CL40" s="73"/>
      <c r="CM40" s="73"/>
      <c r="CN40" s="73"/>
      <c r="CO40" s="73"/>
      <c r="CP40" s="73"/>
      <c r="CQ40" s="73"/>
      <c r="CR40" s="73"/>
      <c r="CS40" s="73"/>
      <c r="CT40" s="73"/>
      <c r="CU40" s="73"/>
      <c r="CV40" s="73"/>
      <c r="CW40" s="73"/>
      <c r="CX40" s="73"/>
    </row>
    <row r="41" spans="2:199" x14ac:dyDescent="0.2">
      <c r="B41" t="s">
        <v>15</v>
      </c>
      <c r="C41" t="str">
        <f t="shared" si="10"/>
        <v>Euro 2033 Discount I</v>
      </c>
      <c r="E41" s="71"/>
      <c r="F41" s="71">
        <f>'Kirchner EBs Cashflows'!AJ27</f>
        <v>5.3943901661728511</v>
      </c>
      <c r="G41" s="71">
        <f>'Kirchner EBs Cashflows'!AK27</f>
        <v>5.3943901661728511</v>
      </c>
      <c r="H41" s="71">
        <f>'Kirchner EBs Cashflows'!AL27</f>
        <v>5.3943901661728511</v>
      </c>
      <c r="I41" s="71">
        <f>'Kirchner EBs Cashflows'!AM27</f>
        <v>5.3943901661728511</v>
      </c>
      <c r="J41" s="71">
        <f>'Kirchner EBs Cashflows'!AN27</f>
        <v>5.3943901661728511</v>
      </c>
      <c r="K41" s="71">
        <f>'Kirchner EBs Cashflows'!AO27</f>
        <v>5.3943901661728511</v>
      </c>
      <c r="L41" s="71">
        <f>'Kirchner EBs Cashflows'!AP27</f>
        <v>5.3943901661728511</v>
      </c>
      <c r="M41" s="71">
        <f>'Kirchner EBs Cashflows'!AQ27</f>
        <v>12.292587309616394</v>
      </c>
      <c r="N41" s="71">
        <f>'Kirchner EBs Cashflows'!AR27</f>
        <v>12.022867801307751</v>
      </c>
      <c r="O41" s="71">
        <f>'Kirchner EBs Cashflows'!AS27</f>
        <v>11.753148292999111</v>
      </c>
      <c r="P41" s="71">
        <f>'Kirchner EBs Cashflows'!AT27</f>
        <v>11.483428784690467</v>
      </c>
      <c r="Q41" s="71">
        <f>'Kirchner EBs Cashflows'!AU27</f>
        <v>11.213709276381826</v>
      </c>
      <c r="R41" s="71">
        <f>'Kirchner EBs Cashflows'!AV27</f>
        <v>10.943989768073182</v>
      </c>
      <c r="S41" s="71">
        <f>'Kirchner EBs Cashflows'!AW27</f>
        <v>10.67427025976454</v>
      </c>
      <c r="T41" s="71">
        <f>'Kirchner EBs Cashflows'!AX27</f>
        <v>10.404550751455897</v>
      </c>
      <c r="U41" s="71">
        <f>'Kirchner EBs Cashflows'!AY27</f>
        <v>10.134831243147255</v>
      </c>
      <c r="V41" s="71">
        <f>'Kirchner EBs Cashflows'!AZ27</f>
        <v>9.8651117348386137</v>
      </c>
      <c r="W41" s="71">
        <f>'Kirchner EBs Cashflows'!BA27</f>
        <v>9.5953922265299703</v>
      </c>
      <c r="X41" s="71">
        <f>'Kirchner EBs Cashflows'!BB27</f>
        <v>9.3256727182213268</v>
      </c>
      <c r="Y41" s="71">
        <f>'Kirchner EBs Cashflows'!BC27</f>
        <v>9.0559532099126852</v>
      </c>
      <c r="Z41" s="71">
        <f>'Kirchner EBs Cashflows'!BD27</f>
        <v>8.7862337016040435</v>
      </c>
      <c r="AA41" s="71">
        <f>'Kirchner EBs Cashflows'!BE27</f>
        <v>8.5165141932954</v>
      </c>
      <c r="AB41" s="71">
        <f>'Kirchner EBs Cashflows'!BF27</f>
        <v>8.2467946849867566</v>
      </c>
      <c r="AC41" s="71">
        <f>'Kirchner EBs Cashflows'!BG27</f>
        <v>7.9770751766781149</v>
      </c>
      <c r="AD41" s="71">
        <f>'Kirchner EBs Cashflows'!BH27</f>
        <v>7.7073556683694724</v>
      </c>
      <c r="AE41" s="71">
        <f>'Kirchner EBs Cashflows'!BI27</f>
        <v>7.4376361600608298</v>
      </c>
      <c r="AF41" s="71">
        <f>'Kirchner EBs Cashflows'!BJ27</f>
        <v>7.1679166517521873</v>
      </c>
      <c r="AG41" s="71">
        <f>'Kirchner EBs Cashflows'!BK27</f>
        <v>0</v>
      </c>
      <c r="AH41" s="71">
        <f>'Kirchner EBs Cashflows'!BL27</f>
        <v>0</v>
      </c>
      <c r="AI41" s="71">
        <f>'Kirchner EBs Cashflows'!BM27</f>
        <v>0</v>
      </c>
      <c r="AJ41" s="71">
        <f>'Kirchner EBs Cashflows'!BN27</f>
        <v>0</v>
      </c>
      <c r="AK41" s="71">
        <f>'Kirchner EBs Cashflows'!BO27</f>
        <v>0</v>
      </c>
      <c r="AL41" s="71">
        <f>'Kirchner EBs Cashflows'!BP27</f>
        <v>0</v>
      </c>
      <c r="AM41" s="71">
        <f>'Kirchner EBs Cashflows'!BQ27</f>
        <v>0</v>
      </c>
      <c r="AN41" s="71">
        <f>'Kirchner EBs Cashflows'!BR27</f>
        <v>0</v>
      </c>
      <c r="AO41" s="71">
        <f>'Kirchner EBs Cashflows'!BS27</f>
        <v>0</v>
      </c>
      <c r="AP41" s="71">
        <f>'Kirchner EBs Cashflows'!BT27</f>
        <v>0</v>
      </c>
      <c r="AQ41" s="71">
        <f>'Kirchner EBs Cashflows'!BU27</f>
        <v>0</v>
      </c>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c r="CC41" s="73"/>
      <c r="CD41" s="73"/>
      <c r="CE41" s="73"/>
      <c r="CF41" s="73"/>
      <c r="CG41" s="73"/>
      <c r="CH41" s="73"/>
      <c r="CI41" s="73"/>
      <c r="CJ41" s="73"/>
      <c r="CK41" s="73"/>
      <c r="CL41" s="73"/>
      <c r="CM41" s="73"/>
      <c r="CN41" s="73"/>
      <c r="CO41" s="73"/>
      <c r="CP41" s="73"/>
      <c r="CQ41" s="73"/>
      <c r="CR41" s="73"/>
      <c r="CS41" s="73"/>
      <c r="CT41" s="73"/>
      <c r="CU41" s="73"/>
      <c r="CV41" s="73"/>
      <c r="CW41" s="73"/>
      <c r="CX41" s="73"/>
    </row>
    <row r="42" spans="2:199" x14ac:dyDescent="0.2">
      <c r="B42" t="s">
        <v>17</v>
      </c>
      <c r="C42" t="str">
        <f t="shared" si="10"/>
        <v>Euro 2033 Discount II and III</v>
      </c>
      <c r="E42" s="71"/>
      <c r="F42" s="71">
        <f>F41</f>
        <v>5.3943901661728511</v>
      </c>
      <c r="G42" s="71">
        <f t="shared" ref="G42:AQ42" si="13">G41</f>
        <v>5.3943901661728511</v>
      </c>
      <c r="H42" s="71">
        <f t="shared" si="13"/>
        <v>5.3943901661728511</v>
      </c>
      <c r="I42" s="71">
        <f t="shared" si="13"/>
        <v>5.3943901661728511</v>
      </c>
      <c r="J42" s="71">
        <f t="shared" si="13"/>
        <v>5.3943901661728511</v>
      </c>
      <c r="K42" s="71">
        <f t="shared" si="13"/>
        <v>5.3943901661728511</v>
      </c>
      <c r="L42" s="71">
        <f t="shared" si="13"/>
        <v>5.3943901661728511</v>
      </c>
      <c r="M42" s="71">
        <f t="shared" si="13"/>
        <v>12.292587309616394</v>
      </c>
      <c r="N42" s="71">
        <f t="shared" si="13"/>
        <v>12.022867801307751</v>
      </c>
      <c r="O42" s="71">
        <f t="shared" si="13"/>
        <v>11.753148292999111</v>
      </c>
      <c r="P42" s="71">
        <f t="shared" si="13"/>
        <v>11.483428784690467</v>
      </c>
      <c r="Q42" s="71">
        <f t="shared" si="13"/>
        <v>11.213709276381826</v>
      </c>
      <c r="R42" s="71">
        <f t="shared" si="13"/>
        <v>10.943989768073182</v>
      </c>
      <c r="S42" s="71">
        <f t="shared" si="13"/>
        <v>10.67427025976454</v>
      </c>
      <c r="T42" s="71">
        <f t="shared" si="13"/>
        <v>10.404550751455897</v>
      </c>
      <c r="U42" s="71">
        <f t="shared" si="13"/>
        <v>10.134831243147255</v>
      </c>
      <c r="V42" s="71">
        <f t="shared" si="13"/>
        <v>9.8651117348386137</v>
      </c>
      <c r="W42" s="71">
        <f t="shared" si="13"/>
        <v>9.5953922265299703</v>
      </c>
      <c r="X42" s="71">
        <f t="shared" si="13"/>
        <v>9.3256727182213268</v>
      </c>
      <c r="Y42" s="71">
        <f t="shared" si="13"/>
        <v>9.0559532099126852</v>
      </c>
      <c r="Z42" s="71">
        <f t="shared" si="13"/>
        <v>8.7862337016040435</v>
      </c>
      <c r="AA42" s="71">
        <f t="shared" si="13"/>
        <v>8.5165141932954</v>
      </c>
      <c r="AB42" s="71">
        <f t="shared" si="13"/>
        <v>8.2467946849867566</v>
      </c>
      <c r="AC42" s="71">
        <f t="shared" si="13"/>
        <v>7.9770751766781149</v>
      </c>
      <c r="AD42" s="71">
        <f t="shared" si="13"/>
        <v>7.7073556683694724</v>
      </c>
      <c r="AE42" s="71">
        <f t="shared" si="13"/>
        <v>7.4376361600608298</v>
      </c>
      <c r="AF42" s="71">
        <f t="shared" si="13"/>
        <v>7.1679166517521873</v>
      </c>
      <c r="AG42" s="71">
        <f t="shared" si="13"/>
        <v>0</v>
      </c>
      <c r="AH42" s="71">
        <f t="shared" si="13"/>
        <v>0</v>
      </c>
      <c r="AI42" s="71">
        <f t="shared" si="13"/>
        <v>0</v>
      </c>
      <c r="AJ42" s="71">
        <f t="shared" si="13"/>
        <v>0</v>
      </c>
      <c r="AK42" s="71">
        <f t="shared" si="13"/>
        <v>0</v>
      </c>
      <c r="AL42" s="71">
        <f t="shared" si="13"/>
        <v>0</v>
      </c>
      <c r="AM42" s="71">
        <f t="shared" si="13"/>
        <v>0</v>
      </c>
      <c r="AN42" s="71">
        <f t="shared" si="13"/>
        <v>0</v>
      </c>
      <c r="AO42" s="71">
        <f t="shared" si="13"/>
        <v>0</v>
      </c>
      <c r="AP42" s="71">
        <f t="shared" si="13"/>
        <v>0</v>
      </c>
      <c r="AQ42" s="71">
        <f t="shared" si="13"/>
        <v>0</v>
      </c>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c r="CC42" s="73"/>
      <c r="CD42" s="73"/>
      <c r="CE42" s="73"/>
      <c r="CF42" s="73"/>
      <c r="CG42" s="73"/>
      <c r="CH42" s="73"/>
      <c r="CI42" s="73"/>
      <c r="CJ42" s="73"/>
      <c r="CK42" s="73"/>
      <c r="CL42" s="73"/>
      <c r="CM42" s="73"/>
      <c r="CN42" s="73"/>
      <c r="CO42" s="73"/>
      <c r="CP42" s="73"/>
      <c r="CQ42" s="73"/>
      <c r="CR42" s="73"/>
      <c r="CS42" s="73"/>
      <c r="CT42" s="73"/>
      <c r="CU42" s="73"/>
      <c r="CV42" s="73"/>
      <c r="CW42" s="73"/>
      <c r="CX42" s="73"/>
    </row>
    <row r="43" spans="2:199" x14ac:dyDescent="0.2">
      <c r="B43" t="s">
        <v>25</v>
      </c>
      <c r="C43" t="str">
        <f t="shared" si="10"/>
        <v>Euro Par 2038 I</v>
      </c>
      <c r="E43" s="71"/>
      <c r="F43" s="71">
        <f>'Kirchner EBs Cashflows'!AJ35</f>
        <v>1.69</v>
      </c>
      <c r="G43" s="71">
        <f>'Kirchner EBs Cashflows'!AK35</f>
        <v>1.69</v>
      </c>
      <c r="H43" s="71">
        <f>'Kirchner EBs Cashflows'!AL35</f>
        <v>1.69</v>
      </c>
      <c r="I43" s="71">
        <f>'Kirchner EBs Cashflows'!AM35</f>
        <v>1.69</v>
      </c>
      <c r="J43" s="71">
        <f>'Kirchner EBs Cashflows'!AN35</f>
        <v>1.69</v>
      </c>
      <c r="K43" s="71">
        <f>'Kirchner EBs Cashflows'!AO35</f>
        <v>1.69</v>
      </c>
      <c r="L43" s="71">
        <f>'Kirchner EBs Cashflows'!AP35</f>
        <v>1.69</v>
      </c>
      <c r="M43" s="71">
        <f>'Kirchner EBs Cashflows'!AQ35</f>
        <v>1.69</v>
      </c>
      <c r="N43" s="71">
        <f>'Kirchner EBs Cashflows'!AR35</f>
        <v>1.69</v>
      </c>
      <c r="O43" s="71">
        <f>'Kirchner EBs Cashflows'!AS35</f>
        <v>1.69</v>
      </c>
      <c r="P43" s="71">
        <f>'Kirchner EBs Cashflows'!AT35</f>
        <v>1.69</v>
      </c>
      <c r="Q43" s="71">
        <f>'Kirchner EBs Cashflows'!AU35</f>
        <v>1.69</v>
      </c>
      <c r="R43" s="71">
        <f>'Kirchner EBs Cashflows'!AV35</f>
        <v>1.69</v>
      </c>
      <c r="S43" s="71">
        <f>'Kirchner EBs Cashflows'!AW35</f>
        <v>1.69</v>
      </c>
      <c r="T43" s="71">
        <f>'Kirchner EBs Cashflows'!AX35</f>
        <v>1.69</v>
      </c>
      <c r="U43" s="71">
        <f>'Kirchner EBs Cashflows'!AY35</f>
        <v>1.69</v>
      </c>
      <c r="V43" s="71">
        <f>'Kirchner EBs Cashflows'!AZ35</f>
        <v>1.69</v>
      </c>
      <c r="W43" s="71">
        <f>'Kirchner EBs Cashflows'!BA35</f>
        <v>1.69</v>
      </c>
      <c r="X43" s="71">
        <f>'Kirchner EBs Cashflows'!BB35</f>
        <v>7.37</v>
      </c>
      <c r="Y43" s="71">
        <f>'Kirchner EBs Cashflows'!BC35</f>
        <v>7.2515000000000001</v>
      </c>
      <c r="Z43" s="71">
        <f>'Kirchner EBs Cashflows'!BD35</f>
        <v>7.133</v>
      </c>
      <c r="AA43" s="71">
        <f>'Kirchner EBs Cashflows'!BE35</f>
        <v>7.0145</v>
      </c>
      <c r="AB43" s="71">
        <f>'Kirchner EBs Cashflows'!BF35</f>
        <v>6.8959999999999999</v>
      </c>
      <c r="AC43" s="71">
        <f>'Kirchner EBs Cashflows'!BG35</f>
        <v>6.7774999999999999</v>
      </c>
      <c r="AD43" s="71">
        <f>'Kirchner EBs Cashflows'!BH35</f>
        <v>6.6589999999999998</v>
      </c>
      <c r="AE43" s="71">
        <f>'Kirchner EBs Cashflows'!BI35</f>
        <v>6.5404999999999998</v>
      </c>
      <c r="AF43" s="71">
        <f>'Kirchner EBs Cashflows'!BJ35</f>
        <v>6.4220000000000006</v>
      </c>
      <c r="AG43" s="71">
        <f>'Kirchner EBs Cashflows'!BK35</f>
        <v>6.3034999999999997</v>
      </c>
      <c r="AH43" s="71">
        <f>'Kirchner EBs Cashflows'!BL35</f>
        <v>6.1850000000000005</v>
      </c>
      <c r="AI43" s="71">
        <f>'Kirchner EBs Cashflows'!BM35</f>
        <v>6.0664999999999996</v>
      </c>
      <c r="AJ43" s="71">
        <f>'Kirchner EBs Cashflows'!BN35</f>
        <v>5.9480000000000004</v>
      </c>
      <c r="AK43" s="71">
        <f>'Kirchner EBs Cashflows'!BO35</f>
        <v>5.8295000000000003</v>
      </c>
      <c r="AL43" s="71">
        <f>'Kirchner EBs Cashflows'!BP35</f>
        <v>5.7110000000000003</v>
      </c>
      <c r="AM43" s="71">
        <f>'Kirchner EBs Cashflows'!BQ35</f>
        <v>5.5925000000000002</v>
      </c>
      <c r="AN43" s="71">
        <f>'Kirchner EBs Cashflows'!BR35</f>
        <v>5.4740000000000002</v>
      </c>
      <c r="AO43" s="71">
        <f>'Kirchner EBs Cashflows'!BS35</f>
        <v>5.3555000000000001</v>
      </c>
      <c r="AP43" s="71">
        <f>'Kirchner EBs Cashflows'!BT35</f>
        <v>5.2370000000000001</v>
      </c>
      <c r="AQ43" s="71">
        <f>'Kirchner EBs Cashflows'!BU35</f>
        <v>5.0592499999999996</v>
      </c>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c r="CC43" s="73"/>
      <c r="CD43" s="73"/>
      <c r="CE43" s="73"/>
      <c r="CF43" s="73"/>
      <c r="CG43" s="73"/>
      <c r="CH43" s="73"/>
      <c r="CI43" s="73"/>
      <c r="CJ43" s="73"/>
      <c r="CK43" s="73"/>
      <c r="CL43" s="73"/>
      <c r="CM43" s="73"/>
      <c r="CN43" s="73"/>
      <c r="CO43" s="73"/>
      <c r="CP43" s="73"/>
      <c r="CQ43" s="73"/>
      <c r="CR43" s="73"/>
      <c r="CS43" s="73"/>
      <c r="CT43" s="73"/>
      <c r="CU43" s="73"/>
      <c r="CV43" s="73"/>
      <c r="CW43" s="73"/>
      <c r="CX43" s="73"/>
    </row>
    <row r="44" spans="2:199" x14ac:dyDescent="0.2">
      <c r="B44" t="s">
        <v>27</v>
      </c>
      <c r="C44" t="str">
        <f t="shared" si="10"/>
        <v>Euro Par 2038 II and III</v>
      </c>
      <c r="E44" s="71"/>
      <c r="F44" s="71">
        <f>F43</f>
        <v>1.69</v>
      </c>
      <c r="G44" s="71">
        <f t="shared" ref="G44:AQ44" si="14">G43</f>
        <v>1.69</v>
      </c>
      <c r="H44" s="71">
        <f t="shared" si="14"/>
        <v>1.69</v>
      </c>
      <c r="I44" s="71">
        <f t="shared" si="14"/>
        <v>1.69</v>
      </c>
      <c r="J44" s="71">
        <f t="shared" si="14"/>
        <v>1.69</v>
      </c>
      <c r="K44" s="71">
        <f t="shared" si="14"/>
        <v>1.69</v>
      </c>
      <c r="L44" s="71">
        <f t="shared" si="14"/>
        <v>1.69</v>
      </c>
      <c r="M44" s="71">
        <f t="shared" si="14"/>
        <v>1.69</v>
      </c>
      <c r="N44" s="71">
        <f t="shared" si="14"/>
        <v>1.69</v>
      </c>
      <c r="O44" s="71">
        <f t="shared" si="14"/>
        <v>1.69</v>
      </c>
      <c r="P44" s="71">
        <f t="shared" si="14"/>
        <v>1.69</v>
      </c>
      <c r="Q44" s="71">
        <f t="shared" si="14"/>
        <v>1.69</v>
      </c>
      <c r="R44" s="71">
        <f t="shared" si="14"/>
        <v>1.69</v>
      </c>
      <c r="S44" s="71">
        <f t="shared" si="14"/>
        <v>1.69</v>
      </c>
      <c r="T44" s="71">
        <f t="shared" si="14"/>
        <v>1.69</v>
      </c>
      <c r="U44" s="71">
        <f t="shared" si="14"/>
        <v>1.69</v>
      </c>
      <c r="V44" s="71">
        <f t="shared" si="14"/>
        <v>1.69</v>
      </c>
      <c r="W44" s="71">
        <f t="shared" si="14"/>
        <v>1.69</v>
      </c>
      <c r="X44" s="71">
        <f t="shared" si="14"/>
        <v>7.37</v>
      </c>
      <c r="Y44" s="71">
        <f t="shared" si="14"/>
        <v>7.2515000000000001</v>
      </c>
      <c r="Z44" s="71">
        <f t="shared" si="14"/>
        <v>7.133</v>
      </c>
      <c r="AA44" s="71">
        <f t="shared" si="14"/>
        <v>7.0145</v>
      </c>
      <c r="AB44" s="71">
        <f t="shared" si="14"/>
        <v>6.8959999999999999</v>
      </c>
      <c r="AC44" s="71">
        <f t="shared" si="14"/>
        <v>6.7774999999999999</v>
      </c>
      <c r="AD44" s="71">
        <f t="shared" si="14"/>
        <v>6.6589999999999998</v>
      </c>
      <c r="AE44" s="71">
        <f t="shared" si="14"/>
        <v>6.5404999999999998</v>
      </c>
      <c r="AF44" s="71">
        <f t="shared" si="14"/>
        <v>6.4220000000000006</v>
      </c>
      <c r="AG44" s="71">
        <f t="shared" si="14"/>
        <v>6.3034999999999997</v>
      </c>
      <c r="AH44" s="71">
        <f t="shared" si="14"/>
        <v>6.1850000000000005</v>
      </c>
      <c r="AI44" s="71">
        <f t="shared" si="14"/>
        <v>6.0664999999999996</v>
      </c>
      <c r="AJ44" s="71">
        <f t="shared" si="14"/>
        <v>5.9480000000000004</v>
      </c>
      <c r="AK44" s="71">
        <f t="shared" si="14"/>
        <v>5.8295000000000003</v>
      </c>
      <c r="AL44" s="71">
        <f t="shared" si="14"/>
        <v>5.7110000000000003</v>
      </c>
      <c r="AM44" s="71">
        <f t="shared" si="14"/>
        <v>5.5925000000000002</v>
      </c>
      <c r="AN44" s="71">
        <f t="shared" si="14"/>
        <v>5.4740000000000002</v>
      </c>
      <c r="AO44" s="71">
        <f t="shared" si="14"/>
        <v>5.3555000000000001</v>
      </c>
      <c r="AP44" s="71">
        <f t="shared" si="14"/>
        <v>5.2370000000000001</v>
      </c>
      <c r="AQ44" s="71">
        <f t="shared" si="14"/>
        <v>5.0592499999999996</v>
      </c>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c r="CC44" s="73"/>
      <c r="CD44" s="73"/>
      <c r="CE44" s="73"/>
      <c r="CF44" s="73"/>
      <c r="CG44" s="73"/>
      <c r="CH44" s="73"/>
      <c r="CI44" s="73"/>
      <c r="CJ44" s="73"/>
      <c r="CK44" s="73"/>
      <c r="CL44" s="73"/>
      <c r="CM44" s="73"/>
      <c r="CN44" s="73"/>
      <c r="CO44" s="73"/>
      <c r="CP44" s="73"/>
      <c r="CQ44" s="73"/>
      <c r="CR44" s="73"/>
      <c r="CS44" s="73"/>
      <c r="CT44" s="73"/>
      <c r="CU44" s="73"/>
      <c r="CV44" s="73"/>
      <c r="CW44" s="73"/>
      <c r="CX44" s="73"/>
    </row>
    <row r="45" spans="2:199" x14ac:dyDescent="0.2">
      <c r="B45" t="s">
        <v>74</v>
      </c>
      <c r="C45" t="str">
        <f t="shared" si="10"/>
        <v>USD 2021</v>
      </c>
      <c r="E45" s="71"/>
      <c r="F45" s="71">
        <v>3.4375000000000004</v>
      </c>
      <c r="G45" s="71">
        <v>103.4375</v>
      </c>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c r="CC45" s="73"/>
      <c r="CD45" s="73"/>
      <c r="CE45" s="73"/>
      <c r="CF45" s="73"/>
      <c r="CG45" s="73"/>
      <c r="CH45" s="73"/>
      <c r="CI45" s="73"/>
      <c r="CJ45" s="73"/>
      <c r="CK45" s="73"/>
      <c r="CL45" s="73"/>
      <c r="CM45" s="73"/>
      <c r="CN45" s="73"/>
      <c r="CO45" s="73"/>
      <c r="CP45" s="73"/>
      <c r="CQ45" s="73"/>
      <c r="CR45" s="73"/>
      <c r="CS45" s="73"/>
      <c r="CT45" s="73"/>
      <c r="CU45" s="73"/>
      <c r="CV45" s="73"/>
      <c r="CW45" s="73"/>
      <c r="CX45" s="73"/>
    </row>
    <row r="46" spans="2:199" x14ac:dyDescent="0.2">
      <c r="B46" t="s">
        <v>76</v>
      </c>
      <c r="C46" t="str">
        <f t="shared" si="10"/>
        <v>USD 2022</v>
      </c>
      <c r="E46" s="71"/>
      <c r="F46" s="71">
        <v>2.8125</v>
      </c>
      <c r="G46" s="71">
        <v>2.8125</v>
      </c>
      <c r="H46" s="71">
        <v>102.8125</v>
      </c>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c r="CC46" s="73"/>
      <c r="CD46" s="73"/>
      <c r="CE46" s="73"/>
      <c r="CF46" s="73"/>
      <c r="CG46" s="73"/>
      <c r="CH46" s="73"/>
      <c r="CI46" s="73"/>
      <c r="CJ46" s="73"/>
      <c r="CK46" s="73"/>
      <c r="CL46" s="73"/>
      <c r="CM46" s="73"/>
      <c r="CN46" s="73"/>
      <c r="CO46" s="73"/>
      <c r="CP46" s="73"/>
      <c r="CQ46" s="73"/>
      <c r="CR46" s="73"/>
      <c r="CS46" s="73"/>
      <c r="CT46" s="73"/>
      <c r="CU46" s="73"/>
      <c r="CV46" s="73"/>
      <c r="CW46" s="73"/>
      <c r="CX46" s="73"/>
    </row>
    <row r="47" spans="2:199" x14ac:dyDescent="0.2">
      <c r="B47" t="s">
        <v>32</v>
      </c>
      <c r="C47" t="str">
        <f t="shared" si="10"/>
        <v>USD 2023</v>
      </c>
      <c r="E47" s="71"/>
      <c r="F47" s="71">
        <v>2.3125</v>
      </c>
      <c r="G47" s="71">
        <v>2.3125</v>
      </c>
      <c r="H47" s="71">
        <v>2.3125</v>
      </c>
      <c r="I47" s="71">
        <v>2.3125</v>
      </c>
      <c r="J47" s="71">
        <v>102.3125</v>
      </c>
      <c r="K47" s="71"/>
      <c r="L47" s="71"/>
      <c r="M47" s="71"/>
      <c r="N47" s="71"/>
      <c r="O47" s="71"/>
      <c r="P47" s="71"/>
      <c r="Q47" s="71"/>
      <c r="R47" s="71"/>
      <c r="S47" s="71"/>
      <c r="T47" s="71"/>
      <c r="U47" s="71"/>
      <c r="V47" s="71"/>
      <c r="W47" s="71"/>
      <c r="X47" s="71"/>
      <c r="Y47" s="71"/>
      <c r="Z47" s="71"/>
      <c r="AA47" s="71"/>
      <c r="AB47" s="71"/>
      <c r="AC47" s="71"/>
      <c r="AD47" s="71"/>
      <c r="AE47" s="71"/>
      <c r="AF47" s="71"/>
      <c r="AG47" s="73"/>
      <c r="AH47" s="73"/>
      <c r="AI47" s="73"/>
      <c r="AJ47" s="73"/>
      <c r="AK47" s="73"/>
      <c r="AL47" s="73"/>
      <c r="AM47" s="73"/>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c r="CC47" s="73"/>
      <c r="CD47" s="73"/>
      <c r="CE47" s="73"/>
      <c r="CF47" s="73"/>
      <c r="CG47" s="73"/>
      <c r="CH47" s="73"/>
      <c r="CI47" s="73"/>
      <c r="CJ47" s="73"/>
      <c r="CK47" s="73"/>
      <c r="CL47" s="73"/>
      <c r="CM47" s="73"/>
      <c r="CN47" s="73"/>
      <c r="CO47" s="73"/>
      <c r="CP47" s="73"/>
      <c r="CQ47" s="73"/>
      <c r="CR47" s="73"/>
      <c r="CS47" s="73"/>
      <c r="CT47" s="73"/>
      <c r="CU47" s="73"/>
      <c r="CV47" s="73"/>
      <c r="CW47" s="73"/>
      <c r="CX47" s="73"/>
    </row>
    <row r="48" spans="2:199" x14ac:dyDescent="0.2">
      <c r="B48" t="s">
        <v>78</v>
      </c>
      <c r="C48" t="str">
        <f t="shared" si="10"/>
        <v>USD 2026</v>
      </c>
      <c r="E48" s="71"/>
      <c r="F48" s="71">
        <v>3.75</v>
      </c>
      <c r="G48" s="71">
        <v>3.75</v>
      </c>
      <c r="H48" s="71">
        <v>3.75</v>
      </c>
      <c r="I48" s="71">
        <v>3.75</v>
      </c>
      <c r="J48" s="71">
        <v>3.75</v>
      </c>
      <c r="K48" s="71">
        <v>3.75</v>
      </c>
      <c r="L48" s="71">
        <v>3.75</v>
      </c>
      <c r="M48" s="71">
        <v>3.75</v>
      </c>
      <c r="N48" s="71">
        <v>3.75</v>
      </c>
      <c r="O48" s="71">
        <v>3.75</v>
      </c>
      <c r="P48" s="71">
        <v>3.75</v>
      </c>
      <c r="Q48" s="71">
        <v>103.75</v>
      </c>
      <c r="R48" s="71"/>
      <c r="S48" s="71"/>
      <c r="T48" s="71"/>
      <c r="U48" s="71"/>
      <c r="V48" s="71"/>
      <c r="W48" s="71"/>
      <c r="X48" s="71"/>
      <c r="Y48" s="71"/>
      <c r="Z48" s="71"/>
      <c r="AA48" s="71"/>
      <c r="AB48" s="71"/>
      <c r="AC48" s="71"/>
      <c r="AD48" s="71"/>
      <c r="AE48" s="71"/>
      <c r="AF48" s="71"/>
      <c r="AG48" s="73"/>
      <c r="AH48" s="73"/>
      <c r="AI48" s="73"/>
      <c r="AJ48" s="73"/>
      <c r="AK48" s="73"/>
      <c r="AL48" s="73"/>
      <c r="AM48" s="73"/>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c r="CC48" s="73"/>
      <c r="CD48" s="73"/>
      <c r="CE48" s="73"/>
      <c r="CF48" s="73"/>
      <c r="CG48" s="73"/>
      <c r="CH48" s="73"/>
      <c r="CI48" s="73"/>
      <c r="CJ48" s="73"/>
      <c r="CK48" s="73"/>
      <c r="CL48" s="73"/>
      <c r="CM48" s="73"/>
      <c r="CN48" s="73"/>
      <c r="CO48" s="73"/>
      <c r="CP48" s="73"/>
      <c r="CQ48" s="73"/>
      <c r="CR48" s="73"/>
      <c r="CS48" s="73"/>
      <c r="CT48" s="73"/>
      <c r="CU48" s="73"/>
      <c r="CV48" s="73"/>
      <c r="CW48" s="73"/>
      <c r="CX48" s="73"/>
    </row>
    <row r="49" spans="2:199" x14ac:dyDescent="0.2">
      <c r="B49" t="s">
        <v>81</v>
      </c>
      <c r="C49" t="str">
        <f t="shared" si="10"/>
        <v>USD 2027</v>
      </c>
      <c r="E49" s="71"/>
      <c r="F49" s="71">
        <v>3.4375000000000004</v>
      </c>
      <c r="G49" s="71">
        <v>3.4375000000000004</v>
      </c>
      <c r="H49" s="71">
        <v>3.4375000000000004</v>
      </c>
      <c r="I49" s="71">
        <v>3.4375000000000004</v>
      </c>
      <c r="J49" s="71">
        <v>3.4375000000000004</v>
      </c>
      <c r="K49" s="71">
        <v>3.4375000000000004</v>
      </c>
      <c r="L49" s="71">
        <v>3.4375000000000004</v>
      </c>
      <c r="M49" s="71">
        <v>3.4375000000000004</v>
      </c>
      <c r="N49" s="71">
        <v>3.4375000000000004</v>
      </c>
      <c r="O49" s="71">
        <v>3.4375000000000004</v>
      </c>
      <c r="P49" s="71">
        <v>3.4375000000000004</v>
      </c>
      <c r="Q49" s="71">
        <v>3.4375000000000004</v>
      </c>
      <c r="R49" s="71">
        <v>103.4375</v>
      </c>
      <c r="S49" s="71"/>
      <c r="T49" s="71"/>
      <c r="U49" s="71"/>
      <c r="V49" s="71"/>
      <c r="W49" s="71"/>
      <c r="X49" s="71"/>
      <c r="Y49" s="71"/>
      <c r="Z49" s="71"/>
      <c r="AA49" s="71"/>
      <c r="AB49" s="71"/>
      <c r="AC49" s="71"/>
      <c r="AD49" s="71"/>
      <c r="AE49" s="71"/>
      <c r="AF49" s="71"/>
      <c r="AG49" s="73"/>
      <c r="AH49" s="73"/>
      <c r="AI49" s="73"/>
      <c r="AJ49" s="73"/>
      <c r="AK49" s="73"/>
      <c r="AL49" s="73"/>
      <c r="AM49" s="73"/>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c r="CC49" s="73"/>
      <c r="CD49" s="73"/>
      <c r="CE49" s="73"/>
      <c r="CF49" s="73"/>
      <c r="CG49" s="73"/>
      <c r="CH49" s="73"/>
      <c r="CI49" s="73"/>
      <c r="CJ49" s="73"/>
      <c r="CK49" s="73"/>
      <c r="CL49" s="73"/>
      <c r="CM49" s="73"/>
      <c r="CN49" s="73"/>
      <c r="CO49" s="73"/>
      <c r="CP49" s="73"/>
      <c r="CQ49" s="73"/>
      <c r="CR49" s="73"/>
      <c r="CS49" s="73"/>
      <c r="CT49" s="73"/>
      <c r="CU49" s="73"/>
      <c r="CV49" s="73"/>
      <c r="CW49" s="73"/>
      <c r="CX49" s="73"/>
    </row>
    <row r="50" spans="2:199" x14ac:dyDescent="0.2">
      <c r="B50" t="s">
        <v>43</v>
      </c>
      <c r="C50" t="str">
        <f t="shared" si="10"/>
        <v>USD 5.875% 2028</v>
      </c>
      <c r="E50" s="71"/>
      <c r="F50" s="71">
        <v>2.9375</v>
      </c>
      <c r="G50" s="71">
        <v>2.9375</v>
      </c>
      <c r="H50" s="71">
        <v>2.9375</v>
      </c>
      <c r="I50" s="71">
        <v>2.9375</v>
      </c>
      <c r="J50" s="71">
        <v>2.9375</v>
      </c>
      <c r="K50" s="71">
        <v>2.9375</v>
      </c>
      <c r="L50" s="71">
        <v>2.9375</v>
      </c>
      <c r="M50" s="71">
        <v>2.9375</v>
      </c>
      <c r="N50" s="71">
        <v>2.9375</v>
      </c>
      <c r="O50" s="71">
        <v>2.9375</v>
      </c>
      <c r="P50" s="71">
        <v>2.9375</v>
      </c>
      <c r="Q50" s="71">
        <v>2.9375</v>
      </c>
      <c r="R50" s="71">
        <v>2.9375</v>
      </c>
      <c r="S50" s="71">
        <v>2.9375</v>
      </c>
      <c r="T50" s="71">
        <v>102.9375</v>
      </c>
      <c r="U50" s="71"/>
      <c r="V50" s="71"/>
      <c r="W50" s="71"/>
      <c r="X50" s="71"/>
      <c r="Y50" s="71"/>
      <c r="Z50" s="71"/>
      <c r="AA50" s="71"/>
      <c r="AB50" s="71"/>
      <c r="AC50" s="71"/>
      <c r="AD50" s="71"/>
      <c r="AE50" s="71"/>
      <c r="AF50" s="71"/>
      <c r="AG50" s="73"/>
      <c r="AH50" s="73"/>
      <c r="AI50" s="73"/>
      <c r="AJ50" s="73"/>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c r="CC50" s="73"/>
      <c r="CD50" s="73"/>
      <c r="CE50" s="73"/>
      <c r="CF50" s="73"/>
      <c r="CG50" s="73"/>
      <c r="CH50" s="73"/>
      <c r="CI50" s="73"/>
      <c r="CJ50" s="73"/>
      <c r="CK50" s="73"/>
      <c r="CL50" s="73"/>
      <c r="CM50" s="73"/>
      <c r="CN50" s="73"/>
      <c r="CO50" s="73"/>
      <c r="CP50" s="73"/>
      <c r="CQ50" s="73"/>
      <c r="CR50" s="73"/>
      <c r="CS50" s="73"/>
      <c r="CT50" s="73"/>
      <c r="CU50" s="73"/>
      <c r="CV50" s="73"/>
      <c r="CW50" s="73"/>
      <c r="CX50" s="73"/>
    </row>
    <row r="51" spans="2:199" x14ac:dyDescent="0.2">
      <c r="B51" t="s">
        <v>83</v>
      </c>
      <c r="C51" t="str">
        <f t="shared" si="10"/>
        <v>USD 6.625% 2028</v>
      </c>
      <c r="E51" s="71"/>
      <c r="F51" s="71">
        <v>3.3125</v>
      </c>
      <c r="G51" s="71">
        <v>3.3125</v>
      </c>
      <c r="H51" s="71">
        <v>3.3125</v>
      </c>
      <c r="I51" s="71">
        <v>3.3125</v>
      </c>
      <c r="J51" s="71">
        <v>3.3125</v>
      </c>
      <c r="K51" s="71">
        <v>3.3125</v>
      </c>
      <c r="L51" s="71">
        <v>3.3125</v>
      </c>
      <c r="M51" s="71">
        <v>3.3125</v>
      </c>
      <c r="N51" s="71">
        <v>3.3125</v>
      </c>
      <c r="O51" s="71">
        <v>3.3125</v>
      </c>
      <c r="P51" s="71">
        <v>3.3125</v>
      </c>
      <c r="Q51" s="71">
        <v>3.3125</v>
      </c>
      <c r="R51" s="71">
        <v>3.3125</v>
      </c>
      <c r="S51" s="71">
        <v>3.3125</v>
      </c>
      <c r="T51" s="71">
        <v>3.3125</v>
      </c>
      <c r="U51" s="71">
        <v>103.3125</v>
      </c>
      <c r="V51" s="71"/>
      <c r="W51" s="71"/>
      <c r="X51" s="71"/>
      <c r="Y51" s="71"/>
      <c r="Z51" s="71"/>
      <c r="AA51" s="71"/>
      <c r="AB51" s="71"/>
      <c r="AC51" s="71"/>
      <c r="AD51" s="71"/>
      <c r="AE51" s="71"/>
      <c r="AF51" s="71"/>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c r="CC51" s="73"/>
      <c r="CD51" s="73"/>
      <c r="CE51" s="73"/>
      <c r="CF51" s="73"/>
      <c r="CG51" s="73"/>
      <c r="CH51" s="73"/>
      <c r="CI51" s="73"/>
      <c r="CJ51" s="73"/>
      <c r="CK51" s="73"/>
      <c r="CL51" s="73"/>
      <c r="CM51" s="73"/>
      <c r="CN51" s="73"/>
      <c r="CO51" s="73"/>
      <c r="CP51" s="73"/>
      <c r="CQ51" s="73"/>
      <c r="CR51" s="73"/>
      <c r="CS51" s="73"/>
      <c r="CT51" s="73"/>
      <c r="CU51" s="73"/>
      <c r="CV51" s="73"/>
      <c r="CW51" s="73"/>
      <c r="CX51" s="73"/>
    </row>
    <row r="52" spans="2:199" x14ac:dyDescent="0.2">
      <c r="B52" t="s">
        <v>85</v>
      </c>
      <c r="C52" t="str">
        <f t="shared" si="10"/>
        <v>USD 2036</v>
      </c>
      <c r="E52" s="71"/>
      <c r="F52" s="71">
        <v>3.5624999999999996</v>
      </c>
      <c r="G52" s="71">
        <v>3.5624999999999996</v>
      </c>
      <c r="H52" s="71">
        <v>3.5624999999999996</v>
      </c>
      <c r="I52" s="71">
        <v>3.5624999999999996</v>
      </c>
      <c r="J52" s="71">
        <v>3.5624999999999996</v>
      </c>
      <c r="K52" s="71">
        <v>3.5624999999999996</v>
      </c>
      <c r="L52" s="71">
        <v>3.5624999999999996</v>
      </c>
      <c r="M52" s="71">
        <v>3.5624999999999996</v>
      </c>
      <c r="N52" s="71">
        <v>3.5624999999999996</v>
      </c>
      <c r="O52" s="71">
        <v>3.5624999999999996</v>
      </c>
      <c r="P52" s="71">
        <v>3.5624999999999996</v>
      </c>
      <c r="Q52" s="71">
        <v>3.5624999999999996</v>
      </c>
      <c r="R52" s="71">
        <v>3.5624999999999996</v>
      </c>
      <c r="S52" s="71">
        <v>3.5624999999999996</v>
      </c>
      <c r="T52" s="71">
        <v>3.5624999999999996</v>
      </c>
      <c r="U52" s="71">
        <v>3.5624999999999996</v>
      </c>
      <c r="V52" s="71">
        <v>3.5624999999999996</v>
      </c>
      <c r="W52" s="71">
        <v>3.5624999999999996</v>
      </c>
      <c r="X52" s="71">
        <v>3.5624999999999996</v>
      </c>
      <c r="Y52" s="71">
        <v>3.5624999999999996</v>
      </c>
      <c r="Z52" s="71">
        <v>3.5624999999999996</v>
      </c>
      <c r="AA52" s="71">
        <v>3.5624999999999996</v>
      </c>
      <c r="AB52" s="71">
        <v>3.5624999999999996</v>
      </c>
      <c r="AC52" s="71">
        <v>3.5624999999999996</v>
      </c>
      <c r="AD52" s="71">
        <v>3.5624999999999996</v>
      </c>
      <c r="AE52" s="71">
        <v>3.5624999999999996</v>
      </c>
      <c r="AF52" s="71">
        <v>3.5624999999999996</v>
      </c>
      <c r="AG52" s="73">
        <v>3.5624999999999996</v>
      </c>
      <c r="AH52" s="73">
        <v>3.5624999999999996</v>
      </c>
      <c r="AI52" s="73">
        <v>3.5624999999999996</v>
      </c>
      <c r="AJ52" s="73">
        <v>3.5624999999999996</v>
      </c>
      <c r="AK52" s="73">
        <v>103.5625</v>
      </c>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c r="CC52" s="73"/>
      <c r="CD52" s="73"/>
      <c r="CE52" s="73"/>
      <c r="CF52" s="73"/>
      <c r="CG52" s="73"/>
      <c r="CH52" s="73"/>
      <c r="CI52" s="73"/>
      <c r="CJ52" s="73"/>
      <c r="CK52" s="73"/>
      <c r="CL52" s="73"/>
      <c r="CM52" s="73"/>
      <c r="CN52" s="73"/>
      <c r="CO52" s="73"/>
      <c r="CP52" s="73"/>
      <c r="CQ52" s="73"/>
      <c r="CR52" s="73"/>
      <c r="CS52" s="73"/>
      <c r="CT52" s="73"/>
      <c r="CU52" s="73"/>
      <c r="CV52" s="73"/>
      <c r="CW52" s="73"/>
      <c r="CX52" s="73"/>
    </row>
    <row r="53" spans="2:199" x14ac:dyDescent="0.2">
      <c r="B53" t="s">
        <v>88</v>
      </c>
      <c r="C53" t="str">
        <f t="shared" si="10"/>
        <v>USD 2046</v>
      </c>
      <c r="E53" s="71"/>
      <c r="F53" s="71">
        <v>3.8125</v>
      </c>
      <c r="G53" s="71">
        <v>3.8125</v>
      </c>
      <c r="H53" s="71">
        <v>3.8125</v>
      </c>
      <c r="I53" s="71">
        <v>3.8125</v>
      </c>
      <c r="J53" s="71">
        <v>3.8125</v>
      </c>
      <c r="K53" s="71">
        <v>3.8125</v>
      </c>
      <c r="L53" s="71">
        <v>3.8125</v>
      </c>
      <c r="M53" s="71">
        <v>3.8125</v>
      </c>
      <c r="N53" s="71">
        <v>3.8125</v>
      </c>
      <c r="O53" s="71">
        <v>3.8125</v>
      </c>
      <c r="P53" s="71">
        <v>3.8125</v>
      </c>
      <c r="Q53" s="71">
        <v>3.8125</v>
      </c>
      <c r="R53" s="71">
        <v>3.8125</v>
      </c>
      <c r="S53" s="71">
        <v>3.8125</v>
      </c>
      <c r="T53" s="71">
        <v>3.8125</v>
      </c>
      <c r="U53" s="71">
        <v>3.8125</v>
      </c>
      <c r="V53" s="71">
        <v>3.8125</v>
      </c>
      <c r="W53" s="71">
        <v>3.8125</v>
      </c>
      <c r="X53" s="71">
        <v>3.8125</v>
      </c>
      <c r="Y53" s="71">
        <v>3.8125</v>
      </c>
      <c r="Z53" s="71">
        <v>3.8125</v>
      </c>
      <c r="AA53" s="71">
        <v>3.8125</v>
      </c>
      <c r="AB53" s="71">
        <v>3.8125</v>
      </c>
      <c r="AC53" s="71">
        <v>3.8125</v>
      </c>
      <c r="AD53" s="71">
        <v>3.8125</v>
      </c>
      <c r="AE53" s="71">
        <v>3.8125</v>
      </c>
      <c r="AF53" s="71">
        <v>3.8125</v>
      </c>
      <c r="AG53" s="73">
        <v>3.8125</v>
      </c>
      <c r="AH53" s="73">
        <v>3.8125</v>
      </c>
      <c r="AI53" s="73">
        <v>3.8125</v>
      </c>
      <c r="AJ53" s="73">
        <v>3.8125</v>
      </c>
      <c r="AK53" s="73">
        <v>3.8125</v>
      </c>
      <c r="AL53" s="73">
        <v>3.8125</v>
      </c>
      <c r="AM53" s="73">
        <v>3.8125</v>
      </c>
      <c r="AN53" s="73">
        <v>3.8125</v>
      </c>
      <c r="AO53" s="73">
        <v>3.8125</v>
      </c>
      <c r="AP53" s="73">
        <v>3.8125</v>
      </c>
      <c r="AQ53" s="73">
        <v>3.8125</v>
      </c>
      <c r="AR53" s="73">
        <v>3.8125</v>
      </c>
      <c r="AS53" s="73">
        <v>3.8125</v>
      </c>
      <c r="AT53" s="73">
        <v>3.8125</v>
      </c>
      <c r="AU53" s="73">
        <v>3.8125</v>
      </c>
      <c r="AV53" s="73">
        <v>3.8125</v>
      </c>
      <c r="AW53" s="73">
        <v>3.8125</v>
      </c>
      <c r="AX53" s="73">
        <v>3.8125</v>
      </c>
      <c r="AY53" s="73">
        <v>3.8125</v>
      </c>
      <c r="AZ53" s="73">
        <v>3.8125</v>
      </c>
      <c r="BA53" s="73">
        <v>3.8125</v>
      </c>
      <c r="BB53" s="73">
        <v>3.8125</v>
      </c>
      <c r="BC53" s="73">
        <v>3.8125</v>
      </c>
      <c r="BD53" s="73">
        <v>3.8125</v>
      </c>
      <c r="BE53" s="73">
        <v>103.8125</v>
      </c>
      <c r="BF53" s="73"/>
      <c r="BG53" s="73"/>
      <c r="BH53" s="73"/>
      <c r="BI53" s="73"/>
      <c r="BJ53" s="73"/>
      <c r="BK53" s="73"/>
      <c r="BL53" s="73"/>
      <c r="BM53" s="73"/>
      <c r="BN53" s="73"/>
      <c r="BO53" s="73"/>
      <c r="BP53" s="73"/>
      <c r="BQ53" s="73"/>
      <c r="BR53" s="73"/>
      <c r="BS53" s="73"/>
      <c r="BT53" s="73"/>
      <c r="BU53" s="73"/>
      <c r="BV53" s="73"/>
      <c r="BW53" s="73"/>
      <c r="BX53" s="73"/>
      <c r="BY53" s="73"/>
      <c r="BZ53" s="73"/>
      <c r="CA53" s="73"/>
      <c r="CB53" s="73"/>
      <c r="CC53" s="73"/>
      <c r="CD53" s="73"/>
      <c r="CE53" s="73"/>
      <c r="CF53" s="73"/>
      <c r="CG53" s="73"/>
      <c r="CH53" s="73"/>
      <c r="CI53" s="73"/>
      <c r="CJ53" s="73"/>
      <c r="CK53" s="73"/>
      <c r="CL53" s="73"/>
      <c r="CM53" s="73"/>
      <c r="CN53" s="73"/>
      <c r="CO53" s="73"/>
      <c r="CP53" s="73"/>
      <c r="CQ53" s="73"/>
      <c r="CR53" s="73"/>
      <c r="CS53" s="73"/>
      <c r="CT53" s="73"/>
      <c r="CU53" s="73"/>
      <c r="CV53" s="73"/>
      <c r="CW53" s="73"/>
      <c r="CX53" s="73"/>
    </row>
    <row r="54" spans="2:199" x14ac:dyDescent="0.2">
      <c r="B54" t="s">
        <v>52</v>
      </c>
      <c r="C54" t="str">
        <f t="shared" si="10"/>
        <v>USD 2048</v>
      </c>
      <c r="E54" s="71"/>
      <c r="F54" s="71">
        <v>3.4375000000000004</v>
      </c>
      <c r="G54" s="71">
        <v>3.4375000000000004</v>
      </c>
      <c r="H54" s="71">
        <v>3.4375000000000004</v>
      </c>
      <c r="I54" s="71">
        <v>3.4375000000000004</v>
      </c>
      <c r="J54" s="71">
        <v>3.4375000000000004</v>
      </c>
      <c r="K54" s="71">
        <v>3.4375000000000004</v>
      </c>
      <c r="L54" s="71">
        <v>3.4375000000000004</v>
      </c>
      <c r="M54" s="71">
        <v>3.4375000000000004</v>
      </c>
      <c r="N54" s="71">
        <v>3.4375000000000004</v>
      </c>
      <c r="O54" s="71">
        <v>3.4375000000000004</v>
      </c>
      <c r="P54" s="71">
        <v>3.4375000000000004</v>
      </c>
      <c r="Q54" s="71">
        <v>3.4375000000000004</v>
      </c>
      <c r="R54" s="71">
        <v>3.4375000000000004</v>
      </c>
      <c r="S54" s="71">
        <v>3.4375000000000004</v>
      </c>
      <c r="T54" s="71">
        <v>3.4375000000000004</v>
      </c>
      <c r="U54" s="71">
        <v>3.4375000000000004</v>
      </c>
      <c r="V54" s="71">
        <v>3.4375000000000004</v>
      </c>
      <c r="W54" s="71">
        <v>3.4375000000000004</v>
      </c>
      <c r="X54" s="71">
        <v>3.4375000000000004</v>
      </c>
      <c r="Y54" s="71">
        <v>3.4375000000000004</v>
      </c>
      <c r="Z54" s="71">
        <v>3.4375000000000004</v>
      </c>
      <c r="AA54" s="71">
        <v>3.4375000000000004</v>
      </c>
      <c r="AB54" s="71">
        <v>3.4375000000000004</v>
      </c>
      <c r="AC54" s="71">
        <v>3.4375000000000004</v>
      </c>
      <c r="AD54" s="71">
        <v>3.4375000000000004</v>
      </c>
      <c r="AE54" s="71">
        <v>3.4375000000000004</v>
      </c>
      <c r="AF54" s="71">
        <v>3.4375000000000004</v>
      </c>
      <c r="AG54" s="73">
        <v>3.4375000000000004</v>
      </c>
      <c r="AH54" s="73">
        <v>3.4375000000000004</v>
      </c>
      <c r="AI54" s="73">
        <v>3.4375000000000004</v>
      </c>
      <c r="AJ54" s="73">
        <v>3.4375000000000004</v>
      </c>
      <c r="AK54" s="73">
        <v>3.4375000000000004</v>
      </c>
      <c r="AL54" s="73">
        <v>3.4375000000000004</v>
      </c>
      <c r="AM54" s="73">
        <v>3.4375000000000004</v>
      </c>
      <c r="AN54" s="73">
        <v>3.4375000000000004</v>
      </c>
      <c r="AO54" s="73">
        <v>3.4375000000000004</v>
      </c>
      <c r="AP54" s="73">
        <v>3.4375000000000004</v>
      </c>
      <c r="AQ54" s="73">
        <v>3.4375000000000004</v>
      </c>
      <c r="AR54" s="73">
        <v>3.4375000000000004</v>
      </c>
      <c r="AS54" s="73">
        <v>3.4375000000000004</v>
      </c>
      <c r="AT54" s="73">
        <v>3.4375000000000004</v>
      </c>
      <c r="AU54" s="73">
        <v>3.4375000000000004</v>
      </c>
      <c r="AV54" s="73">
        <v>3.4375000000000004</v>
      </c>
      <c r="AW54" s="73">
        <v>3.4375000000000004</v>
      </c>
      <c r="AX54" s="73">
        <v>3.4375000000000004</v>
      </c>
      <c r="AY54" s="73">
        <v>3.4375000000000004</v>
      </c>
      <c r="AZ54" s="73">
        <v>3.4375000000000004</v>
      </c>
      <c r="BA54" s="73">
        <v>3.4375000000000004</v>
      </c>
      <c r="BB54" s="73">
        <v>3.4375000000000004</v>
      </c>
      <c r="BC54" s="73">
        <v>3.4375000000000004</v>
      </c>
      <c r="BD54" s="73">
        <v>3.4375000000000004</v>
      </c>
      <c r="BE54" s="73">
        <v>3.4375000000000004</v>
      </c>
      <c r="BF54" s="73">
        <v>3.4375000000000004</v>
      </c>
      <c r="BG54" s="73">
        <v>3.4375000000000004</v>
      </c>
      <c r="BH54" s="73">
        <v>103.4375</v>
      </c>
      <c r="BI54" s="73"/>
      <c r="BJ54" s="73"/>
      <c r="BK54" s="73"/>
      <c r="BL54" s="73"/>
      <c r="BM54" s="73"/>
      <c r="BN54" s="73"/>
      <c r="BO54" s="73"/>
      <c r="BP54" s="73"/>
      <c r="BQ54" s="73"/>
      <c r="BR54" s="73"/>
      <c r="BS54" s="73"/>
      <c r="BT54" s="73"/>
      <c r="BU54" s="73"/>
      <c r="BV54" s="73"/>
      <c r="BW54" s="73"/>
      <c r="BX54" s="73"/>
      <c r="BY54" s="73"/>
      <c r="BZ54" s="73"/>
      <c r="CA54" s="73"/>
      <c r="CB54" s="73"/>
      <c r="CC54" s="73"/>
      <c r="CD54" s="73"/>
      <c r="CE54" s="73"/>
      <c r="CF54" s="73"/>
      <c r="CG54" s="73"/>
      <c r="CH54" s="73"/>
      <c r="CI54" s="73"/>
      <c r="CJ54" s="73"/>
      <c r="CK54" s="73"/>
      <c r="CL54" s="73"/>
      <c r="CM54" s="73"/>
      <c r="CN54" s="73"/>
      <c r="CO54" s="73"/>
      <c r="CP54" s="73"/>
      <c r="CQ54" s="73"/>
      <c r="CR54" s="73"/>
      <c r="CS54" s="73"/>
      <c r="CT54" s="73"/>
      <c r="CU54" s="73"/>
      <c r="CV54" s="73"/>
      <c r="CW54" s="73"/>
      <c r="CX54" s="73"/>
    </row>
    <row r="55" spans="2:199" x14ac:dyDescent="0.2">
      <c r="B55" t="s">
        <v>92</v>
      </c>
      <c r="C55" t="str">
        <f t="shared" si="10"/>
        <v>USD 2117</v>
      </c>
      <c r="E55" s="71"/>
      <c r="F55" s="71">
        <f>7.125/2</f>
        <v>3.5625</v>
      </c>
      <c r="G55" s="71">
        <f t="shared" ref="G55:BR55" si="15">7.125/2</f>
        <v>3.5625</v>
      </c>
      <c r="H55" s="71">
        <f t="shared" si="15"/>
        <v>3.5625</v>
      </c>
      <c r="I55" s="71">
        <f t="shared" si="15"/>
        <v>3.5625</v>
      </c>
      <c r="J55" s="71">
        <f t="shared" si="15"/>
        <v>3.5625</v>
      </c>
      <c r="K55" s="71">
        <f t="shared" si="15"/>
        <v>3.5625</v>
      </c>
      <c r="L55" s="71">
        <f t="shared" si="15"/>
        <v>3.5625</v>
      </c>
      <c r="M55" s="71">
        <f t="shared" si="15"/>
        <v>3.5625</v>
      </c>
      <c r="N55" s="71">
        <f t="shared" si="15"/>
        <v>3.5625</v>
      </c>
      <c r="O55" s="71">
        <f t="shared" si="15"/>
        <v>3.5625</v>
      </c>
      <c r="P55" s="71">
        <f t="shared" si="15"/>
        <v>3.5625</v>
      </c>
      <c r="Q55" s="71">
        <f t="shared" si="15"/>
        <v>3.5625</v>
      </c>
      <c r="R55" s="71">
        <f t="shared" si="15"/>
        <v>3.5625</v>
      </c>
      <c r="S55" s="71">
        <f t="shared" si="15"/>
        <v>3.5625</v>
      </c>
      <c r="T55" s="71">
        <f t="shared" si="15"/>
        <v>3.5625</v>
      </c>
      <c r="U55" s="71">
        <f t="shared" si="15"/>
        <v>3.5625</v>
      </c>
      <c r="V55" s="71">
        <f t="shared" si="15"/>
        <v>3.5625</v>
      </c>
      <c r="W55" s="71">
        <f t="shared" si="15"/>
        <v>3.5625</v>
      </c>
      <c r="X55" s="71">
        <f t="shared" si="15"/>
        <v>3.5625</v>
      </c>
      <c r="Y55" s="71">
        <f t="shared" si="15"/>
        <v>3.5625</v>
      </c>
      <c r="Z55" s="71">
        <f t="shared" si="15"/>
        <v>3.5625</v>
      </c>
      <c r="AA55" s="71">
        <f t="shared" si="15"/>
        <v>3.5625</v>
      </c>
      <c r="AB55" s="71">
        <f t="shared" si="15"/>
        <v>3.5625</v>
      </c>
      <c r="AC55" s="71">
        <f t="shared" si="15"/>
        <v>3.5625</v>
      </c>
      <c r="AD55" s="71">
        <f t="shared" si="15"/>
        <v>3.5625</v>
      </c>
      <c r="AE55" s="71">
        <f t="shared" si="15"/>
        <v>3.5625</v>
      </c>
      <c r="AF55" s="71">
        <f t="shared" si="15"/>
        <v>3.5625</v>
      </c>
      <c r="AG55" s="71">
        <f t="shared" si="15"/>
        <v>3.5625</v>
      </c>
      <c r="AH55" s="71">
        <f t="shared" si="15"/>
        <v>3.5625</v>
      </c>
      <c r="AI55" s="71">
        <f t="shared" si="15"/>
        <v>3.5625</v>
      </c>
      <c r="AJ55" s="71">
        <f t="shared" si="15"/>
        <v>3.5625</v>
      </c>
      <c r="AK55" s="71">
        <f t="shared" si="15"/>
        <v>3.5625</v>
      </c>
      <c r="AL55" s="71">
        <f t="shared" si="15"/>
        <v>3.5625</v>
      </c>
      <c r="AM55" s="71">
        <f t="shared" si="15"/>
        <v>3.5625</v>
      </c>
      <c r="AN55" s="71">
        <f t="shared" si="15"/>
        <v>3.5625</v>
      </c>
      <c r="AO55" s="71">
        <f t="shared" si="15"/>
        <v>3.5625</v>
      </c>
      <c r="AP55" s="71">
        <f t="shared" si="15"/>
        <v>3.5625</v>
      </c>
      <c r="AQ55" s="71">
        <f t="shared" si="15"/>
        <v>3.5625</v>
      </c>
      <c r="AR55" s="71">
        <f t="shared" si="15"/>
        <v>3.5625</v>
      </c>
      <c r="AS55" s="71">
        <f t="shared" si="15"/>
        <v>3.5625</v>
      </c>
      <c r="AT55" s="71">
        <f t="shared" si="15"/>
        <v>3.5625</v>
      </c>
      <c r="AU55" s="71">
        <f t="shared" si="15"/>
        <v>3.5625</v>
      </c>
      <c r="AV55" s="71">
        <f t="shared" si="15"/>
        <v>3.5625</v>
      </c>
      <c r="AW55" s="71">
        <f t="shared" si="15"/>
        <v>3.5625</v>
      </c>
      <c r="AX55" s="71">
        <f t="shared" si="15"/>
        <v>3.5625</v>
      </c>
      <c r="AY55" s="71">
        <f t="shared" si="15"/>
        <v>3.5625</v>
      </c>
      <c r="AZ55" s="71">
        <f t="shared" si="15"/>
        <v>3.5625</v>
      </c>
      <c r="BA55" s="71">
        <f t="shared" si="15"/>
        <v>3.5625</v>
      </c>
      <c r="BB55" s="71">
        <f t="shared" si="15"/>
        <v>3.5625</v>
      </c>
      <c r="BC55" s="71">
        <f t="shared" si="15"/>
        <v>3.5625</v>
      </c>
      <c r="BD55" s="71">
        <f t="shared" si="15"/>
        <v>3.5625</v>
      </c>
      <c r="BE55" s="71">
        <f t="shared" si="15"/>
        <v>3.5625</v>
      </c>
      <c r="BF55" s="71">
        <f t="shared" si="15"/>
        <v>3.5625</v>
      </c>
      <c r="BG55" s="71">
        <f t="shared" si="15"/>
        <v>3.5625</v>
      </c>
      <c r="BH55" s="71">
        <f t="shared" si="15"/>
        <v>3.5625</v>
      </c>
      <c r="BI55" s="71">
        <f t="shared" si="15"/>
        <v>3.5625</v>
      </c>
      <c r="BJ55" s="71">
        <f t="shared" si="15"/>
        <v>3.5625</v>
      </c>
      <c r="BK55" s="71">
        <f t="shared" si="15"/>
        <v>3.5625</v>
      </c>
      <c r="BL55" s="71">
        <f t="shared" si="15"/>
        <v>3.5625</v>
      </c>
      <c r="BM55" s="71">
        <f t="shared" si="15"/>
        <v>3.5625</v>
      </c>
      <c r="BN55" s="71">
        <f t="shared" si="15"/>
        <v>3.5625</v>
      </c>
      <c r="BO55" s="71">
        <f t="shared" si="15"/>
        <v>3.5625</v>
      </c>
      <c r="BP55" s="71">
        <f t="shared" si="15"/>
        <v>3.5625</v>
      </c>
      <c r="BQ55" s="71">
        <f t="shared" si="15"/>
        <v>3.5625</v>
      </c>
      <c r="BR55" s="71">
        <f t="shared" si="15"/>
        <v>3.5625</v>
      </c>
      <c r="BS55" s="71">
        <f t="shared" ref="BS55:ED55" si="16">7.125/2</f>
        <v>3.5625</v>
      </c>
      <c r="BT55" s="71">
        <f t="shared" si="16"/>
        <v>3.5625</v>
      </c>
      <c r="BU55" s="71">
        <f t="shared" si="16"/>
        <v>3.5625</v>
      </c>
      <c r="BV55" s="71">
        <f t="shared" si="16"/>
        <v>3.5625</v>
      </c>
      <c r="BW55" s="71">
        <f t="shared" si="16"/>
        <v>3.5625</v>
      </c>
      <c r="BX55" s="71">
        <f t="shared" si="16"/>
        <v>3.5625</v>
      </c>
      <c r="BY55" s="71">
        <f t="shared" si="16"/>
        <v>3.5625</v>
      </c>
      <c r="BZ55" s="71">
        <f t="shared" si="16"/>
        <v>3.5625</v>
      </c>
      <c r="CA55" s="71">
        <f t="shared" si="16"/>
        <v>3.5625</v>
      </c>
      <c r="CB55" s="71">
        <f t="shared" si="16"/>
        <v>3.5625</v>
      </c>
      <c r="CC55" s="71">
        <f t="shared" si="16"/>
        <v>3.5625</v>
      </c>
      <c r="CD55" s="71">
        <f t="shared" si="16"/>
        <v>3.5625</v>
      </c>
      <c r="CE55" s="71">
        <f t="shared" si="16"/>
        <v>3.5625</v>
      </c>
      <c r="CF55" s="71">
        <f t="shared" si="16"/>
        <v>3.5625</v>
      </c>
      <c r="CG55" s="71">
        <f t="shared" si="16"/>
        <v>3.5625</v>
      </c>
      <c r="CH55" s="71">
        <f t="shared" si="16"/>
        <v>3.5625</v>
      </c>
      <c r="CI55" s="71">
        <f t="shared" si="16"/>
        <v>3.5625</v>
      </c>
      <c r="CJ55" s="71">
        <f t="shared" si="16"/>
        <v>3.5625</v>
      </c>
      <c r="CK55" s="71">
        <f t="shared" si="16"/>
        <v>3.5625</v>
      </c>
      <c r="CL55" s="71">
        <f t="shared" si="16"/>
        <v>3.5625</v>
      </c>
      <c r="CM55" s="71">
        <f t="shared" si="16"/>
        <v>3.5625</v>
      </c>
      <c r="CN55" s="71">
        <f t="shared" si="16"/>
        <v>3.5625</v>
      </c>
      <c r="CO55" s="71">
        <f t="shared" si="16"/>
        <v>3.5625</v>
      </c>
      <c r="CP55" s="71">
        <f t="shared" si="16"/>
        <v>3.5625</v>
      </c>
      <c r="CQ55" s="71">
        <f t="shared" si="16"/>
        <v>3.5625</v>
      </c>
      <c r="CR55" s="71">
        <f t="shared" si="16"/>
        <v>3.5625</v>
      </c>
      <c r="CS55" s="71">
        <f t="shared" si="16"/>
        <v>3.5625</v>
      </c>
      <c r="CT55" s="71">
        <f t="shared" si="16"/>
        <v>3.5625</v>
      </c>
      <c r="CU55" s="71">
        <f t="shared" si="16"/>
        <v>3.5625</v>
      </c>
      <c r="CV55" s="71">
        <f t="shared" si="16"/>
        <v>3.5625</v>
      </c>
      <c r="CW55" s="71">
        <f t="shared" si="16"/>
        <v>3.5625</v>
      </c>
      <c r="CX55" s="71">
        <f t="shared" si="16"/>
        <v>3.5625</v>
      </c>
      <c r="CY55" s="71">
        <f t="shared" si="16"/>
        <v>3.5625</v>
      </c>
      <c r="CZ55" s="71">
        <f t="shared" si="16"/>
        <v>3.5625</v>
      </c>
      <c r="DA55" s="71">
        <f t="shared" si="16"/>
        <v>3.5625</v>
      </c>
      <c r="DB55" s="71">
        <f t="shared" si="16"/>
        <v>3.5625</v>
      </c>
      <c r="DC55" s="71">
        <f t="shared" si="16"/>
        <v>3.5625</v>
      </c>
      <c r="DD55" s="71">
        <f t="shared" si="16"/>
        <v>3.5625</v>
      </c>
      <c r="DE55" s="71">
        <f t="shared" si="16"/>
        <v>3.5625</v>
      </c>
      <c r="DF55" s="71">
        <f t="shared" si="16"/>
        <v>3.5625</v>
      </c>
      <c r="DG55" s="71">
        <f t="shared" si="16"/>
        <v>3.5625</v>
      </c>
      <c r="DH55" s="71">
        <f t="shared" si="16"/>
        <v>3.5625</v>
      </c>
      <c r="DI55" s="71">
        <f t="shared" si="16"/>
        <v>3.5625</v>
      </c>
      <c r="DJ55" s="71">
        <f t="shared" si="16"/>
        <v>3.5625</v>
      </c>
      <c r="DK55" s="71">
        <f t="shared" si="16"/>
        <v>3.5625</v>
      </c>
      <c r="DL55" s="71">
        <f t="shared" si="16"/>
        <v>3.5625</v>
      </c>
      <c r="DM55" s="71">
        <f t="shared" si="16"/>
        <v>3.5625</v>
      </c>
      <c r="DN55" s="71">
        <f t="shared" si="16"/>
        <v>3.5625</v>
      </c>
      <c r="DO55" s="71">
        <f t="shared" si="16"/>
        <v>3.5625</v>
      </c>
      <c r="DP55" s="71">
        <f t="shared" si="16"/>
        <v>3.5625</v>
      </c>
      <c r="DQ55" s="71">
        <f t="shared" si="16"/>
        <v>3.5625</v>
      </c>
      <c r="DR55" s="71">
        <f t="shared" si="16"/>
        <v>3.5625</v>
      </c>
      <c r="DS55" s="71">
        <f t="shared" si="16"/>
        <v>3.5625</v>
      </c>
      <c r="DT55" s="71">
        <f t="shared" si="16"/>
        <v>3.5625</v>
      </c>
      <c r="DU55" s="71">
        <f t="shared" si="16"/>
        <v>3.5625</v>
      </c>
      <c r="DV55" s="71">
        <f t="shared" si="16"/>
        <v>3.5625</v>
      </c>
      <c r="DW55" s="71">
        <f t="shared" si="16"/>
        <v>3.5625</v>
      </c>
      <c r="DX55" s="71">
        <f t="shared" si="16"/>
        <v>3.5625</v>
      </c>
      <c r="DY55" s="71">
        <f t="shared" si="16"/>
        <v>3.5625</v>
      </c>
      <c r="DZ55" s="71">
        <f t="shared" si="16"/>
        <v>3.5625</v>
      </c>
      <c r="EA55" s="71">
        <f t="shared" si="16"/>
        <v>3.5625</v>
      </c>
      <c r="EB55" s="71">
        <f t="shared" si="16"/>
        <v>3.5625</v>
      </c>
      <c r="EC55" s="71">
        <f t="shared" si="16"/>
        <v>3.5625</v>
      </c>
      <c r="ED55" s="71">
        <f t="shared" si="16"/>
        <v>3.5625</v>
      </c>
      <c r="EE55" s="71">
        <f t="shared" ref="EE55:GP55" si="17">7.125/2</f>
        <v>3.5625</v>
      </c>
      <c r="EF55" s="71">
        <f t="shared" si="17"/>
        <v>3.5625</v>
      </c>
      <c r="EG55" s="71">
        <f t="shared" si="17"/>
        <v>3.5625</v>
      </c>
      <c r="EH55" s="71">
        <f t="shared" si="17"/>
        <v>3.5625</v>
      </c>
      <c r="EI55" s="71">
        <f t="shared" si="17"/>
        <v>3.5625</v>
      </c>
      <c r="EJ55" s="71">
        <f t="shared" si="17"/>
        <v>3.5625</v>
      </c>
      <c r="EK55" s="71">
        <f t="shared" si="17"/>
        <v>3.5625</v>
      </c>
      <c r="EL55" s="71">
        <f t="shared" si="17"/>
        <v>3.5625</v>
      </c>
      <c r="EM55" s="71">
        <f t="shared" si="17"/>
        <v>3.5625</v>
      </c>
      <c r="EN55" s="71">
        <f t="shared" si="17"/>
        <v>3.5625</v>
      </c>
      <c r="EO55" s="71">
        <f t="shared" si="17"/>
        <v>3.5625</v>
      </c>
      <c r="EP55" s="71">
        <f t="shared" si="17"/>
        <v>3.5625</v>
      </c>
      <c r="EQ55" s="71">
        <f t="shared" si="17"/>
        <v>3.5625</v>
      </c>
      <c r="ER55" s="71">
        <f t="shared" si="17"/>
        <v>3.5625</v>
      </c>
      <c r="ES55" s="71">
        <f t="shared" si="17"/>
        <v>3.5625</v>
      </c>
      <c r="ET55" s="71">
        <f t="shared" si="17"/>
        <v>3.5625</v>
      </c>
      <c r="EU55" s="71">
        <f t="shared" si="17"/>
        <v>3.5625</v>
      </c>
      <c r="EV55" s="71">
        <f t="shared" si="17"/>
        <v>3.5625</v>
      </c>
      <c r="EW55" s="71">
        <f t="shared" si="17"/>
        <v>3.5625</v>
      </c>
      <c r="EX55" s="71">
        <f t="shared" si="17"/>
        <v>3.5625</v>
      </c>
      <c r="EY55" s="71">
        <f t="shared" si="17"/>
        <v>3.5625</v>
      </c>
      <c r="EZ55" s="71">
        <f t="shared" si="17"/>
        <v>3.5625</v>
      </c>
      <c r="FA55" s="71">
        <f t="shared" si="17"/>
        <v>3.5625</v>
      </c>
      <c r="FB55" s="71">
        <f t="shared" si="17"/>
        <v>3.5625</v>
      </c>
      <c r="FC55" s="71">
        <f t="shared" si="17"/>
        <v>3.5625</v>
      </c>
      <c r="FD55" s="71">
        <f t="shared" si="17"/>
        <v>3.5625</v>
      </c>
      <c r="FE55" s="71">
        <f t="shared" si="17"/>
        <v>3.5625</v>
      </c>
      <c r="FF55" s="71">
        <f t="shared" si="17"/>
        <v>3.5625</v>
      </c>
      <c r="FG55" s="71">
        <f t="shared" si="17"/>
        <v>3.5625</v>
      </c>
      <c r="FH55" s="71">
        <f t="shared" si="17"/>
        <v>3.5625</v>
      </c>
      <c r="FI55" s="71">
        <f t="shared" si="17"/>
        <v>3.5625</v>
      </c>
      <c r="FJ55" s="71">
        <f t="shared" si="17"/>
        <v>3.5625</v>
      </c>
      <c r="FK55" s="71">
        <f t="shared" si="17"/>
        <v>3.5625</v>
      </c>
      <c r="FL55" s="71">
        <f t="shared" si="17"/>
        <v>3.5625</v>
      </c>
      <c r="FM55" s="71">
        <f t="shared" si="17"/>
        <v>3.5625</v>
      </c>
      <c r="FN55" s="71">
        <f t="shared" si="17"/>
        <v>3.5625</v>
      </c>
      <c r="FO55" s="71">
        <f t="shared" si="17"/>
        <v>3.5625</v>
      </c>
      <c r="FP55" s="71">
        <f t="shared" si="17"/>
        <v>3.5625</v>
      </c>
      <c r="FQ55" s="71">
        <f t="shared" si="17"/>
        <v>3.5625</v>
      </c>
      <c r="FR55" s="71">
        <f t="shared" si="17"/>
        <v>3.5625</v>
      </c>
      <c r="FS55" s="71">
        <f t="shared" si="17"/>
        <v>3.5625</v>
      </c>
      <c r="FT55" s="71">
        <f t="shared" si="17"/>
        <v>3.5625</v>
      </c>
      <c r="FU55" s="71">
        <f t="shared" si="17"/>
        <v>3.5625</v>
      </c>
      <c r="FV55" s="71">
        <f t="shared" si="17"/>
        <v>3.5625</v>
      </c>
      <c r="FW55" s="71">
        <f t="shared" si="17"/>
        <v>3.5625</v>
      </c>
      <c r="FX55" s="71">
        <f t="shared" si="17"/>
        <v>3.5625</v>
      </c>
      <c r="FY55" s="71">
        <f t="shared" si="17"/>
        <v>3.5625</v>
      </c>
      <c r="FZ55" s="71">
        <f t="shared" si="17"/>
        <v>3.5625</v>
      </c>
      <c r="GA55" s="71">
        <f t="shared" si="17"/>
        <v>3.5625</v>
      </c>
      <c r="GB55" s="71">
        <f t="shared" si="17"/>
        <v>3.5625</v>
      </c>
      <c r="GC55" s="71">
        <f t="shared" si="17"/>
        <v>3.5625</v>
      </c>
      <c r="GD55" s="71">
        <f t="shared" si="17"/>
        <v>3.5625</v>
      </c>
      <c r="GE55" s="71">
        <f t="shared" si="17"/>
        <v>3.5625</v>
      </c>
      <c r="GF55" s="71">
        <f t="shared" si="17"/>
        <v>3.5625</v>
      </c>
      <c r="GG55" s="71">
        <f t="shared" si="17"/>
        <v>3.5625</v>
      </c>
      <c r="GH55" s="71">
        <f t="shared" si="17"/>
        <v>3.5625</v>
      </c>
      <c r="GI55" s="71">
        <f t="shared" si="17"/>
        <v>3.5625</v>
      </c>
      <c r="GJ55" s="71">
        <f t="shared" si="17"/>
        <v>3.5625</v>
      </c>
      <c r="GK55" s="71">
        <f t="shared" si="17"/>
        <v>3.5625</v>
      </c>
      <c r="GL55" s="71">
        <f t="shared" si="17"/>
        <v>3.5625</v>
      </c>
      <c r="GM55" s="71">
        <f t="shared" si="17"/>
        <v>3.5625</v>
      </c>
      <c r="GN55" s="71">
        <f t="shared" si="17"/>
        <v>3.5625</v>
      </c>
      <c r="GO55" s="71">
        <f t="shared" si="17"/>
        <v>3.5625</v>
      </c>
      <c r="GP55" s="71">
        <f t="shared" si="17"/>
        <v>3.5625</v>
      </c>
      <c r="GQ55" s="71">
        <f>100+7.125/2</f>
        <v>103.5625</v>
      </c>
    </row>
    <row r="56" spans="2:199" x14ac:dyDescent="0.2">
      <c r="B56" t="s">
        <v>34</v>
      </c>
      <c r="C56" t="str">
        <f t="shared" si="10"/>
        <v>Euro 2022</v>
      </c>
      <c r="E56" s="71"/>
      <c r="F56" s="71">
        <f t="shared" ref="F56" si="18">3.875</f>
        <v>3.875</v>
      </c>
      <c r="G56" s="71">
        <f>100+3.875</f>
        <v>103.875</v>
      </c>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row>
    <row r="57" spans="2:199" x14ac:dyDescent="0.2">
      <c r="B57" t="s">
        <v>36</v>
      </c>
      <c r="C57" t="str">
        <f t="shared" si="10"/>
        <v>Euro 2023</v>
      </c>
      <c r="E57" s="71"/>
      <c r="F57" s="71">
        <v>3.375</v>
      </c>
      <c r="G57" s="71">
        <v>3.375</v>
      </c>
      <c r="H57" s="71">
        <f>3.375+100</f>
        <v>103.375</v>
      </c>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row>
    <row r="58" spans="2:199" x14ac:dyDescent="0.2">
      <c r="B58" t="s">
        <v>47</v>
      </c>
      <c r="C58" t="str">
        <f t="shared" si="10"/>
        <v>Euro 2027</v>
      </c>
      <c r="E58" s="71"/>
      <c r="F58" s="71">
        <f>5</f>
        <v>5</v>
      </c>
      <c r="G58" s="71">
        <f>5</f>
        <v>5</v>
      </c>
      <c r="H58" s="71">
        <f>5</f>
        <v>5</v>
      </c>
      <c r="I58" s="71">
        <f>5</f>
        <v>5</v>
      </c>
      <c r="J58" s="71">
        <f>5</f>
        <v>5</v>
      </c>
      <c r="K58" s="71">
        <f>5</f>
        <v>5</v>
      </c>
      <c r="L58" s="71">
        <f>100+5</f>
        <v>105</v>
      </c>
      <c r="M58" s="71"/>
      <c r="N58" s="71"/>
      <c r="O58" s="71"/>
      <c r="P58" s="71"/>
      <c r="Q58" s="71"/>
      <c r="R58" s="71"/>
      <c r="S58" s="71"/>
      <c r="T58" s="71"/>
      <c r="U58" s="71"/>
      <c r="V58" s="71"/>
      <c r="W58" s="71"/>
      <c r="X58" s="71"/>
      <c r="Y58" s="71"/>
      <c r="Z58" s="71"/>
      <c r="AA58" s="71"/>
      <c r="AB58" s="71"/>
      <c r="AC58" s="71"/>
      <c r="AD58" s="71"/>
      <c r="AE58" s="71"/>
      <c r="AF58" s="71"/>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2"/>
      <c r="CD58" s="72"/>
      <c r="CE58" s="72"/>
      <c r="CF58" s="72"/>
      <c r="CG58" s="72"/>
      <c r="CH58" s="72"/>
      <c r="CI58" s="72"/>
      <c r="CJ58" s="72"/>
      <c r="CK58" s="72"/>
      <c r="CL58" s="72"/>
      <c r="CM58" s="72"/>
      <c r="CN58" s="72"/>
      <c r="CO58" s="72"/>
      <c r="CP58" s="72"/>
      <c r="CQ58" s="72"/>
      <c r="CR58" s="72"/>
      <c r="CS58" s="72"/>
      <c r="CT58" s="72"/>
      <c r="CU58" s="72"/>
      <c r="CV58" s="72"/>
      <c r="CW58" s="72"/>
      <c r="CX58" s="72"/>
    </row>
    <row r="59" spans="2:199" x14ac:dyDescent="0.2">
      <c r="B59" t="s">
        <v>49</v>
      </c>
      <c r="C59" t="str">
        <f t="shared" si="10"/>
        <v>Euro 2028</v>
      </c>
      <c r="E59" s="71"/>
      <c r="F59" s="71">
        <v>5.25</v>
      </c>
      <c r="G59" s="71">
        <v>5.25</v>
      </c>
      <c r="H59" s="71">
        <v>5.25</v>
      </c>
      <c r="I59" s="71">
        <v>5.25</v>
      </c>
      <c r="J59" s="71">
        <v>5.25</v>
      </c>
      <c r="K59" s="71">
        <v>5.25</v>
      </c>
      <c r="L59" s="71">
        <v>5.25</v>
      </c>
      <c r="M59" s="71">
        <f>100+5.25</f>
        <v>105.25</v>
      </c>
      <c r="N59" s="71"/>
      <c r="O59" s="71"/>
      <c r="P59" s="71"/>
      <c r="Q59" s="71"/>
      <c r="R59" s="71"/>
      <c r="S59" s="71"/>
      <c r="T59" s="71"/>
      <c r="U59" s="71"/>
      <c r="V59" s="71"/>
      <c r="W59" s="71"/>
      <c r="X59" s="71"/>
      <c r="Y59" s="71"/>
      <c r="Z59" s="71"/>
      <c r="AA59" s="71"/>
      <c r="AB59" s="71"/>
      <c r="AC59" s="71"/>
      <c r="AD59" s="71"/>
      <c r="AE59" s="71"/>
      <c r="AF59" s="71"/>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2"/>
      <c r="CD59" s="72"/>
      <c r="CE59" s="72"/>
      <c r="CF59" s="72"/>
      <c r="CG59" s="72"/>
      <c r="CH59" s="72"/>
      <c r="CI59" s="72"/>
      <c r="CJ59" s="72"/>
      <c r="CK59" s="72"/>
      <c r="CL59" s="72"/>
      <c r="CM59" s="72"/>
      <c r="CN59" s="72"/>
      <c r="CO59" s="72"/>
      <c r="CP59" s="72"/>
      <c r="CQ59" s="72"/>
      <c r="CR59" s="72"/>
      <c r="CS59" s="72"/>
      <c r="CT59" s="72"/>
      <c r="CU59" s="72"/>
      <c r="CV59" s="72"/>
      <c r="CW59" s="72"/>
      <c r="CX59" s="72"/>
    </row>
    <row r="60" spans="2:199" x14ac:dyDescent="0.2">
      <c r="B60" t="s">
        <v>55</v>
      </c>
      <c r="C60" t="str">
        <f t="shared" si="10"/>
        <v>Euro 2047</v>
      </c>
      <c r="E60" s="71"/>
      <c r="F60" s="71">
        <v>6.25</v>
      </c>
      <c r="G60" s="71">
        <v>6.25</v>
      </c>
      <c r="H60" s="71">
        <v>6.25</v>
      </c>
      <c r="I60" s="71">
        <v>6.25</v>
      </c>
      <c r="J60" s="71">
        <v>6.25</v>
      </c>
      <c r="K60" s="71">
        <v>6.25</v>
      </c>
      <c r="L60" s="71">
        <v>6.25</v>
      </c>
      <c r="M60" s="71">
        <v>6.25</v>
      </c>
      <c r="N60" s="71">
        <v>6.25</v>
      </c>
      <c r="O60" s="71">
        <v>6.25</v>
      </c>
      <c r="P60" s="71">
        <v>6.25</v>
      </c>
      <c r="Q60" s="71">
        <v>6.25</v>
      </c>
      <c r="R60" s="71">
        <v>6.25</v>
      </c>
      <c r="S60" s="71">
        <v>6.25</v>
      </c>
      <c r="T60" s="71">
        <v>6.25</v>
      </c>
      <c r="U60" s="71">
        <v>6.25</v>
      </c>
      <c r="V60" s="71">
        <v>6.25</v>
      </c>
      <c r="W60" s="71">
        <v>6.25</v>
      </c>
      <c r="X60" s="71">
        <v>6.25</v>
      </c>
      <c r="Y60" s="71">
        <v>6.25</v>
      </c>
      <c r="Z60" s="71">
        <v>6.25</v>
      </c>
      <c r="AA60" s="71">
        <v>6.25</v>
      </c>
      <c r="AB60" s="71">
        <v>6.25</v>
      </c>
      <c r="AC60" s="71">
        <v>6.25</v>
      </c>
      <c r="AD60" s="71">
        <v>6.25</v>
      </c>
      <c r="AE60" s="71">
        <v>6.25</v>
      </c>
      <c r="AF60" s="71">
        <v>6.25</v>
      </c>
      <c r="AG60" s="71">
        <f>100+6.25</f>
        <v>106.25</v>
      </c>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2"/>
      <c r="CD60" s="72"/>
      <c r="CE60" s="72"/>
      <c r="CF60" s="72"/>
      <c r="CG60" s="72"/>
      <c r="CH60" s="72"/>
      <c r="CI60" s="72"/>
      <c r="CJ60" s="72"/>
      <c r="CK60" s="72"/>
      <c r="CL60" s="72"/>
      <c r="CM60" s="72"/>
      <c r="CN60" s="72"/>
      <c r="CO60" s="72"/>
      <c r="CP60" s="72"/>
      <c r="CQ60" s="72"/>
      <c r="CR60" s="72"/>
      <c r="CS60" s="72"/>
      <c r="CT60" s="72"/>
      <c r="CU60" s="72"/>
      <c r="CV60" s="72"/>
      <c r="CW60" s="72"/>
      <c r="CX60" s="72"/>
    </row>
    <row r="61" spans="2:199" x14ac:dyDescent="0.2">
      <c r="B61" t="s">
        <v>38</v>
      </c>
      <c r="C61" t="str">
        <f t="shared" si="10"/>
        <v>CHF 2020</v>
      </c>
      <c r="E61" s="71"/>
      <c r="F61" s="71">
        <f>100+3.375</f>
        <v>103.375</v>
      </c>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2"/>
      <c r="CD61" s="72"/>
      <c r="CE61" s="72"/>
      <c r="CF61" s="72"/>
      <c r="CG61" s="72"/>
      <c r="CH61" s="72"/>
      <c r="CI61" s="72"/>
      <c r="CJ61" s="72"/>
      <c r="CK61" s="72"/>
      <c r="CL61" s="72"/>
      <c r="CM61" s="72"/>
      <c r="CN61" s="72"/>
      <c r="CO61" s="72"/>
      <c r="CP61" s="72"/>
      <c r="CQ61" s="72"/>
      <c r="CR61" s="72"/>
      <c r="CS61" s="72"/>
      <c r="CT61" s="72"/>
      <c r="CU61" s="72"/>
      <c r="CV61" s="72"/>
      <c r="CW61" s="72"/>
      <c r="CX61" s="72"/>
    </row>
    <row r="62" spans="2:199" x14ac:dyDescent="0.2">
      <c r="E62" s="21"/>
    </row>
    <row r="63" spans="2:199" x14ac:dyDescent="0.2">
      <c r="B63" t="s">
        <v>8</v>
      </c>
      <c r="C63" t="s">
        <v>186</v>
      </c>
      <c r="E63" s="16" t="s">
        <v>217</v>
      </c>
    </row>
    <row r="64" spans="2:199" x14ac:dyDescent="0.2">
      <c r="B64" t="s">
        <v>10</v>
      </c>
      <c r="C64" t="str">
        <f>C37</f>
        <v>USD 2033 Discount I</v>
      </c>
      <c r="E64" s="73"/>
      <c r="F64" s="73">
        <f t="shared" ref="F64:AK64" si="19">IF(F9="","",(MAX(F9-$C$1,0)/365))</f>
        <v>0.29315068493150687</v>
      </c>
      <c r="G64" s="73">
        <f t="shared" si="19"/>
        <v>0.78904109589041094</v>
      </c>
      <c r="H64" s="73">
        <f t="shared" si="19"/>
        <v>1.2931506849315069</v>
      </c>
      <c r="I64" s="73">
        <f t="shared" si="19"/>
        <v>1.789041095890411</v>
      </c>
      <c r="J64" s="73">
        <f t="shared" si="19"/>
        <v>2.2931506849315069</v>
      </c>
      <c r="K64" s="73">
        <f t="shared" si="19"/>
        <v>2.7890410958904108</v>
      </c>
      <c r="L64" s="73">
        <f t="shared" si="19"/>
        <v>3.2931506849315069</v>
      </c>
      <c r="M64" s="73">
        <f t="shared" si="19"/>
        <v>3.7917808219178082</v>
      </c>
      <c r="N64" s="73">
        <f t="shared" si="19"/>
        <v>4.2958904109589042</v>
      </c>
      <c r="O64" s="73">
        <f t="shared" si="19"/>
        <v>4.7917808219178086</v>
      </c>
      <c r="P64" s="73">
        <f t="shared" si="19"/>
        <v>5.2958904109589042</v>
      </c>
      <c r="Q64" s="73">
        <f t="shared" si="19"/>
        <v>5.7917808219178086</v>
      </c>
      <c r="R64" s="73">
        <f t="shared" si="19"/>
        <v>6.2958904109589042</v>
      </c>
      <c r="S64" s="73">
        <f t="shared" si="19"/>
        <v>6.7917808219178086</v>
      </c>
      <c r="T64" s="73">
        <f t="shared" si="19"/>
        <v>7.2958904109589042</v>
      </c>
      <c r="U64" s="73">
        <f t="shared" si="19"/>
        <v>7.7945205479452051</v>
      </c>
      <c r="V64" s="73">
        <f t="shared" si="19"/>
        <v>8.2986301369863007</v>
      </c>
      <c r="W64" s="73">
        <f t="shared" si="19"/>
        <v>8.794520547945206</v>
      </c>
      <c r="X64" s="73">
        <f t="shared" si="19"/>
        <v>9.2986301369863007</v>
      </c>
      <c r="Y64" s="73">
        <f t="shared" si="19"/>
        <v>9.794520547945206</v>
      </c>
      <c r="Z64" s="73">
        <f t="shared" si="19"/>
        <v>10.298630136986301</v>
      </c>
      <c r="AA64" s="73">
        <f t="shared" si="19"/>
        <v>10.794520547945206</v>
      </c>
      <c r="AB64" s="73">
        <f t="shared" si="19"/>
        <v>11.298630136986301</v>
      </c>
      <c r="AC64" s="73">
        <f t="shared" si="19"/>
        <v>11.797260273972602</v>
      </c>
      <c r="AD64" s="73">
        <f t="shared" si="19"/>
        <v>12.301369863013699</v>
      </c>
      <c r="AE64" s="73">
        <f t="shared" si="19"/>
        <v>12.797260273972602</v>
      </c>
      <c r="AF64" s="73">
        <f t="shared" si="19"/>
        <v>13.301369863013699</v>
      </c>
      <c r="AG64" s="73" t="str">
        <f t="shared" si="19"/>
        <v/>
      </c>
      <c r="AH64" s="73" t="str">
        <f t="shared" si="19"/>
        <v/>
      </c>
      <c r="AI64" s="73" t="str">
        <f t="shared" si="19"/>
        <v/>
      </c>
      <c r="AJ64" s="73" t="str">
        <f t="shared" si="19"/>
        <v/>
      </c>
      <c r="AK64" s="73" t="str">
        <f t="shared" si="19"/>
        <v/>
      </c>
      <c r="AL64" s="73" t="str">
        <f t="shared" ref="AL64:BQ64" si="20">IF(AL9="","",(MAX(AL9-$C$1,0)/365))</f>
        <v/>
      </c>
      <c r="AM64" s="73" t="str">
        <f t="shared" si="20"/>
        <v/>
      </c>
      <c r="AN64" s="73" t="str">
        <f t="shared" si="20"/>
        <v/>
      </c>
      <c r="AO64" s="73" t="str">
        <f t="shared" si="20"/>
        <v/>
      </c>
      <c r="AP64" s="73" t="str">
        <f t="shared" si="20"/>
        <v/>
      </c>
      <c r="AQ64" s="73" t="str">
        <f t="shared" si="20"/>
        <v/>
      </c>
      <c r="AR64" s="73" t="str">
        <f t="shared" si="20"/>
        <v/>
      </c>
      <c r="AS64" s="73" t="str">
        <f t="shared" si="20"/>
        <v/>
      </c>
      <c r="AT64" s="73" t="str">
        <f t="shared" si="20"/>
        <v/>
      </c>
      <c r="AU64" s="73" t="str">
        <f t="shared" si="20"/>
        <v/>
      </c>
      <c r="AV64" s="73" t="str">
        <f t="shared" si="20"/>
        <v/>
      </c>
      <c r="AW64" s="73" t="str">
        <f t="shared" si="20"/>
        <v/>
      </c>
      <c r="AX64" s="73" t="str">
        <f t="shared" si="20"/>
        <v/>
      </c>
      <c r="AY64" s="73" t="str">
        <f t="shared" si="20"/>
        <v/>
      </c>
      <c r="AZ64" s="73" t="str">
        <f t="shared" si="20"/>
        <v/>
      </c>
      <c r="BA64" s="73" t="str">
        <f t="shared" si="20"/>
        <v/>
      </c>
      <c r="BB64" s="73" t="str">
        <f t="shared" si="20"/>
        <v/>
      </c>
      <c r="BC64" s="73" t="str">
        <f t="shared" si="20"/>
        <v/>
      </c>
      <c r="BD64" s="73" t="str">
        <f t="shared" si="20"/>
        <v/>
      </c>
      <c r="BE64" s="73" t="str">
        <f t="shared" si="20"/>
        <v/>
      </c>
      <c r="BF64" s="73" t="str">
        <f t="shared" si="20"/>
        <v/>
      </c>
      <c r="BG64" s="73" t="str">
        <f t="shared" si="20"/>
        <v/>
      </c>
      <c r="BH64" s="73" t="str">
        <f t="shared" si="20"/>
        <v/>
      </c>
      <c r="BI64" s="73" t="str">
        <f t="shared" si="20"/>
        <v/>
      </c>
      <c r="BJ64" s="73" t="str">
        <f t="shared" si="20"/>
        <v/>
      </c>
      <c r="BK64" s="73" t="str">
        <f t="shared" si="20"/>
        <v/>
      </c>
      <c r="BL64" s="73" t="str">
        <f t="shared" si="20"/>
        <v/>
      </c>
      <c r="BM64" s="73" t="str">
        <f t="shared" si="20"/>
        <v/>
      </c>
      <c r="BN64" s="73" t="str">
        <f t="shared" si="20"/>
        <v/>
      </c>
      <c r="BO64" s="73" t="str">
        <f t="shared" si="20"/>
        <v/>
      </c>
      <c r="BP64" s="73" t="str">
        <f t="shared" si="20"/>
        <v/>
      </c>
      <c r="BQ64" s="73" t="str">
        <f t="shared" si="20"/>
        <v/>
      </c>
      <c r="BR64" s="73" t="str">
        <f t="shared" ref="BR64:CW64" si="21">IF(BR9="","",(MAX(BR9-$C$1,0)/365))</f>
        <v/>
      </c>
      <c r="BS64" s="73" t="str">
        <f t="shared" si="21"/>
        <v/>
      </c>
      <c r="BT64" s="73" t="str">
        <f t="shared" si="21"/>
        <v/>
      </c>
      <c r="BU64" s="73" t="str">
        <f t="shared" si="21"/>
        <v/>
      </c>
      <c r="BV64" s="73" t="str">
        <f t="shared" si="21"/>
        <v/>
      </c>
      <c r="BW64" s="73" t="str">
        <f t="shared" si="21"/>
        <v/>
      </c>
      <c r="BX64" s="73" t="str">
        <f t="shared" si="21"/>
        <v/>
      </c>
      <c r="BY64" s="73" t="str">
        <f t="shared" si="21"/>
        <v/>
      </c>
      <c r="BZ64" s="73" t="str">
        <f t="shared" si="21"/>
        <v/>
      </c>
      <c r="CA64" s="73" t="str">
        <f t="shared" si="21"/>
        <v/>
      </c>
      <c r="CB64" s="73" t="str">
        <f t="shared" si="21"/>
        <v/>
      </c>
      <c r="CC64" s="73" t="str">
        <f t="shared" si="21"/>
        <v/>
      </c>
      <c r="CD64" s="73" t="str">
        <f t="shared" si="21"/>
        <v/>
      </c>
      <c r="CE64" s="73" t="str">
        <f t="shared" si="21"/>
        <v/>
      </c>
      <c r="CF64" s="73" t="str">
        <f t="shared" si="21"/>
        <v/>
      </c>
      <c r="CG64" s="73" t="str">
        <f t="shared" si="21"/>
        <v/>
      </c>
      <c r="CH64" s="73" t="str">
        <f t="shared" si="21"/>
        <v/>
      </c>
      <c r="CI64" s="73" t="str">
        <f t="shared" si="21"/>
        <v/>
      </c>
      <c r="CJ64" s="73" t="str">
        <f t="shared" si="21"/>
        <v/>
      </c>
      <c r="CK64" s="73" t="str">
        <f t="shared" si="21"/>
        <v/>
      </c>
      <c r="CL64" s="73" t="str">
        <f t="shared" si="21"/>
        <v/>
      </c>
      <c r="CM64" s="73" t="str">
        <f t="shared" si="21"/>
        <v/>
      </c>
      <c r="CN64" s="73" t="str">
        <f t="shared" si="21"/>
        <v/>
      </c>
      <c r="CO64" s="73" t="str">
        <f t="shared" si="21"/>
        <v/>
      </c>
      <c r="CP64" s="73" t="str">
        <f t="shared" si="21"/>
        <v/>
      </c>
      <c r="CQ64" s="73" t="str">
        <f t="shared" si="21"/>
        <v/>
      </c>
      <c r="CR64" s="73" t="str">
        <f t="shared" si="21"/>
        <v/>
      </c>
      <c r="CS64" s="73" t="str">
        <f t="shared" si="21"/>
        <v/>
      </c>
      <c r="CT64" s="73" t="str">
        <f t="shared" si="21"/>
        <v/>
      </c>
      <c r="CU64" s="73" t="str">
        <f t="shared" si="21"/>
        <v/>
      </c>
      <c r="CV64" s="73" t="str">
        <f t="shared" si="21"/>
        <v/>
      </c>
      <c r="CW64" s="73" t="str">
        <f t="shared" si="21"/>
        <v/>
      </c>
      <c r="CX64" s="73" t="str">
        <f t="shared" ref="CX64:EC64" si="22">IF(CX9="","",(MAX(CX9-$C$1,0)/365))</f>
        <v/>
      </c>
      <c r="CY64" s="73" t="str">
        <f t="shared" si="22"/>
        <v/>
      </c>
      <c r="CZ64" s="73" t="str">
        <f t="shared" si="22"/>
        <v/>
      </c>
      <c r="DA64" s="73" t="str">
        <f t="shared" si="22"/>
        <v/>
      </c>
      <c r="DB64" s="73" t="str">
        <f t="shared" si="22"/>
        <v/>
      </c>
      <c r="DC64" s="73" t="str">
        <f t="shared" si="22"/>
        <v/>
      </c>
      <c r="DD64" s="73" t="str">
        <f t="shared" si="22"/>
        <v/>
      </c>
      <c r="DE64" s="73" t="str">
        <f t="shared" si="22"/>
        <v/>
      </c>
      <c r="DF64" s="73" t="str">
        <f t="shared" si="22"/>
        <v/>
      </c>
      <c r="DG64" s="73" t="str">
        <f t="shared" si="22"/>
        <v/>
      </c>
      <c r="DH64" s="73" t="str">
        <f t="shared" si="22"/>
        <v/>
      </c>
      <c r="DI64" s="73" t="str">
        <f t="shared" si="22"/>
        <v/>
      </c>
      <c r="DJ64" s="73" t="str">
        <f t="shared" si="22"/>
        <v/>
      </c>
      <c r="DK64" s="73" t="str">
        <f t="shared" si="22"/>
        <v/>
      </c>
      <c r="DL64" s="73" t="str">
        <f t="shared" si="22"/>
        <v/>
      </c>
      <c r="DM64" s="73" t="str">
        <f t="shared" si="22"/>
        <v/>
      </c>
      <c r="DN64" s="73" t="str">
        <f t="shared" si="22"/>
        <v/>
      </c>
      <c r="DO64" s="73" t="str">
        <f t="shared" si="22"/>
        <v/>
      </c>
      <c r="DP64" s="73" t="str">
        <f t="shared" si="22"/>
        <v/>
      </c>
      <c r="DQ64" s="73" t="str">
        <f t="shared" si="22"/>
        <v/>
      </c>
      <c r="DR64" s="73" t="str">
        <f t="shared" si="22"/>
        <v/>
      </c>
      <c r="DS64" s="73" t="str">
        <f t="shared" si="22"/>
        <v/>
      </c>
      <c r="DT64" s="73" t="str">
        <f t="shared" si="22"/>
        <v/>
      </c>
      <c r="DU64" s="73" t="str">
        <f t="shared" si="22"/>
        <v/>
      </c>
      <c r="DV64" s="73" t="str">
        <f t="shared" si="22"/>
        <v/>
      </c>
      <c r="DW64" s="73" t="str">
        <f t="shared" si="22"/>
        <v/>
      </c>
      <c r="DX64" s="73" t="str">
        <f t="shared" si="22"/>
        <v/>
      </c>
      <c r="DY64" s="73" t="str">
        <f t="shared" si="22"/>
        <v/>
      </c>
      <c r="DZ64" s="73" t="str">
        <f t="shared" si="22"/>
        <v/>
      </c>
      <c r="EA64" s="73" t="str">
        <f t="shared" si="22"/>
        <v/>
      </c>
      <c r="EB64" s="73" t="str">
        <f t="shared" si="22"/>
        <v/>
      </c>
      <c r="EC64" s="73" t="str">
        <f t="shared" si="22"/>
        <v/>
      </c>
      <c r="ED64" s="73" t="str">
        <f t="shared" ref="ED64:FI64" si="23">IF(ED9="","",(MAX(ED9-$C$1,0)/365))</f>
        <v/>
      </c>
      <c r="EE64" s="73" t="str">
        <f t="shared" si="23"/>
        <v/>
      </c>
      <c r="EF64" s="73" t="str">
        <f t="shared" si="23"/>
        <v/>
      </c>
      <c r="EG64" s="73" t="str">
        <f t="shared" si="23"/>
        <v/>
      </c>
      <c r="EH64" s="73" t="str">
        <f t="shared" si="23"/>
        <v/>
      </c>
      <c r="EI64" s="73" t="str">
        <f t="shared" si="23"/>
        <v/>
      </c>
      <c r="EJ64" s="73" t="str">
        <f t="shared" si="23"/>
        <v/>
      </c>
      <c r="EK64" s="73" t="str">
        <f t="shared" si="23"/>
        <v/>
      </c>
      <c r="EL64" s="73" t="str">
        <f t="shared" si="23"/>
        <v/>
      </c>
      <c r="EM64" s="73" t="str">
        <f t="shared" si="23"/>
        <v/>
      </c>
      <c r="EN64" s="73" t="str">
        <f t="shared" si="23"/>
        <v/>
      </c>
      <c r="EO64" s="73" t="str">
        <f t="shared" si="23"/>
        <v/>
      </c>
      <c r="EP64" s="73" t="str">
        <f t="shared" si="23"/>
        <v/>
      </c>
      <c r="EQ64" s="73" t="str">
        <f t="shared" si="23"/>
        <v/>
      </c>
      <c r="ER64" s="73" t="str">
        <f t="shared" si="23"/>
        <v/>
      </c>
      <c r="ES64" s="73" t="str">
        <f t="shared" si="23"/>
        <v/>
      </c>
      <c r="ET64" s="73" t="str">
        <f t="shared" si="23"/>
        <v/>
      </c>
      <c r="EU64" s="73" t="str">
        <f t="shared" si="23"/>
        <v/>
      </c>
      <c r="EV64" s="73" t="str">
        <f t="shared" si="23"/>
        <v/>
      </c>
      <c r="EW64" s="73" t="str">
        <f t="shared" si="23"/>
        <v/>
      </c>
      <c r="EX64" s="73" t="str">
        <f t="shared" si="23"/>
        <v/>
      </c>
      <c r="EY64" s="73" t="str">
        <f t="shared" si="23"/>
        <v/>
      </c>
      <c r="EZ64" s="73" t="str">
        <f t="shared" si="23"/>
        <v/>
      </c>
      <c r="FA64" s="73" t="str">
        <f t="shared" si="23"/>
        <v/>
      </c>
      <c r="FB64" s="73" t="str">
        <f t="shared" si="23"/>
        <v/>
      </c>
      <c r="FC64" s="73" t="str">
        <f t="shared" si="23"/>
        <v/>
      </c>
      <c r="FD64" s="73" t="str">
        <f t="shared" si="23"/>
        <v/>
      </c>
      <c r="FE64" s="73" t="str">
        <f t="shared" si="23"/>
        <v/>
      </c>
      <c r="FF64" s="73" t="str">
        <f t="shared" si="23"/>
        <v/>
      </c>
      <c r="FG64" s="73" t="str">
        <f t="shared" si="23"/>
        <v/>
      </c>
      <c r="FH64" s="73" t="str">
        <f t="shared" si="23"/>
        <v/>
      </c>
      <c r="FI64" s="73" t="str">
        <f t="shared" si="23"/>
        <v/>
      </c>
      <c r="FJ64" s="73" t="str">
        <f t="shared" ref="FJ64:GQ64" si="24">IF(FJ9="","",(MAX(FJ9-$C$1,0)/365))</f>
        <v/>
      </c>
      <c r="FK64" s="73" t="str">
        <f t="shared" si="24"/>
        <v/>
      </c>
      <c r="FL64" s="73" t="str">
        <f t="shared" si="24"/>
        <v/>
      </c>
      <c r="FM64" s="73" t="str">
        <f t="shared" si="24"/>
        <v/>
      </c>
      <c r="FN64" s="73" t="str">
        <f t="shared" si="24"/>
        <v/>
      </c>
      <c r="FO64" s="73" t="str">
        <f t="shared" si="24"/>
        <v/>
      </c>
      <c r="FP64" s="73" t="str">
        <f t="shared" si="24"/>
        <v/>
      </c>
      <c r="FQ64" s="73" t="str">
        <f t="shared" si="24"/>
        <v/>
      </c>
      <c r="FR64" s="73" t="str">
        <f t="shared" si="24"/>
        <v/>
      </c>
      <c r="FS64" s="73" t="str">
        <f t="shared" si="24"/>
        <v/>
      </c>
      <c r="FT64" s="73" t="str">
        <f t="shared" si="24"/>
        <v/>
      </c>
      <c r="FU64" s="73" t="str">
        <f t="shared" si="24"/>
        <v/>
      </c>
      <c r="FV64" s="73" t="str">
        <f t="shared" si="24"/>
        <v/>
      </c>
      <c r="FW64" s="73" t="str">
        <f t="shared" si="24"/>
        <v/>
      </c>
      <c r="FX64" s="73" t="str">
        <f t="shared" si="24"/>
        <v/>
      </c>
      <c r="FY64" s="73" t="str">
        <f t="shared" si="24"/>
        <v/>
      </c>
      <c r="FZ64" s="73" t="str">
        <f t="shared" si="24"/>
        <v/>
      </c>
      <c r="GA64" s="73" t="str">
        <f t="shared" si="24"/>
        <v/>
      </c>
      <c r="GB64" s="73" t="str">
        <f t="shared" si="24"/>
        <v/>
      </c>
      <c r="GC64" s="73" t="str">
        <f t="shared" si="24"/>
        <v/>
      </c>
      <c r="GD64" s="73" t="str">
        <f t="shared" si="24"/>
        <v/>
      </c>
      <c r="GE64" s="73" t="str">
        <f t="shared" si="24"/>
        <v/>
      </c>
      <c r="GF64" s="73" t="str">
        <f t="shared" si="24"/>
        <v/>
      </c>
      <c r="GG64" s="73" t="str">
        <f t="shared" si="24"/>
        <v/>
      </c>
      <c r="GH64" s="73" t="str">
        <f t="shared" si="24"/>
        <v/>
      </c>
      <c r="GI64" s="73" t="str">
        <f t="shared" si="24"/>
        <v/>
      </c>
      <c r="GJ64" s="73" t="str">
        <f t="shared" si="24"/>
        <v/>
      </c>
      <c r="GK64" s="73" t="str">
        <f t="shared" si="24"/>
        <v/>
      </c>
      <c r="GL64" s="73" t="str">
        <f t="shared" si="24"/>
        <v/>
      </c>
      <c r="GM64" s="73" t="str">
        <f t="shared" si="24"/>
        <v/>
      </c>
      <c r="GN64" s="73" t="str">
        <f t="shared" si="24"/>
        <v/>
      </c>
      <c r="GO64" s="73" t="str">
        <f t="shared" si="24"/>
        <v/>
      </c>
      <c r="GP64" s="73" t="str">
        <f t="shared" si="24"/>
        <v/>
      </c>
      <c r="GQ64" s="73" t="str">
        <f t="shared" si="24"/>
        <v/>
      </c>
    </row>
    <row r="65" spans="2:199" x14ac:dyDescent="0.2">
      <c r="B65" t="s">
        <v>12</v>
      </c>
      <c r="C65" t="str">
        <f t="shared" ref="C65:C88" si="25">C38</f>
        <v>USD 2033 Discount II and III</v>
      </c>
      <c r="E65" s="73"/>
      <c r="F65" s="73">
        <f t="shared" ref="F65:AK65" si="26">IF(F10="","",(MAX(F10-$C$1,0)/365))</f>
        <v>0.29315068493150687</v>
      </c>
      <c r="G65" s="73">
        <f t="shared" si="26"/>
        <v>0.78904109589041094</v>
      </c>
      <c r="H65" s="73">
        <f t="shared" si="26"/>
        <v>1.2931506849315069</v>
      </c>
      <c r="I65" s="73">
        <f t="shared" si="26"/>
        <v>1.789041095890411</v>
      </c>
      <c r="J65" s="73">
        <f t="shared" si="26"/>
        <v>2.2931506849315069</v>
      </c>
      <c r="K65" s="73">
        <f t="shared" si="26"/>
        <v>2.7890410958904108</v>
      </c>
      <c r="L65" s="73">
        <f t="shared" si="26"/>
        <v>3.2931506849315069</v>
      </c>
      <c r="M65" s="73">
        <f t="shared" si="26"/>
        <v>3.7917808219178082</v>
      </c>
      <c r="N65" s="73">
        <f t="shared" si="26"/>
        <v>4.2958904109589042</v>
      </c>
      <c r="O65" s="73">
        <f t="shared" si="26"/>
        <v>4.7917808219178086</v>
      </c>
      <c r="P65" s="73">
        <f t="shared" si="26"/>
        <v>5.2958904109589042</v>
      </c>
      <c r="Q65" s="73">
        <f t="shared" si="26"/>
        <v>5.7917808219178086</v>
      </c>
      <c r="R65" s="73">
        <f t="shared" si="26"/>
        <v>6.2958904109589042</v>
      </c>
      <c r="S65" s="73">
        <f t="shared" si="26"/>
        <v>6.7917808219178086</v>
      </c>
      <c r="T65" s="73">
        <f t="shared" si="26"/>
        <v>7.2958904109589042</v>
      </c>
      <c r="U65" s="73">
        <f t="shared" si="26"/>
        <v>7.7945205479452051</v>
      </c>
      <c r="V65" s="73">
        <f t="shared" si="26"/>
        <v>8.2986301369863007</v>
      </c>
      <c r="W65" s="73">
        <f t="shared" si="26"/>
        <v>8.794520547945206</v>
      </c>
      <c r="X65" s="73">
        <f t="shared" si="26"/>
        <v>9.2986301369863007</v>
      </c>
      <c r="Y65" s="73">
        <f t="shared" si="26"/>
        <v>9.794520547945206</v>
      </c>
      <c r="Z65" s="73">
        <f t="shared" si="26"/>
        <v>10.298630136986301</v>
      </c>
      <c r="AA65" s="73">
        <f t="shared" si="26"/>
        <v>10.794520547945206</v>
      </c>
      <c r="AB65" s="73">
        <f t="shared" si="26"/>
        <v>11.298630136986301</v>
      </c>
      <c r="AC65" s="73">
        <f t="shared" si="26"/>
        <v>11.797260273972602</v>
      </c>
      <c r="AD65" s="73">
        <f t="shared" si="26"/>
        <v>12.301369863013699</v>
      </c>
      <c r="AE65" s="73">
        <f t="shared" si="26"/>
        <v>12.797260273972602</v>
      </c>
      <c r="AF65" s="73">
        <f t="shared" si="26"/>
        <v>13.301369863013699</v>
      </c>
      <c r="AG65" s="73" t="str">
        <f t="shared" si="26"/>
        <v/>
      </c>
      <c r="AH65" s="73" t="str">
        <f t="shared" si="26"/>
        <v/>
      </c>
      <c r="AI65" s="73" t="str">
        <f t="shared" si="26"/>
        <v/>
      </c>
      <c r="AJ65" s="73" t="str">
        <f t="shared" si="26"/>
        <v/>
      </c>
      <c r="AK65" s="73" t="str">
        <f t="shared" si="26"/>
        <v/>
      </c>
      <c r="AL65" s="73" t="str">
        <f t="shared" ref="AL65:BQ65" si="27">IF(AL10="","",(MAX(AL10-$C$1,0)/365))</f>
        <v/>
      </c>
      <c r="AM65" s="73" t="str">
        <f t="shared" si="27"/>
        <v/>
      </c>
      <c r="AN65" s="73" t="str">
        <f t="shared" si="27"/>
        <v/>
      </c>
      <c r="AO65" s="73" t="str">
        <f t="shared" si="27"/>
        <v/>
      </c>
      <c r="AP65" s="73" t="str">
        <f t="shared" si="27"/>
        <v/>
      </c>
      <c r="AQ65" s="73" t="str">
        <f t="shared" si="27"/>
        <v/>
      </c>
      <c r="AR65" s="73" t="str">
        <f t="shared" si="27"/>
        <v/>
      </c>
      <c r="AS65" s="73" t="str">
        <f t="shared" si="27"/>
        <v/>
      </c>
      <c r="AT65" s="73" t="str">
        <f t="shared" si="27"/>
        <v/>
      </c>
      <c r="AU65" s="73" t="str">
        <f t="shared" si="27"/>
        <v/>
      </c>
      <c r="AV65" s="73" t="str">
        <f t="shared" si="27"/>
        <v/>
      </c>
      <c r="AW65" s="73" t="str">
        <f t="shared" si="27"/>
        <v/>
      </c>
      <c r="AX65" s="73" t="str">
        <f t="shared" si="27"/>
        <v/>
      </c>
      <c r="AY65" s="73" t="str">
        <f t="shared" si="27"/>
        <v/>
      </c>
      <c r="AZ65" s="73" t="str">
        <f t="shared" si="27"/>
        <v/>
      </c>
      <c r="BA65" s="73" t="str">
        <f t="shared" si="27"/>
        <v/>
      </c>
      <c r="BB65" s="73" t="str">
        <f t="shared" si="27"/>
        <v/>
      </c>
      <c r="BC65" s="73" t="str">
        <f t="shared" si="27"/>
        <v/>
      </c>
      <c r="BD65" s="73" t="str">
        <f t="shared" si="27"/>
        <v/>
      </c>
      <c r="BE65" s="73" t="str">
        <f t="shared" si="27"/>
        <v/>
      </c>
      <c r="BF65" s="73" t="str">
        <f t="shared" si="27"/>
        <v/>
      </c>
      <c r="BG65" s="73" t="str">
        <f t="shared" si="27"/>
        <v/>
      </c>
      <c r="BH65" s="73" t="str">
        <f t="shared" si="27"/>
        <v/>
      </c>
      <c r="BI65" s="73" t="str">
        <f t="shared" si="27"/>
        <v/>
      </c>
      <c r="BJ65" s="73" t="str">
        <f t="shared" si="27"/>
        <v/>
      </c>
      <c r="BK65" s="73" t="str">
        <f t="shared" si="27"/>
        <v/>
      </c>
      <c r="BL65" s="73" t="str">
        <f t="shared" si="27"/>
        <v/>
      </c>
      <c r="BM65" s="73" t="str">
        <f t="shared" si="27"/>
        <v/>
      </c>
      <c r="BN65" s="73" t="str">
        <f t="shared" si="27"/>
        <v/>
      </c>
      <c r="BO65" s="73" t="str">
        <f t="shared" si="27"/>
        <v/>
      </c>
      <c r="BP65" s="73" t="str">
        <f t="shared" si="27"/>
        <v/>
      </c>
      <c r="BQ65" s="73" t="str">
        <f t="shared" si="27"/>
        <v/>
      </c>
      <c r="BR65" s="73" t="str">
        <f t="shared" ref="BR65:CW65" si="28">IF(BR10="","",(MAX(BR10-$C$1,0)/365))</f>
        <v/>
      </c>
      <c r="BS65" s="73" t="str">
        <f t="shared" si="28"/>
        <v/>
      </c>
      <c r="BT65" s="73" t="str">
        <f t="shared" si="28"/>
        <v/>
      </c>
      <c r="BU65" s="73" t="str">
        <f t="shared" si="28"/>
        <v/>
      </c>
      <c r="BV65" s="73" t="str">
        <f t="shared" si="28"/>
        <v/>
      </c>
      <c r="BW65" s="73" t="str">
        <f t="shared" si="28"/>
        <v/>
      </c>
      <c r="BX65" s="73" t="str">
        <f t="shared" si="28"/>
        <v/>
      </c>
      <c r="BY65" s="73" t="str">
        <f t="shared" si="28"/>
        <v/>
      </c>
      <c r="BZ65" s="73" t="str">
        <f t="shared" si="28"/>
        <v/>
      </c>
      <c r="CA65" s="73" t="str">
        <f t="shared" si="28"/>
        <v/>
      </c>
      <c r="CB65" s="73" t="str">
        <f t="shared" si="28"/>
        <v/>
      </c>
      <c r="CC65" s="73" t="str">
        <f t="shared" si="28"/>
        <v/>
      </c>
      <c r="CD65" s="73" t="str">
        <f t="shared" si="28"/>
        <v/>
      </c>
      <c r="CE65" s="73" t="str">
        <f t="shared" si="28"/>
        <v/>
      </c>
      <c r="CF65" s="73" t="str">
        <f t="shared" si="28"/>
        <v/>
      </c>
      <c r="CG65" s="73" t="str">
        <f t="shared" si="28"/>
        <v/>
      </c>
      <c r="CH65" s="73" t="str">
        <f t="shared" si="28"/>
        <v/>
      </c>
      <c r="CI65" s="73" t="str">
        <f t="shared" si="28"/>
        <v/>
      </c>
      <c r="CJ65" s="73" t="str">
        <f t="shared" si="28"/>
        <v/>
      </c>
      <c r="CK65" s="73" t="str">
        <f t="shared" si="28"/>
        <v/>
      </c>
      <c r="CL65" s="73" t="str">
        <f t="shared" si="28"/>
        <v/>
      </c>
      <c r="CM65" s="73" t="str">
        <f t="shared" si="28"/>
        <v/>
      </c>
      <c r="CN65" s="73" t="str">
        <f t="shared" si="28"/>
        <v/>
      </c>
      <c r="CO65" s="73" t="str">
        <f t="shared" si="28"/>
        <v/>
      </c>
      <c r="CP65" s="73" t="str">
        <f t="shared" si="28"/>
        <v/>
      </c>
      <c r="CQ65" s="73" t="str">
        <f t="shared" si="28"/>
        <v/>
      </c>
      <c r="CR65" s="73" t="str">
        <f t="shared" si="28"/>
        <v/>
      </c>
      <c r="CS65" s="73" t="str">
        <f t="shared" si="28"/>
        <v/>
      </c>
      <c r="CT65" s="73" t="str">
        <f t="shared" si="28"/>
        <v/>
      </c>
      <c r="CU65" s="73" t="str">
        <f t="shared" si="28"/>
        <v/>
      </c>
      <c r="CV65" s="73" t="str">
        <f t="shared" si="28"/>
        <v/>
      </c>
      <c r="CW65" s="73" t="str">
        <f t="shared" si="28"/>
        <v/>
      </c>
      <c r="CX65" s="73" t="str">
        <f t="shared" ref="CX65:EC65" si="29">IF(CX10="","",(MAX(CX10-$C$1,0)/365))</f>
        <v/>
      </c>
      <c r="CY65" s="73" t="str">
        <f t="shared" si="29"/>
        <v/>
      </c>
      <c r="CZ65" s="73" t="str">
        <f t="shared" si="29"/>
        <v/>
      </c>
      <c r="DA65" s="73" t="str">
        <f t="shared" si="29"/>
        <v/>
      </c>
      <c r="DB65" s="73" t="str">
        <f t="shared" si="29"/>
        <v/>
      </c>
      <c r="DC65" s="73" t="str">
        <f t="shared" si="29"/>
        <v/>
      </c>
      <c r="DD65" s="73" t="str">
        <f t="shared" si="29"/>
        <v/>
      </c>
      <c r="DE65" s="73" t="str">
        <f t="shared" si="29"/>
        <v/>
      </c>
      <c r="DF65" s="73" t="str">
        <f t="shared" si="29"/>
        <v/>
      </c>
      <c r="DG65" s="73" t="str">
        <f t="shared" si="29"/>
        <v/>
      </c>
      <c r="DH65" s="73" t="str">
        <f t="shared" si="29"/>
        <v/>
      </c>
      <c r="DI65" s="73" t="str">
        <f t="shared" si="29"/>
        <v/>
      </c>
      <c r="DJ65" s="73" t="str">
        <f t="shared" si="29"/>
        <v/>
      </c>
      <c r="DK65" s="73" t="str">
        <f t="shared" si="29"/>
        <v/>
      </c>
      <c r="DL65" s="73" t="str">
        <f t="shared" si="29"/>
        <v/>
      </c>
      <c r="DM65" s="73" t="str">
        <f t="shared" si="29"/>
        <v/>
      </c>
      <c r="DN65" s="73" t="str">
        <f t="shared" si="29"/>
        <v/>
      </c>
      <c r="DO65" s="73" t="str">
        <f t="shared" si="29"/>
        <v/>
      </c>
      <c r="DP65" s="73" t="str">
        <f t="shared" si="29"/>
        <v/>
      </c>
      <c r="DQ65" s="73" t="str">
        <f t="shared" si="29"/>
        <v/>
      </c>
      <c r="DR65" s="73" t="str">
        <f t="shared" si="29"/>
        <v/>
      </c>
      <c r="DS65" s="73" t="str">
        <f t="shared" si="29"/>
        <v/>
      </c>
      <c r="DT65" s="73" t="str">
        <f t="shared" si="29"/>
        <v/>
      </c>
      <c r="DU65" s="73" t="str">
        <f t="shared" si="29"/>
        <v/>
      </c>
      <c r="DV65" s="73" t="str">
        <f t="shared" si="29"/>
        <v/>
      </c>
      <c r="DW65" s="73" t="str">
        <f t="shared" si="29"/>
        <v/>
      </c>
      <c r="DX65" s="73" t="str">
        <f t="shared" si="29"/>
        <v/>
      </c>
      <c r="DY65" s="73" t="str">
        <f t="shared" si="29"/>
        <v/>
      </c>
      <c r="DZ65" s="73" t="str">
        <f t="shared" si="29"/>
        <v/>
      </c>
      <c r="EA65" s="73" t="str">
        <f t="shared" si="29"/>
        <v/>
      </c>
      <c r="EB65" s="73" t="str">
        <f t="shared" si="29"/>
        <v/>
      </c>
      <c r="EC65" s="73" t="str">
        <f t="shared" si="29"/>
        <v/>
      </c>
      <c r="ED65" s="73" t="str">
        <f t="shared" ref="ED65:FI65" si="30">IF(ED10="","",(MAX(ED10-$C$1,0)/365))</f>
        <v/>
      </c>
      <c r="EE65" s="73" t="str">
        <f t="shared" si="30"/>
        <v/>
      </c>
      <c r="EF65" s="73" t="str">
        <f t="shared" si="30"/>
        <v/>
      </c>
      <c r="EG65" s="73" t="str">
        <f t="shared" si="30"/>
        <v/>
      </c>
      <c r="EH65" s="73" t="str">
        <f t="shared" si="30"/>
        <v/>
      </c>
      <c r="EI65" s="73" t="str">
        <f t="shared" si="30"/>
        <v/>
      </c>
      <c r="EJ65" s="73" t="str">
        <f t="shared" si="30"/>
        <v/>
      </c>
      <c r="EK65" s="73" t="str">
        <f t="shared" si="30"/>
        <v/>
      </c>
      <c r="EL65" s="73" t="str">
        <f t="shared" si="30"/>
        <v/>
      </c>
      <c r="EM65" s="73" t="str">
        <f t="shared" si="30"/>
        <v/>
      </c>
      <c r="EN65" s="73" t="str">
        <f t="shared" si="30"/>
        <v/>
      </c>
      <c r="EO65" s="73" t="str">
        <f t="shared" si="30"/>
        <v/>
      </c>
      <c r="EP65" s="73" t="str">
        <f t="shared" si="30"/>
        <v/>
      </c>
      <c r="EQ65" s="73" t="str">
        <f t="shared" si="30"/>
        <v/>
      </c>
      <c r="ER65" s="73" t="str">
        <f t="shared" si="30"/>
        <v/>
      </c>
      <c r="ES65" s="73" t="str">
        <f t="shared" si="30"/>
        <v/>
      </c>
      <c r="ET65" s="73" t="str">
        <f t="shared" si="30"/>
        <v/>
      </c>
      <c r="EU65" s="73" t="str">
        <f t="shared" si="30"/>
        <v/>
      </c>
      <c r="EV65" s="73" t="str">
        <f t="shared" si="30"/>
        <v/>
      </c>
      <c r="EW65" s="73" t="str">
        <f t="shared" si="30"/>
        <v/>
      </c>
      <c r="EX65" s="73" t="str">
        <f t="shared" si="30"/>
        <v/>
      </c>
      <c r="EY65" s="73" t="str">
        <f t="shared" si="30"/>
        <v/>
      </c>
      <c r="EZ65" s="73" t="str">
        <f t="shared" si="30"/>
        <v/>
      </c>
      <c r="FA65" s="73" t="str">
        <f t="shared" si="30"/>
        <v/>
      </c>
      <c r="FB65" s="73" t="str">
        <f t="shared" si="30"/>
        <v/>
      </c>
      <c r="FC65" s="73" t="str">
        <f t="shared" si="30"/>
        <v/>
      </c>
      <c r="FD65" s="73" t="str">
        <f t="shared" si="30"/>
        <v/>
      </c>
      <c r="FE65" s="73" t="str">
        <f t="shared" si="30"/>
        <v/>
      </c>
      <c r="FF65" s="73" t="str">
        <f t="shared" si="30"/>
        <v/>
      </c>
      <c r="FG65" s="73" t="str">
        <f t="shared" si="30"/>
        <v/>
      </c>
      <c r="FH65" s="73" t="str">
        <f t="shared" si="30"/>
        <v/>
      </c>
      <c r="FI65" s="73" t="str">
        <f t="shared" si="30"/>
        <v/>
      </c>
      <c r="FJ65" s="73" t="str">
        <f t="shared" ref="FJ65:GQ65" si="31">IF(FJ10="","",(MAX(FJ10-$C$1,0)/365))</f>
        <v/>
      </c>
      <c r="FK65" s="73" t="str">
        <f t="shared" si="31"/>
        <v/>
      </c>
      <c r="FL65" s="73" t="str">
        <f t="shared" si="31"/>
        <v/>
      </c>
      <c r="FM65" s="73" t="str">
        <f t="shared" si="31"/>
        <v/>
      </c>
      <c r="FN65" s="73" t="str">
        <f t="shared" si="31"/>
        <v/>
      </c>
      <c r="FO65" s="73" t="str">
        <f t="shared" si="31"/>
        <v/>
      </c>
      <c r="FP65" s="73" t="str">
        <f t="shared" si="31"/>
        <v/>
      </c>
      <c r="FQ65" s="73" t="str">
        <f t="shared" si="31"/>
        <v/>
      </c>
      <c r="FR65" s="73" t="str">
        <f t="shared" si="31"/>
        <v/>
      </c>
      <c r="FS65" s="73" t="str">
        <f t="shared" si="31"/>
        <v/>
      </c>
      <c r="FT65" s="73" t="str">
        <f t="shared" si="31"/>
        <v/>
      </c>
      <c r="FU65" s="73" t="str">
        <f t="shared" si="31"/>
        <v/>
      </c>
      <c r="FV65" s="73" t="str">
        <f t="shared" si="31"/>
        <v/>
      </c>
      <c r="FW65" s="73" t="str">
        <f t="shared" si="31"/>
        <v/>
      </c>
      <c r="FX65" s="73" t="str">
        <f t="shared" si="31"/>
        <v/>
      </c>
      <c r="FY65" s="73" t="str">
        <f t="shared" si="31"/>
        <v/>
      </c>
      <c r="FZ65" s="73" t="str">
        <f t="shared" si="31"/>
        <v/>
      </c>
      <c r="GA65" s="73" t="str">
        <f t="shared" si="31"/>
        <v/>
      </c>
      <c r="GB65" s="73" t="str">
        <f t="shared" si="31"/>
        <v/>
      </c>
      <c r="GC65" s="73" t="str">
        <f t="shared" si="31"/>
        <v/>
      </c>
      <c r="GD65" s="73" t="str">
        <f t="shared" si="31"/>
        <v/>
      </c>
      <c r="GE65" s="73" t="str">
        <f t="shared" si="31"/>
        <v/>
      </c>
      <c r="GF65" s="73" t="str">
        <f t="shared" si="31"/>
        <v/>
      </c>
      <c r="GG65" s="73" t="str">
        <f t="shared" si="31"/>
        <v/>
      </c>
      <c r="GH65" s="73" t="str">
        <f t="shared" si="31"/>
        <v/>
      </c>
      <c r="GI65" s="73" t="str">
        <f t="shared" si="31"/>
        <v/>
      </c>
      <c r="GJ65" s="73" t="str">
        <f t="shared" si="31"/>
        <v/>
      </c>
      <c r="GK65" s="73" t="str">
        <f t="shared" si="31"/>
        <v/>
      </c>
      <c r="GL65" s="73" t="str">
        <f t="shared" si="31"/>
        <v/>
      </c>
      <c r="GM65" s="73" t="str">
        <f t="shared" si="31"/>
        <v/>
      </c>
      <c r="GN65" s="73" t="str">
        <f t="shared" si="31"/>
        <v/>
      </c>
      <c r="GO65" s="73" t="str">
        <f t="shared" si="31"/>
        <v/>
      </c>
      <c r="GP65" s="73" t="str">
        <f t="shared" si="31"/>
        <v/>
      </c>
      <c r="GQ65" s="73" t="str">
        <f t="shared" si="31"/>
        <v/>
      </c>
    </row>
    <row r="66" spans="2:199" x14ac:dyDescent="0.2">
      <c r="B66" t="s">
        <v>20</v>
      </c>
      <c r="C66" t="str">
        <f t="shared" si="25"/>
        <v>USD Par 2038 I</v>
      </c>
      <c r="E66" s="73"/>
      <c r="F66" s="73">
        <f t="shared" ref="F66:AK66" si="32">IF(F11="","",(MAX(F11-$C$1,0)/365))</f>
        <v>4.1095890410958902E-2</v>
      </c>
      <c r="G66" s="73">
        <f t="shared" si="32"/>
        <v>0.53972602739726028</v>
      </c>
      <c r="H66" s="73">
        <f t="shared" si="32"/>
        <v>1.0410958904109588</v>
      </c>
      <c r="I66" s="73">
        <f t="shared" si="32"/>
        <v>1.5397260273972602</v>
      </c>
      <c r="J66" s="73">
        <f t="shared" si="32"/>
        <v>2.0410958904109591</v>
      </c>
      <c r="K66" s="73">
        <f t="shared" si="32"/>
        <v>2.5397260273972604</v>
      </c>
      <c r="L66" s="73">
        <f t="shared" si="32"/>
        <v>3.0410958904109591</v>
      </c>
      <c r="M66" s="73">
        <f t="shared" si="32"/>
        <v>3.5424657534246577</v>
      </c>
      <c r="N66" s="73">
        <f t="shared" si="32"/>
        <v>4.043835616438356</v>
      </c>
      <c r="O66" s="73">
        <f t="shared" si="32"/>
        <v>4.5424657534246577</v>
      </c>
      <c r="P66" s="73">
        <f t="shared" si="32"/>
        <v>5.043835616438356</v>
      </c>
      <c r="Q66" s="73">
        <f t="shared" si="32"/>
        <v>5.5424657534246577</v>
      </c>
      <c r="R66" s="73">
        <f t="shared" si="32"/>
        <v>6.043835616438356</v>
      </c>
      <c r="S66" s="73">
        <f t="shared" si="32"/>
        <v>6.5424657534246577</v>
      </c>
      <c r="T66" s="73">
        <f t="shared" si="32"/>
        <v>7.043835616438356</v>
      </c>
      <c r="U66" s="73">
        <f t="shared" si="32"/>
        <v>7.5452054794520551</v>
      </c>
      <c r="V66" s="73">
        <f t="shared" si="32"/>
        <v>8.0465753424657542</v>
      </c>
      <c r="W66" s="73">
        <f t="shared" si="32"/>
        <v>8.5452054794520542</v>
      </c>
      <c r="X66" s="73">
        <f t="shared" si="32"/>
        <v>9.0465753424657542</v>
      </c>
      <c r="Y66" s="73">
        <f t="shared" si="32"/>
        <v>9.5452054794520542</v>
      </c>
      <c r="Z66" s="73">
        <f t="shared" si="32"/>
        <v>10.046575342465754</v>
      </c>
      <c r="AA66" s="73">
        <f t="shared" si="32"/>
        <v>10.545205479452054</v>
      </c>
      <c r="AB66" s="73">
        <f t="shared" si="32"/>
        <v>11.046575342465754</v>
      </c>
      <c r="AC66" s="73">
        <f t="shared" si="32"/>
        <v>11.547945205479452</v>
      </c>
      <c r="AD66" s="73">
        <f t="shared" si="32"/>
        <v>12.049315068493151</v>
      </c>
      <c r="AE66" s="73">
        <f t="shared" si="32"/>
        <v>12.547945205479452</v>
      </c>
      <c r="AF66" s="73">
        <f t="shared" si="32"/>
        <v>13.049315068493151</v>
      </c>
      <c r="AG66" s="73">
        <f t="shared" si="32"/>
        <v>13.547945205479452</v>
      </c>
      <c r="AH66" s="73">
        <f t="shared" si="32"/>
        <v>14.049315068493151</v>
      </c>
      <c r="AI66" s="73">
        <f t="shared" si="32"/>
        <v>14.547945205479452</v>
      </c>
      <c r="AJ66" s="73">
        <f t="shared" si="32"/>
        <v>15.049315068493151</v>
      </c>
      <c r="AK66" s="73">
        <f t="shared" si="32"/>
        <v>15.550684931506849</v>
      </c>
      <c r="AL66" s="73">
        <f t="shared" ref="AL66:BQ66" si="33">IF(AL11="","",(MAX(AL11-$C$1,0)/365))</f>
        <v>16.052054794520547</v>
      </c>
      <c r="AM66" s="73">
        <f t="shared" si="33"/>
        <v>16.550684931506851</v>
      </c>
      <c r="AN66" s="73">
        <f t="shared" si="33"/>
        <v>17.052054794520547</v>
      </c>
      <c r="AO66" s="73">
        <f t="shared" si="33"/>
        <v>17.550684931506851</v>
      </c>
      <c r="AP66" s="73">
        <f t="shared" si="33"/>
        <v>18.052054794520547</v>
      </c>
      <c r="AQ66" s="73">
        <f t="shared" si="33"/>
        <v>18.304109589041097</v>
      </c>
      <c r="AR66" s="73" t="str">
        <f t="shared" si="33"/>
        <v/>
      </c>
      <c r="AS66" s="73" t="str">
        <f t="shared" si="33"/>
        <v/>
      </c>
      <c r="AT66" s="73" t="str">
        <f t="shared" si="33"/>
        <v/>
      </c>
      <c r="AU66" s="73" t="str">
        <f t="shared" si="33"/>
        <v/>
      </c>
      <c r="AV66" s="73" t="str">
        <f t="shared" si="33"/>
        <v/>
      </c>
      <c r="AW66" s="73" t="str">
        <f t="shared" si="33"/>
        <v/>
      </c>
      <c r="AX66" s="73" t="str">
        <f t="shared" si="33"/>
        <v/>
      </c>
      <c r="AY66" s="73" t="str">
        <f t="shared" si="33"/>
        <v/>
      </c>
      <c r="AZ66" s="73" t="str">
        <f t="shared" si="33"/>
        <v/>
      </c>
      <c r="BA66" s="73" t="str">
        <f t="shared" si="33"/>
        <v/>
      </c>
      <c r="BB66" s="73" t="str">
        <f t="shared" si="33"/>
        <v/>
      </c>
      <c r="BC66" s="73" t="str">
        <f t="shared" si="33"/>
        <v/>
      </c>
      <c r="BD66" s="73" t="str">
        <f t="shared" si="33"/>
        <v/>
      </c>
      <c r="BE66" s="73" t="str">
        <f t="shared" si="33"/>
        <v/>
      </c>
      <c r="BF66" s="73" t="str">
        <f t="shared" si="33"/>
        <v/>
      </c>
      <c r="BG66" s="73" t="str">
        <f t="shared" si="33"/>
        <v/>
      </c>
      <c r="BH66" s="73" t="str">
        <f t="shared" si="33"/>
        <v/>
      </c>
      <c r="BI66" s="73" t="str">
        <f t="shared" si="33"/>
        <v/>
      </c>
      <c r="BJ66" s="73" t="str">
        <f t="shared" si="33"/>
        <v/>
      </c>
      <c r="BK66" s="73" t="str">
        <f t="shared" si="33"/>
        <v/>
      </c>
      <c r="BL66" s="73" t="str">
        <f t="shared" si="33"/>
        <v/>
      </c>
      <c r="BM66" s="73" t="str">
        <f t="shared" si="33"/>
        <v/>
      </c>
      <c r="BN66" s="73" t="str">
        <f t="shared" si="33"/>
        <v/>
      </c>
      <c r="BO66" s="73" t="str">
        <f t="shared" si="33"/>
        <v/>
      </c>
      <c r="BP66" s="73" t="str">
        <f t="shared" si="33"/>
        <v/>
      </c>
      <c r="BQ66" s="73" t="str">
        <f t="shared" si="33"/>
        <v/>
      </c>
      <c r="BR66" s="73" t="str">
        <f t="shared" ref="BR66:CW66" si="34">IF(BR11="","",(MAX(BR11-$C$1,0)/365))</f>
        <v/>
      </c>
      <c r="BS66" s="73" t="str">
        <f t="shared" si="34"/>
        <v/>
      </c>
      <c r="BT66" s="73" t="str">
        <f t="shared" si="34"/>
        <v/>
      </c>
      <c r="BU66" s="73" t="str">
        <f t="shared" si="34"/>
        <v/>
      </c>
      <c r="BV66" s="73" t="str">
        <f t="shared" si="34"/>
        <v/>
      </c>
      <c r="BW66" s="73" t="str">
        <f t="shared" si="34"/>
        <v/>
      </c>
      <c r="BX66" s="73" t="str">
        <f t="shared" si="34"/>
        <v/>
      </c>
      <c r="BY66" s="73" t="str">
        <f t="shared" si="34"/>
        <v/>
      </c>
      <c r="BZ66" s="73" t="str">
        <f t="shared" si="34"/>
        <v/>
      </c>
      <c r="CA66" s="73" t="str">
        <f t="shared" si="34"/>
        <v/>
      </c>
      <c r="CB66" s="73" t="str">
        <f t="shared" si="34"/>
        <v/>
      </c>
      <c r="CC66" s="73" t="str">
        <f t="shared" si="34"/>
        <v/>
      </c>
      <c r="CD66" s="73" t="str">
        <f t="shared" si="34"/>
        <v/>
      </c>
      <c r="CE66" s="73" t="str">
        <f t="shared" si="34"/>
        <v/>
      </c>
      <c r="CF66" s="73" t="str">
        <f t="shared" si="34"/>
        <v/>
      </c>
      <c r="CG66" s="73" t="str">
        <f t="shared" si="34"/>
        <v/>
      </c>
      <c r="CH66" s="73" t="str">
        <f t="shared" si="34"/>
        <v/>
      </c>
      <c r="CI66" s="73" t="str">
        <f t="shared" si="34"/>
        <v/>
      </c>
      <c r="CJ66" s="73" t="str">
        <f t="shared" si="34"/>
        <v/>
      </c>
      <c r="CK66" s="73" t="str">
        <f t="shared" si="34"/>
        <v/>
      </c>
      <c r="CL66" s="73" t="str">
        <f t="shared" si="34"/>
        <v/>
      </c>
      <c r="CM66" s="73" t="str">
        <f t="shared" si="34"/>
        <v/>
      </c>
      <c r="CN66" s="73" t="str">
        <f t="shared" si="34"/>
        <v/>
      </c>
      <c r="CO66" s="73" t="str">
        <f t="shared" si="34"/>
        <v/>
      </c>
      <c r="CP66" s="73" t="str">
        <f t="shared" si="34"/>
        <v/>
      </c>
      <c r="CQ66" s="73" t="str">
        <f t="shared" si="34"/>
        <v/>
      </c>
      <c r="CR66" s="73" t="str">
        <f t="shared" si="34"/>
        <v/>
      </c>
      <c r="CS66" s="73" t="str">
        <f t="shared" si="34"/>
        <v/>
      </c>
      <c r="CT66" s="73" t="str">
        <f t="shared" si="34"/>
        <v/>
      </c>
      <c r="CU66" s="73" t="str">
        <f t="shared" si="34"/>
        <v/>
      </c>
      <c r="CV66" s="73" t="str">
        <f t="shared" si="34"/>
        <v/>
      </c>
      <c r="CW66" s="73" t="str">
        <f t="shared" si="34"/>
        <v/>
      </c>
      <c r="CX66" s="73" t="str">
        <f t="shared" ref="CX66:EC66" si="35">IF(CX11="","",(MAX(CX11-$C$1,0)/365))</f>
        <v/>
      </c>
      <c r="CY66" s="73" t="str">
        <f t="shared" si="35"/>
        <v/>
      </c>
      <c r="CZ66" s="73" t="str">
        <f t="shared" si="35"/>
        <v/>
      </c>
      <c r="DA66" s="73" t="str">
        <f t="shared" si="35"/>
        <v/>
      </c>
      <c r="DB66" s="73" t="str">
        <f t="shared" si="35"/>
        <v/>
      </c>
      <c r="DC66" s="73" t="str">
        <f t="shared" si="35"/>
        <v/>
      </c>
      <c r="DD66" s="73" t="str">
        <f t="shared" si="35"/>
        <v/>
      </c>
      <c r="DE66" s="73" t="str">
        <f t="shared" si="35"/>
        <v/>
      </c>
      <c r="DF66" s="73" t="str">
        <f t="shared" si="35"/>
        <v/>
      </c>
      <c r="DG66" s="73" t="str">
        <f t="shared" si="35"/>
        <v/>
      </c>
      <c r="DH66" s="73" t="str">
        <f t="shared" si="35"/>
        <v/>
      </c>
      <c r="DI66" s="73" t="str">
        <f t="shared" si="35"/>
        <v/>
      </c>
      <c r="DJ66" s="73" t="str">
        <f t="shared" si="35"/>
        <v/>
      </c>
      <c r="DK66" s="73" t="str">
        <f t="shared" si="35"/>
        <v/>
      </c>
      <c r="DL66" s="73" t="str">
        <f t="shared" si="35"/>
        <v/>
      </c>
      <c r="DM66" s="73" t="str">
        <f t="shared" si="35"/>
        <v/>
      </c>
      <c r="DN66" s="73" t="str">
        <f t="shared" si="35"/>
        <v/>
      </c>
      <c r="DO66" s="73" t="str">
        <f t="shared" si="35"/>
        <v/>
      </c>
      <c r="DP66" s="73" t="str">
        <f t="shared" si="35"/>
        <v/>
      </c>
      <c r="DQ66" s="73" t="str">
        <f t="shared" si="35"/>
        <v/>
      </c>
      <c r="DR66" s="73" t="str">
        <f t="shared" si="35"/>
        <v/>
      </c>
      <c r="DS66" s="73" t="str">
        <f t="shared" si="35"/>
        <v/>
      </c>
      <c r="DT66" s="73" t="str">
        <f t="shared" si="35"/>
        <v/>
      </c>
      <c r="DU66" s="73" t="str">
        <f t="shared" si="35"/>
        <v/>
      </c>
      <c r="DV66" s="73" t="str">
        <f t="shared" si="35"/>
        <v/>
      </c>
      <c r="DW66" s="73" t="str">
        <f t="shared" si="35"/>
        <v/>
      </c>
      <c r="DX66" s="73" t="str">
        <f t="shared" si="35"/>
        <v/>
      </c>
      <c r="DY66" s="73" t="str">
        <f t="shared" si="35"/>
        <v/>
      </c>
      <c r="DZ66" s="73" t="str">
        <f t="shared" si="35"/>
        <v/>
      </c>
      <c r="EA66" s="73" t="str">
        <f t="shared" si="35"/>
        <v/>
      </c>
      <c r="EB66" s="73" t="str">
        <f t="shared" si="35"/>
        <v/>
      </c>
      <c r="EC66" s="73" t="str">
        <f t="shared" si="35"/>
        <v/>
      </c>
      <c r="ED66" s="73" t="str">
        <f t="shared" ref="ED66:FI66" si="36">IF(ED11="","",(MAX(ED11-$C$1,0)/365))</f>
        <v/>
      </c>
      <c r="EE66" s="73" t="str">
        <f t="shared" si="36"/>
        <v/>
      </c>
      <c r="EF66" s="73" t="str">
        <f t="shared" si="36"/>
        <v/>
      </c>
      <c r="EG66" s="73" t="str">
        <f t="shared" si="36"/>
        <v/>
      </c>
      <c r="EH66" s="73" t="str">
        <f t="shared" si="36"/>
        <v/>
      </c>
      <c r="EI66" s="73" t="str">
        <f t="shared" si="36"/>
        <v/>
      </c>
      <c r="EJ66" s="73" t="str">
        <f t="shared" si="36"/>
        <v/>
      </c>
      <c r="EK66" s="73" t="str">
        <f t="shared" si="36"/>
        <v/>
      </c>
      <c r="EL66" s="73" t="str">
        <f t="shared" si="36"/>
        <v/>
      </c>
      <c r="EM66" s="73" t="str">
        <f t="shared" si="36"/>
        <v/>
      </c>
      <c r="EN66" s="73" t="str">
        <f t="shared" si="36"/>
        <v/>
      </c>
      <c r="EO66" s="73" t="str">
        <f t="shared" si="36"/>
        <v/>
      </c>
      <c r="EP66" s="73" t="str">
        <f t="shared" si="36"/>
        <v/>
      </c>
      <c r="EQ66" s="73" t="str">
        <f t="shared" si="36"/>
        <v/>
      </c>
      <c r="ER66" s="73" t="str">
        <f t="shared" si="36"/>
        <v/>
      </c>
      <c r="ES66" s="73" t="str">
        <f t="shared" si="36"/>
        <v/>
      </c>
      <c r="ET66" s="73" t="str">
        <f t="shared" si="36"/>
        <v/>
      </c>
      <c r="EU66" s="73" t="str">
        <f t="shared" si="36"/>
        <v/>
      </c>
      <c r="EV66" s="73" t="str">
        <f t="shared" si="36"/>
        <v/>
      </c>
      <c r="EW66" s="73" t="str">
        <f t="shared" si="36"/>
        <v/>
      </c>
      <c r="EX66" s="73" t="str">
        <f t="shared" si="36"/>
        <v/>
      </c>
      <c r="EY66" s="73" t="str">
        <f t="shared" si="36"/>
        <v/>
      </c>
      <c r="EZ66" s="73" t="str">
        <f t="shared" si="36"/>
        <v/>
      </c>
      <c r="FA66" s="73" t="str">
        <f t="shared" si="36"/>
        <v/>
      </c>
      <c r="FB66" s="73" t="str">
        <f t="shared" si="36"/>
        <v/>
      </c>
      <c r="FC66" s="73" t="str">
        <f t="shared" si="36"/>
        <v/>
      </c>
      <c r="FD66" s="73" t="str">
        <f t="shared" si="36"/>
        <v/>
      </c>
      <c r="FE66" s="73" t="str">
        <f t="shared" si="36"/>
        <v/>
      </c>
      <c r="FF66" s="73" t="str">
        <f t="shared" si="36"/>
        <v/>
      </c>
      <c r="FG66" s="73" t="str">
        <f t="shared" si="36"/>
        <v/>
      </c>
      <c r="FH66" s="73" t="str">
        <f t="shared" si="36"/>
        <v/>
      </c>
      <c r="FI66" s="73" t="str">
        <f t="shared" si="36"/>
        <v/>
      </c>
      <c r="FJ66" s="73" t="str">
        <f t="shared" ref="FJ66:GQ66" si="37">IF(FJ11="","",(MAX(FJ11-$C$1,0)/365))</f>
        <v/>
      </c>
      <c r="FK66" s="73" t="str">
        <f t="shared" si="37"/>
        <v/>
      </c>
      <c r="FL66" s="73" t="str">
        <f t="shared" si="37"/>
        <v/>
      </c>
      <c r="FM66" s="73" t="str">
        <f t="shared" si="37"/>
        <v/>
      </c>
      <c r="FN66" s="73" t="str">
        <f t="shared" si="37"/>
        <v/>
      </c>
      <c r="FO66" s="73" t="str">
        <f t="shared" si="37"/>
        <v/>
      </c>
      <c r="FP66" s="73" t="str">
        <f t="shared" si="37"/>
        <v/>
      </c>
      <c r="FQ66" s="73" t="str">
        <f t="shared" si="37"/>
        <v/>
      </c>
      <c r="FR66" s="73" t="str">
        <f t="shared" si="37"/>
        <v/>
      </c>
      <c r="FS66" s="73" t="str">
        <f t="shared" si="37"/>
        <v/>
      </c>
      <c r="FT66" s="73" t="str">
        <f t="shared" si="37"/>
        <v/>
      </c>
      <c r="FU66" s="73" t="str">
        <f t="shared" si="37"/>
        <v/>
      </c>
      <c r="FV66" s="73" t="str">
        <f t="shared" si="37"/>
        <v/>
      </c>
      <c r="FW66" s="73" t="str">
        <f t="shared" si="37"/>
        <v/>
      </c>
      <c r="FX66" s="73" t="str">
        <f t="shared" si="37"/>
        <v/>
      </c>
      <c r="FY66" s="73" t="str">
        <f t="shared" si="37"/>
        <v/>
      </c>
      <c r="FZ66" s="73" t="str">
        <f t="shared" si="37"/>
        <v/>
      </c>
      <c r="GA66" s="73" t="str">
        <f t="shared" si="37"/>
        <v/>
      </c>
      <c r="GB66" s="73" t="str">
        <f t="shared" si="37"/>
        <v/>
      </c>
      <c r="GC66" s="73" t="str">
        <f t="shared" si="37"/>
        <v/>
      </c>
      <c r="GD66" s="73" t="str">
        <f t="shared" si="37"/>
        <v/>
      </c>
      <c r="GE66" s="73" t="str">
        <f t="shared" si="37"/>
        <v/>
      </c>
      <c r="GF66" s="73" t="str">
        <f t="shared" si="37"/>
        <v/>
      </c>
      <c r="GG66" s="73" t="str">
        <f t="shared" si="37"/>
        <v/>
      </c>
      <c r="GH66" s="73" t="str">
        <f t="shared" si="37"/>
        <v/>
      </c>
      <c r="GI66" s="73" t="str">
        <f t="shared" si="37"/>
        <v/>
      </c>
      <c r="GJ66" s="73" t="str">
        <f t="shared" si="37"/>
        <v/>
      </c>
      <c r="GK66" s="73" t="str">
        <f t="shared" si="37"/>
        <v/>
      </c>
      <c r="GL66" s="73" t="str">
        <f t="shared" si="37"/>
        <v/>
      </c>
      <c r="GM66" s="73" t="str">
        <f t="shared" si="37"/>
        <v/>
      </c>
      <c r="GN66" s="73" t="str">
        <f t="shared" si="37"/>
        <v/>
      </c>
      <c r="GO66" s="73" t="str">
        <f t="shared" si="37"/>
        <v/>
      </c>
      <c r="GP66" s="73" t="str">
        <f t="shared" si="37"/>
        <v/>
      </c>
      <c r="GQ66" s="73" t="str">
        <f t="shared" si="37"/>
        <v/>
      </c>
    </row>
    <row r="67" spans="2:199" x14ac:dyDescent="0.2">
      <c r="B67" t="s">
        <v>22</v>
      </c>
      <c r="C67" t="str">
        <f t="shared" si="25"/>
        <v>USD Par 2038 II and III</v>
      </c>
      <c r="E67" s="73"/>
      <c r="F67" s="73">
        <f t="shared" ref="F67:AK67" si="38">IF(F12="","",(MAX(F12-$C$1,0)/365))</f>
        <v>4.1095890410958902E-2</v>
      </c>
      <c r="G67" s="73">
        <f t="shared" si="38"/>
        <v>0.53972602739726028</v>
      </c>
      <c r="H67" s="73">
        <f t="shared" si="38"/>
        <v>1.0410958904109588</v>
      </c>
      <c r="I67" s="73">
        <f t="shared" si="38"/>
        <v>1.5397260273972602</v>
      </c>
      <c r="J67" s="73">
        <f t="shared" si="38"/>
        <v>2.0410958904109591</v>
      </c>
      <c r="K67" s="73">
        <f t="shared" si="38"/>
        <v>2.5397260273972604</v>
      </c>
      <c r="L67" s="73">
        <f t="shared" si="38"/>
        <v>3.0410958904109591</v>
      </c>
      <c r="M67" s="73">
        <f t="shared" si="38"/>
        <v>3.5424657534246577</v>
      </c>
      <c r="N67" s="73">
        <f t="shared" si="38"/>
        <v>4.043835616438356</v>
      </c>
      <c r="O67" s="73">
        <f t="shared" si="38"/>
        <v>4.5424657534246577</v>
      </c>
      <c r="P67" s="73">
        <f t="shared" si="38"/>
        <v>5.043835616438356</v>
      </c>
      <c r="Q67" s="73">
        <f t="shared" si="38"/>
        <v>5.5424657534246577</v>
      </c>
      <c r="R67" s="73">
        <f t="shared" si="38"/>
        <v>6.043835616438356</v>
      </c>
      <c r="S67" s="73">
        <f t="shared" si="38"/>
        <v>6.5424657534246577</v>
      </c>
      <c r="T67" s="73">
        <f t="shared" si="38"/>
        <v>7.043835616438356</v>
      </c>
      <c r="U67" s="73">
        <f t="shared" si="38"/>
        <v>7.5452054794520551</v>
      </c>
      <c r="V67" s="73">
        <f t="shared" si="38"/>
        <v>8.0465753424657542</v>
      </c>
      <c r="W67" s="73">
        <f t="shared" si="38"/>
        <v>8.5452054794520542</v>
      </c>
      <c r="X67" s="73">
        <f t="shared" si="38"/>
        <v>9.0465753424657542</v>
      </c>
      <c r="Y67" s="73">
        <f t="shared" si="38"/>
        <v>9.5452054794520542</v>
      </c>
      <c r="Z67" s="73">
        <f t="shared" si="38"/>
        <v>10.046575342465754</v>
      </c>
      <c r="AA67" s="73">
        <f t="shared" si="38"/>
        <v>10.545205479452054</v>
      </c>
      <c r="AB67" s="73">
        <f t="shared" si="38"/>
        <v>11.046575342465754</v>
      </c>
      <c r="AC67" s="73">
        <f t="shared" si="38"/>
        <v>11.547945205479452</v>
      </c>
      <c r="AD67" s="73">
        <f t="shared" si="38"/>
        <v>12.049315068493151</v>
      </c>
      <c r="AE67" s="73">
        <f t="shared" si="38"/>
        <v>12.547945205479452</v>
      </c>
      <c r="AF67" s="73">
        <f t="shared" si="38"/>
        <v>13.049315068493151</v>
      </c>
      <c r="AG67" s="73">
        <f t="shared" si="38"/>
        <v>13.547945205479452</v>
      </c>
      <c r="AH67" s="73">
        <f t="shared" si="38"/>
        <v>14.049315068493151</v>
      </c>
      <c r="AI67" s="73">
        <f t="shared" si="38"/>
        <v>14.547945205479452</v>
      </c>
      <c r="AJ67" s="73">
        <f t="shared" si="38"/>
        <v>15.049315068493151</v>
      </c>
      <c r="AK67" s="73">
        <f t="shared" si="38"/>
        <v>15.550684931506849</v>
      </c>
      <c r="AL67" s="73">
        <f t="shared" ref="AL67:BQ67" si="39">IF(AL12="","",(MAX(AL12-$C$1,0)/365))</f>
        <v>16.052054794520547</v>
      </c>
      <c r="AM67" s="73">
        <f t="shared" si="39"/>
        <v>16.550684931506851</v>
      </c>
      <c r="AN67" s="73">
        <f t="shared" si="39"/>
        <v>17.052054794520547</v>
      </c>
      <c r="AO67" s="73">
        <f t="shared" si="39"/>
        <v>17.550684931506851</v>
      </c>
      <c r="AP67" s="73">
        <f t="shared" si="39"/>
        <v>18.052054794520547</v>
      </c>
      <c r="AQ67" s="73">
        <f t="shared" si="39"/>
        <v>18.304109589041097</v>
      </c>
      <c r="AR67" s="73" t="str">
        <f t="shared" si="39"/>
        <v/>
      </c>
      <c r="AS67" s="73" t="str">
        <f t="shared" si="39"/>
        <v/>
      </c>
      <c r="AT67" s="73" t="str">
        <f t="shared" si="39"/>
        <v/>
      </c>
      <c r="AU67" s="73" t="str">
        <f t="shared" si="39"/>
        <v/>
      </c>
      <c r="AV67" s="73" t="str">
        <f t="shared" si="39"/>
        <v/>
      </c>
      <c r="AW67" s="73" t="str">
        <f t="shared" si="39"/>
        <v/>
      </c>
      <c r="AX67" s="73" t="str">
        <f t="shared" si="39"/>
        <v/>
      </c>
      <c r="AY67" s="73" t="str">
        <f t="shared" si="39"/>
        <v/>
      </c>
      <c r="AZ67" s="73" t="str">
        <f t="shared" si="39"/>
        <v/>
      </c>
      <c r="BA67" s="73" t="str">
        <f t="shared" si="39"/>
        <v/>
      </c>
      <c r="BB67" s="73" t="str">
        <f t="shared" si="39"/>
        <v/>
      </c>
      <c r="BC67" s="73" t="str">
        <f t="shared" si="39"/>
        <v/>
      </c>
      <c r="BD67" s="73" t="str">
        <f t="shared" si="39"/>
        <v/>
      </c>
      <c r="BE67" s="73" t="str">
        <f t="shared" si="39"/>
        <v/>
      </c>
      <c r="BF67" s="73" t="str">
        <f t="shared" si="39"/>
        <v/>
      </c>
      <c r="BG67" s="73" t="str">
        <f t="shared" si="39"/>
        <v/>
      </c>
      <c r="BH67" s="73" t="str">
        <f t="shared" si="39"/>
        <v/>
      </c>
      <c r="BI67" s="73" t="str">
        <f t="shared" si="39"/>
        <v/>
      </c>
      <c r="BJ67" s="73" t="str">
        <f t="shared" si="39"/>
        <v/>
      </c>
      <c r="BK67" s="73" t="str">
        <f t="shared" si="39"/>
        <v/>
      </c>
      <c r="BL67" s="73" t="str">
        <f t="shared" si="39"/>
        <v/>
      </c>
      <c r="BM67" s="73" t="str">
        <f t="shared" si="39"/>
        <v/>
      </c>
      <c r="BN67" s="73" t="str">
        <f t="shared" si="39"/>
        <v/>
      </c>
      <c r="BO67" s="73" t="str">
        <f t="shared" si="39"/>
        <v/>
      </c>
      <c r="BP67" s="73" t="str">
        <f t="shared" si="39"/>
        <v/>
      </c>
      <c r="BQ67" s="73" t="str">
        <f t="shared" si="39"/>
        <v/>
      </c>
      <c r="BR67" s="73" t="str">
        <f t="shared" ref="BR67:CW67" si="40">IF(BR12="","",(MAX(BR12-$C$1,0)/365))</f>
        <v/>
      </c>
      <c r="BS67" s="73" t="str">
        <f t="shared" si="40"/>
        <v/>
      </c>
      <c r="BT67" s="73" t="str">
        <f t="shared" si="40"/>
        <v/>
      </c>
      <c r="BU67" s="73" t="str">
        <f t="shared" si="40"/>
        <v/>
      </c>
      <c r="BV67" s="73" t="str">
        <f t="shared" si="40"/>
        <v/>
      </c>
      <c r="BW67" s="73" t="str">
        <f t="shared" si="40"/>
        <v/>
      </c>
      <c r="BX67" s="73" t="str">
        <f t="shared" si="40"/>
        <v/>
      </c>
      <c r="BY67" s="73" t="str">
        <f t="shared" si="40"/>
        <v/>
      </c>
      <c r="BZ67" s="73" t="str">
        <f t="shared" si="40"/>
        <v/>
      </c>
      <c r="CA67" s="73" t="str">
        <f t="shared" si="40"/>
        <v/>
      </c>
      <c r="CB67" s="73" t="str">
        <f t="shared" si="40"/>
        <v/>
      </c>
      <c r="CC67" s="73" t="str">
        <f t="shared" si="40"/>
        <v/>
      </c>
      <c r="CD67" s="73" t="str">
        <f t="shared" si="40"/>
        <v/>
      </c>
      <c r="CE67" s="73" t="str">
        <f t="shared" si="40"/>
        <v/>
      </c>
      <c r="CF67" s="73" t="str">
        <f t="shared" si="40"/>
        <v/>
      </c>
      <c r="CG67" s="73" t="str">
        <f t="shared" si="40"/>
        <v/>
      </c>
      <c r="CH67" s="73" t="str">
        <f t="shared" si="40"/>
        <v/>
      </c>
      <c r="CI67" s="73" t="str">
        <f t="shared" si="40"/>
        <v/>
      </c>
      <c r="CJ67" s="73" t="str">
        <f t="shared" si="40"/>
        <v/>
      </c>
      <c r="CK67" s="73" t="str">
        <f t="shared" si="40"/>
        <v/>
      </c>
      <c r="CL67" s="73" t="str">
        <f t="shared" si="40"/>
        <v/>
      </c>
      <c r="CM67" s="73" t="str">
        <f t="shared" si="40"/>
        <v/>
      </c>
      <c r="CN67" s="73" t="str">
        <f t="shared" si="40"/>
        <v/>
      </c>
      <c r="CO67" s="73" t="str">
        <f t="shared" si="40"/>
        <v/>
      </c>
      <c r="CP67" s="73" t="str">
        <f t="shared" si="40"/>
        <v/>
      </c>
      <c r="CQ67" s="73" t="str">
        <f t="shared" si="40"/>
        <v/>
      </c>
      <c r="CR67" s="73" t="str">
        <f t="shared" si="40"/>
        <v/>
      </c>
      <c r="CS67" s="73" t="str">
        <f t="shared" si="40"/>
        <v/>
      </c>
      <c r="CT67" s="73" t="str">
        <f t="shared" si="40"/>
        <v/>
      </c>
      <c r="CU67" s="73" t="str">
        <f t="shared" si="40"/>
        <v/>
      </c>
      <c r="CV67" s="73" t="str">
        <f t="shared" si="40"/>
        <v/>
      </c>
      <c r="CW67" s="73" t="str">
        <f t="shared" si="40"/>
        <v/>
      </c>
      <c r="CX67" s="73" t="str">
        <f t="shared" ref="CX67:EC67" si="41">IF(CX12="","",(MAX(CX12-$C$1,0)/365))</f>
        <v/>
      </c>
      <c r="CY67" s="73" t="str">
        <f t="shared" si="41"/>
        <v/>
      </c>
      <c r="CZ67" s="73" t="str">
        <f t="shared" si="41"/>
        <v/>
      </c>
      <c r="DA67" s="73" t="str">
        <f t="shared" si="41"/>
        <v/>
      </c>
      <c r="DB67" s="73" t="str">
        <f t="shared" si="41"/>
        <v/>
      </c>
      <c r="DC67" s="73" t="str">
        <f t="shared" si="41"/>
        <v/>
      </c>
      <c r="DD67" s="73" t="str">
        <f t="shared" si="41"/>
        <v/>
      </c>
      <c r="DE67" s="73" t="str">
        <f t="shared" si="41"/>
        <v/>
      </c>
      <c r="DF67" s="73" t="str">
        <f t="shared" si="41"/>
        <v/>
      </c>
      <c r="DG67" s="73" t="str">
        <f t="shared" si="41"/>
        <v/>
      </c>
      <c r="DH67" s="73" t="str">
        <f t="shared" si="41"/>
        <v/>
      </c>
      <c r="DI67" s="73" t="str">
        <f t="shared" si="41"/>
        <v/>
      </c>
      <c r="DJ67" s="73" t="str">
        <f t="shared" si="41"/>
        <v/>
      </c>
      <c r="DK67" s="73" t="str">
        <f t="shared" si="41"/>
        <v/>
      </c>
      <c r="DL67" s="73" t="str">
        <f t="shared" si="41"/>
        <v/>
      </c>
      <c r="DM67" s="73" t="str">
        <f t="shared" si="41"/>
        <v/>
      </c>
      <c r="DN67" s="73" t="str">
        <f t="shared" si="41"/>
        <v/>
      </c>
      <c r="DO67" s="73" t="str">
        <f t="shared" si="41"/>
        <v/>
      </c>
      <c r="DP67" s="73" t="str">
        <f t="shared" si="41"/>
        <v/>
      </c>
      <c r="DQ67" s="73" t="str">
        <f t="shared" si="41"/>
        <v/>
      </c>
      <c r="DR67" s="73" t="str">
        <f t="shared" si="41"/>
        <v/>
      </c>
      <c r="DS67" s="73" t="str">
        <f t="shared" si="41"/>
        <v/>
      </c>
      <c r="DT67" s="73" t="str">
        <f t="shared" si="41"/>
        <v/>
      </c>
      <c r="DU67" s="73" t="str">
        <f t="shared" si="41"/>
        <v/>
      </c>
      <c r="DV67" s="73" t="str">
        <f t="shared" si="41"/>
        <v/>
      </c>
      <c r="DW67" s="73" t="str">
        <f t="shared" si="41"/>
        <v/>
      </c>
      <c r="DX67" s="73" t="str">
        <f t="shared" si="41"/>
        <v/>
      </c>
      <c r="DY67" s="73" t="str">
        <f t="shared" si="41"/>
        <v/>
      </c>
      <c r="DZ67" s="73" t="str">
        <f t="shared" si="41"/>
        <v/>
      </c>
      <c r="EA67" s="73" t="str">
        <f t="shared" si="41"/>
        <v/>
      </c>
      <c r="EB67" s="73" t="str">
        <f t="shared" si="41"/>
        <v/>
      </c>
      <c r="EC67" s="73" t="str">
        <f t="shared" si="41"/>
        <v/>
      </c>
      <c r="ED67" s="73" t="str">
        <f t="shared" ref="ED67:FI67" si="42">IF(ED12="","",(MAX(ED12-$C$1,0)/365))</f>
        <v/>
      </c>
      <c r="EE67" s="73" t="str">
        <f t="shared" si="42"/>
        <v/>
      </c>
      <c r="EF67" s="73" t="str">
        <f t="shared" si="42"/>
        <v/>
      </c>
      <c r="EG67" s="73" t="str">
        <f t="shared" si="42"/>
        <v/>
      </c>
      <c r="EH67" s="73" t="str">
        <f t="shared" si="42"/>
        <v/>
      </c>
      <c r="EI67" s="73" t="str">
        <f t="shared" si="42"/>
        <v/>
      </c>
      <c r="EJ67" s="73" t="str">
        <f t="shared" si="42"/>
        <v/>
      </c>
      <c r="EK67" s="73" t="str">
        <f t="shared" si="42"/>
        <v/>
      </c>
      <c r="EL67" s="73" t="str">
        <f t="shared" si="42"/>
        <v/>
      </c>
      <c r="EM67" s="73" t="str">
        <f t="shared" si="42"/>
        <v/>
      </c>
      <c r="EN67" s="73" t="str">
        <f t="shared" si="42"/>
        <v/>
      </c>
      <c r="EO67" s="73" t="str">
        <f t="shared" si="42"/>
        <v/>
      </c>
      <c r="EP67" s="73" t="str">
        <f t="shared" si="42"/>
        <v/>
      </c>
      <c r="EQ67" s="73" t="str">
        <f t="shared" si="42"/>
        <v/>
      </c>
      <c r="ER67" s="73" t="str">
        <f t="shared" si="42"/>
        <v/>
      </c>
      <c r="ES67" s="73" t="str">
        <f t="shared" si="42"/>
        <v/>
      </c>
      <c r="ET67" s="73" t="str">
        <f t="shared" si="42"/>
        <v/>
      </c>
      <c r="EU67" s="73" t="str">
        <f t="shared" si="42"/>
        <v/>
      </c>
      <c r="EV67" s="73" t="str">
        <f t="shared" si="42"/>
        <v/>
      </c>
      <c r="EW67" s="73" t="str">
        <f t="shared" si="42"/>
        <v/>
      </c>
      <c r="EX67" s="73" t="str">
        <f t="shared" si="42"/>
        <v/>
      </c>
      <c r="EY67" s="73" t="str">
        <f t="shared" si="42"/>
        <v/>
      </c>
      <c r="EZ67" s="73" t="str">
        <f t="shared" si="42"/>
        <v/>
      </c>
      <c r="FA67" s="73" t="str">
        <f t="shared" si="42"/>
        <v/>
      </c>
      <c r="FB67" s="73" t="str">
        <f t="shared" si="42"/>
        <v/>
      </c>
      <c r="FC67" s="73" t="str">
        <f t="shared" si="42"/>
        <v/>
      </c>
      <c r="FD67" s="73" t="str">
        <f t="shared" si="42"/>
        <v/>
      </c>
      <c r="FE67" s="73" t="str">
        <f t="shared" si="42"/>
        <v/>
      </c>
      <c r="FF67" s="73" t="str">
        <f t="shared" si="42"/>
        <v/>
      </c>
      <c r="FG67" s="73" t="str">
        <f t="shared" si="42"/>
        <v/>
      </c>
      <c r="FH67" s="73" t="str">
        <f t="shared" si="42"/>
        <v/>
      </c>
      <c r="FI67" s="73" t="str">
        <f t="shared" si="42"/>
        <v/>
      </c>
      <c r="FJ67" s="73" t="str">
        <f t="shared" ref="FJ67:GQ67" si="43">IF(FJ12="","",(MAX(FJ12-$C$1,0)/365))</f>
        <v/>
      </c>
      <c r="FK67" s="73" t="str">
        <f t="shared" si="43"/>
        <v/>
      </c>
      <c r="FL67" s="73" t="str">
        <f t="shared" si="43"/>
        <v/>
      </c>
      <c r="FM67" s="73" t="str">
        <f t="shared" si="43"/>
        <v/>
      </c>
      <c r="FN67" s="73" t="str">
        <f t="shared" si="43"/>
        <v/>
      </c>
      <c r="FO67" s="73" t="str">
        <f t="shared" si="43"/>
        <v/>
      </c>
      <c r="FP67" s="73" t="str">
        <f t="shared" si="43"/>
        <v/>
      </c>
      <c r="FQ67" s="73" t="str">
        <f t="shared" si="43"/>
        <v/>
      </c>
      <c r="FR67" s="73" t="str">
        <f t="shared" si="43"/>
        <v/>
      </c>
      <c r="FS67" s="73" t="str">
        <f t="shared" si="43"/>
        <v/>
      </c>
      <c r="FT67" s="73" t="str">
        <f t="shared" si="43"/>
        <v/>
      </c>
      <c r="FU67" s="73" t="str">
        <f t="shared" si="43"/>
        <v/>
      </c>
      <c r="FV67" s="73" t="str">
        <f t="shared" si="43"/>
        <v/>
      </c>
      <c r="FW67" s="73" t="str">
        <f t="shared" si="43"/>
        <v/>
      </c>
      <c r="FX67" s="73" t="str">
        <f t="shared" si="43"/>
        <v/>
      </c>
      <c r="FY67" s="73" t="str">
        <f t="shared" si="43"/>
        <v/>
      </c>
      <c r="FZ67" s="73" t="str">
        <f t="shared" si="43"/>
        <v/>
      </c>
      <c r="GA67" s="73" t="str">
        <f t="shared" si="43"/>
        <v/>
      </c>
      <c r="GB67" s="73" t="str">
        <f t="shared" si="43"/>
        <v/>
      </c>
      <c r="GC67" s="73" t="str">
        <f t="shared" si="43"/>
        <v/>
      </c>
      <c r="GD67" s="73" t="str">
        <f t="shared" si="43"/>
        <v/>
      </c>
      <c r="GE67" s="73" t="str">
        <f t="shared" si="43"/>
        <v/>
      </c>
      <c r="GF67" s="73" t="str">
        <f t="shared" si="43"/>
        <v/>
      </c>
      <c r="GG67" s="73" t="str">
        <f t="shared" si="43"/>
        <v/>
      </c>
      <c r="GH67" s="73" t="str">
        <f t="shared" si="43"/>
        <v/>
      </c>
      <c r="GI67" s="73" t="str">
        <f t="shared" si="43"/>
        <v/>
      </c>
      <c r="GJ67" s="73" t="str">
        <f t="shared" si="43"/>
        <v/>
      </c>
      <c r="GK67" s="73" t="str">
        <f t="shared" si="43"/>
        <v/>
      </c>
      <c r="GL67" s="73" t="str">
        <f t="shared" si="43"/>
        <v/>
      </c>
      <c r="GM67" s="73" t="str">
        <f t="shared" si="43"/>
        <v/>
      </c>
      <c r="GN67" s="73" t="str">
        <f t="shared" si="43"/>
        <v/>
      </c>
      <c r="GO67" s="73" t="str">
        <f t="shared" si="43"/>
        <v/>
      </c>
      <c r="GP67" s="73" t="str">
        <f t="shared" si="43"/>
        <v/>
      </c>
      <c r="GQ67" s="73" t="str">
        <f t="shared" si="43"/>
        <v/>
      </c>
    </row>
    <row r="68" spans="2:199" x14ac:dyDescent="0.2">
      <c r="B68" t="s">
        <v>15</v>
      </c>
      <c r="C68" t="str">
        <f t="shared" si="25"/>
        <v>Euro 2033 Discount I</v>
      </c>
      <c r="E68" s="73"/>
      <c r="F68" s="73">
        <f t="shared" ref="F68:AK68" si="44">IF(F13="","",(MAX(F13-$C$1,0)/365))</f>
        <v>0.29315068493150687</v>
      </c>
      <c r="G68" s="73">
        <f t="shared" si="44"/>
        <v>0.78904109589041094</v>
      </c>
      <c r="H68" s="73">
        <f t="shared" si="44"/>
        <v>1.2931506849315069</v>
      </c>
      <c r="I68" s="73">
        <f t="shared" si="44"/>
        <v>1.789041095890411</v>
      </c>
      <c r="J68" s="73">
        <f t="shared" si="44"/>
        <v>2.2931506849315069</v>
      </c>
      <c r="K68" s="73">
        <f t="shared" si="44"/>
        <v>2.7890410958904108</v>
      </c>
      <c r="L68" s="73">
        <f t="shared" si="44"/>
        <v>3.2931506849315069</v>
      </c>
      <c r="M68" s="73">
        <f t="shared" si="44"/>
        <v>3.7917808219178082</v>
      </c>
      <c r="N68" s="73">
        <f t="shared" si="44"/>
        <v>4.2958904109589042</v>
      </c>
      <c r="O68" s="73">
        <f t="shared" si="44"/>
        <v>4.7917808219178086</v>
      </c>
      <c r="P68" s="73">
        <f t="shared" si="44"/>
        <v>5.2958904109589042</v>
      </c>
      <c r="Q68" s="73">
        <f t="shared" si="44"/>
        <v>5.7917808219178086</v>
      </c>
      <c r="R68" s="73">
        <f t="shared" si="44"/>
        <v>6.2958904109589042</v>
      </c>
      <c r="S68" s="73">
        <f t="shared" si="44"/>
        <v>6.7917808219178086</v>
      </c>
      <c r="T68" s="73">
        <f t="shared" si="44"/>
        <v>7.2958904109589042</v>
      </c>
      <c r="U68" s="73">
        <f t="shared" si="44"/>
        <v>7.7945205479452051</v>
      </c>
      <c r="V68" s="73">
        <f t="shared" si="44"/>
        <v>8.2986301369863007</v>
      </c>
      <c r="W68" s="73">
        <f t="shared" si="44"/>
        <v>8.794520547945206</v>
      </c>
      <c r="X68" s="73">
        <f t="shared" si="44"/>
        <v>9.2986301369863007</v>
      </c>
      <c r="Y68" s="73">
        <f t="shared" si="44"/>
        <v>9.794520547945206</v>
      </c>
      <c r="Z68" s="73">
        <f t="shared" si="44"/>
        <v>10.298630136986301</v>
      </c>
      <c r="AA68" s="73">
        <f t="shared" si="44"/>
        <v>10.794520547945206</v>
      </c>
      <c r="AB68" s="73">
        <f t="shared" si="44"/>
        <v>11.298630136986301</v>
      </c>
      <c r="AC68" s="73">
        <f t="shared" si="44"/>
        <v>11.797260273972602</v>
      </c>
      <c r="AD68" s="73">
        <f t="shared" si="44"/>
        <v>12.301369863013699</v>
      </c>
      <c r="AE68" s="73">
        <f t="shared" si="44"/>
        <v>12.797260273972602</v>
      </c>
      <c r="AF68" s="73">
        <f t="shared" si="44"/>
        <v>13.301369863013699</v>
      </c>
      <c r="AG68" s="73" t="str">
        <f t="shared" si="44"/>
        <v/>
      </c>
      <c r="AH68" s="73" t="str">
        <f t="shared" si="44"/>
        <v/>
      </c>
      <c r="AI68" s="73" t="str">
        <f t="shared" si="44"/>
        <v/>
      </c>
      <c r="AJ68" s="73" t="str">
        <f t="shared" si="44"/>
        <v/>
      </c>
      <c r="AK68" s="73" t="str">
        <f t="shared" si="44"/>
        <v/>
      </c>
      <c r="AL68" s="73" t="str">
        <f t="shared" ref="AL68:BQ68" si="45">IF(AL13="","",(MAX(AL13-$C$1,0)/365))</f>
        <v/>
      </c>
      <c r="AM68" s="73" t="str">
        <f t="shared" si="45"/>
        <v/>
      </c>
      <c r="AN68" s="73" t="str">
        <f t="shared" si="45"/>
        <v/>
      </c>
      <c r="AO68" s="73" t="str">
        <f t="shared" si="45"/>
        <v/>
      </c>
      <c r="AP68" s="73" t="str">
        <f t="shared" si="45"/>
        <v/>
      </c>
      <c r="AQ68" s="73" t="str">
        <f t="shared" si="45"/>
        <v/>
      </c>
      <c r="AR68" s="73" t="str">
        <f t="shared" si="45"/>
        <v/>
      </c>
      <c r="AS68" s="73" t="str">
        <f t="shared" si="45"/>
        <v/>
      </c>
      <c r="AT68" s="73" t="str">
        <f t="shared" si="45"/>
        <v/>
      </c>
      <c r="AU68" s="73" t="str">
        <f t="shared" si="45"/>
        <v/>
      </c>
      <c r="AV68" s="73" t="str">
        <f t="shared" si="45"/>
        <v/>
      </c>
      <c r="AW68" s="73" t="str">
        <f t="shared" si="45"/>
        <v/>
      </c>
      <c r="AX68" s="73" t="str">
        <f t="shared" si="45"/>
        <v/>
      </c>
      <c r="AY68" s="73" t="str">
        <f t="shared" si="45"/>
        <v/>
      </c>
      <c r="AZ68" s="73" t="str">
        <f t="shared" si="45"/>
        <v/>
      </c>
      <c r="BA68" s="73" t="str">
        <f t="shared" si="45"/>
        <v/>
      </c>
      <c r="BB68" s="73" t="str">
        <f t="shared" si="45"/>
        <v/>
      </c>
      <c r="BC68" s="73" t="str">
        <f t="shared" si="45"/>
        <v/>
      </c>
      <c r="BD68" s="73" t="str">
        <f t="shared" si="45"/>
        <v/>
      </c>
      <c r="BE68" s="73" t="str">
        <f t="shared" si="45"/>
        <v/>
      </c>
      <c r="BF68" s="73" t="str">
        <f t="shared" si="45"/>
        <v/>
      </c>
      <c r="BG68" s="73" t="str">
        <f t="shared" si="45"/>
        <v/>
      </c>
      <c r="BH68" s="73" t="str">
        <f t="shared" si="45"/>
        <v/>
      </c>
      <c r="BI68" s="73" t="str">
        <f t="shared" si="45"/>
        <v/>
      </c>
      <c r="BJ68" s="73" t="str">
        <f t="shared" si="45"/>
        <v/>
      </c>
      <c r="BK68" s="73" t="str">
        <f t="shared" si="45"/>
        <v/>
      </c>
      <c r="BL68" s="73" t="str">
        <f t="shared" si="45"/>
        <v/>
      </c>
      <c r="BM68" s="73" t="str">
        <f t="shared" si="45"/>
        <v/>
      </c>
      <c r="BN68" s="73" t="str">
        <f t="shared" si="45"/>
        <v/>
      </c>
      <c r="BO68" s="73" t="str">
        <f t="shared" si="45"/>
        <v/>
      </c>
      <c r="BP68" s="73" t="str">
        <f t="shared" si="45"/>
        <v/>
      </c>
      <c r="BQ68" s="73" t="str">
        <f t="shared" si="45"/>
        <v/>
      </c>
      <c r="BR68" s="73" t="str">
        <f t="shared" ref="BR68:CW68" si="46">IF(BR13="","",(MAX(BR13-$C$1,0)/365))</f>
        <v/>
      </c>
      <c r="BS68" s="73" t="str">
        <f t="shared" si="46"/>
        <v/>
      </c>
      <c r="BT68" s="73" t="str">
        <f t="shared" si="46"/>
        <v/>
      </c>
      <c r="BU68" s="73" t="str">
        <f t="shared" si="46"/>
        <v/>
      </c>
      <c r="BV68" s="73" t="str">
        <f t="shared" si="46"/>
        <v/>
      </c>
      <c r="BW68" s="73" t="str">
        <f t="shared" si="46"/>
        <v/>
      </c>
      <c r="BX68" s="73" t="str">
        <f t="shared" si="46"/>
        <v/>
      </c>
      <c r="BY68" s="73" t="str">
        <f t="shared" si="46"/>
        <v/>
      </c>
      <c r="BZ68" s="73" t="str">
        <f t="shared" si="46"/>
        <v/>
      </c>
      <c r="CA68" s="73" t="str">
        <f t="shared" si="46"/>
        <v/>
      </c>
      <c r="CB68" s="73" t="str">
        <f t="shared" si="46"/>
        <v/>
      </c>
      <c r="CC68" s="73" t="str">
        <f t="shared" si="46"/>
        <v/>
      </c>
      <c r="CD68" s="73" t="str">
        <f t="shared" si="46"/>
        <v/>
      </c>
      <c r="CE68" s="73" t="str">
        <f t="shared" si="46"/>
        <v/>
      </c>
      <c r="CF68" s="73" t="str">
        <f t="shared" si="46"/>
        <v/>
      </c>
      <c r="CG68" s="73" t="str">
        <f t="shared" si="46"/>
        <v/>
      </c>
      <c r="CH68" s="73" t="str">
        <f t="shared" si="46"/>
        <v/>
      </c>
      <c r="CI68" s="73" t="str">
        <f t="shared" si="46"/>
        <v/>
      </c>
      <c r="CJ68" s="73" t="str">
        <f t="shared" si="46"/>
        <v/>
      </c>
      <c r="CK68" s="73" t="str">
        <f t="shared" si="46"/>
        <v/>
      </c>
      <c r="CL68" s="73" t="str">
        <f t="shared" si="46"/>
        <v/>
      </c>
      <c r="CM68" s="73" t="str">
        <f t="shared" si="46"/>
        <v/>
      </c>
      <c r="CN68" s="73" t="str">
        <f t="shared" si="46"/>
        <v/>
      </c>
      <c r="CO68" s="73" t="str">
        <f t="shared" si="46"/>
        <v/>
      </c>
      <c r="CP68" s="73" t="str">
        <f t="shared" si="46"/>
        <v/>
      </c>
      <c r="CQ68" s="73" t="str">
        <f t="shared" si="46"/>
        <v/>
      </c>
      <c r="CR68" s="73" t="str">
        <f t="shared" si="46"/>
        <v/>
      </c>
      <c r="CS68" s="73" t="str">
        <f t="shared" si="46"/>
        <v/>
      </c>
      <c r="CT68" s="73" t="str">
        <f t="shared" si="46"/>
        <v/>
      </c>
      <c r="CU68" s="73" t="str">
        <f t="shared" si="46"/>
        <v/>
      </c>
      <c r="CV68" s="73" t="str">
        <f t="shared" si="46"/>
        <v/>
      </c>
      <c r="CW68" s="73" t="str">
        <f t="shared" si="46"/>
        <v/>
      </c>
      <c r="CX68" s="73" t="str">
        <f t="shared" ref="CX68:EC68" si="47">IF(CX13="","",(MAX(CX13-$C$1,0)/365))</f>
        <v/>
      </c>
      <c r="CY68" s="73" t="str">
        <f t="shared" si="47"/>
        <v/>
      </c>
      <c r="CZ68" s="73" t="str">
        <f t="shared" si="47"/>
        <v/>
      </c>
      <c r="DA68" s="73" t="str">
        <f t="shared" si="47"/>
        <v/>
      </c>
      <c r="DB68" s="73" t="str">
        <f t="shared" si="47"/>
        <v/>
      </c>
      <c r="DC68" s="73" t="str">
        <f t="shared" si="47"/>
        <v/>
      </c>
      <c r="DD68" s="73" t="str">
        <f t="shared" si="47"/>
        <v/>
      </c>
      <c r="DE68" s="73" t="str">
        <f t="shared" si="47"/>
        <v/>
      </c>
      <c r="DF68" s="73" t="str">
        <f t="shared" si="47"/>
        <v/>
      </c>
      <c r="DG68" s="73" t="str">
        <f t="shared" si="47"/>
        <v/>
      </c>
      <c r="DH68" s="73" t="str">
        <f t="shared" si="47"/>
        <v/>
      </c>
      <c r="DI68" s="73" t="str">
        <f t="shared" si="47"/>
        <v/>
      </c>
      <c r="DJ68" s="73" t="str">
        <f t="shared" si="47"/>
        <v/>
      </c>
      <c r="DK68" s="73" t="str">
        <f t="shared" si="47"/>
        <v/>
      </c>
      <c r="DL68" s="73" t="str">
        <f t="shared" si="47"/>
        <v/>
      </c>
      <c r="DM68" s="73" t="str">
        <f t="shared" si="47"/>
        <v/>
      </c>
      <c r="DN68" s="73" t="str">
        <f t="shared" si="47"/>
        <v/>
      </c>
      <c r="DO68" s="73" t="str">
        <f t="shared" si="47"/>
        <v/>
      </c>
      <c r="DP68" s="73" t="str">
        <f t="shared" si="47"/>
        <v/>
      </c>
      <c r="DQ68" s="73" t="str">
        <f t="shared" si="47"/>
        <v/>
      </c>
      <c r="DR68" s="73" t="str">
        <f t="shared" si="47"/>
        <v/>
      </c>
      <c r="DS68" s="73" t="str">
        <f t="shared" si="47"/>
        <v/>
      </c>
      <c r="DT68" s="73" t="str">
        <f t="shared" si="47"/>
        <v/>
      </c>
      <c r="DU68" s="73" t="str">
        <f t="shared" si="47"/>
        <v/>
      </c>
      <c r="DV68" s="73" t="str">
        <f t="shared" si="47"/>
        <v/>
      </c>
      <c r="DW68" s="73" t="str">
        <f t="shared" si="47"/>
        <v/>
      </c>
      <c r="DX68" s="73" t="str">
        <f t="shared" si="47"/>
        <v/>
      </c>
      <c r="DY68" s="73" t="str">
        <f t="shared" si="47"/>
        <v/>
      </c>
      <c r="DZ68" s="73" t="str">
        <f t="shared" si="47"/>
        <v/>
      </c>
      <c r="EA68" s="73" t="str">
        <f t="shared" si="47"/>
        <v/>
      </c>
      <c r="EB68" s="73" t="str">
        <f t="shared" si="47"/>
        <v/>
      </c>
      <c r="EC68" s="73" t="str">
        <f t="shared" si="47"/>
        <v/>
      </c>
      <c r="ED68" s="73" t="str">
        <f t="shared" ref="ED68:FI68" si="48">IF(ED13="","",(MAX(ED13-$C$1,0)/365))</f>
        <v/>
      </c>
      <c r="EE68" s="73" t="str">
        <f t="shared" si="48"/>
        <v/>
      </c>
      <c r="EF68" s="73" t="str">
        <f t="shared" si="48"/>
        <v/>
      </c>
      <c r="EG68" s="73" t="str">
        <f t="shared" si="48"/>
        <v/>
      </c>
      <c r="EH68" s="73" t="str">
        <f t="shared" si="48"/>
        <v/>
      </c>
      <c r="EI68" s="73" t="str">
        <f t="shared" si="48"/>
        <v/>
      </c>
      <c r="EJ68" s="73" t="str">
        <f t="shared" si="48"/>
        <v/>
      </c>
      <c r="EK68" s="73" t="str">
        <f t="shared" si="48"/>
        <v/>
      </c>
      <c r="EL68" s="73" t="str">
        <f t="shared" si="48"/>
        <v/>
      </c>
      <c r="EM68" s="73" t="str">
        <f t="shared" si="48"/>
        <v/>
      </c>
      <c r="EN68" s="73" t="str">
        <f t="shared" si="48"/>
        <v/>
      </c>
      <c r="EO68" s="73" t="str">
        <f t="shared" si="48"/>
        <v/>
      </c>
      <c r="EP68" s="73" t="str">
        <f t="shared" si="48"/>
        <v/>
      </c>
      <c r="EQ68" s="73" t="str">
        <f t="shared" si="48"/>
        <v/>
      </c>
      <c r="ER68" s="73" t="str">
        <f t="shared" si="48"/>
        <v/>
      </c>
      <c r="ES68" s="73" t="str">
        <f t="shared" si="48"/>
        <v/>
      </c>
      <c r="ET68" s="73" t="str">
        <f t="shared" si="48"/>
        <v/>
      </c>
      <c r="EU68" s="73" t="str">
        <f t="shared" si="48"/>
        <v/>
      </c>
      <c r="EV68" s="73" t="str">
        <f t="shared" si="48"/>
        <v/>
      </c>
      <c r="EW68" s="73" t="str">
        <f t="shared" si="48"/>
        <v/>
      </c>
      <c r="EX68" s="73" t="str">
        <f t="shared" si="48"/>
        <v/>
      </c>
      <c r="EY68" s="73" t="str">
        <f t="shared" si="48"/>
        <v/>
      </c>
      <c r="EZ68" s="73" t="str">
        <f t="shared" si="48"/>
        <v/>
      </c>
      <c r="FA68" s="73" t="str">
        <f t="shared" si="48"/>
        <v/>
      </c>
      <c r="FB68" s="73" t="str">
        <f t="shared" si="48"/>
        <v/>
      </c>
      <c r="FC68" s="73" t="str">
        <f t="shared" si="48"/>
        <v/>
      </c>
      <c r="FD68" s="73" t="str">
        <f t="shared" si="48"/>
        <v/>
      </c>
      <c r="FE68" s="73" t="str">
        <f t="shared" si="48"/>
        <v/>
      </c>
      <c r="FF68" s="73" t="str">
        <f t="shared" si="48"/>
        <v/>
      </c>
      <c r="FG68" s="73" t="str">
        <f t="shared" si="48"/>
        <v/>
      </c>
      <c r="FH68" s="73" t="str">
        <f t="shared" si="48"/>
        <v/>
      </c>
      <c r="FI68" s="73" t="str">
        <f t="shared" si="48"/>
        <v/>
      </c>
      <c r="FJ68" s="73" t="str">
        <f t="shared" ref="FJ68:GQ68" si="49">IF(FJ13="","",(MAX(FJ13-$C$1,0)/365))</f>
        <v/>
      </c>
      <c r="FK68" s="73" t="str">
        <f t="shared" si="49"/>
        <v/>
      </c>
      <c r="FL68" s="73" t="str">
        <f t="shared" si="49"/>
        <v/>
      </c>
      <c r="FM68" s="73" t="str">
        <f t="shared" si="49"/>
        <v/>
      </c>
      <c r="FN68" s="73" t="str">
        <f t="shared" si="49"/>
        <v/>
      </c>
      <c r="FO68" s="73" t="str">
        <f t="shared" si="49"/>
        <v/>
      </c>
      <c r="FP68" s="73" t="str">
        <f t="shared" si="49"/>
        <v/>
      </c>
      <c r="FQ68" s="73" t="str">
        <f t="shared" si="49"/>
        <v/>
      </c>
      <c r="FR68" s="73" t="str">
        <f t="shared" si="49"/>
        <v/>
      </c>
      <c r="FS68" s="73" t="str">
        <f t="shared" si="49"/>
        <v/>
      </c>
      <c r="FT68" s="73" t="str">
        <f t="shared" si="49"/>
        <v/>
      </c>
      <c r="FU68" s="73" t="str">
        <f t="shared" si="49"/>
        <v/>
      </c>
      <c r="FV68" s="73" t="str">
        <f t="shared" si="49"/>
        <v/>
      </c>
      <c r="FW68" s="73" t="str">
        <f t="shared" si="49"/>
        <v/>
      </c>
      <c r="FX68" s="73" t="str">
        <f t="shared" si="49"/>
        <v/>
      </c>
      <c r="FY68" s="73" t="str">
        <f t="shared" si="49"/>
        <v/>
      </c>
      <c r="FZ68" s="73" t="str">
        <f t="shared" si="49"/>
        <v/>
      </c>
      <c r="GA68" s="73" t="str">
        <f t="shared" si="49"/>
        <v/>
      </c>
      <c r="GB68" s="73" t="str">
        <f t="shared" si="49"/>
        <v/>
      </c>
      <c r="GC68" s="73" t="str">
        <f t="shared" si="49"/>
        <v/>
      </c>
      <c r="GD68" s="73" t="str">
        <f t="shared" si="49"/>
        <v/>
      </c>
      <c r="GE68" s="73" t="str">
        <f t="shared" si="49"/>
        <v/>
      </c>
      <c r="GF68" s="73" t="str">
        <f t="shared" si="49"/>
        <v/>
      </c>
      <c r="GG68" s="73" t="str">
        <f t="shared" si="49"/>
        <v/>
      </c>
      <c r="GH68" s="73" t="str">
        <f t="shared" si="49"/>
        <v/>
      </c>
      <c r="GI68" s="73" t="str">
        <f t="shared" si="49"/>
        <v/>
      </c>
      <c r="GJ68" s="73" t="str">
        <f t="shared" si="49"/>
        <v/>
      </c>
      <c r="GK68" s="73" t="str">
        <f t="shared" si="49"/>
        <v/>
      </c>
      <c r="GL68" s="73" t="str">
        <f t="shared" si="49"/>
        <v/>
      </c>
      <c r="GM68" s="73" t="str">
        <f t="shared" si="49"/>
        <v/>
      </c>
      <c r="GN68" s="73" t="str">
        <f t="shared" si="49"/>
        <v/>
      </c>
      <c r="GO68" s="73" t="str">
        <f t="shared" si="49"/>
        <v/>
      </c>
      <c r="GP68" s="73" t="str">
        <f t="shared" si="49"/>
        <v/>
      </c>
      <c r="GQ68" s="73" t="str">
        <f t="shared" si="49"/>
        <v/>
      </c>
    </row>
    <row r="69" spans="2:199" x14ac:dyDescent="0.2">
      <c r="B69" t="s">
        <v>17</v>
      </c>
      <c r="C69" t="str">
        <f t="shared" si="25"/>
        <v>Euro 2033 Discount II and III</v>
      </c>
      <c r="E69" s="73"/>
      <c r="F69" s="73">
        <f t="shared" ref="F69:AK69" si="50">IF(F14="","",(MAX(F14-$C$1,0)/365))</f>
        <v>0.29315068493150687</v>
      </c>
      <c r="G69" s="73">
        <f t="shared" si="50"/>
        <v>0.78904109589041094</v>
      </c>
      <c r="H69" s="73">
        <f t="shared" si="50"/>
        <v>1.2931506849315069</v>
      </c>
      <c r="I69" s="73">
        <f t="shared" si="50"/>
        <v>1.789041095890411</v>
      </c>
      <c r="J69" s="73">
        <f t="shared" si="50"/>
        <v>2.2931506849315069</v>
      </c>
      <c r="K69" s="73">
        <f t="shared" si="50"/>
        <v>2.7890410958904108</v>
      </c>
      <c r="L69" s="73">
        <f t="shared" si="50"/>
        <v>3.2931506849315069</v>
      </c>
      <c r="M69" s="73">
        <f t="shared" si="50"/>
        <v>3.7917808219178082</v>
      </c>
      <c r="N69" s="73">
        <f t="shared" si="50"/>
        <v>4.2958904109589042</v>
      </c>
      <c r="O69" s="73">
        <f t="shared" si="50"/>
        <v>4.7917808219178086</v>
      </c>
      <c r="P69" s="73">
        <f t="shared" si="50"/>
        <v>5.2958904109589042</v>
      </c>
      <c r="Q69" s="73">
        <f t="shared" si="50"/>
        <v>5.7917808219178086</v>
      </c>
      <c r="R69" s="73">
        <f t="shared" si="50"/>
        <v>6.2958904109589042</v>
      </c>
      <c r="S69" s="73">
        <f t="shared" si="50"/>
        <v>6.7917808219178086</v>
      </c>
      <c r="T69" s="73">
        <f t="shared" si="50"/>
        <v>7.2958904109589042</v>
      </c>
      <c r="U69" s="73">
        <f t="shared" si="50"/>
        <v>7.7945205479452051</v>
      </c>
      <c r="V69" s="73">
        <f t="shared" si="50"/>
        <v>8.2986301369863007</v>
      </c>
      <c r="W69" s="73">
        <f t="shared" si="50"/>
        <v>8.794520547945206</v>
      </c>
      <c r="X69" s="73">
        <f t="shared" si="50"/>
        <v>9.2986301369863007</v>
      </c>
      <c r="Y69" s="73">
        <f t="shared" si="50"/>
        <v>9.794520547945206</v>
      </c>
      <c r="Z69" s="73">
        <f t="shared" si="50"/>
        <v>10.298630136986301</v>
      </c>
      <c r="AA69" s="73">
        <f t="shared" si="50"/>
        <v>10.794520547945206</v>
      </c>
      <c r="AB69" s="73">
        <f t="shared" si="50"/>
        <v>11.298630136986301</v>
      </c>
      <c r="AC69" s="73">
        <f t="shared" si="50"/>
        <v>11.797260273972602</v>
      </c>
      <c r="AD69" s="73">
        <f t="shared" si="50"/>
        <v>12.301369863013699</v>
      </c>
      <c r="AE69" s="73">
        <f t="shared" si="50"/>
        <v>12.797260273972602</v>
      </c>
      <c r="AF69" s="73">
        <f t="shared" si="50"/>
        <v>13.301369863013699</v>
      </c>
      <c r="AG69" s="73" t="str">
        <f t="shared" si="50"/>
        <v/>
      </c>
      <c r="AH69" s="73" t="str">
        <f t="shared" si="50"/>
        <v/>
      </c>
      <c r="AI69" s="73" t="str">
        <f t="shared" si="50"/>
        <v/>
      </c>
      <c r="AJ69" s="73" t="str">
        <f t="shared" si="50"/>
        <v/>
      </c>
      <c r="AK69" s="73" t="str">
        <f t="shared" si="50"/>
        <v/>
      </c>
      <c r="AL69" s="73" t="str">
        <f t="shared" ref="AL69:BQ69" si="51">IF(AL14="","",(MAX(AL14-$C$1,0)/365))</f>
        <v/>
      </c>
      <c r="AM69" s="73" t="str">
        <f t="shared" si="51"/>
        <v/>
      </c>
      <c r="AN69" s="73" t="str">
        <f t="shared" si="51"/>
        <v/>
      </c>
      <c r="AO69" s="73" t="str">
        <f t="shared" si="51"/>
        <v/>
      </c>
      <c r="AP69" s="73" t="str">
        <f t="shared" si="51"/>
        <v/>
      </c>
      <c r="AQ69" s="73" t="str">
        <f t="shared" si="51"/>
        <v/>
      </c>
      <c r="AR69" s="73" t="str">
        <f t="shared" si="51"/>
        <v/>
      </c>
      <c r="AS69" s="73" t="str">
        <f t="shared" si="51"/>
        <v/>
      </c>
      <c r="AT69" s="73" t="str">
        <f t="shared" si="51"/>
        <v/>
      </c>
      <c r="AU69" s="73" t="str">
        <f t="shared" si="51"/>
        <v/>
      </c>
      <c r="AV69" s="73" t="str">
        <f t="shared" si="51"/>
        <v/>
      </c>
      <c r="AW69" s="73" t="str">
        <f t="shared" si="51"/>
        <v/>
      </c>
      <c r="AX69" s="73" t="str">
        <f t="shared" si="51"/>
        <v/>
      </c>
      <c r="AY69" s="73" t="str">
        <f t="shared" si="51"/>
        <v/>
      </c>
      <c r="AZ69" s="73" t="str">
        <f t="shared" si="51"/>
        <v/>
      </c>
      <c r="BA69" s="73" t="str">
        <f t="shared" si="51"/>
        <v/>
      </c>
      <c r="BB69" s="73" t="str">
        <f t="shared" si="51"/>
        <v/>
      </c>
      <c r="BC69" s="73" t="str">
        <f t="shared" si="51"/>
        <v/>
      </c>
      <c r="BD69" s="73" t="str">
        <f t="shared" si="51"/>
        <v/>
      </c>
      <c r="BE69" s="73" t="str">
        <f t="shared" si="51"/>
        <v/>
      </c>
      <c r="BF69" s="73" t="str">
        <f t="shared" si="51"/>
        <v/>
      </c>
      <c r="BG69" s="73" t="str">
        <f t="shared" si="51"/>
        <v/>
      </c>
      <c r="BH69" s="73" t="str">
        <f t="shared" si="51"/>
        <v/>
      </c>
      <c r="BI69" s="73" t="str">
        <f t="shared" si="51"/>
        <v/>
      </c>
      <c r="BJ69" s="73" t="str">
        <f t="shared" si="51"/>
        <v/>
      </c>
      <c r="BK69" s="73" t="str">
        <f t="shared" si="51"/>
        <v/>
      </c>
      <c r="BL69" s="73" t="str">
        <f t="shared" si="51"/>
        <v/>
      </c>
      <c r="BM69" s="73" t="str">
        <f t="shared" si="51"/>
        <v/>
      </c>
      <c r="BN69" s="73" t="str">
        <f t="shared" si="51"/>
        <v/>
      </c>
      <c r="BO69" s="73" t="str">
        <f t="shared" si="51"/>
        <v/>
      </c>
      <c r="BP69" s="73" t="str">
        <f t="shared" si="51"/>
        <v/>
      </c>
      <c r="BQ69" s="73" t="str">
        <f t="shared" si="51"/>
        <v/>
      </c>
      <c r="BR69" s="73" t="str">
        <f t="shared" ref="BR69:CW69" si="52">IF(BR14="","",(MAX(BR14-$C$1,0)/365))</f>
        <v/>
      </c>
      <c r="BS69" s="73" t="str">
        <f t="shared" si="52"/>
        <v/>
      </c>
      <c r="BT69" s="73" t="str">
        <f t="shared" si="52"/>
        <v/>
      </c>
      <c r="BU69" s="73" t="str">
        <f t="shared" si="52"/>
        <v/>
      </c>
      <c r="BV69" s="73" t="str">
        <f t="shared" si="52"/>
        <v/>
      </c>
      <c r="BW69" s="73" t="str">
        <f t="shared" si="52"/>
        <v/>
      </c>
      <c r="BX69" s="73" t="str">
        <f t="shared" si="52"/>
        <v/>
      </c>
      <c r="BY69" s="73" t="str">
        <f t="shared" si="52"/>
        <v/>
      </c>
      <c r="BZ69" s="73" t="str">
        <f t="shared" si="52"/>
        <v/>
      </c>
      <c r="CA69" s="73" t="str">
        <f t="shared" si="52"/>
        <v/>
      </c>
      <c r="CB69" s="73" t="str">
        <f t="shared" si="52"/>
        <v/>
      </c>
      <c r="CC69" s="73" t="str">
        <f t="shared" si="52"/>
        <v/>
      </c>
      <c r="CD69" s="73" t="str">
        <f t="shared" si="52"/>
        <v/>
      </c>
      <c r="CE69" s="73" t="str">
        <f t="shared" si="52"/>
        <v/>
      </c>
      <c r="CF69" s="73" t="str">
        <f t="shared" si="52"/>
        <v/>
      </c>
      <c r="CG69" s="73" t="str">
        <f t="shared" si="52"/>
        <v/>
      </c>
      <c r="CH69" s="73" t="str">
        <f t="shared" si="52"/>
        <v/>
      </c>
      <c r="CI69" s="73" t="str">
        <f t="shared" si="52"/>
        <v/>
      </c>
      <c r="CJ69" s="73" t="str">
        <f t="shared" si="52"/>
        <v/>
      </c>
      <c r="CK69" s="73" t="str">
        <f t="shared" si="52"/>
        <v/>
      </c>
      <c r="CL69" s="73" t="str">
        <f t="shared" si="52"/>
        <v/>
      </c>
      <c r="CM69" s="73" t="str">
        <f t="shared" si="52"/>
        <v/>
      </c>
      <c r="CN69" s="73" t="str">
        <f t="shared" si="52"/>
        <v/>
      </c>
      <c r="CO69" s="73" t="str">
        <f t="shared" si="52"/>
        <v/>
      </c>
      <c r="CP69" s="73" t="str">
        <f t="shared" si="52"/>
        <v/>
      </c>
      <c r="CQ69" s="73" t="str">
        <f t="shared" si="52"/>
        <v/>
      </c>
      <c r="CR69" s="73" t="str">
        <f t="shared" si="52"/>
        <v/>
      </c>
      <c r="CS69" s="73" t="str">
        <f t="shared" si="52"/>
        <v/>
      </c>
      <c r="CT69" s="73" t="str">
        <f t="shared" si="52"/>
        <v/>
      </c>
      <c r="CU69" s="73" t="str">
        <f t="shared" si="52"/>
        <v/>
      </c>
      <c r="CV69" s="73" t="str">
        <f t="shared" si="52"/>
        <v/>
      </c>
      <c r="CW69" s="73" t="str">
        <f t="shared" si="52"/>
        <v/>
      </c>
      <c r="CX69" s="73" t="str">
        <f t="shared" ref="CX69:EC69" si="53">IF(CX14="","",(MAX(CX14-$C$1,0)/365))</f>
        <v/>
      </c>
      <c r="CY69" s="73" t="str">
        <f t="shared" si="53"/>
        <v/>
      </c>
      <c r="CZ69" s="73" t="str">
        <f t="shared" si="53"/>
        <v/>
      </c>
      <c r="DA69" s="73" t="str">
        <f t="shared" si="53"/>
        <v/>
      </c>
      <c r="DB69" s="73" t="str">
        <f t="shared" si="53"/>
        <v/>
      </c>
      <c r="DC69" s="73" t="str">
        <f t="shared" si="53"/>
        <v/>
      </c>
      <c r="DD69" s="73" t="str">
        <f t="shared" si="53"/>
        <v/>
      </c>
      <c r="DE69" s="73" t="str">
        <f t="shared" si="53"/>
        <v/>
      </c>
      <c r="DF69" s="73" t="str">
        <f t="shared" si="53"/>
        <v/>
      </c>
      <c r="DG69" s="73" t="str">
        <f t="shared" si="53"/>
        <v/>
      </c>
      <c r="DH69" s="73" t="str">
        <f t="shared" si="53"/>
        <v/>
      </c>
      <c r="DI69" s="73" t="str">
        <f t="shared" si="53"/>
        <v/>
      </c>
      <c r="DJ69" s="73" t="str">
        <f t="shared" si="53"/>
        <v/>
      </c>
      <c r="DK69" s="73" t="str">
        <f t="shared" si="53"/>
        <v/>
      </c>
      <c r="DL69" s="73" t="str">
        <f t="shared" si="53"/>
        <v/>
      </c>
      <c r="DM69" s="73" t="str">
        <f t="shared" si="53"/>
        <v/>
      </c>
      <c r="DN69" s="73" t="str">
        <f t="shared" si="53"/>
        <v/>
      </c>
      <c r="DO69" s="73" t="str">
        <f t="shared" si="53"/>
        <v/>
      </c>
      <c r="DP69" s="73" t="str">
        <f t="shared" si="53"/>
        <v/>
      </c>
      <c r="DQ69" s="73" t="str">
        <f t="shared" si="53"/>
        <v/>
      </c>
      <c r="DR69" s="73" t="str">
        <f t="shared" si="53"/>
        <v/>
      </c>
      <c r="DS69" s="73" t="str">
        <f t="shared" si="53"/>
        <v/>
      </c>
      <c r="DT69" s="73" t="str">
        <f t="shared" si="53"/>
        <v/>
      </c>
      <c r="DU69" s="73" t="str">
        <f t="shared" si="53"/>
        <v/>
      </c>
      <c r="DV69" s="73" t="str">
        <f t="shared" si="53"/>
        <v/>
      </c>
      <c r="DW69" s="73" t="str">
        <f t="shared" si="53"/>
        <v/>
      </c>
      <c r="DX69" s="73" t="str">
        <f t="shared" si="53"/>
        <v/>
      </c>
      <c r="DY69" s="73" t="str">
        <f t="shared" si="53"/>
        <v/>
      </c>
      <c r="DZ69" s="73" t="str">
        <f t="shared" si="53"/>
        <v/>
      </c>
      <c r="EA69" s="73" t="str">
        <f t="shared" si="53"/>
        <v/>
      </c>
      <c r="EB69" s="73" t="str">
        <f t="shared" si="53"/>
        <v/>
      </c>
      <c r="EC69" s="73" t="str">
        <f t="shared" si="53"/>
        <v/>
      </c>
      <c r="ED69" s="73" t="str">
        <f t="shared" ref="ED69:FI69" si="54">IF(ED14="","",(MAX(ED14-$C$1,0)/365))</f>
        <v/>
      </c>
      <c r="EE69" s="73" t="str">
        <f t="shared" si="54"/>
        <v/>
      </c>
      <c r="EF69" s="73" t="str">
        <f t="shared" si="54"/>
        <v/>
      </c>
      <c r="EG69" s="73" t="str">
        <f t="shared" si="54"/>
        <v/>
      </c>
      <c r="EH69" s="73" t="str">
        <f t="shared" si="54"/>
        <v/>
      </c>
      <c r="EI69" s="73" t="str">
        <f t="shared" si="54"/>
        <v/>
      </c>
      <c r="EJ69" s="73" t="str">
        <f t="shared" si="54"/>
        <v/>
      </c>
      <c r="EK69" s="73" t="str">
        <f t="shared" si="54"/>
        <v/>
      </c>
      <c r="EL69" s="73" t="str">
        <f t="shared" si="54"/>
        <v/>
      </c>
      <c r="EM69" s="73" t="str">
        <f t="shared" si="54"/>
        <v/>
      </c>
      <c r="EN69" s="73" t="str">
        <f t="shared" si="54"/>
        <v/>
      </c>
      <c r="EO69" s="73" t="str">
        <f t="shared" si="54"/>
        <v/>
      </c>
      <c r="EP69" s="73" t="str">
        <f t="shared" si="54"/>
        <v/>
      </c>
      <c r="EQ69" s="73" t="str">
        <f t="shared" si="54"/>
        <v/>
      </c>
      <c r="ER69" s="73" t="str">
        <f t="shared" si="54"/>
        <v/>
      </c>
      <c r="ES69" s="73" t="str">
        <f t="shared" si="54"/>
        <v/>
      </c>
      <c r="ET69" s="73" t="str">
        <f t="shared" si="54"/>
        <v/>
      </c>
      <c r="EU69" s="73" t="str">
        <f t="shared" si="54"/>
        <v/>
      </c>
      <c r="EV69" s="73" t="str">
        <f t="shared" si="54"/>
        <v/>
      </c>
      <c r="EW69" s="73" t="str">
        <f t="shared" si="54"/>
        <v/>
      </c>
      <c r="EX69" s="73" t="str">
        <f t="shared" si="54"/>
        <v/>
      </c>
      <c r="EY69" s="73" t="str">
        <f t="shared" si="54"/>
        <v/>
      </c>
      <c r="EZ69" s="73" t="str">
        <f t="shared" si="54"/>
        <v/>
      </c>
      <c r="FA69" s="73" t="str">
        <f t="shared" si="54"/>
        <v/>
      </c>
      <c r="FB69" s="73" t="str">
        <f t="shared" si="54"/>
        <v/>
      </c>
      <c r="FC69" s="73" t="str">
        <f t="shared" si="54"/>
        <v/>
      </c>
      <c r="FD69" s="73" t="str">
        <f t="shared" si="54"/>
        <v/>
      </c>
      <c r="FE69" s="73" t="str">
        <f t="shared" si="54"/>
        <v/>
      </c>
      <c r="FF69" s="73" t="str">
        <f t="shared" si="54"/>
        <v/>
      </c>
      <c r="FG69" s="73" t="str">
        <f t="shared" si="54"/>
        <v/>
      </c>
      <c r="FH69" s="73" t="str">
        <f t="shared" si="54"/>
        <v/>
      </c>
      <c r="FI69" s="73" t="str">
        <f t="shared" si="54"/>
        <v/>
      </c>
      <c r="FJ69" s="73" t="str">
        <f t="shared" ref="FJ69:GQ69" si="55">IF(FJ14="","",(MAX(FJ14-$C$1,0)/365))</f>
        <v/>
      </c>
      <c r="FK69" s="73" t="str">
        <f t="shared" si="55"/>
        <v/>
      </c>
      <c r="FL69" s="73" t="str">
        <f t="shared" si="55"/>
        <v/>
      </c>
      <c r="FM69" s="73" t="str">
        <f t="shared" si="55"/>
        <v/>
      </c>
      <c r="FN69" s="73" t="str">
        <f t="shared" si="55"/>
        <v/>
      </c>
      <c r="FO69" s="73" t="str">
        <f t="shared" si="55"/>
        <v/>
      </c>
      <c r="FP69" s="73" t="str">
        <f t="shared" si="55"/>
        <v/>
      </c>
      <c r="FQ69" s="73" t="str">
        <f t="shared" si="55"/>
        <v/>
      </c>
      <c r="FR69" s="73" t="str">
        <f t="shared" si="55"/>
        <v/>
      </c>
      <c r="FS69" s="73" t="str">
        <f t="shared" si="55"/>
        <v/>
      </c>
      <c r="FT69" s="73" t="str">
        <f t="shared" si="55"/>
        <v/>
      </c>
      <c r="FU69" s="73" t="str">
        <f t="shared" si="55"/>
        <v/>
      </c>
      <c r="FV69" s="73" t="str">
        <f t="shared" si="55"/>
        <v/>
      </c>
      <c r="FW69" s="73" t="str">
        <f t="shared" si="55"/>
        <v/>
      </c>
      <c r="FX69" s="73" t="str">
        <f t="shared" si="55"/>
        <v/>
      </c>
      <c r="FY69" s="73" t="str">
        <f t="shared" si="55"/>
        <v/>
      </c>
      <c r="FZ69" s="73" t="str">
        <f t="shared" si="55"/>
        <v/>
      </c>
      <c r="GA69" s="73" t="str">
        <f t="shared" si="55"/>
        <v/>
      </c>
      <c r="GB69" s="73" t="str">
        <f t="shared" si="55"/>
        <v/>
      </c>
      <c r="GC69" s="73" t="str">
        <f t="shared" si="55"/>
        <v/>
      </c>
      <c r="GD69" s="73" t="str">
        <f t="shared" si="55"/>
        <v/>
      </c>
      <c r="GE69" s="73" t="str">
        <f t="shared" si="55"/>
        <v/>
      </c>
      <c r="GF69" s="73" t="str">
        <f t="shared" si="55"/>
        <v/>
      </c>
      <c r="GG69" s="73" t="str">
        <f t="shared" si="55"/>
        <v/>
      </c>
      <c r="GH69" s="73" t="str">
        <f t="shared" si="55"/>
        <v/>
      </c>
      <c r="GI69" s="73" t="str">
        <f t="shared" si="55"/>
        <v/>
      </c>
      <c r="GJ69" s="73" t="str">
        <f t="shared" si="55"/>
        <v/>
      </c>
      <c r="GK69" s="73" t="str">
        <f t="shared" si="55"/>
        <v/>
      </c>
      <c r="GL69" s="73" t="str">
        <f t="shared" si="55"/>
        <v/>
      </c>
      <c r="GM69" s="73" t="str">
        <f t="shared" si="55"/>
        <v/>
      </c>
      <c r="GN69" s="73" t="str">
        <f t="shared" si="55"/>
        <v/>
      </c>
      <c r="GO69" s="73" t="str">
        <f t="shared" si="55"/>
        <v/>
      </c>
      <c r="GP69" s="73" t="str">
        <f t="shared" si="55"/>
        <v/>
      </c>
      <c r="GQ69" s="73" t="str">
        <f t="shared" si="55"/>
        <v/>
      </c>
    </row>
    <row r="70" spans="2:199" x14ac:dyDescent="0.2">
      <c r="B70" t="s">
        <v>25</v>
      </c>
      <c r="C70" t="str">
        <f t="shared" si="25"/>
        <v>Euro Par 2038 I</v>
      </c>
      <c r="E70" s="73"/>
      <c r="F70" s="73">
        <f t="shared" ref="F70:AK70" si="56">IF(F15="","",(MAX(F15-$C$1,0)/365))</f>
        <v>4.1095890410958902E-2</v>
      </c>
      <c r="G70" s="73">
        <f t="shared" si="56"/>
        <v>0.53972602739726028</v>
      </c>
      <c r="H70" s="73">
        <f t="shared" si="56"/>
        <v>1.0410958904109588</v>
      </c>
      <c r="I70" s="73">
        <f t="shared" si="56"/>
        <v>1.5397260273972602</v>
      </c>
      <c r="J70" s="73">
        <f t="shared" si="56"/>
        <v>2.0410958904109591</v>
      </c>
      <c r="K70" s="73">
        <f t="shared" si="56"/>
        <v>2.5397260273972604</v>
      </c>
      <c r="L70" s="73">
        <f t="shared" si="56"/>
        <v>3.0410958904109591</v>
      </c>
      <c r="M70" s="73">
        <f t="shared" si="56"/>
        <v>3.5424657534246577</v>
      </c>
      <c r="N70" s="73">
        <f t="shared" si="56"/>
        <v>4.043835616438356</v>
      </c>
      <c r="O70" s="73">
        <f t="shared" si="56"/>
        <v>4.5424657534246577</v>
      </c>
      <c r="P70" s="73">
        <f t="shared" si="56"/>
        <v>5.043835616438356</v>
      </c>
      <c r="Q70" s="73">
        <f t="shared" si="56"/>
        <v>5.5424657534246577</v>
      </c>
      <c r="R70" s="73">
        <f t="shared" si="56"/>
        <v>6.043835616438356</v>
      </c>
      <c r="S70" s="73">
        <f t="shared" si="56"/>
        <v>6.5424657534246577</v>
      </c>
      <c r="T70" s="73">
        <f t="shared" si="56"/>
        <v>7.043835616438356</v>
      </c>
      <c r="U70" s="73">
        <f t="shared" si="56"/>
        <v>7.5452054794520551</v>
      </c>
      <c r="V70" s="73">
        <f t="shared" si="56"/>
        <v>8.0465753424657542</v>
      </c>
      <c r="W70" s="73">
        <f t="shared" si="56"/>
        <v>8.5452054794520542</v>
      </c>
      <c r="X70" s="73">
        <f t="shared" si="56"/>
        <v>9.0465753424657542</v>
      </c>
      <c r="Y70" s="73">
        <f t="shared" si="56"/>
        <v>9.5452054794520542</v>
      </c>
      <c r="Z70" s="73">
        <f t="shared" si="56"/>
        <v>10.046575342465754</v>
      </c>
      <c r="AA70" s="73">
        <f t="shared" si="56"/>
        <v>10.545205479452054</v>
      </c>
      <c r="AB70" s="73">
        <f t="shared" si="56"/>
        <v>11.046575342465754</v>
      </c>
      <c r="AC70" s="73">
        <f t="shared" si="56"/>
        <v>11.547945205479452</v>
      </c>
      <c r="AD70" s="73">
        <f t="shared" si="56"/>
        <v>12.049315068493151</v>
      </c>
      <c r="AE70" s="73">
        <f t="shared" si="56"/>
        <v>12.547945205479452</v>
      </c>
      <c r="AF70" s="73">
        <f t="shared" si="56"/>
        <v>13.049315068493151</v>
      </c>
      <c r="AG70" s="73">
        <f t="shared" si="56"/>
        <v>13.547945205479452</v>
      </c>
      <c r="AH70" s="73">
        <f t="shared" si="56"/>
        <v>14.049315068493151</v>
      </c>
      <c r="AI70" s="73">
        <f t="shared" si="56"/>
        <v>14.547945205479452</v>
      </c>
      <c r="AJ70" s="73">
        <f t="shared" si="56"/>
        <v>15.049315068493151</v>
      </c>
      <c r="AK70" s="73">
        <f t="shared" si="56"/>
        <v>15.550684931506849</v>
      </c>
      <c r="AL70" s="73">
        <f t="shared" ref="AL70:BQ70" si="57">IF(AL15="","",(MAX(AL15-$C$1,0)/365))</f>
        <v>16.052054794520547</v>
      </c>
      <c r="AM70" s="73">
        <f t="shared" si="57"/>
        <v>16.550684931506851</v>
      </c>
      <c r="AN70" s="73">
        <f t="shared" si="57"/>
        <v>17.052054794520547</v>
      </c>
      <c r="AO70" s="73">
        <f t="shared" si="57"/>
        <v>17.550684931506851</v>
      </c>
      <c r="AP70" s="73">
        <f t="shared" si="57"/>
        <v>18.052054794520547</v>
      </c>
      <c r="AQ70" s="73">
        <f t="shared" si="57"/>
        <v>18.304109589041097</v>
      </c>
      <c r="AR70" s="73" t="str">
        <f t="shared" si="57"/>
        <v/>
      </c>
      <c r="AS70" s="73" t="str">
        <f t="shared" si="57"/>
        <v/>
      </c>
      <c r="AT70" s="73" t="str">
        <f t="shared" si="57"/>
        <v/>
      </c>
      <c r="AU70" s="73" t="str">
        <f t="shared" si="57"/>
        <v/>
      </c>
      <c r="AV70" s="73" t="str">
        <f t="shared" si="57"/>
        <v/>
      </c>
      <c r="AW70" s="73" t="str">
        <f t="shared" si="57"/>
        <v/>
      </c>
      <c r="AX70" s="73" t="str">
        <f t="shared" si="57"/>
        <v/>
      </c>
      <c r="AY70" s="73" t="str">
        <f t="shared" si="57"/>
        <v/>
      </c>
      <c r="AZ70" s="73" t="str">
        <f t="shared" si="57"/>
        <v/>
      </c>
      <c r="BA70" s="73" t="str">
        <f t="shared" si="57"/>
        <v/>
      </c>
      <c r="BB70" s="73" t="str">
        <f t="shared" si="57"/>
        <v/>
      </c>
      <c r="BC70" s="73" t="str">
        <f t="shared" si="57"/>
        <v/>
      </c>
      <c r="BD70" s="73" t="str">
        <f t="shared" si="57"/>
        <v/>
      </c>
      <c r="BE70" s="73" t="str">
        <f t="shared" si="57"/>
        <v/>
      </c>
      <c r="BF70" s="73" t="str">
        <f t="shared" si="57"/>
        <v/>
      </c>
      <c r="BG70" s="73" t="str">
        <f t="shared" si="57"/>
        <v/>
      </c>
      <c r="BH70" s="73" t="str">
        <f t="shared" si="57"/>
        <v/>
      </c>
      <c r="BI70" s="73" t="str">
        <f t="shared" si="57"/>
        <v/>
      </c>
      <c r="BJ70" s="73" t="str">
        <f t="shared" si="57"/>
        <v/>
      </c>
      <c r="BK70" s="73" t="str">
        <f t="shared" si="57"/>
        <v/>
      </c>
      <c r="BL70" s="73" t="str">
        <f t="shared" si="57"/>
        <v/>
      </c>
      <c r="BM70" s="73" t="str">
        <f t="shared" si="57"/>
        <v/>
      </c>
      <c r="BN70" s="73" t="str">
        <f t="shared" si="57"/>
        <v/>
      </c>
      <c r="BO70" s="73" t="str">
        <f t="shared" si="57"/>
        <v/>
      </c>
      <c r="BP70" s="73" t="str">
        <f t="shared" si="57"/>
        <v/>
      </c>
      <c r="BQ70" s="73" t="str">
        <f t="shared" si="57"/>
        <v/>
      </c>
      <c r="BR70" s="73" t="str">
        <f t="shared" ref="BR70:CW70" si="58">IF(BR15="","",(MAX(BR15-$C$1,0)/365))</f>
        <v/>
      </c>
      <c r="BS70" s="73" t="str">
        <f t="shared" si="58"/>
        <v/>
      </c>
      <c r="BT70" s="73" t="str">
        <f t="shared" si="58"/>
        <v/>
      </c>
      <c r="BU70" s="73" t="str">
        <f t="shared" si="58"/>
        <v/>
      </c>
      <c r="BV70" s="73" t="str">
        <f t="shared" si="58"/>
        <v/>
      </c>
      <c r="BW70" s="73" t="str">
        <f t="shared" si="58"/>
        <v/>
      </c>
      <c r="BX70" s="73" t="str">
        <f t="shared" si="58"/>
        <v/>
      </c>
      <c r="BY70" s="73" t="str">
        <f t="shared" si="58"/>
        <v/>
      </c>
      <c r="BZ70" s="73" t="str">
        <f t="shared" si="58"/>
        <v/>
      </c>
      <c r="CA70" s="73" t="str">
        <f t="shared" si="58"/>
        <v/>
      </c>
      <c r="CB70" s="73" t="str">
        <f t="shared" si="58"/>
        <v/>
      </c>
      <c r="CC70" s="73" t="str">
        <f t="shared" si="58"/>
        <v/>
      </c>
      <c r="CD70" s="73" t="str">
        <f t="shared" si="58"/>
        <v/>
      </c>
      <c r="CE70" s="73" t="str">
        <f t="shared" si="58"/>
        <v/>
      </c>
      <c r="CF70" s="73" t="str">
        <f t="shared" si="58"/>
        <v/>
      </c>
      <c r="CG70" s="73" t="str">
        <f t="shared" si="58"/>
        <v/>
      </c>
      <c r="CH70" s="73" t="str">
        <f t="shared" si="58"/>
        <v/>
      </c>
      <c r="CI70" s="73" t="str">
        <f t="shared" si="58"/>
        <v/>
      </c>
      <c r="CJ70" s="73" t="str">
        <f t="shared" si="58"/>
        <v/>
      </c>
      <c r="CK70" s="73" t="str">
        <f t="shared" si="58"/>
        <v/>
      </c>
      <c r="CL70" s="73" t="str">
        <f t="shared" si="58"/>
        <v/>
      </c>
      <c r="CM70" s="73" t="str">
        <f t="shared" si="58"/>
        <v/>
      </c>
      <c r="CN70" s="73" t="str">
        <f t="shared" si="58"/>
        <v/>
      </c>
      <c r="CO70" s="73" t="str">
        <f t="shared" si="58"/>
        <v/>
      </c>
      <c r="CP70" s="73" t="str">
        <f t="shared" si="58"/>
        <v/>
      </c>
      <c r="CQ70" s="73" t="str">
        <f t="shared" si="58"/>
        <v/>
      </c>
      <c r="CR70" s="73" t="str">
        <f t="shared" si="58"/>
        <v/>
      </c>
      <c r="CS70" s="73" t="str">
        <f t="shared" si="58"/>
        <v/>
      </c>
      <c r="CT70" s="73" t="str">
        <f t="shared" si="58"/>
        <v/>
      </c>
      <c r="CU70" s="73" t="str">
        <f t="shared" si="58"/>
        <v/>
      </c>
      <c r="CV70" s="73" t="str">
        <f t="shared" si="58"/>
        <v/>
      </c>
      <c r="CW70" s="73" t="str">
        <f t="shared" si="58"/>
        <v/>
      </c>
      <c r="CX70" s="73" t="str">
        <f t="shared" ref="CX70:EC70" si="59">IF(CX15="","",(MAX(CX15-$C$1,0)/365))</f>
        <v/>
      </c>
      <c r="CY70" s="73" t="str">
        <f t="shared" si="59"/>
        <v/>
      </c>
      <c r="CZ70" s="73" t="str">
        <f t="shared" si="59"/>
        <v/>
      </c>
      <c r="DA70" s="73" t="str">
        <f t="shared" si="59"/>
        <v/>
      </c>
      <c r="DB70" s="73" t="str">
        <f t="shared" si="59"/>
        <v/>
      </c>
      <c r="DC70" s="73" t="str">
        <f t="shared" si="59"/>
        <v/>
      </c>
      <c r="DD70" s="73" t="str">
        <f t="shared" si="59"/>
        <v/>
      </c>
      <c r="DE70" s="73" t="str">
        <f t="shared" si="59"/>
        <v/>
      </c>
      <c r="DF70" s="73" t="str">
        <f t="shared" si="59"/>
        <v/>
      </c>
      <c r="DG70" s="73" t="str">
        <f t="shared" si="59"/>
        <v/>
      </c>
      <c r="DH70" s="73" t="str">
        <f t="shared" si="59"/>
        <v/>
      </c>
      <c r="DI70" s="73" t="str">
        <f t="shared" si="59"/>
        <v/>
      </c>
      <c r="DJ70" s="73" t="str">
        <f t="shared" si="59"/>
        <v/>
      </c>
      <c r="DK70" s="73" t="str">
        <f t="shared" si="59"/>
        <v/>
      </c>
      <c r="DL70" s="73" t="str">
        <f t="shared" si="59"/>
        <v/>
      </c>
      <c r="DM70" s="73" t="str">
        <f t="shared" si="59"/>
        <v/>
      </c>
      <c r="DN70" s="73" t="str">
        <f t="shared" si="59"/>
        <v/>
      </c>
      <c r="DO70" s="73" t="str">
        <f t="shared" si="59"/>
        <v/>
      </c>
      <c r="DP70" s="73" t="str">
        <f t="shared" si="59"/>
        <v/>
      </c>
      <c r="DQ70" s="73" t="str">
        <f t="shared" si="59"/>
        <v/>
      </c>
      <c r="DR70" s="73" t="str">
        <f t="shared" si="59"/>
        <v/>
      </c>
      <c r="DS70" s="73" t="str">
        <f t="shared" si="59"/>
        <v/>
      </c>
      <c r="DT70" s="73" t="str">
        <f t="shared" si="59"/>
        <v/>
      </c>
      <c r="DU70" s="73" t="str">
        <f t="shared" si="59"/>
        <v/>
      </c>
      <c r="DV70" s="73" t="str">
        <f t="shared" si="59"/>
        <v/>
      </c>
      <c r="DW70" s="73" t="str">
        <f t="shared" si="59"/>
        <v/>
      </c>
      <c r="DX70" s="73" t="str">
        <f t="shared" si="59"/>
        <v/>
      </c>
      <c r="DY70" s="73" t="str">
        <f t="shared" si="59"/>
        <v/>
      </c>
      <c r="DZ70" s="73" t="str">
        <f t="shared" si="59"/>
        <v/>
      </c>
      <c r="EA70" s="73" t="str">
        <f t="shared" si="59"/>
        <v/>
      </c>
      <c r="EB70" s="73" t="str">
        <f t="shared" si="59"/>
        <v/>
      </c>
      <c r="EC70" s="73" t="str">
        <f t="shared" si="59"/>
        <v/>
      </c>
      <c r="ED70" s="73" t="str">
        <f t="shared" ref="ED70:FI70" si="60">IF(ED15="","",(MAX(ED15-$C$1,0)/365))</f>
        <v/>
      </c>
      <c r="EE70" s="73" t="str">
        <f t="shared" si="60"/>
        <v/>
      </c>
      <c r="EF70" s="73" t="str">
        <f t="shared" si="60"/>
        <v/>
      </c>
      <c r="EG70" s="73" t="str">
        <f t="shared" si="60"/>
        <v/>
      </c>
      <c r="EH70" s="73" t="str">
        <f t="shared" si="60"/>
        <v/>
      </c>
      <c r="EI70" s="73" t="str">
        <f t="shared" si="60"/>
        <v/>
      </c>
      <c r="EJ70" s="73" t="str">
        <f t="shared" si="60"/>
        <v/>
      </c>
      <c r="EK70" s="73" t="str">
        <f t="shared" si="60"/>
        <v/>
      </c>
      <c r="EL70" s="73" t="str">
        <f t="shared" si="60"/>
        <v/>
      </c>
      <c r="EM70" s="73" t="str">
        <f t="shared" si="60"/>
        <v/>
      </c>
      <c r="EN70" s="73" t="str">
        <f t="shared" si="60"/>
        <v/>
      </c>
      <c r="EO70" s="73" t="str">
        <f t="shared" si="60"/>
        <v/>
      </c>
      <c r="EP70" s="73" t="str">
        <f t="shared" si="60"/>
        <v/>
      </c>
      <c r="EQ70" s="73" t="str">
        <f t="shared" si="60"/>
        <v/>
      </c>
      <c r="ER70" s="73" t="str">
        <f t="shared" si="60"/>
        <v/>
      </c>
      <c r="ES70" s="73" t="str">
        <f t="shared" si="60"/>
        <v/>
      </c>
      <c r="ET70" s="73" t="str">
        <f t="shared" si="60"/>
        <v/>
      </c>
      <c r="EU70" s="73" t="str">
        <f t="shared" si="60"/>
        <v/>
      </c>
      <c r="EV70" s="73" t="str">
        <f t="shared" si="60"/>
        <v/>
      </c>
      <c r="EW70" s="73" t="str">
        <f t="shared" si="60"/>
        <v/>
      </c>
      <c r="EX70" s="73" t="str">
        <f t="shared" si="60"/>
        <v/>
      </c>
      <c r="EY70" s="73" t="str">
        <f t="shared" si="60"/>
        <v/>
      </c>
      <c r="EZ70" s="73" t="str">
        <f t="shared" si="60"/>
        <v/>
      </c>
      <c r="FA70" s="73" t="str">
        <f t="shared" si="60"/>
        <v/>
      </c>
      <c r="FB70" s="73" t="str">
        <f t="shared" si="60"/>
        <v/>
      </c>
      <c r="FC70" s="73" t="str">
        <f t="shared" si="60"/>
        <v/>
      </c>
      <c r="FD70" s="73" t="str">
        <f t="shared" si="60"/>
        <v/>
      </c>
      <c r="FE70" s="73" t="str">
        <f t="shared" si="60"/>
        <v/>
      </c>
      <c r="FF70" s="73" t="str">
        <f t="shared" si="60"/>
        <v/>
      </c>
      <c r="FG70" s="73" t="str">
        <f t="shared" si="60"/>
        <v/>
      </c>
      <c r="FH70" s="73" t="str">
        <f t="shared" si="60"/>
        <v/>
      </c>
      <c r="FI70" s="73" t="str">
        <f t="shared" si="60"/>
        <v/>
      </c>
      <c r="FJ70" s="73" t="str">
        <f t="shared" ref="FJ70:GQ70" si="61">IF(FJ15="","",(MAX(FJ15-$C$1,0)/365))</f>
        <v/>
      </c>
      <c r="FK70" s="73" t="str">
        <f t="shared" si="61"/>
        <v/>
      </c>
      <c r="FL70" s="73" t="str">
        <f t="shared" si="61"/>
        <v/>
      </c>
      <c r="FM70" s="73" t="str">
        <f t="shared" si="61"/>
        <v/>
      </c>
      <c r="FN70" s="73" t="str">
        <f t="shared" si="61"/>
        <v/>
      </c>
      <c r="FO70" s="73" t="str">
        <f t="shared" si="61"/>
        <v/>
      </c>
      <c r="FP70" s="73" t="str">
        <f t="shared" si="61"/>
        <v/>
      </c>
      <c r="FQ70" s="73" t="str">
        <f t="shared" si="61"/>
        <v/>
      </c>
      <c r="FR70" s="73" t="str">
        <f t="shared" si="61"/>
        <v/>
      </c>
      <c r="FS70" s="73" t="str">
        <f t="shared" si="61"/>
        <v/>
      </c>
      <c r="FT70" s="73" t="str">
        <f t="shared" si="61"/>
        <v/>
      </c>
      <c r="FU70" s="73" t="str">
        <f t="shared" si="61"/>
        <v/>
      </c>
      <c r="FV70" s="73" t="str">
        <f t="shared" si="61"/>
        <v/>
      </c>
      <c r="FW70" s="73" t="str">
        <f t="shared" si="61"/>
        <v/>
      </c>
      <c r="FX70" s="73" t="str">
        <f t="shared" si="61"/>
        <v/>
      </c>
      <c r="FY70" s="73" t="str">
        <f t="shared" si="61"/>
        <v/>
      </c>
      <c r="FZ70" s="73" t="str">
        <f t="shared" si="61"/>
        <v/>
      </c>
      <c r="GA70" s="73" t="str">
        <f t="shared" si="61"/>
        <v/>
      </c>
      <c r="GB70" s="73" t="str">
        <f t="shared" si="61"/>
        <v/>
      </c>
      <c r="GC70" s="73" t="str">
        <f t="shared" si="61"/>
        <v/>
      </c>
      <c r="GD70" s="73" t="str">
        <f t="shared" si="61"/>
        <v/>
      </c>
      <c r="GE70" s="73" t="str">
        <f t="shared" si="61"/>
        <v/>
      </c>
      <c r="GF70" s="73" t="str">
        <f t="shared" si="61"/>
        <v/>
      </c>
      <c r="GG70" s="73" t="str">
        <f t="shared" si="61"/>
        <v/>
      </c>
      <c r="GH70" s="73" t="str">
        <f t="shared" si="61"/>
        <v/>
      </c>
      <c r="GI70" s="73" t="str">
        <f t="shared" si="61"/>
        <v/>
      </c>
      <c r="GJ70" s="73" t="str">
        <f t="shared" si="61"/>
        <v/>
      </c>
      <c r="GK70" s="73" t="str">
        <f t="shared" si="61"/>
        <v/>
      </c>
      <c r="GL70" s="73" t="str">
        <f t="shared" si="61"/>
        <v/>
      </c>
      <c r="GM70" s="73" t="str">
        <f t="shared" si="61"/>
        <v/>
      </c>
      <c r="GN70" s="73" t="str">
        <f t="shared" si="61"/>
        <v/>
      </c>
      <c r="GO70" s="73" t="str">
        <f t="shared" si="61"/>
        <v/>
      </c>
      <c r="GP70" s="73" t="str">
        <f t="shared" si="61"/>
        <v/>
      </c>
      <c r="GQ70" s="73" t="str">
        <f t="shared" si="61"/>
        <v/>
      </c>
    </row>
    <row r="71" spans="2:199" x14ac:dyDescent="0.2">
      <c r="B71" t="s">
        <v>27</v>
      </c>
      <c r="C71" t="str">
        <f t="shared" si="25"/>
        <v>Euro Par 2038 II and III</v>
      </c>
      <c r="E71" s="73"/>
      <c r="F71" s="73">
        <f t="shared" ref="F71:AK71" si="62">IF(F16="","",(MAX(F16-$C$1,0)/365))</f>
        <v>4.1095890410958902E-2</v>
      </c>
      <c r="G71" s="73">
        <f t="shared" si="62"/>
        <v>0.53972602739726028</v>
      </c>
      <c r="H71" s="73">
        <f t="shared" si="62"/>
        <v>1.0410958904109588</v>
      </c>
      <c r="I71" s="73">
        <f t="shared" si="62"/>
        <v>1.5397260273972602</v>
      </c>
      <c r="J71" s="73">
        <f t="shared" si="62"/>
        <v>2.0410958904109591</v>
      </c>
      <c r="K71" s="73">
        <f t="shared" si="62"/>
        <v>2.5397260273972604</v>
      </c>
      <c r="L71" s="73">
        <f t="shared" si="62"/>
        <v>3.0410958904109591</v>
      </c>
      <c r="M71" s="73">
        <f t="shared" si="62"/>
        <v>3.5424657534246577</v>
      </c>
      <c r="N71" s="73">
        <f t="shared" si="62"/>
        <v>4.043835616438356</v>
      </c>
      <c r="O71" s="73">
        <f t="shared" si="62"/>
        <v>4.5424657534246577</v>
      </c>
      <c r="P71" s="73">
        <f t="shared" si="62"/>
        <v>5.043835616438356</v>
      </c>
      <c r="Q71" s="73">
        <f t="shared" si="62"/>
        <v>5.5424657534246577</v>
      </c>
      <c r="R71" s="73">
        <f t="shared" si="62"/>
        <v>6.043835616438356</v>
      </c>
      <c r="S71" s="73">
        <f t="shared" si="62"/>
        <v>6.5424657534246577</v>
      </c>
      <c r="T71" s="73">
        <f t="shared" si="62"/>
        <v>7.043835616438356</v>
      </c>
      <c r="U71" s="73">
        <f t="shared" si="62"/>
        <v>7.5452054794520551</v>
      </c>
      <c r="V71" s="73">
        <f t="shared" si="62"/>
        <v>8.0465753424657542</v>
      </c>
      <c r="W71" s="73">
        <f t="shared" si="62"/>
        <v>8.5452054794520542</v>
      </c>
      <c r="X71" s="73">
        <f t="shared" si="62"/>
        <v>9.0465753424657542</v>
      </c>
      <c r="Y71" s="73">
        <f t="shared" si="62"/>
        <v>9.5452054794520542</v>
      </c>
      <c r="Z71" s="73">
        <f t="shared" si="62"/>
        <v>10.046575342465754</v>
      </c>
      <c r="AA71" s="73">
        <f t="shared" si="62"/>
        <v>10.545205479452054</v>
      </c>
      <c r="AB71" s="73">
        <f t="shared" si="62"/>
        <v>11.046575342465754</v>
      </c>
      <c r="AC71" s="73">
        <f t="shared" si="62"/>
        <v>11.547945205479452</v>
      </c>
      <c r="AD71" s="73">
        <f t="shared" si="62"/>
        <v>12.049315068493151</v>
      </c>
      <c r="AE71" s="73">
        <f t="shared" si="62"/>
        <v>12.547945205479452</v>
      </c>
      <c r="AF71" s="73">
        <f t="shared" si="62"/>
        <v>13.049315068493151</v>
      </c>
      <c r="AG71" s="73">
        <f t="shared" si="62"/>
        <v>13.547945205479452</v>
      </c>
      <c r="AH71" s="73">
        <f t="shared" si="62"/>
        <v>14.049315068493151</v>
      </c>
      <c r="AI71" s="73">
        <f t="shared" si="62"/>
        <v>14.547945205479452</v>
      </c>
      <c r="AJ71" s="73">
        <f t="shared" si="62"/>
        <v>15.049315068493151</v>
      </c>
      <c r="AK71" s="73">
        <f t="shared" si="62"/>
        <v>15.550684931506849</v>
      </c>
      <c r="AL71" s="73">
        <f t="shared" ref="AL71:BQ71" si="63">IF(AL16="","",(MAX(AL16-$C$1,0)/365))</f>
        <v>16.052054794520547</v>
      </c>
      <c r="AM71" s="73">
        <f t="shared" si="63"/>
        <v>16.550684931506851</v>
      </c>
      <c r="AN71" s="73">
        <f t="shared" si="63"/>
        <v>17.052054794520547</v>
      </c>
      <c r="AO71" s="73">
        <f t="shared" si="63"/>
        <v>17.550684931506851</v>
      </c>
      <c r="AP71" s="73">
        <f t="shared" si="63"/>
        <v>18.052054794520547</v>
      </c>
      <c r="AQ71" s="73">
        <f t="shared" si="63"/>
        <v>18.304109589041097</v>
      </c>
      <c r="AR71" s="73" t="str">
        <f t="shared" si="63"/>
        <v/>
      </c>
      <c r="AS71" s="73" t="str">
        <f t="shared" si="63"/>
        <v/>
      </c>
      <c r="AT71" s="73" t="str">
        <f t="shared" si="63"/>
        <v/>
      </c>
      <c r="AU71" s="73" t="str">
        <f t="shared" si="63"/>
        <v/>
      </c>
      <c r="AV71" s="73" t="str">
        <f t="shared" si="63"/>
        <v/>
      </c>
      <c r="AW71" s="73" t="str">
        <f t="shared" si="63"/>
        <v/>
      </c>
      <c r="AX71" s="73" t="str">
        <f t="shared" si="63"/>
        <v/>
      </c>
      <c r="AY71" s="73" t="str">
        <f t="shared" si="63"/>
        <v/>
      </c>
      <c r="AZ71" s="73" t="str">
        <f t="shared" si="63"/>
        <v/>
      </c>
      <c r="BA71" s="73" t="str">
        <f t="shared" si="63"/>
        <v/>
      </c>
      <c r="BB71" s="73" t="str">
        <f t="shared" si="63"/>
        <v/>
      </c>
      <c r="BC71" s="73" t="str">
        <f t="shared" si="63"/>
        <v/>
      </c>
      <c r="BD71" s="73" t="str">
        <f t="shared" si="63"/>
        <v/>
      </c>
      <c r="BE71" s="73" t="str">
        <f t="shared" si="63"/>
        <v/>
      </c>
      <c r="BF71" s="73" t="str">
        <f t="shared" si="63"/>
        <v/>
      </c>
      <c r="BG71" s="73" t="str">
        <f t="shared" si="63"/>
        <v/>
      </c>
      <c r="BH71" s="73" t="str">
        <f t="shared" si="63"/>
        <v/>
      </c>
      <c r="BI71" s="73" t="str">
        <f t="shared" si="63"/>
        <v/>
      </c>
      <c r="BJ71" s="73" t="str">
        <f t="shared" si="63"/>
        <v/>
      </c>
      <c r="BK71" s="73" t="str">
        <f t="shared" si="63"/>
        <v/>
      </c>
      <c r="BL71" s="73" t="str">
        <f t="shared" si="63"/>
        <v/>
      </c>
      <c r="BM71" s="73" t="str">
        <f t="shared" si="63"/>
        <v/>
      </c>
      <c r="BN71" s="73" t="str">
        <f t="shared" si="63"/>
        <v/>
      </c>
      <c r="BO71" s="73" t="str">
        <f t="shared" si="63"/>
        <v/>
      </c>
      <c r="BP71" s="73" t="str">
        <f t="shared" si="63"/>
        <v/>
      </c>
      <c r="BQ71" s="73" t="str">
        <f t="shared" si="63"/>
        <v/>
      </c>
      <c r="BR71" s="73" t="str">
        <f t="shared" ref="BR71:CW71" si="64">IF(BR16="","",(MAX(BR16-$C$1,0)/365))</f>
        <v/>
      </c>
      <c r="BS71" s="73" t="str">
        <f t="shared" si="64"/>
        <v/>
      </c>
      <c r="BT71" s="73" t="str">
        <f t="shared" si="64"/>
        <v/>
      </c>
      <c r="BU71" s="73" t="str">
        <f t="shared" si="64"/>
        <v/>
      </c>
      <c r="BV71" s="73" t="str">
        <f t="shared" si="64"/>
        <v/>
      </c>
      <c r="BW71" s="73" t="str">
        <f t="shared" si="64"/>
        <v/>
      </c>
      <c r="BX71" s="73" t="str">
        <f t="shared" si="64"/>
        <v/>
      </c>
      <c r="BY71" s="73" t="str">
        <f t="shared" si="64"/>
        <v/>
      </c>
      <c r="BZ71" s="73" t="str">
        <f t="shared" si="64"/>
        <v/>
      </c>
      <c r="CA71" s="73" t="str">
        <f t="shared" si="64"/>
        <v/>
      </c>
      <c r="CB71" s="73" t="str">
        <f t="shared" si="64"/>
        <v/>
      </c>
      <c r="CC71" s="73" t="str">
        <f t="shared" si="64"/>
        <v/>
      </c>
      <c r="CD71" s="73" t="str">
        <f t="shared" si="64"/>
        <v/>
      </c>
      <c r="CE71" s="73" t="str">
        <f t="shared" si="64"/>
        <v/>
      </c>
      <c r="CF71" s="73" t="str">
        <f t="shared" si="64"/>
        <v/>
      </c>
      <c r="CG71" s="73" t="str">
        <f t="shared" si="64"/>
        <v/>
      </c>
      <c r="CH71" s="73" t="str">
        <f t="shared" si="64"/>
        <v/>
      </c>
      <c r="CI71" s="73" t="str">
        <f t="shared" si="64"/>
        <v/>
      </c>
      <c r="CJ71" s="73" t="str">
        <f t="shared" si="64"/>
        <v/>
      </c>
      <c r="CK71" s="73" t="str">
        <f t="shared" si="64"/>
        <v/>
      </c>
      <c r="CL71" s="73" t="str">
        <f t="shared" si="64"/>
        <v/>
      </c>
      <c r="CM71" s="73" t="str">
        <f t="shared" si="64"/>
        <v/>
      </c>
      <c r="CN71" s="73" t="str">
        <f t="shared" si="64"/>
        <v/>
      </c>
      <c r="CO71" s="73" t="str">
        <f t="shared" si="64"/>
        <v/>
      </c>
      <c r="CP71" s="73" t="str">
        <f t="shared" si="64"/>
        <v/>
      </c>
      <c r="CQ71" s="73" t="str">
        <f t="shared" si="64"/>
        <v/>
      </c>
      <c r="CR71" s="73" t="str">
        <f t="shared" si="64"/>
        <v/>
      </c>
      <c r="CS71" s="73" t="str">
        <f t="shared" si="64"/>
        <v/>
      </c>
      <c r="CT71" s="73" t="str">
        <f t="shared" si="64"/>
        <v/>
      </c>
      <c r="CU71" s="73" t="str">
        <f t="shared" si="64"/>
        <v/>
      </c>
      <c r="CV71" s="73" t="str">
        <f t="shared" si="64"/>
        <v/>
      </c>
      <c r="CW71" s="73" t="str">
        <f t="shared" si="64"/>
        <v/>
      </c>
      <c r="CX71" s="73" t="str">
        <f t="shared" ref="CX71:EC71" si="65">IF(CX16="","",(MAX(CX16-$C$1,0)/365))</f>
        <v/>
      </c>
      <c r="CY71" s="73" t="str">
        <f t="shared" si="65"/>
        <v/>
      </c>
      <c r="CZ71" s="73" t="str">
        <f t="shared" si="65"/>
        <v/>
      </c>
      <c r="DA71" s="73" t="str">
        <f t="shared" si="65"/>
        <v/>
      </c>
      <c r="DB71" s="73" t="str">
        <f t="shared" si="65"/>
        <v/>
      </c>
      <c r="DC71" s="73" t="str">
        <f t="shared" si="65"/>
        <v/>
      </c>
      <c r="DD71" s="73" t="str">
        <f t="shared" si="65"/>
        <v/>
      </c>
      <c r="DE71" s="73" t="str">
        <f t="shared" si="65"/>
        <v/>
      </c>
      <c r="DF71" s="73" t="str">
        <f t="shared" si="65"/>
        <v/>
      </c>
      <c r="DG71" s="73" t="str">
        <f t="shared" si="65"/>
        <v/>
      </c>
      <c r="DH71" s="73" t="str">
        <f t="shared" si="65"/>
        <v/>
      </c>
      <c r="DI71" s="73" t="str">
        <f t="shared" si="65"/>
        <v/>
      </c>
      <c r="DJ71" s="73" t="str">
        <f t="shared" si="65"/>
        <v/>
      </c>
      <c r="DK71" s="73" t="str">
        <f t="shared" si="65"/>
        <v/>
      </c>
      <c r="DL71" s="73" t="str">
        <f t="shared" si="65"/>
        <v/>
      </c>
      <c r="DM71" s="73" t="str">
        <f t="shared" si="65"/>
        <v/>
      </c>
      <c r="DN71" s="73" t="str">
        <f t="shared" si="65"/>
        <v/>
      </c>
      <c r="DO71" s="73" t="str">
        <f t="shared" si="65"/>
        <v/>
      </c>
      <c r="DP71" s="73" t="str">
        <f t="shared" si="65"/>
        <v/>
      </c>
      <c r="DQ71" s="73" t="str">
        <f t="shared" si="65"/>
        <v/>
      </c>
      <c r="DR71" s="73" t="str">
        <f t="shared" si="65"/>
        <v/>
      </c>
      <c r="DS71" s="73" t="str">
        <f t="shared" si="65"/>
        <v/>
      </c>
      <c r="DT71" s="73" t="str">
        <f t="shared" si="65"/>
        <v/>
      </c>
      <c r="DU71" s="73" t="str">
        <f t="shared" si="65"/>
        <v/>
      </c>
      <c r="DV71" s="73" t="str">
        <f t="shared" si="65"/>
        <v/>
      </c>
      <c r="DW71" s="73" t="str">
        <f t="shared" si="65"/>
        <v/>
      </c>
      <c r="DX71" s="73" t="str">
        <f t="shared" si="65"/>
        <v/>
      </c>
      <c r="DY71" s="73" t="str">
        <f t="shared" si="65"/>
        <v/>
      </c>
      <c r="DZ71" s="73" t="str">
        <f t="shared" si="65"/>
        <v/>
      </c>
      <c r="EA71" s="73" t="str">
        <f t="shared" si="65"/>
        <v/>
      </c>
      <c r="EB71" s="73" t="str">
        <f t="shared" si="65"/>
        <v/>
      </c>
      <c r="EC71" s="73" t="str">
        <f t="shared" si="65"/>
        <v/>
      </c>
      <c r="ED71" s="73" t="str">
        <f t="shared" ref="ED71:FI71" si="66">IF(ED16="","",(MAX(ED16-$C$1,0)/365))</f>
        <v/>
      </c>
      <c r="EE71" s="73" t="str">
        <f t="shared" si="66"/>
        <v/>
      </c>
      <c r="EF71" s="73" t="str">
        <f t="shared" si="66"/>
        <v/>
      </c>
      <c r="EG71" s="73" t="str">
        <f t="shared" si="66"/>
        <v/>
      </c>
      <c r="EH71" s="73" t="str">
        <f t="shared" si="66"/>
        <v/>
      </c>
      <c r="EI71" s="73" t="str">
        <f t="shared" si="66"/>
        <v/>
      </c>
      <c r="EJ71" s="73" t="str">
        <f t="shared" si="66"/>
        <v/>
      </c>
      <c r="EK71" s="73" t="str">
        <f t="shared" si="66"/>
        <v/>
      </c>
      <c r="EL71" s="73" t="str">
        <f t="shared" si="66"/>
        <v/>
      </c>
      <c r="EM71" s="73" t="str">
        <f t="shared" si="66"/>
        <v/>
      </c>
      <c r="EN71" s="73" t="str">
        <f t="shared" si="66"/>
        <v/>
      </c>
      <c r="EO71" s="73" t="str">
        <f t="shared" si="66"/>
        <v/>
      </c>
      <c r="EP71" s="73" t="str">
        <f t="shared" si="66"/>
        <v/>
      </c>
      <c r="EQ71" s="73" t="str">
        <f t="shared" si="66"/>
        <v/>
      </c>
      <c r="ER71" s="73" t="str">
        <f t="shared" si="66"/>
        <v/>
      </c>
      <c r="ES71" s="73" t="str">
        <f t="shared" si="66"/>
        <v/>
      </c>
      <c r="ET71" s="73" t="str">
        <f t="shared" si="66"/>
        <v/>
      </c>
      <c r="EU71" s="73" t="str">
        <f t="shared" si="66"/>
        <v/>
      </c>
      <c r="EV71" s="73" t="str">
        <f t="shared" si="66"/>
        <v/>
      </c>
      <c r="EW71" s="73" t="str">
        <f t="shared" si="66"/>
        <v/>
      </c>
      <c r="EX71" s="73" t="str">
        <f t="shared" si="66"/>
        <v/>
      </c>
      <c r="EY71" s="73" t="str">
        <f t="shared" si="66"/>
        <v/>
      </c>
      <c r="EZ71" s="73" t="str">
        <f t="shared" si="66"/>
        <v/>
      </c>
      <c r="FA71" s="73" t="str">
        <f t="shared" si="66"/>
        <v/>
      </c>
      <c r="FB71" s="73" t="str">
        <f t="shared" si="66"/>
        <v/>
      </c>
      <c r="FC71" s="73" t="str">
        <f t="shared" si="66"/>
        <v/>
      </c>
      <c r="FD71" s="73" t="str">
        <f t="shared" si="66"/>
        <v/>
      </c>
      <c r="FE71" s="73" t="str">
        <f t="shared" si="66"/>
        <v/>
      </c>
      <c r="FF71" s="73" t="str">
        <f t="shared" si="66"/>
        <v/>
      </c>
      <c r="FG71" s="73" t="str">
        <f t="shared" si="66"/>
        <v/>
      </c>
      <c r="FH71" s="73" t="str">
        <f t="shared" si="66"/>
        <v/>
      </c>
      <c r="FI71" s="73" t="str">
        <f t="shared" si="66"/>
        <v/>
      </c>
      <c r="FJ71" s="73" t="str">
        <f t="shared" ref="FJ71:GQ71" si="67">IF(FJ16="","",(MAX(FJ16-$C$1,0)/365))</f>
        <v/>
      </c>
      <c r="FK71" s="73" t="str">
        <f t="shared" si="67"/>
        <v/>
      </c>
      <c r="FL71" s="73" t="str">
        <f t="shared" si="67"/>
        <v/>
      </c>
      <c r="FM71" s="73" t="str">
        <f t="shared" si="67"/>
        <v/>
      </c>
      <c r="FN71" s="73" t="str">
        <f t="shared" si="67"/>
        <v/>
      </c>
      <c r="FO71" s="73" t="str">
        <f t="shared" si="67"/>
        <v/>
      </c>
      <c r="FP71" s="73" t="str">
        <f t="shared" si="67"/>
        <v/>
      </c>
      <c r="FQ71" s="73" t="str">
        <f t="shared" si="67"/>
        <v/>
      </c>
      <c r="FR71" s="73" t="str">
        <f t="shared" si="67"/>
        <v/>
      </c>
      <c r="FS71" s="73" t="str">
        <f t="shared" si="67"/>
        <v/>
      </c>
      <c r="FT71" s="73" t="str">
        <f t="shared" si="67"/>
        <v/>
      </c>
      <c r="FU71" s="73" t="str">
        <f t="shared" si="67"/>
        <v/>
      </c>
      <c r="FV71" s="73" t="str">
        <f t="shared" si="67"/>
        <v/>
      </c>
      <c r="FW71" s="73" t="str">
        <f t="shared" si="67"/>
        <v/>
      </c>
      <c r="FX71" s="73" t="str">
        <f t="shared" si="67"/>
        <v/>
      </c>
      <c r="FY71" s="73" t="str">
        <f t="shared" si="67"/>
        <v/>
      </c>
      <c r="FZ71" s="73" t="str">
        <f t="shared" si="67"/>
        <v/>
      </c>
      <c r="GA71" s="73" t="str">
        <f t="shared" si="67"/>
        <v/>
      </c>
      <c r="GB71" s="73" t="str">
        <f t="shared" si="67"/>
        <v/>
      </c>
      <c r="GC71" s="73" t="str">
        <f t="shared" si="67"/>
        <v/>
      </c>
      <c r="GD71" s="73" t="str">
        <f t="shared" si="67"/>
        <v/>
      </c>
      <c r="GE71" s="73" t="str">
        <f t="shared" si="67"/>
        <v/>
      </c>
      <c r="GF71" s="73" t="str">
        <f t="shared" si="67"/>
        <v/>
      </c>
      <c r="GG71" s="73" t="str">
        <f t="shared" si="67"/>
        <v/>
      </c>
      <c r="GH71" s="73" t="str">
        <f t="shared" si="67"/>
        <v/>
      </c>
      <c r="GI71" s="73" t="str">
        <f t="shared" si="67"/>
        <v/>
      </c>
      <c r="GJ71" s="73" t="str">
        <f t="shared" si="67"/>
        <v/>
      </c>
      <c r="GK71" s="73" t="str">
        <f t="shared" si="67"/>
        <v/>
      </c>
      <c r="GL71" s="73" t="str">
        <f t="shared" si="67"/>
        <v/>
      </c>
      <c r="GM71" s="73" t="str">
        <f t="shared" si="67"/>
        <v/>
      </c>
      <c r="GN71" s="73" t="str">
        <f t="shared" si="67"/>
        <v/>
      </c>
      <c r="GO71" s="73" t="str">
        <f t="shared" si="67"/>
        <v/>
      </c>
      <c r="GP71" s="73" t="str">
        <f t="shared" si="67"/>
        <v/>
      </c>
      <c r="GQ71" s="73" t="str">
        <f t="shared" si="67"/>
        <v/>
      </c>
    </row>
    <row r="72" spans="2:199" x14ac:dyDescent="0.2">
      <c r="B72" t="str">
        <f t="shared" ref="B72:B82" si="68">B45</f>
        <v>US040114GW47</v>
      </c>
      <c r="C72" t="str">
        <f t="shared" si="25"/>
        <v>USD 2021</v>
      </c>
      <c r="E72" s="73"/>
      <c r="F72" s="73">
        <f t="shared" ref="F72:AK72" si="69">IF(F17="","",(MAX(F17-$C$1,0)/365))</f>
        <v>0.10136986301369863</v>
      </c>
      <c r="G72" s="73">
        <f t="shared" si="69"/>
        <v>0.6</v>
      </c>
      <c r="H72" s="73" t="str">
        <f t="shared" si="69"/>
        <v/>
      </c>
      <c r="I72" s="73" t="str">
        <f t="shared" si="69"/>
        <v/>
      </c>
      <c r="J72" s="73" t="str">
        <f t="shared" si="69"/>
        <v/>
      </c>
      <c r="K72" s="73" t="str">
        <f t="shared" si="69"/>
        <v/>
      </c>
      <c r="L72" s="73" t="str">
        <f t="shared" si="69"/>
        <v/>
      </c>
      <c r="M72" s="73" t="str">
        <f t="shared" si="69"/>
        <v/>
      </c>
      <c r="N72" s="73" t="str">
        <f t="shared" si="69"/>
        <v/>
      </c>
      <c r="O72" s="73" t="str">
        <f t="shared" si="69"/>
        <v/>
      </c>
      <c r="P72" s="73" t="str">
        <f t="shared" si="69"/>
        <v/>
      </c>
      <c r="Q72" s="73" t="str">
        <f t="shared" si="69"/>
        <v/>
      </c>
      <c r="R72" s="73" t="str">
        <f t="shared" si="69"/>
        <v/>
      </c>
      <c r="S72" s="73" t="str">
        <f t="shared" si="69"/>
        <v/>
      </c>
      <c r="T72" s="73" t="str">
        <f t="shared" si="69"/>
        <v/>
      </c>
      <c r="U72" s="73" t="str">
        <f t="shared" si="69"/>
        <v/>
      </c>
      <c r="V72" s="73" t="str">
        <f t="shared" si="69"/>
        <v/>
      </c>
      <c r="W72" s="73" t="str">
        <f t="shared" si="69"/>
        <v/>
      </c>
      <c r="X72" s="73" t="str">
        <f t="shared" si="69"/>
        <v/>
      </c>
      <c r="Y72" s="73" t="str">
        <f t="shared" si="69"/>
        <v/>
      </c>
      <c r="Z72" s="73" t="str">
        <f t="shared" si="69"/>
        <v/>
      </c>
      <c r="AA72" s="73" t="str">
        <f t="shared" si="69"/>
        <v/>
      </c>
      <c r="AB72" s="73" t="str">
        <f t="shared" si="69"/>
        <v/>
      </c>
      <c r="AC72" s="73" t="str">
        <f t="shared" si="69"/>
        <v/>
      </c>
      <c r="AD72" s="73" t="str">
        <f t="shared" si="69"/>
        <v/>
      </c>
      <c r="AE72" s="73" t="str">
        <f t="shared" si="69"/>
        <v/>
      </c>
      <c r="AF72" s="73" t="str">
        <f t="shared" si="69"/>
        <v/>
      </c>
      <c r="AG72" s="73" t="str">
        <f t="shared" si="69"/>
        <v/>
      </c>
      <c r="AH72" s="73" t="str">
        <f t="shared" si="69"/>
        <v/>
      </c>
      <c r="AI72" s="73" t="str">
        <f t="shared" si="69"/>
        <v/>
      </c>
      <c r="AJ72" s="73" t="str">
        <f t="shared" si="69"/>
        <v/>
      </c>
      <c r="AK72" s="73" t="str">
        <f t="shared" si="69"/>
        <v/>
      </c>
      <c r="AL72" s="73" t="str">
        <f t="shared" ref="AL72:BQ72" si="70">IF(AL17="","",(MAX(AL17-$C$1,0)/365))</f>
        <v/>
      </c>
      <c r="AM72" s="73" t="str">
        <f t="shared" si="70"/>
        <v/>
      </c>
      <c r="AN72" s="73" t="str">
        <f t="shared" si="70"/>
        <v/>
      </c>
      <c r="AO72" s="73" t="str">
        <f t="shared" si="70"/>
        <v/>
      </c>
      <c r="AP72" s="73" t="str">
        <f t="shared" si="70"/>
        <v/>
      </c>
      <c r="AQ72" s="73" t="str">
        <f t="shared" si="70"/>
        <v/>
      </c>
      <c r="AR72" s="73" t="str">
        <f t="shared" si="70"/>
        <v/>
      </c>
      <c r="AS72" s="73" t="str">
        <f t="shared" si="70"/>
        <v/>
      </c>
      <c r="AT72" s="73" t="str">
        <f t="shared" si="70"/>
        <v/>
      </c>
      <c r="AU72" s="73" t="str">
        <f t="shared" si="70"/>
        <v/>
      </c>
      <c r="AV72" s="73" t="str">
        <f t="shared" si="70"/>
        <v/>
      </c>
      <c r="AW72" s="73" t="str">
        <f t="shared" si="70"/>
        <v/>
      </c>
      <c r="AX72" s="73" t="str">
        <f t="shared" si="70"/>
        <v/>
      </c>
      <c r="AY72" s="73" t="str">
        <f t="shared" si="70"/>
        <v/>
      </c>
      <c r="AZ72" s="73" t="str">
        <f t="shared" si="70"/>
        <v/>
      </c>
      <c r="BA72" s="73" t="str">
        <f t="shared" si="70"/>
        <v/>
      </c>
      <c r="BB72" s="73" t="str">
        <f t="shared" si="70"/>
        <v/>
      </c>
      <c r="BC72" s="73" t="str">
        <f t="shared" si="70"/>
        <v/>
      </c>
      <c r="BD72" s="73" t="str">
        <f t="shared" si="70"/>
        <v/>
      </c>
      <c r="BE72" s="73" t="str">
        <f t="shared" si="70"/>
        <v/>
      </c>
      <c r="BF72" s="73" t="str">
        <f t="shared" si="70"/>
        <v/>
      </c>
      <c r="BG72" s="73" t="str">
        <f t="shared" si="70"/>
        <v/>
      </c>
      <c r="BH72" s="73" t="str">
        <f t="shared" si="70"/>
        <v/>
      </c>
      <c r="BI72" s="73" t="str">
        <f t="shared" si="70"/>
        <v/>
      </c>
      <c r="BJ72" s="73" t="str">
        <f t="shared" si="70"/>
        <v/>
      </c>
      <c r="BK72" s="73" t="str">
        <f t="shared" si="70"/>
        <v/>
      </c>
      <c r="BL72" s="73" t="str">
        <f t="shared" si="70"/>
        <v/>
      </c>
      <c r="BM72" s="73" t="str">
        <f t="shared" si="70"/>
        <v/>
      </c>
      <c r="BN72" s="73" t="str">
        <f t="shared" si="70"/>
        <v/>
      </c>
      <c r="BO72" s="73" t="str">
        <f t="shared" si="70"/>
        <v/>
      </c>
      <c r="BP72" s="73" t="str">
        <f t="shared" si="70"/>
        <v/>
      </c>
      <c r="BQ72" s="73" t="str">
        <f t="shared" si="70"/>
        <v/>
      </c>
      <c r="BR72" s="73" t="str">
        <f t="shared" ref="BR72:CW72" si="71">IF(BR17="","",(MAX(BR17-$C$1,0)/365))</f>
        <v/>
      </c>
      <c r="BS72" s="73" t="str">
        <f t="shared" si="71"/>
        <v/>
      </c>
      <c r="BT72" s="73" t="str">
        <f t="shared" si="71"/>
        <v/>
      </c>
      <c r="BU72" s="73" t="str">
        <f t="shared" si="71"/>
        <v/>
      </c>
      <c r="BV72" s="73" t="str">
        <f t="shared" si="71"/>
        <v/>
      </c>
      <c r="BW72" s="73" t="str">
        <f t="shared" si="71"/>
        <v/>
      </c>
      <c r="BX72" s="73" t="str">
        <f t="shared" si="71"/>
        <v/>
      </c>
      <c r="BY72" s="73" t="str">
        <f t="shared" si="71"/>
        <v/>
      </c>
      <c r="BZ72" s="73" t="str">
        <f t="shared" si="71"/>
        <v/>
      </c>
      <c r="CA72" s="73" t="str">
        <f t="shared" si="71"/>
        <v/>
      </c>
      <c r="CB72" s="73" t="str">
        <f t="shared" si="71"/>
        <v/>
      </c>
      <c r="CC72" s="73" t="str">
        <f t="shared" si="71"/>
        <v/>
      </c>
      <c r="CD72" s="73" t="str">
        <f t="shared" si="71"/>
        <v/>
      </c>
      <c r="CE72" s="73" t="str">
        <f t="shared" si="71"/>
        <v/>
      </c>
      <c r="CF72" s="73" t="str">
        <f t="shared" si="71"/>
        <v/>
      </c>
      <c r="CG72" s="73" t="str">
        <f t="shared" si="71"/>
        <v/>
      </c>
      <c r="CH72" s="73" t="str">
        <f t="shared" si="71"/>
        <v/>
      </c>
      <c r="CI72" s="73" t="str">
        <f t="shared" si="71"/>
        <v/>
      </c>
      <c r="CJ72" s="73" t="str">
        <f t="shared" si="71"/>
        <v/>
      </c>
      <c r="CK72" s="73" t="str">
        <f t="shared" si="71"/>
        <v/>
      </c>
      <c r="CL72" s="73" t="str">
        <f t="shared" si="71"/>
        <v/>
      </c>
      <c r="CM72" s="73" t="str">
        <f t="shared" si="71"/>
        <v/>
      </c>
      <c r="CN72" s="73" t="str">
        <f t="shared" si="71"/>
        <v/>
      </c>
      <c r="CO72" s="73" t="str">
        <f t="shared" si="71"/>
        <v/>
      </c>
      <c r="CP72" s="73" t="str">
        <f t="shared" si="71"/>
        <v/>
      </c>
      <c r="CQ72" s="73" t="str">
        <f t="shared" si="71"/>
        <v/>
      </c>
      <c r="CR72" s="73" t="str">
        <f t="shared" si="71"/>
        <v/>
      </c>
      <c r="CS72" s="73" t="str">
        <f t="shared" si="71"/>
        <v/>
      </c>
      <c r="CT72" s="73" t="str">
        <f t="shared" si="71"/>
        <v/>
      </c>
      <c r="CU72" s="73" t="str">
        <f t="shared" si="71"/>
        <v/>
      </c>
      <c r="CV72" s="73" t="str">
        <f t="shared" si="71"/>
        <v/>
      </c>
      <c r="CW72" s="73" t="str">
        <f t="shared" si="71"/>
        <v/>
      </c>
      <c r="CX72" s="73" t="str">
        <f t="shared" ref="CX72:EC72" si="72">IF(CX17="","",(MAX(CX17-$C$1,0)/365))</f>
        <v/>
      </c>
      <c r="CY72" s="73" t="str">
        <f t="shared" si="72"/>
        <v/>
      </c>
      <c r="CZ72" s="73" t="str">
        <f t="shared" si="72"/>
        <v/>
      </c>
      <c r="DA72" s="73" t="str">
        <f t="shared" si="72"/>
        <v/>
      </c>
      <c r="DB72" s="73" t="str">
        <f t="shared" si="72"/>
        <v/>
      </c>
      <c r="DC72" s="73" t="str">
        <f t="shared" si="72"/>
        <v/>
      </c>
      <c r="DD72" s="73" t="str">
        <f t="shared" si="72"/>
        <v/>
      </c>
      <c r="DE72" s="73" t="str">
        <f t="shared" si="72"/>
        <v/>
      </c>
      <c r="DF72" s="73" t="str">
        <f t="shared" si="72"/>
        <v/>
      </c>
      <c r="DG72" s="73" t="str">
        <f t="shared" si="72"/>
        <v/>
      </c>
      <c r="DH72" s="73" t="str">
        <f t="shared" si="72"/>
        <v/>
      </c>
      <c r="DI72" s="73" t="str">
        <f t="shared" si="72"/>
        <v/>
      </c>
      <c r="DJ72" s="73" t="str">
        <f t="shared" si="72"/>
        <v/>
      </c>
      <c r="DK72" s="73" t="str">
        <f t="shared" si="72"/>
        <v/>
      </c>
      <c r="DL72" s="73" t="str">
        <f t="shared" si="72"/>
        <v/>
      </c>
      <c r="DM72" s="73" t="str">
        <f t="shared" si="72"/>
        <v/>
      </c>
      <c r="DN72" s="73" t="str">
        <f t="shared" si="72"/>
        <v/>
      </c>
      <c r="DO72" s="73" t="str">
        <f t="shared" si="72"/>
        <v/>
      </c>
      <c r="DP72" s="73" t="str">
        <f t="shared" si="72"/>
        <v/>
      </c>
      <c r="DQ72" s="73" t="str">
        <f t="shared" si="72"/>
        <v/>
      </c>
      <c r="DR72" s="73" t="str">
        <f t="shared" si="72"/>
        <v/>
      </c>
      <c r="DS72" s="73" t="str">
        <f t="shared" si="72"/>
        <v/>
      </c>
      <c r="DT72" s="73" t="str">
        <f t="shared" si="72"/>
        <v/>
      </c>
      <c r="DU72" s="73" t="str">
        <f t="shared" si="72"/>
        <v/>
      </c>
      <c r="DV72" s="73" t="str">
        <f t="shared" si="72"/>
        <v/>
      </c>
      <c r="DW72" s="73" t="str">
        <f t="shared" si="72"/>
        <v/>
      </c>
      <c r="DX72" s="73" t="str">
        <f t="shared" si="72"/>
        <v/>
      </c>
      <c r="DY72" s="73" t="str">
        <f t="shared" si="72"/>
        <v/>
      </c>
      <c r="DZ72" s="73" t="str">
        <f t="shared" si="72"/>
        <v/>
      </c>
      <c r="EA72" s="73" t="str">
        <f t="shared" si="72"/>
        <v/>
      </c>
      <c r="EB72" s="73" t="str">
        <f t="shared" si="72"/>
        <v/>
      </c>
      <c r="EC72" s="73" t="str">
        <f t="shared" si="72"/>
        <v/>
      </c>
      <c r="ED72" s="73" t="str">
        <f t="shared" ref="ED72:FI72" si="73">IF(ED17="","",(MAX(ED17-$C$1,0)/365))</f>
        <v/>
      </c>
      <c r="EE72" s="73" t="str">
        <f t="shared" si="73"/>
        <v/>
      </c>
      <c r="EF72" s="73" t="str">
        <f t="shared" si="73"/>
        <v/>
      </c>
      <c r="EG72" s="73" t="str">
        <f t="shared" si="73"/>
        <v/>
      </c>
      <c r="EH72" s="73" t="str">
        <f t="shared" si="73"/>
        <v/>
      </c>
      <c r="EI72" s="73" t="str">
        <f t="shared" si="73"/>
        <v/>
      </c>
      <c r="EJ72" s="73" t="str">
        <f t="shared" si="73"/>
        <v/>
      </c>
      <c r="EK72" s="73" t="str">
        <f t="shared" si="73"/>
        <v/>
      </c>
      <c r="EL72" s="73" t="str">
        <f t="shared" si="73"/>
        <v/>
      </c>
      <c r="EM72" s="73" t="str">
        <f t="shared" si="73"/>
        <v/>
      </c>
      <c r="EN72" s="73" t="str">
        <f t="shared" si="73"/>
        <v/>
      </c>
      <c r="EO72" s="73" t="str">
        <f t="shared" si="73"/>
        <v/>
      </c>
      <c r="EP72" s="73" t="str">
        <f t="shared" si="73"/>
        <v/>
      </c>
      <c r="EQ72" s="73" t="str">
        <f t="shared" si="73"/>
        <v/>
      </c>
      <c r="ER72" s="73" t="str">
        <f t="shared" si="73"/>
        <v/>
      </c>
      <c r="ES72" s="73" t="str">
        <f t="shared" si="73"/>
        <v/>
      </c>
      <c r="ET72" s="73" t="str">
        <f t="shared" si="73"/>
        <v/>
      </c>
      <c r="EU72" s="73" t="str">
        <f t="shared" si="73"/>
        <v/>
      </c>
      <c r="EV72" s="73" t="str">
        <f t="shared" si="73"/>
        <v/>
      </c>
      <c r="EW72" s="73" t="str">
        <f t="shared" si="73"/>
        <v/>
      </c>
      <c r="EX72" s="73" t="str">
        <f t="shared" si="73"/>
        <v/>
      </c>
      <c r="EY72" s="73" t="str">
        <f t="shared" si="73"/>
        <v/>
      </c>
      <c r="EZ72" s="73" t="str">
        <f t="shared" si="73"/>
        <v/>
      </c>
      <c r="FA72" s="73" t="str">
        <f t="shared" si="73"/>
        <v/>
      </c>
      <c r="FB72" s="73" t="str">
        <f t="shared" si="73"/>
        <v/>
      </c>
      <c r="FC72" s="73" t="str">
        <f t="shared" si="73"/>
        <v/>
      </c>
      <c r="FD72" s="73" t="str">
        <f t="shared" si="73"/>
        <v/>
      </c>
      <c r="FE72" s="73" t="str">
        <f t="shared" si="73"/>
        <v/>
      </c>
      <c r="FF72" s="73" t="str">
        <f t="shared" si="73"/>
        <v/>
      </c>
      <c r="FG72" s="73" t="str">
        <f t="shared" si="73"/>
        <v/>
      </c>
      <c r="FH72" s="73" t="str">
        <f t="shared" si="73"/>
        <v/>
      </c>
      <c r="FI72" s="73" t="str">
        <f t="shared" si="73"/>
        <v/>
      </c>
      <c r="FJ72" s="73" t="str">
        <f t="shared" ref="FJ72:GQ72" si="74">IF(FJ17="","",(MAX(FJ17-$C$1,0)/365))</f>
        <v/>
      </c>
      <c r="FK72" s="73" t="str">
        <f t="shared" si="74"/>
        <v/>
      </c>
      <c r="FL72" s="73" t="str">
        <f t="shared" si="74"/>
        <v/>
      </c>
      <c r="FM72" s="73" t="str">
        <f t="shared" si="74"/>
        <v/>
      </c>
      <c r="FN72" s="73" t="str">
        <f t="shared" si="74"/>
        <v/>
      </c>
      <c r="FO72" s="73" t="str">
        <f t="shared" si="74"/>
        <v/>
      </c>
      <c r="FP72" s="73" t="str">
        <f t="shared" si="74"/>
        <v/>
      </c>
      <c r="FQ72" s="73" t="str">
        <f t="shared" si="74"/>
        <v/>
      </c>
      <c r="FR72" s="73" t="str">
        <f t="shared" si="74"/>
        <v/>
      </c>
      <c r="FS72" s="73" t="str">
        <f t="shared" si="74"/>
        <v/>
      </c>
      <c r="FT72" s="73" t="str">
        <f t="shared" si="74"/>
        <v/>
      </c>
      <c r="FU72" s="73" t="str">
        <f t="shared" si="74"/>
        <v/>
      </c>
      <c r="FV72" s="73" t="str">
        <f t="shared" si="74"/>
        <v/>
      </c>
      <c r="FW72" s="73" t="str">
        <f t="shared" si="74"/>
        <v/>
      </c>
      <c r="FX72" s="73" t="str">
        <f t="shared" si="74"/>
        <v/>
      </c>
      <c r="FY72" s="73" t="str">
        <f t="shared" si="74"/>
        <v/>
      </c>
      <c r="FZ72" s="73" t="str">
        <f t="shared" si="74"/>
        <v/>
      </c>
      <c r="GA72" s="73" t="str">
        <f t="shared" si="74"/>
        <v/>
      </c>
      <c r="GB72" s="73" t="str">
        <f t="shared" si="74"/>
        <v/>
      </c>
      <c r="GC72" s="73" t="str">
        <f t="shared" si="74"/>
        <v/>
      </c>
      <c r="GD72" s="73" t="str">
        <f t="shared" si="74"/>
        <v/>
      </c>
      <c r="GE72" s="73" t="str">
        <f t="shared" si="74"/>
        <v/>
      </c>
      <c r="GF72" s="73" t="str">
        <f t="shared" si="74"/>
        <v/>
      </c>
      <c r="GG72" s="73" t="str">
        <f t="shared" si="74"/>
        <v/>
      </c>
      <c r="GH72" s="73" t="str">
        <f t="shared" si="74"/>
        <v/>
      </c>
      <c r="GI72" s="73" t="str">
        <f t="shared" si="74"/>
        <v/>
      </c>
      <c r="GJ72" s="73" t="str">
        <f t="shared" si="74"/>
        <v/>
      </c>
      <c r="GK72" s="73" t="str">
        <f t="shared" si="74"/>
        <v/>
      </c>
      <c r="GL72" s="73" t="str">
        <f t="shared" si="74"/>
        <v/>
      </c>
      <c r="GM72" s="73" t="str">
        <f t="shared" si="74"/>
        <v/>
      </c>
      <c r="GN72" s="73" t="str">
        <f t="shared" si="74"/>
        <v/>
      </c>
      <c r="GO72" s="73" t="str">
        <f t="shared" si="74"/>
        <v/>
      </c>
      <c r="GP72" s="73" t="str">
        <f t="shared" si="74"/>
        <v/>
      </c>
      <c r="GQ72" s="73" t="str">
        <f t="shared" si="74"/>
        <v/>
      </c>
    </row>
    <row r="73" spans="2:199" x14ac:dyDescent="0.2">
      <c r="B73" t="str">
        <f t="shared" si="68"/>
        <v>US040114HK99</v>
      </c>
      <c r="C73" t="str">
        <f t="shared" si="25"/>
        <v>USD 2022</v>
      </c>
      <c r="E73" s="73"/>
      <c r="F73" s="73">
        <f t="shared" ref="F73:AK73" si="75">IF(F18="","",(MAX(F18-$C$1,0)/365))</f>
        <v>0.36438356164383562</v>
      </c>
      <c r="G73" s="73">
        <f t="shared" si="75"/>
        <v>0.86027397260273974</v>
      </c>
      <c r="H73" s="73">
        <f t="shared" si="75"/>
        <v>1.3643835616438356</v>
      </c>
      <c r="I73" s="73" t="str">
        <f t="shared" si="75"/>
        <v/>
      </c>
      <c r="J73" s="73" t="str">
        <f t="shared" si="75"/>
        <v/>
      </c>
      <c r="K73" s="73" t="str">
        <f t="shared" si="75"/>
        <v/>
      </c>
      <c r="L73" s="73" t="str">
        <f t="shared" si="75"/>
        <v/>
      </c>
      <c r="M73" s="73" t="str">
        <f t="shared" si="75"/>
        <v/>
      </c>
      <c r="N73" s="73" t="str">
        <f t="shared" si="75"/>
        <v/>
      </c>
      <c r="O73" s="73" t="str">
        <f t="shared" si="75"/>
        <v/>
      </c>
      <c r="P73" s="73" t="str">
        <f t="shared" si="75"/>
        <v/>
      </c>
      <c r="Q73" s="73" t="str">
        <f t="shared" si="75"/>
        <v/>
      </c>
      <c r="R73" s="73" t="str">
        <f t="shared" si="75"/>
        <v/>
      </c>
      <c r="S73" s="73" t="str">
        <f t="shared" si="75"/>
        <v/>
      </c>
      <c r="T73" s="73" t="str">
        <f t="shared" si="75"/>
        <v/>
      </c>
      <c r="U73" s="73" t="str">
        <f t="shared" si="75"/>
        <v/>
      </c>
      <c r="V73" s="73" t="str">
        <f t="shared" si="75"/>
        <v/>
      </c>
      <c r="W73" s="73" t="str">
        <f t="shared" si="75"/>
        <v/>
      </c>
      <c r="X73" s="73" t="str">
        <f t="shared" si="75"/>
        <v/>
      </c>
      <c r="Y73" s="73" t="str">
        <f t="shared" si="75"/>
        <v/>
      </c>
      <c r="Z73" s="73" t="str">
        <f t="shared" si="75"/>
        <v/>
      </c>
      <c r="AA73" s="73" t="str">
        <f t="shared" si="75"/>
        <v/>
      </c>
      <c r="AB73" s="73" t="str">
        <f t="shared" si="75"/>
        <v/>
      </c>
      <c r="AC73" s="73" t="str">
        <f t="shared" si="75"/>
        <v/>
      </c>
      <c r="AD73" s="73" t="str">
        <f t="shared" si="75"/>
        <v/>
      </c>
      <c r="AE73" s="73" t="str">
        <f t="shared" si="75"/>
        <v/>
      </c>
      <c r="AF73" s="73" t="str">
        <f t="shared" si="75"/>
        <v/>
      </c>
      <c r="AG73" s="73" t="str">
        <f t="shared" si="75"/>
        <v/>
      </c>
      <c r="AH73" s="73" t="str">
        <f t="shared" si="75"/>
        <v/>
      </c>
      <c r="AI73" s="73" t="str">
        <f t="shared" si="75"/>
        <v/>
      </c>
      <c r="AJ73" s="73" t="str">
        <f t="shared" si="75"/>
        <v/>
      </c>
      <c r="AK73" s="73" t="str">
        <f t="shared" si="75"/>
        <v/>
      </c>
      <c r="AL73" s="73" t="str">
        <f t="shared" ref="AL73:BQ73" si="76">IF(AL18="","",(MAX(AL18-$C$1,0)/365))</f>
        <v/>
      </c>
      <c r="AM73" s="73" t="str">
        <f t="shared" si="76"/>
        <v/>
      </c>
      <c r="AN73" s="73" t="str">
        <f t="shared" si="76"/>
        <v/>
      </c>
      <c r="AO73" s="73" t="str">
        <f t="shared" si="76"/>
        <v/>
      </c>
      <c r="AP73" s="73" t="str">
        <f t="shared" si="76"/>
        <v/>
      </c>
      <c r="AQ73" s="73" t="str">
        <f t="shared" si="76"/>
        <v/>
      </c>
      <c r="AR73" s="73" t="str">
        <f t="shared" si="76"/>
        <v/>
      </c>
      <c r="AS73" s="73" t="str">
        <f t="shared" si="76"/>
        <v/>
      </c>
      <c r="AT73" s="73" t="str">
        <f t="shared" si="76"/>
        <v/>
      </c>
      <c r="AU73" s="73" t="str">
        <f t="shared" si="76"/>
        <v/>
      </c>
      <c r="AV73" s="73" t="str">
        <f t="shared" si="76"/>
        <v/>
      </c>
      <c r="AW73" s="73" t="str">
        <f t="shared" si="76"/>
        <v/>
      </c>
      <c r="AX73" s="73" t="str">
        <f t="shared" si="76"/>
        <v/>
      </c>
      <c r="AY73" s="73" t="str">
        <f t="shared" si="76"/>
        <v/>
      </c>
      <c r="AZ73" s="73" t="str">
        <f t="shared" si="76"/>
        <v/>
      </c>
      <c r="BA73" s="73" t="str">
        <f t="shared" si="76"/>
        <v/>
      </c>
      <c r="BB73" s="73" t="str">
        <f t="shared" si="76"/>
        <v/>
      </c>
      <c r="BC73" s="73" t="str">
        <f t="shared" si="76"/>
        <v/>
      </c>
      <c r="BD73" s="73" t="str">
        <f t="shared" si="76"/>
        <v/>
      </c>
      <c r="BE73" s="73" t="str">
        <f t="shared" si="76"/>
        <v/>
      </c>
      <c r="BF73" s="73" t="str">
        <f t="shared" si="76"/>
        <v/>
      </c>
      <c r="BG73" s="73" t="str">
        <f t="shared" si="76"/>
        <v/>
      </c>
      <c r="BH73" s="73" t="str">
        <f t="shared" si="76"/>
        <v/>
      </c>
      <c r="BI73" s="73" t="str">
        <f t="shared" si="76"/>
        <v/>
      </c>
      <c r="BJ73" s="73" t="str">
        <f t="shared" si="76"/>
        <v/>
      </c>
      <c r="BK73" s="73" t="str">
        <f t="shared" si="76"/>
        <v/>
      </c>
      <c r="BL73" s="73" t="str">
        <f t="shared" si="76"/>
        <v/>
      </c>
      <c r="BM73" s="73" t="str">
        <f t="shared" si="76"/>
        <v/>
      </c>
      <c r="BN73" s="73" t="str">
        <f t="shared" si="76"/>
        <v/>
      </c>
      <c r="BO73" s="73" t="str">
        <f t="shared" si="76"/>
        <v/>
      </c>
      <c r="BP73" s="73" t="str">
        <f t="shared" si="76"/>
        <v/>
      </c>
      <c r="BQ73" s="73" t="str">
        <f t="shared" si="76"/>
        <v/>
      </c>
      <c r="BR73" s="73" t="str">
        <f t="shared" ref="BR73:CW73" si="77">IF(BR18="","",(MAX(BR18-$C$1,0)/365))</f>
        <v/>
      </c>
      <c r="BS73" s="73" t="str">
        <f t="shared" si="77"/>
        <v/>
      </c>
      <c r="BT73" s="73" t="str">
        <f t="shared" si="77"/>
        <v/>
      </c>
      <c r="BU73" s="73" t="str">
        <f t="shared" si="77"/>
        <v/>
      </c>
      <c r="BV73" s="73" t="str">
        <f t="shared" si="77"/>
        <v/>
      </c>
      <c r="BW73" s="73" t="str">
        <f t="shared" si="77"/>
        <v/>
      </c>
      <c r="BX73" s="73" t="str">
        <f t="shared" si="77"/>
        <v/>
      </c>
      <c r="BY73" s="73" t="str">
        <f t="shared" si="77"/>
        <v/>
      </c>
      <c r="BZ73" s="73" t="str">
        <f t="shared" si="77"/>
        <v/>
      </c>
      <c r="CA73" s="73" t="str">
        <f t="shared" si="77"/>
        <v/>
      </c>
      <c r="CB73" s="73" t="str">
        <f t="shared" si="77"/>
        <v/>
      </c>
      <c r="CC73" s="73" t="str">
        <f t="shared" si="77"/>
        <v/>
      </c>
      <c r="CD73" s="73" t="str">
        <f t="shared" si="77"/>
        <v/>
      </c>
      <c r="CE73" s="73" t="str">
        <f t="shared" si="77"/>
        <v/>
      </c>
      <c r="CF73" s="73" t="str">
        <f t="shared" si="77"/>
        <v/>
      </c>
      <c r="CG73" s="73" t="str">
        <f t="shared" si="77"/>
        <v/>
      </c>
      <c r="CH73" s="73" t="str">
        <f t="shared" si="77"/>
        <v/>
      </c>
      <c r="CI73" s="73" t="str">
        <f t="shared" si="77"/>
        <v/>
      </c>
      <c r="CJ73" s="73" t="str">
        <f t="shared" si="77"/>
        <v/>
      </c>
      <c r="CK73" s="73" t="str">
        <f t="shared" si="77"/>
        <v/>
      </c>
      <c r="CL73" s="73" t="str">
        <f t="shared" si="77"/>
        <v/>
      </c>
      <c r="CM73" s="73" t="str">
        <f t="shared" si="77"/>
        <v/>
      </c>
      <c r="CN73" s="73" t="str">
        <f t="shared" si="77"/>
        <v/>
      </c>
      <c r="CO73" s="73" t="str">
        <f t="shared" si="77"/>
        <v/>
      </c>
      <c r="CP73" s="73" t="str">
        <f t="shared" si="77"/>
        <v/>
      </c>
      <c r="CQ73" s="73" t="str">
        <f t="shared" si="77"/>
        <v/>
      </c>
      <c r="CR73" s="73" t="str">
        <f t="shared" si="77"/>
        <v/>
      </c>
      <c r="CS73" s="73" t="str">
        <f t="shared" si="77"/>
        <v/>
      </c>
      <c r="CT73" s="73" t="str">
        <f t="shared" si="77"/>
        <v/>
      </c>
      <c r="CU73" s="73" t="str">
        <f t="shared" si="77"/>
        <v/>
      </c>
      <c r="CV73" s="73" t="str">
        <f t="shared" si="77"/>
        <v/>
      </c>
      <c r="CW73" s="73" t="str">
        <f t="shared" si="77"/>
        <v/>
      </c>
      <c r="CX73" s="73" t="str">
        <f t="shared" ref="CX73:EC73" si="78">IF(CX18="","",(MAX(CX18-$C$1,0)/365))</f>
        <v/>
      </c>
      <c r="CY73" s="73" t="str">
        <f t="shared" si="78"/>
        <v/>
      </c>
      <c r="CZ73" s="73" t="str">
        <f t="shared" si="78"/>
        <v/>
      </c>
      <c r="DA73" s="73" t="str">
        <f t="shared" si="78"/>
        <v/>
      </c>
      <c r="DB73" s="73" t="str">
        <f t="shared" si="78"/>
        <v/>
      </c>
      <c r="DC73" s="73" t="str">
        <f t="shared" si="78"/>
        <v/>
      </c>
      <c r="DD73" s="73" t="str">
        <f t="shared" si="78"/>
        <v/>
      </c>
      <c r="DE73" s="73" t="str">
        <f t="shared" si="78"/>
        <v/>
      </c>
      <c r="DF73" s="73" t="str">
        <f t="shared" si="78"/>
        <v/>
      </c>
      <c r="DG73" s="73" t="str">
        <f t="shared" si="78"/>
        <v/>
      </c>
      <c r="DH73" s="73" t="str">
        <f t="shared" si="78"/>
        <v/>
      </c>
      <c r="DI73" s="73" t="str">
        <f t="shared" si="78"/>
        <v/>
      </c>
      <c r="DJ73" s="73" t="str">
        <f t="shared" si="78"/>
        <v/>
      </c>
      <c r="DK73" s="73" t="str">
        <f t="shared" si="78"/>
        <v/>
      </c>
      <c r="DL73" s="73" t="str">
        <f t="shared" si="78"/>
        <v/>
      </c>
      <c r="DM73" s="73" t="str">
        <f t="shared" si="78"/>
        <v/>
      </c>
      <c r="DN73" s="73" t="str">
        <f t="shared" si="78"/>
        <v/>
      </c>
      <c r="DO73" s="73" t="str">
        <f t="shared" si="78"/>
        <v/>
      </c>
      <c r="DP73" s="73" t="str">
        <f t="shared" si="78"/>
        <v/>
      </c>
      <c r="DQ73" s="73" t="str">
        <f t="shared" si="78"/>
        <v/>
      </c>
      <c r="DR73" s="73" t="str">
        <f t="shared" si="78"/>
        <v/>
      </c>
      <c r="DS73" s="73" t="str">
        <f t="shared" si="78"/>
        <v/>
      </c>
      <c r="DT73" s="73" t="str">
        <f t="shared" si="78"/>
        <v/>
      </c>
      <c r="DU73" s="73" t="str">
        <f t="shared" si="78"/>
        <v/>
      </c>
      <c r="DV73" s="73" t="str">
        <f t="shared" si="78"/>
        <v/>
      </c>
      <c r="DW73" s="73" t="str">
        <f t="shared" si="78"/>
        <v/>
      </c>
      <c r="DX73" s="73" t="str">
        <f t="shared" si="78"/>
        <v/>
      </c>
      <c r="DY73" s="73" t="str">
        <f t="shared" si="78"/>
        <v/>
      </c>
      <c r="DZ73" s="73" t="str">
        <f t="shared" si="78"/>
        <v/>
      </c>
      <c r="EA73" s="73" t="str">
        <f t="shared" si="78"/>
        <v/>
      </c>
      <c r="EB73" s="73" t="str">
        <f t="shared" si="78"/>
        <v/>
      </c>
      <c r="EC73" s="73" t="str">
        <f t="shared" si="78"/>
        <v/>
      </c>
      <c r="ED73" s="73" t="str">
        <f t="shared" ref="ED73:FI73" si="79">IF(ED18="","",(MAX(ED18-$C$1,0)/365))</f>
        <v/>
      </c>
      <c r="EE73" s="73" t="str">
        <f t="shared" si="79"/>
        <v/>
      </c>
      <c r="EF73" s="73" t="str">
        <f t="shared" si="79"/>
        <v/>
      </c>
      <c r="EG73" s="73" t="str">
        <f t="shared" si="79"/>
        <v/>
      </c>
      <c r="EH73" s="73" t="str">
        <f t="shared" si="79"/>
        <v/>
      </c>
      <c r="EI73" s="73" t="str">
        <f t="shared" si="79"/>
        <v/>
      </c>
      <c r="EJ73" s="73" t="str">
        <f t="shared" si="79"/>
        <v/>
      </c>
      <c r="EK73" s="73" t="str">
        <f t="shared" si="79"/>
        <v/>
      </c>
      <c r="EL73" s="73" t="str">
        <f t="shared" si="79"/>
        <v/>
      </c>
      <c r="EM73" s="73" t="str">
        <f t="shared" si="79"/>
        <v/>
      </c>
      <c r="EN73" s="73" t="str">
        <f t="shared" si="79"/>
        <v/>
      </c>
      <c r="EO73" s="73" t="str">
        <f t="shared" si="79"/>
        <v/>
      </c>
      <c r="EP73" s="73" t="str">
        <f t="shared" si="79"/>
        <v/>
      </c>
      <c r="EQ73" s="73" t="str">
        <f t="shared" si="79"/>
        <v/>
      </c>
      <c r="ER73" s="73" t="str">
        <f t="shared" si="79"/>
        <v/>
      </c>
      <c r="ES73" s="73" t="str">
        <f t="shared" si="79"/>
        <v/>
      </c>
      <c r="ET73" s="73" t="str">
        <f t="shared" si="79"/>
        <v/>
      </c>
      <c r="EU73" s="73" t="str">
        <f t="shared" si="79"/>
        <v/>
      </c>
      <c r="EV73" s="73" t="str">
        <f t="shared" si="79"/>
        <v/>
      </c>
      <c r="EW73" s="73" t="str">
        <f t="shared" si="79"/>
        <v/>
      </c>
      <c r="EX73" s="73" t="str">
        <f t="shared" si="79"/>
        <v/>
      </c>
      <c r="EY73" s="73" t="str">
        <f t="shared" si="79"/>
        <v/>
      </c>
      <c r="EZ73" s="73" t="str">
        <f t="shared" si="79"/>
        <v/>
      </c>
      <c r="FA73" s="73" t="str">
        <f t="shared" si="79"/>
        <v/>
      </c>
      <c r="FB73" s="73" t="str">
        <f t="shared" si="79"/>
        <v/>
      </c>
      <c r="FC73" s="73" t="str">
        <f t="shared" si="79"/>
        <v/>
      </c>
      <c r="FD73" s="73" t="str">
        <f t="shared" si="79"/>
        <v/>
      </c>
      <c r="FE73" s="73" t="str">
        <f t="shared" si="79"/>
        <v/>
      </c>
      <c r="FF73" s="73" t="str">
        <f t="shared" si="79"/>
        <v/>
      </c>
      <c r="FG73" s="73" t="str">
        <f t="shared" si="79"/>
        <v/>
      </c>
      <c r="FH73" s="73" t="str">
        <f t="shared" si="79"/>
        <v/>
      </c>
      <c r="FI73" s="73" t="str">
        <f t="shared" si="79"/>
        <v/>
      </c>
      <c r="FJ73" s="73" t="str">
        <f t="shared" ref="FJ73:GQ73" si="80">IF(FJ18="","",(MAX(FJ18-$C$1,0)/365))</f>
        <v/>
      </c>
      <c r="FK73" s="73" t="str">
        <f t="shared" si="80"/>
        <v/>
      </c>
      <c r="FL73" s="73" t="str">
        <f t="shared" si="80"/>
        <v/>
      </c>
      <c r="FM73" s="73" t="str">
        <f t="shared" si="80"/>
        <v/>
      </c>
      <c r="FN73" s="73" t="str">
        <f t="shared" si="80"/>
        <v/>
      </c>
      <c r="FO73" s="73" t="str">
        <f t="shared" si="80"/>
        <v/>
      </c>
      <c r="FP73" s="73" t="str">
        <f t="shared" si="80"/>
        <v/>
      </c>
      <c r="FQ73" s="73" t="str">
        <f t="shared" si="80"/>
        <v/>
      </c>
      <c r="FR73" s="73" t="str">
        <f t="shared" si="80"/>
        <v/>
      </c>
      <c r="FS73" s="73" t="str">
        <f t="shared" si="80"/>
        <v/>
      </c>
      <c r="FT73" s="73" t="str">
        <f t="shared" si="80"/>
        <v/>
      </c>
      <c r="FU73" s="73" t="str">
        <f t="shared" si="80"/>
        <v/>
      </c>
      <c r="FV73" s="73" t="str">
        <f t="shared" si="80"/>
        <v/>
      </c>
      <c r="FW73" s="73" t="str">
        <f t="shared" si="80"/>
        <v/>
      </c>
      <c r="FX73" s="73" t="str">
        <f t="shared" si="80"/>
        <v/>
      </c>
      <c r="FY73" s="73" t="str">
        <f t="shared" si="80"/>
        <v/>
      </c>
      <c r="FZ73" s="73" t="str">
        <f t="shared" si="80"/>
        <v/>
      </c>
      <c r="GA73" s="73" t="str">
        <f t="shared" si="80"/>
        <v/>
      </c>
      <c r="GB73" s="73" t="str">
        <f t="shared" si="80"/>
        <v/>
      </c>
      <c r="GC73" s="73" t="str">
        <f t="shared" si="80"/>
        <v/>
      </c>
      <c r="GD73" s="73" t="str">
        <f t="shared" si="80"/>
        <v/>
      </c>
      <c r="GE73" s="73" t="str">
        <f t="shared" si="80"/>
        <v/>
      </c>
      <c r="GF73" s="73" t="str">
        <f t="shared" si="80"/>
        <v/>
      </c>
      <c r="GG73" s="73" t="str">
        <f t="shared" si="80"/>
        <v/>
      </c>
      <c r="GH73" s="73" t="str">
        <f t="shared" si="80"/>
        <v/>
      </c>
      <c r="GI73" s="73" t="str">
        <f t="shared" si="80"/>
        <v/>
      </c>
      <c r="GJ73" s="73" t="str">
        <f t="shared" si="80"/>
        <v/>
      </c>
      <c r="GK73" s="73" t="str">
        <f t="shared" si="80"/>
        <v/>
      </c>
      <c r="GL73" s="73" t="str">
        <f t="shared" si="80"/>
        <v/>
      </c>
      <c r="GM73" s="73" t="str">
        <f t="shared" si="80"/>
        <v/>
      </c>
      <c r="GN73" s="73" t="str">
        <f t="shared" si="80"/>
        <v/>
      </c>
      <c r="GO73" s="73" t="str">
        <f t="shared" si="80"/>
        <v/>
      </c>
      <c r="GP73" s="73" t="str">
        <f t="shared" si="80"/>
        <v/>
      </c>
      <c r="GQ73" s="73" t="str">
        <f t="shared" si="80"/>
        <v/>
      </c>
    </row>
    <row r="74" spans="2:199" x14ac:dyDescent="0.2">
      <c r="B74" t="str">
        <f t="shared" si="68"/>
        <v>US040114HP86</v>
      </c>
      <c r="C74" t="str">
        <f t="shared" si="25"/>
        <v>USD 2023</v>
      </c>
      <c r="E74" s="73"/>
      <c r="F74" s="73">
        <f t="shared" ref="F74:AK74" si="81">IF(F19="","",(MAX(F19-$C$1,0)/365))</f>
        <v>0.32328767123287672</v>
      </c>
      <c r="G74" s="73">
        <f t="shared" si="81"/>
        <v>0.81917808219178079</v>
      </c>
      <c r="H74" s="73">
        <f t="shared" si="81"/>
        <v>1.3232876712328767</v>
      </c>
      <c r="I74" s="73">
        <f t="shared" si="81"/>
        <v>1.8191780821917809</v>
      </c>
      <c r="J74" s="73">
        <f t="shared" si="81"/>
        <v>2.3232876712328765</v>
      </c>
      <c r="K74" s="73" t="str">
        <f t="shared" si="81"/>
        <v/>
      </c>
      <c r="L74" s="73" t="str">
        <f t="shared" si="81"/>
        <v/>
      </c>
      <c r="M74" s="73" t="str">
        <f t="shared" si="81"/>
        <v/>
      </c>
      <c r="N74" s="73" t="str">
        <f t="shared" si="81"/>
        <v/>
      </c>
      <c r="O74" s="73" t="str">
        <f t="shared" si="81"/>
        <v/>
      </c>
      <c r="P74" s="73" t="str">
        <f t="shared" si="81"/>
        <v/>
      </c>
      <c r="Q74" s="73" t="str">
        <f t="shared" si="81"/>
        <v/>
      </c>
      <c r="R74" s="73" t="str">
        <f t="shared" si="81"/>
        <v/>
      </c>
      <c r="S74" s="73" t="str">
        <f t="shared" si="81"/>
        <v/>
      </c>
      <c r="T74" s="73" t="str">
        <f t="shared" si="81"/>
        <v/>
      </c>
      <c r="U74" s="73" t="str">
        <f t="shared" si="81"/>
        <v/>
      </c>
      <c r="V74" s="73" t="str">
        <f t="shared" si="81"/>
        <v/>
      </c>
      <c r="W74" s="73" t="str">
        <f t="shared" si="81"/>
        <v/>
      </c>
      <c r="X74" s="73" t="str">
        <f t="shared" si="81"/>
        <v/>
      </c>
      <c r="Y74" s="73" t="str">
        <f t="shared" si="81"/>
        <v/>
      </c>
      <c r="Z74" s="73" t="str">
        <f t="shared" si="81"/>
        <v/>
      </c>
      <c r="AA74" s="73" t="str">
        <f t="shared" si="81"/>
        <v/>
      </c>
      <c r="AB74" s="73" t="str">
        <f t="shared" si="81"/>
        <v/>
      </c>
      <c r="AC74" s="73" t="str">
        <f t="shared" si="81"/>
        <v/>
      </c>
      <c r="AD74" s="73" t="str">
        <f t="shared" si="81"/>
        <v/>
      </c>
      <c r="AE74" s="73" t="str">
        <f t="shared" si="81"/>
        <v/>
      </c>
      <c r="AF74" s="73" t="str">
        <f t="shared" si="81"/>
        <v/>
      </c>
      <c r="AG74" s="73" t="str">
        <f t="shared" si="81"/>
        <v/>
      </c>
      <c r="AH74" s="73" t="str">
        <f t="shared" si="81"/>
        <v/>
      </c>
      <c r="AI74" s="73" t="str">
        <f t="shared" si="81"/>
        <v/>
      </c>
      <c r="AJ74" s="73" t="str">
        <f t="shared" si="81"/>
        <v/>
      </c>
      <c r="AK74" s="73" t="str">
        <f t="shared" si="81"/>
        <v/>
      </c>
      <c r="AL74" s="73" t="str">
        <f t="shared" ref="AL74:BQ74" si="82">IF(AL19="","",(MAX(AL19-$C$1,0)/365))</f>
        <v/>
      </c>
      <c r="AM74" s="73" t="str">
        <f t="shared" si="82"/>
        <v/>
      </c>
      <c r="AN74" s="73" t="str">
        <f t="shared" si="82"/>
        <v/>
      </c>
      <c r="AO74" s="73" t="str">
        <f t="shared" si="82"/>
        <v/>
      </c>
      <c r="AP74" s="73" t="str">
        <f t="shared" si="82"/>
        <v/>
      </c>
      <c r="AQ74" s="73" t="str">
        <f t="shared" si="82"/>
        <v/>
      </c>
      <c r="AR74" s="73" t="str">
        <f t="shared" si="82"/>
        <v/>
      </c>
      <c r="AS74" s="73" t="str">
        <f t="shared" si="82"/>
        <v/>
      </c>
      <c r="AT74" s="73" t="str">
        <f t="shared" si="82"/>
        <v/>
      </c>
      <c r="AU74" s="73" t="str">
        <f t="shared" si="82"/>
        <v/>
      </c>
      <c r="AV74" s="73" t="str">
        <f t="shared" si="82"/>
        <v/>
      </c>
      <c r="AW74" s="73" t="str">
        <f t="shared" si="82"/>
        <v/>
      </c>
      <c r="AX74" s="73" t="str">
        <f t="shared" si="82"/>
        <v/>
      </c>
      <c r="AY74" s="73" t="str">
        <f t="shared" si="82"/>
        <v/>
      </c>
      <c r="AZ74" s="73" t="str">
        <f t="shared" si="82"/>
        <v/>
      </c>
      <c r="BA74" s="73" t="str">
        <f t="shared" si="82"/>
        <v/>
      </c>
      <c r="BB74" s="73" t="str">
        <f t="shared" si="82"/>
        <v/>
      </c>
      <c r="BC74" s="73" t="str">
        <f t="shared" si="82"/>
        <v/>
      </c>
      <c r="BD74" s="73" t="str">
        <f t="shared" si="82"/>
        <v/>
      </c>
      <c r="BE74" s="73" t="str">
        <f t="shared" si="82"/>
        <v/>
      </c>
      <c r="BF74" s="73" t="str">
        <f t="shared" si="82"/>
        <v/>
      </c>
      <c r="BG74" s="73" t="str">
        <f t="shared" si="82"/>
        <v/>
      </c>
      <c r="BH74" s="73" t="str">
        <f t="shared" si="82"/>
        <v/>
      </c>
      <c r="BI74" s="73" t="str">
        <f t="shared" si="82"/>
        <v/>
      </c>
      <c r="BJ74" s="73" t="str">
        <f t="shared" si="82"/>
        <v/>
      </c>
      <c r="BK74" s="73" t="str">
        <f t="shared" si="82"/>
        <v/>
      </c>
      <c r="BL74" s="73" t="str">
        <f t="shared" si="82"/>
        <v/>
      </c>
      <c r="BM74" s="73" t="str">
        <f t="shared" si="82"/>
        <v/>
      </c>
      <c r="BN74" s="73" t="str">
        <f t="shared" si="82"/>
        <v/>
      </c>
      <c r="BO74" s="73" t="str">
        <f t="shared" si="82"/>
        <v/>
      </c>
      <c r="BP74" s="73" t="str">
        <f t="shared" si="82"/>
        <v/>
      </c>
      <c r="BQ74" s="73" t="str">
        <f t="shared" si="82"/>
        <v/>
      </c>
      <c r="BR74" s="73" t="str">
        <f t="shared" ref="BR74:CW74" si="83">IF(BR19="","",(MAX(BR19-$C$1,0)/365))</f>
        <v/>
      </c>
      <c r="BS74" s="73" t="str">
        <f t="shared" si="83"/>
        <v/>
      </c>
      <c r="BT74" s="73" t="str">
        <f t="shared" si="83"/>
        <v/>
      </c>
      <c r="BU74" s="73" t="str">
        <f t="shared" si="83"/>
        <v/>
      </c>
      <c r="BV74" s="73" t="str">
        <f t="shared" si="83"/>
        <v/>
      </c>
      <c r="BW74" s="73" t="str">
        <f t="shared" si="83"/>
        <v/>
      </c>
      <c r="BX74" s="73" t="str">
        <f t="shared" si="83"/>
        <v/>
      </c>
      <c r="BY74" s="73" t="str">
        <f t="shared" si="83"/>
        <v/>
      </c>
      <c r="BZ74" s="73" t="str">
        <f t="shared" si="83"/>
        <v/>
      </c>
      <c r="CA74" s="73" t="str">
        <f t="shared" si="83"/>
        <v/>
      </c>
      <c r="CB74" s="73" t="str">
        <f t="shared" si="83"/>
        <v/>
      </c>
      <c r="CC74" s="73" t="str">
        <f t="shared" si="83"/>
        <v/>
      </c>
      <c r="CD74" s="73" t="str">
        <f t="shared" si="83"/>
        <v/>
      </c>
      <c r="CE74" s="73" t="str">
        <f t="shared" si="83"/>
        <v/>
      </c>
      <c r="CF74" s="73" t="str">
        <f t="shared" si="83"/>
        <v/>
      </c>
      <c r="CG74" s="73" t="str">
        <f t="shared" si="83"/>
        <v/>
      </c>
      <c r="CH74" s="73" t="str">
        <f t="shared" si="83"/>
        <v/>
      </c>
      <c r="CI74" s="73" t="str">
        <f t="shared" si="83"/>
        <v/>
      </c>
      <c r="CJ74" s="73" t="str">
        <f t="shared" si="83"/>
        <v/>
      </c>
      <c r="CK74" s="73" t="str">
        <f t="shared" si="83"/>
        <v/>
      </c>
      <c r="CL74" s="73" t="str">
        <f t="shared" si="83"/>
        <v/>
      </c>
      <c r="CM74" s="73" t="str">
        <f t="shared" si="83"/>
        <v/>
      </c>
      <c r="CN74" s="73" t="str">
        <f t="shared" si="83"/>
        <v/>
      </c>
      <c r="CO74" s="73" t="str">
        <f t="shared" si="83"/>
        <v/>
      </c>
      <c r="CP74" s="73" t="str">
        <f t="shared" si="83"/>
        <v/>
      </c>
      <c r="CQ74" s="73" t="str">
        <f t="shared" si="83"/>
        <v/>
      </c>
      <c r="CR74" s="73" t="str">
        <f t="shared" si="83"/>
        <v/>
      </c>
      <c r="CS74" s="73" t="str">
        <f t="shared" si="83"/>
        <v/>
      </c>
      <c r="CT74" s="73" t="str">
        <f t="shared" si="83"/>
        <v/>
      </c>
      <c r="CU74" s="73" t="str">
        <f t="shared" si="83"/>
        <v/>
      </c>
      <c r="CV74" s="73" t="str">
        <f t="shared" si="83"/>
        <v/>
      </c>
      <c r="CW74" s="73" t="str">
        <f t="shared" si="83"/>
        <v/>
      </c>
      <c r="CX74" s="73" t="str">
        <f t="shared" ref="CX74:EC74" si="84">IF(CX19="","",(MAX(CX19-$C$1,0)/365))</f>
        <v/>
      </c>
      <c r="CY74" s="73" t="str">
        <f t="shared" si="84"/>
        <v/>
      </c>
      <c r="CZ74" s="73" t="str">
        <f t="shared" si="84"/>
        <v/>
      </c>
      <c r="DA74" s="73" t="str">
        <f t="shared" si="84"/>
        <v/>
      </c>
      <c r="DB74" s="73" t="str">
        <f t="shared" si="84"/>
        <v/>
      </c>
      <c r="DC74" s="73" t="str">
        <f t="shared" si="84"/>
        <v/>
      </c>
      <c r="DD74" s="73" t="str">
        <f t="shared" si="84"/>
        <v/>
      </c>
      <c r="DE74" s="73" t="str">
        <f t="shared" si="84"/>
        <v/>
      </c>
      <c r="DF74" s="73" t="str">
        <f t="shared" si="84"/>
        <v/>
      </c>
      <c r="DG74" s="73" t="str">
        <f t="shared" si="84"/>
        <v/>
      </c>
      <c r="DH74" s="73" t="str">
        <f t="shared" si="84"/>
        <v/>
      </c>
      <c r="DI74" s="73" t="str">
        <f t="shared" si="84"/>
        <v/>
      </c>
      <c r="DJ74" s="73" t="str">
        <f t="shared" si="84"/>
        <v/>
      </c>
      <c r="DK74" s="73" t="str">
        <f t="shared" si="84"/>
        <v/>
      </c>
      <c r="DL74" s="73" t="str">
        <f t="shared" si="84"/>
        <v/>
      </c>
      <c r="DM74" s="73" t="str">
        <f t="shared" si="84"/>
        <v/>
      </c>
      <c r="DN74" s="73" t="str">
        <f t="shared" si="84"/>
        <v/>
      </c>
      <c r="DO74" s="73" t="str">
        <f t="shared" si="84"/>
        <v/>
      </c>
      <c r="DP74" s="73" t="str">
        <f t="shared" si="84"/>
        <v/>
      </c>
      <c r="DQ74" s="73" t="str">
        <f t="shared" si="84"/>
        <v/>
      </c>
      <c r="DR74" s="73" t="str">
        <f t="shared" si="84"/>
        <v/>
      </c>
      <c r="DS74" s="73" t="str">
        <f t="shared" si="84"/>
        <v/>
      </c>
      <c r="DT74" s="73" t="str">
        <f t="shared" si="84"/>
        <v/>
      </c>
      <c r="DU74" s="73" t="str">
        <f t="shared" si="84"/>
        <v/>
      </c>
      <c r="DV74" s="73" t="str">
        <f t="shared" si="84"/>
        <v/>
      </c>
      <c r="DW74" s="73" t="str">
        <f t="shared" si="84"/>
        <v/>
      </c>
      <c r="DX74" s="73" t="str">
        <f t="shared" si="84"/>
        <v/>
      </c>
      <c r="DY74" s="73" t="str">
        <f t="shared" si="84"/>
        <v/>
      </c>
      <c r="DZ74" s="73" t="str">
        <f t="shared" si="84"/>
        <v/>
      </c>
      <c r="EA74" s="73" t="str">
        <f t="shared" si="84"/>
        <v/>
      </c>
      <c r="EB74" s="73" t="str">
        <f t="shared" si="84"/>
        <v/>
      </c>
      <c r="EC74" s="73" t="str">
        <f t="shared" si="84"/>
        <v/>
      </c>
      <c r="ED74" s="73" t="str">
        <f t="shared" ref="ED74:FI74" si="85">IF(ED19="","",(MAX(ED19-$C$1,0)/365))</f>
        <v/>
      </c>
      <c r="EE74" s="73" t="str">
        <f t="shared" si="85"/>
        <v/>
      </c>
      <c r="EF74" s="73" t="str">
        <f t="shared" si="85"/>
        <v/>
      </c>
      <c r="EG74" s="73" t="str">
        <f t="shared" si="85"/>
        <v/>
      </c>
      <c r="EH74" s="73" t="str">
        <f t="shared" si="85"/>
        <v/>
      </c>
      <c r="EI74" s="73" t="str">
        <f t="shared" si="85"/>
        <v/>
      </c>
      <c r="EJ74" s="73" t="str">
        <f t="shared" si="85"/>
        <v/>
      </c>
      <c r="EK74" s="73" t="str">
        <f t="shared" si="85"/>
        <v/>
      </c>
      <c r="EL74" s="73" t="str">
        <f t="shared" si="85"/>
        <v/>
      </c>
      <c r="EM74" s="73" t="str">
        <f t="shared" si="85"/>
        <v/>
      </c>
      <c r="EN74" s="73" t="str">
        <f t="shared" si="85"/>
        <v/>
      </c>
      <c r="EO74" s="73" t="str">
        <f t="shared" si="85"/>
        <v/>
      </c>
      <c r="EP74" s="73" t="str">
        <f t="shared" si="85"/>
        <v/>
      </c>
      <c r="EQ74" s="73" t="str">
        <f t="shared" si="85"/>
        <v/>
      </c>
      <c r="ER74" s="73" t="str">
        <f t="shared" si="85"/>
        <v/>
      </c>
      <c r="ES74" s="73" t="str">
        <f t="shared" si="85"/>
        <v/>
      </c>
      <c r="ET74" s="73" t="str">
        <f t="shared" si="85"/>
        <v/>
      </c>
      <c r="EU74" s="73" t="str">
        <f t="shared" si="85"/>
        <v/>
      </c>
      <c r="EV74" s="73" t="str">
        <f t="shared" si="85"/>
        <v/>
      </c>
      <c r="EW74" s="73" t="str">
        <f t="shared" si="85"/>
        <v/>
      </c>
      <c r="EX74" s="73" t="str">
        <f t="shared" si="85"/>
        <v/>
      </c>
      <c r="EY74" s="73" t="str">
        <f t="shared" si="85"/>
        <v/>
      </c>
      <c r="EZ74" s="73" t="str">
        <f t="shared" si="85"/>
        <v/>
      </c>
      <c r="FA74" s="73" t="str">
        <f t="shared" si="85"/>
        <v/>
      </c>
      <c r="FB74" s="73" t="str">
        <f t="shared" si="85"/>
        <v/>
      </c>
      <c r="FC74" s="73" t="str">
        <f t="shared" si="85"/>
        <v/>
      </c>
      <c r="FD74" s="73" t="str">
        <f t="shared" si="85"/>
        <v/>
      </c>
      <c r="FE74" s="73" t="str">
        <f t="shared" si="85"/>
        <v/>
      </c>
      <c r="FF74" s="73" t="str">
        <f t="shared" si="85"/>
        <v/>
      </c>
      <c r="FG74" s="73" t="str">
        <f t="shared" si="85"/>
        <v/>
      </c>
      <c r="FH74" s="73" t="str">
        <f t="shared" si="85"/>
        <v/>
      </c>
      <c r="FI74" s="73" t="str">
        <f t="shared" si="85"/>
        <v/>
      </c>
      <c r="FJ74" s="73" t="str">
        <f t="shared" ref="FJ74:GQ74" si="86">IF(FJ19="","",(MAX(FJ19-$C$1,0)/365))</f>
        <v/>
      </c>
      <c r="FK74" s="73" t="str">
        <f t="shared" si="86"/>
        <v/>
      </c>
      <c r="FL74" s="73" t="str">
        <f t="shared" si="86"/>
        <v/>
      </c>
      <c r="FM74" s="73" t="str">
        <f t="shared" si="86"/>
        <v/>
      </c>
      <c r="FN74" s="73" t="str">
        <f t="shared" si="86"/>
        <v/>
      </c>
      <c r="FO74" s="73" t="str">
        <f t="shared" si="86"/>
        <v/>
      </c>
      <c r="FP74" s="73" t="str">
        <f t="shared" si="86"/>
        <v/>
      </c>
      <c r="FQ74" s="73" t="str">
        <f t="shared" si="86"/>
        <v/>
      </c>
      <c r="FR74" s="73" t="str">
        <f t="shared" si="86"/>
        <v/>
      </c>
      <c r="FS74" s="73" t="str">
        <f t="shared" si="86"/>
        <v/>
      </c>
      <c r="FT74" s="73" t="str">
        <f t="shared" si="86"/>
        <v/>
      </c>
      <c r="FU74" s="73" t="str">
        <f t="shared" si="86"/>
        <v/>
      </c>
      <c r="FV74" s="73" t="str">
        <f t="shared" si="86"/>
        <v/>
      </c>
      <c r="FW74" s="73" t="str">
        <f t="shared" si="86"/>
        <v/>
      </c>
      <c r="FX74" s="73" t="str">
        <f t="shared" si="86"/>
        <v/>
      </c>
      <c r="FY74" s="73" t="str">
        <f t="shared" si="86"/>
        <v/>
      </c>
      <c r="FZ74" s="73" t="str">
        <f t="shared" si="86"/>
        <v/>
      </c>
      <c r="GA74" s="73" t="str">
        <f t="shared" si="86"/>
        <v/>
      </c>
      <c r="GB74" s="73" t="str">
        <f t="shared" si="86"/>
        <v/>
      </c>
      <c r="GC74" s="73" t="str">
        <f t="shared" si="86"/>
        <v/>
      </c>
      <c r="GD74" s="73" t="str">
        <f t="shared" si="86"/>
        <v/>
      </c>
      <c r="GE74" s="73" t="str">
        <f t="shared" si="86"/>
        <v/>
      </c>
      <c r="GF74" s="73" t="str">
        <f t="shared" si="86"/>
        <v/>
      </c>
      <c r="GG74" s="73" t="str">
        <f t="shared" si="86"/>
        <v/>
      </c>
      <c r="GH74" s="73" t="str">
        <f t="shared" si="86"/>
        <v/>
      </c>
      <c r="GI74" s="73" t="str">
        <f t="shared" si="86"/>
        <v/>
      </c>
      <c r="GJ74" s="73" t="str">
        <f t="shared" si="86"/>
        <v/>
      </c>
      <c r="GK74" s="73" t="str">
        <f t="shared" si="86"/>
        <v/>
      </c>
      <c r="GL74" s="73" t="str">
        <f t="shared" si="86"/>
        <v/>
      </c>
      <c r="GM74" s="73" t="str">
        <f t="shared" si="86"/>
        <v/>
      </c>
      <c r="GN74" s="73" t="str">
        <f t="shared" si="86"/>
        <v/>
      </c>
      <c r="GO74" s="73" t="str">
        <f t="shared" si="86"/>
        <v/>
      </c>
      <c r="GP74" s="73" t="str">
        <f t="shared" si="86"/>
        <v/>
      </c>
      <c r="GQ74" s="73" t="str">
        <f t="shared" si="86"/>
        <v/>
      </c>
    </row>
    <row r="75" spans="2:199" x14ac:dyDescent="0.2">
      <c r="B75" t="str">
        <f t="shared" si="68"/>
        <v>US040114GX20</v>
      </c>
      <c r="C75" t="str">
        <f t="shared" si="25"/>
        <v>USD 2026</v>
      </c>
      <c r="E75" s="73"/>
      <c r="F75" s="73">
        <f t="shared" ref="F75:AK75" si="87">IF(F20="","",(MAX(F20-$C$1,0)/365))</f>
        <v>0.10136986301369863</v>
      </c>
      <c r="G75" s="73">
        <f t="shared" si="87"/>
        <v>0.6</v>
      </c>
      <c r="H75" s="73">
        <f t="shared" si="87"/>
        <v>1.1013698630136985</v>
      </c>
      <c r="I75" s="73">
        <f t="shared" si="87"/>
        <v>1.6</v>
      </c>
      <c r="J75" s="73">
        <f t="shared" si="87"/>
        <v>2.1013698630136988</v>
      </c>
      <c r="K75" s="73">
        <f t="shared" si="87"/>
        <v>2.6</v>
      </c>
      <c r="L75" s="73">
        <f t="shared" si="87"/>
        <v>3.1013698630136988</v>
      </c>
      <c r="M75" s="73">
        <f t="shared" si="87"/>
        <v>3.6027397260273974</v>
      </c>
      <c r="N75" s="73">
        <f t="shared" si="87"/>
        <v>4.1041095890410961</v>
      </c>
      <c r="O75" s="73">
        <f t="shared" si="87"/>
        <v>4.602739726027397</v>
      </c>
      <c r="P75" s="73">
        <f t="shared" si="87"/>
        <v>5.1041095890410961</v>
      </c>
      <c r="Q75" s="73">
        <f t="shared" si="87"/>
        <v>5.602739726027397</v>
      </c>
      <c r="R75" s="73" t="str">
        <f t="shared" si="87"/>
        <v/>
      </c>
      <c r="S75" s="73" t="str">
        <f t="shared" si="87"/>
        <v/>
      </c>
      <c r="T75" s="73" t="str">
        <f t="shared" si="87"/>
        <v/>
      </c>
      <c r="U75" s="73" t="str">
        <f t="shared" si="87"/>
        <v/>
      </c>
      <c r="V75" s="73" t="str">
        <f t="shared" si="87"/>
        <v/>
      </c>
      <c r="W75" s="73" t="str">
        <f t="shared" si="87"/>
        <v/>
      </c>
      <c r="X75" s="73" t="str">
        <f t="shared" si="87"/>
        <v/>
      </c>
      <c r="Y75" s="73" t="str">
        <f t="shared" si="87"/>
        <v/>
      </c>
      <c r="Z75" s="73" t="str">
        <f t="shared" si="87"/>
        <v/>
      </c>
      <c r="AA75" s="73" t="str">
        <f t="shared" si="87"/>
        <v/>
      </c>
      <c r="AB75" s="73" t="str">
        <f t="shared" si="87"/>
        <v/>
      </c>
      <c r="AC75" s="73" t="str">
        <f t="shared" si="87"/>
        <v/>
      </c>
      <c r="AD75" s="73" t="str">
        <f t="shared" si="87"/>
        <v/>
      </c>
      <c r="AE75" s="73" t="str">
        <f t="shared" si="87"/>
        <v/>
      </c>
      <c r="AF75" s="73" t="str">
        <f t="shared" si="87"/>
        <v/>
      </c>
      <c r="AG75" s="73" t="str">
        <f t="shared" si="87"/>
        <v/>
      </c>
      <c r="AH75" s="73" t="str">
        <f t="shared" si="87"/>
        <v/>
      </c>
      <c r="AI75" s="73" t="str">
        <f t="shared" si="87"/>
        <v/>
      </c>
      <c r="AJ75" s="73" t="str">
        <f t="shared" si="87"/>
        <v/>
      </c>
      <c r="AK75" s="73" t="str">
        <f t="shared" si="87"/>
        <v/>
      </c>
      <c r="AL75" s="73" t="str">
        <f t="shared" ref="AL75:BQ75" si="88">IF(AL20="","",(MAX(AL20-$C$1,0)/365))</f>
        <v/>
      </c>
      <c r="AM75" s="73" t="str">
        <f t="shared" si="88"/>
        <v/>
      </c>
      <c r="AN75" s="73" t="str">
        <f t="shared" si="88"/>
        <v/>
      </c>
      <c r="AO75" s="73" t="str">
        <f t="shared" si="88"/>
        <v/>
      </c>
      <c r="AP75" s="73" t="str">
        <f t="shared" si="88"/>
        <v/>
      </c>
      <c r="AQ75" s="73" t="str">
        <f t="shared" si="88"/>
        <v/>
      </c>
      <c r="AR75" s="73" t="str">
        <f t="shared" si="88"/>
        <v/>
      </c>
      <c r="AS75" s="73" t="str">
        <f t="shared" si="88"/>
        <v/>
      </c>
      <c r="AT75" s="73" t="str">
        <f t="shared" si="88"/>
        <v/>
      </c>
      <c r="AU75" s="73" t="str">
        <f t="shared" si="88"/>
        <v/>
      </c>
      <c r="AV75" s="73" t="str">
        <f t="shared" si="88"/>
        <v/>
      </c>
      <c r="AW75" s="73" t="str">
        <f t="shared" si="88"/>
        <v/>
      </c>
      <c r="AX75" s="73" t="str">
        <f t="shared" si="88"/>
        <v/>
      </c>
      <c r="AY75" s="73" t="str">
        <f t="shared" si="88"/>
        <v/>
      </c>
      <c r="AZ75" s="73" t="str">
        <f t="shared" si="88"/>
        <v/>
      </c>
      <c r="BA75" s="73" t="str">
        <f t="shared" si="88"/>
        <v/>
      </c>
      <c r="BB75" s="73" t="str">
        <f t="shared" si="88"/>
        <v/>
      </c>
      <c r="BC75" s="73" t="str">
        <f t="shared" si="88"/>
        <v/>
      </c>
      <c r="BD75" s="73" t="str">
        <f t="shared" si="88"/>
        <v/>
      </c>
      <c r="BE75" s="73" t="str">
        <f t="shared" si="88"/>
        <v/>
      </c>
      <c r="BF75" s="73" t="str">
        <f t="shared" si="88"/>
        <v/>
      </c>
      <c r="BG75" s="73" t="str">
        <f t="shared" si="88"/>
        <v/>
      </c>
      <c r="BH75" s="73" t="str">
        <f t="shared" si="88"/>
        <v/>
      </c>
      <c r="BI75" s="73" t="str">
        <f t="shared" si="88"/>
        <v/>
      </c>
      <c r="BJ75" s="73" t="str">
        <f t="shared" si="88"/>
        <v/>
      </c>
      <c r="BK75" s="73" t="str">
        <f t="shared" si="88"/>
        <v/>
      </c>
      <c r="BL75" s="73" t="str">
        <f t="shared" si="88"/>
        <v/>
      </c>
      <c r="BM75" s="73" t="str">
        <f t="shared" si="88"/>
        <v/>
      </c>
      <c r="BN75" s="73" t="str">
        <f t="shared" si="88"/>
        <v/>
      </c>
      <c r="BO75" s="73" t="str">
        <f t="shared" si="88"/>
        <v/>
      </c>
      <c r="BP75" s="73" t="str">
        <f t="shared" si="88"/>
        <v/>
      </c>
      <c r="BQ75" s="73" t="str">
        <f t="shared" si="88"/>
        <v/>
      </c>
      <c r="BR75" s="73" t="str">
        <f t="shared" ref="BR75:CW75" si="89">IF(BR20="","",(MAX(BR20-$C$1,0)/365))</f>
        <v/>
      </c>
      <c r="BS75" s="73" t="str">
        <f t="shared" si="89"/>
        <v/>
      </c>
      <c r="BT75" s="73" t="str">
        <f t="shared" si="89"/>
        <v/>
      </c>
      <c r="BU75" s="73" t="str">
        <f t="shared" si="89"/>
        <v/>
      </c>
      <c r="BV75" s="73" t="str">
        <f t="shared" si="89"/>
        <v/>
      </c>
      <c r="BW75" s="73" t="str">
        <f t="shared" si="89"/>
        <v/>
      </c>
      <c r="BX75" s="73" t="str">
        <f t="shared" si="89"/>
        <v/>
      </c>
      <c r="BY75" s="73" t="str">
        <f t="shared" si="89"/>
        <v/>
      </c>
      <c r="BZ75" s="73" t="str">
        <f t="shared" si="89"/>
        <v/>
      </c>
      <c r="CA75" s="73" t="str">
        <f t="shared" si="89"/>
        <v/>
      </c>
      <c r="CB75" s="73" t="str">
        <f t="shared" si="89"/>
        <v/>
      </c>
      <c r="CC75" s="73" t="str">
        <f t="shared" si="89"/>
        <v/>
      </c>
      <c r="CD75" s="73" t="str">
        <f t="shared" si="89"/>
        <v/>
      </c>
      <c r="CE75" s="73" t="str">
        <f t="shared" si="89"/>
        <v/>
      </c>
      <c r="CF75" s="73" t="str">
        <f t="shared" si="89"/>
        <v/>
      </c>
      <c r="CG75" s="73" t="str">
        <f t="shared" si="89"/>
        <v/>
      </c>
      <c r="CH75" s="73" t="str">
        <f t="shared" si="89"/>
        <v/>
      </c>
      <c r="CI75" s="73" t="str">
        <f t="shared" si="89"/>
        <v/>
      </c>
      <c r="CJ75" s="73" t="str">
        <f t="shared" si="89"/>
        <v/>
      </c>
      <c r="CK75" s="73" t="str">
        <f t="shared" si="89"/>
        <v/>
      </c>
      <c r="CL75" s="73" t="str">
        <f t="shared" si="89"/>
        <v/>
      </c>
      <c r="CM75" s="73" t="str">
        <f t="shared" si="89"/>
        <v/>
      </c>
      <c r="CN75" s="73" t="str">
        <f t="shared" si="89"/>
        <v/>
      </c>
      <c r="CO75" s="73" t="str">
        <f t="shared" si="89"/>
        <v/>
      </c>
      <c r="CP75" s="73" t="str">
        <f t="shared" si="89"/>
        <v/>
      </c>
      <c r="CQ75" s="73" t="str">
        <f t="shared" si="89"/>
        <v/>
      </c>
      <c r="CR75" s="73" t="str">
        <f t="shared" si="89"/>
        <v/>
      </c>
      <c r="CS75" s="73" t="str">
        <f t="shared" si="89"/>
        <v/>
      </c>
      <c r="CT75" s="73" t="str">
        <f t="shared" si="89"/>
        <v/>
      </c>
      <c r="CU75" s="73" t="str">
        <f t="shared" si="89"/>
        <v/>
      </c>
      <c r="CV75" s="73" t="str">
        <f t="shared" si="89"/>
        <v/>
      </c>
      <c r="CW75" s="73" t="str">
        <f t="shared" si="89"/>
        <v/>
      </c>
      <c r="CX75" s="73" t="str">
        <f t="shared" ref="CX75:EC75" si="90">IF(CX20="","",(MAX(CX20-$C$1,0)/365))</f>
        <v/>
      </c>
      <c r="CY75" s="73" t="str">
        <f t="shared" si="90"/>
        <v/>
      </c>
      <c r="CZ75" s="73" t="str">
        <f t="shared" si="90"/>
        <v/>
      </c>
      <c r="DA75" s="73" t="str">
        <f t="shared" si="90"/>
        <v/>
      </c>
      <c r="DB75" s="73" t="str">
        <f t="shared" si="90"/>
        <v/>
      </c>
      <c r="DC75" s="73" t="str">
        <f t="shared" si="90"/>
        <v/>
      </c>
      <c r="DD75" s="73" t="str">
        <f t="shared" si="90"/>
        <v/>
      </c>
      <c r="DE75" s="73" t="str">
        <f t="shared" si="90"/>
        <v/>
      </c>
      <c r="DF75" s="73" t="str">
        <f t="shared" si="90"/>
        <v/>
      </c>
      <c r="DG75" s="73" t="str">
        <f t="shared" si="90"/>
        <v/>
      </c>
      <c r="DH75" s="73" t="str">
        <f t="shared" si="90"/>
        <v/>
      </c>
      <c r="DI75" s="73" t="str">
        <f t="shared" si="90"/>
        <v/>
      </c>
      <c r="DJ75" s="73" t="str">
        <f t="shared" si="90"/>
        <v/>
      </c>
      <c r="DK75" s="73" t="str">
        <f t="shared" si="90"/>
        <v/>
      </c>
      <c r="DL75" s="73" t="str">
        <f t="shared" si="90"/>
        <v/>
      </c>
      <c r="DM75" s="73" t="str">
        <f t="shared" si="90"/>
        <v/>
      </c>
      <c r="DN75" s="73" t="str">
        <f t="shared" si="90"/>
        <v/>
      </c>
      <c r="DO75" s="73" t="str">
        <f t="shared" si="90"/>
        <v/>
      </c>
      <c r="DP75" s="73" t="str">
        <f t="shared" si="90"/>
        <v/>
      </c>
      <c r="DQ75" s="73" t="str">
        <f t="shared" si="90"/>
        <v/>
      </c>
      <c r="DR75" s="73" t="str">
        <f t="shared" si="90"/>
        <v/>
      </c>
      <c r="DS75" s="73" t="str">
        <f t="shared" si="90"/>
        <v/>
      </c>
      <c r="DT75" s="73" t="str">
        <f t="shared" si="90"/>
        <v/>
      </c>
      <c r="DU75" s="73" t="str">
        <f t="shared" si="90"/>
        <v/>
      </c>
      <c r="DV75" s="73" t="str">
        <f t="shared" si="90"/>
        <v/>
      </c>
      <c r="DW75" s="73" t="str">
        <f t="shared" si="90"/>
        <v/>
      </c>
      <c r="DX75" s="73" t="str">
        <f t="shared" si="90"/>
        <v/>
      </c>
      <c r="DY75" s="73" t="str">
        <f t="shared" si="90"/>
        <v/>
      </c>
      <c r="DZ75" s="73" t="str">
        <f t="shared" si="90"/>
        <v/>
      </c>
      <c r="EA75" s="73" t="str">
        <f t="shared" si="90"/>
        <v/>
      </c>
      <c r="EB75" s="73" t="str">
        <f t="shared" si="90"/>
        <v/>
      </c>
      <c r="EC75" s="73" t="str">
        <f t="shared" si="90"/>
        <v/>
      </c>
      <c r="ED75" s="73" t="str">
        <f t="shared" ref="ED75:FI75" si="91">IF(ED20="","",(MAX(ED20-$C$1,0)/365))</f>
        <v/>
      </c>
      <c r="EE75" s="73" t="str">
        <f t="shared" si="91"/>
        <v/>
      </c>
      <c r="EF75" s="73" t="str">
        <f t="shared" si="91"/>
        <v/>
      </c>
      <c r="EG75" s="73" t="str">
        <f t="shared" si="91"/>
        <v/>
      </c>
      <c r="EH75" s="73" t="str">
        <f t="shared" si="91"/>
        <v/>
      </c>
      <c r="EI75" s="73" t="str">
        <f t="shared" si="91"/>
        <v/>
      </c>
      <c r="EJ75" s="73" t="str">
        <f t="shared" si="91"/>
        <v/>
      </c>
      <c r="EK75" s="73" t="str">
        <f t="shared" si="91"/>
        <v/>
      </c>
      <c r="EL75" s="73" t="str">
        <f t="shared" si="91"/>
        <v/>
      </c>
      <c r="EM75" s="73" t="str">
        <f t="shared" si="91"/>
        <v/>
      </c>
      <c r="EN75" s="73" t="str">
        <f t="shared" si="91"/>
        <v/>
      </c>
      <c r="EO75" s="73" t="str">
        <f t="shared" si="91"/>
        <v/>
      </c>
      <c r="EP75" s="73" t="str">
        <f t="shared" si="91"/>
        <v/>
      </c>
      <c r="EQ75" s="73" t="str">
        <f t="shared" si="91"/>
        <v/>
      </c>
      <c r="ER75" s="73" t="str">
        <f t="shared" si="91"/>
        <v/>
      </c>
      <c r="ES75" s="73" t="str">
        <f t="shared" si="91"/>
        <v/>
      </c>
      <c r="ET75" s="73" t="str">
        <f t="shared" si="91"/>
        <v/>
      </c>
      <c r="EU75" s="73" t="str">
        <f t="shared" si="91"/>
        <v/>
      </c>
      <c r="EV75" s="73" t="str">
        <f t="shared" si="91"/>
        <v/>
      </c>
      <c r="EW75" s="73" t="str">
        <f t="shared" si="91"/>
        <v/>
      </c>
      <c r="EX75" s="73" t="str">
        <f t="shared" si="91"/>
        <v/>
      </c>
      <c r="EY75" s="73" t="str">
        <f t="shared" si="91"/>
        <v/>
      </c>
      <c r="EZ75" s="73" t="str">
        <f t="shared" si="91"/>
        <v/>
      </c>
      <c r="FA75" s="73" t="str">
        <f t="shared" si="91"/>
        <v/>
      </c>
      <c r="FB75" s="73" t="str">
        <f t="shared" si="91"/>
        <v/>
      </c>
      <c r="FC75" s="73" t="str">
        <f t="shared" si="91"/>
        <v/>
      </c>
      <c r="FD75" s="73" t="str">
        <f t="shared" si="91"/>
        <v/>
      </c>
      <c r="FE75" s="73" t="str">
        <f t="shared" si="91"/>
        <v/>
      </c>
      <c r="FF75" s="73" t="str">
        <f t="shared" si="91"/>
        <v/>
      </c>
      <c r="FG75" s="73" t="str">
        <f t="shared" si="91"/>
        <v/>
      </c>
      <c r="FH75" s="73" t="str">
        <f t="shared" si="91"/>
        <v/>
      </c>
      <c r="FI75" s="73" t="str">
        <f t="shared" si="91"/>
        <v/>
      </c>
      <c r="FJ75" s="73" t="str">
        <f t="shared" ref="FJ75:GQ75" si="92">IF(FJ20="","",(MAX(FJ20-$C$1,0)/365))</f>
        <v/>
      </c>
      <c r="FK75" s="73" t="str">
        <f t="shared" si="92"/>
        <v/>
      </c>
      <c r="FL75" s="73" t="str">
        <f t="shared" si="92"/>
        <v/>
      </c>
      <c r="FM75" s="73" t="str">
        <f t="shared" si="92"/>
        <v/>
      </c>
      <c r="FN75" s="73" t="str">
        <f t="shared" si="92"/>
        <v/>
      </c>
      <c r="FO75" s="73" t="str">
        <f t="shared" si="92"/>
        <v/>
      </c>
      <c r="FP75" s="73" t="str">
        <f t="shared" si="92"/>
        <v/>
      </c>
      <c r="FQ75" s="73" t="str">
        <f t="shared" si="92"/>
        <v/>
      </c>
      <c r="FR75" s="73" t="str">
        <f t="shared" si="92"/>
        <v/>
      </c>
      <c r="FS75" s="73" t="str">
        <f t="shared" si="92"/>
        <v/>
      </c>
      <c r="FT75" s="73" t="str">
        <f t="shared" si="92"/>
        <v/>
      </c>
      <c r="FU75" s="73" t="str">
        <f t="shared" si="92"/>
        <v/>
      </c>
      <c r="FV75" s="73" t="str">
        <f t="shared" si="92"/>
        <v/>
      </c>
      <c r="FW75" s="73" t="str">
        <f t="shared" si="92"/>
        <v/>
      </c>
      <c r="FX75" s="73" t="str">
        <f t="shared" si="92"/>
        <v/>
      </c>
      <c r="FY75" s="73" t="str">
        <f t="shared" si="92"/>
        <v/>
      </c>
      <c r="FZ75" s="73" t="str">
        <f t="shared" si="92"/>
        <v/>
      </c>
      <c r="GA75" s="73" t="str">
        <f t="shared" si="92"/>
        <v/>
      </c>
      <c r="GB75" s="73" t="str">
        <f t="shared" si="92"/>
        <v/>
      </c>
      <c r="GC75" s="73" t="str">
        <f t="shared" si="92"/>
        <v/>
      </c>
      <c r="GD75" s="73" t="str">
        <f t="shared" si="92"/>
        <v/>
      </c>
      <c r="GE75" s="73" t="str">
        <f t="shared" si="92"/>
        <v/>
      </c>
      <c r="GF75" s="73" t="str">
        <f t="shared" si="92"/>
        <v/>
      </c>
      <c r="GG75" s="73" t="str">
        <f t="shared" si="92"/>
        <v/>
      </c>
      <c r="GH75" s="73" t="str">
        <f t="shared" si="92"/>
        <v/>
      </c>
      <c r="GI75" s="73" t="str">
        <f t="shared" si="92"/>
        <v/>
      </c>
      <c r="GJ75" s="73" t="str">
        <f t="shared" si="92"/>
        <v/>
      </c>
      <c r="GK75" s="73" t="str">
        <f t="shared" si="92"/>
        <v/>
      </c>
      <c r="GL75" s="73" t="str">
        <f t="shared" si="92"/>
        <v/>
      </c>
      <c r="GM75" s="73" t="str">
        <f t="shared" si="92"/>
        <v/>
      </c>
      <c r="GN75" s="73" t="str">
        <f t="shared" si="92"/>
        <v/>
      </c>
      <c r="GO75" s="73" t="str">
        <f t="shared" si="92"/>
        <v/>
      </c>
      <c r="GP75" s="73" t="str">
        <f t="shared" si="92"/>
        <v/>
      </c>
      <c r="GQ75" s="73" t="str">
        <f t="shared" si="92"/>
        <v/>
      </c>
    </row>
    <row r="76" spans="2:199" x14ac:dyDescent="0.2">
      <c r="B76" t="str">
        <f t="shared" si="68"/>
        <v>US040114HL72</v>
      </c>
      <c r="C76" t="str">
        <f t="shared" si="25"/>
        <v>USD 2027</v>
      </c>
      <c r="E76" s="73"/>
      <c r="F76" s="73">
        <f t="shared" ref="F76:AK76" si="93">IF(F21="","",(MAX(F21-$C$1,0)/365))</f>
        <v>0.36438356164383562</v>
      </c>
      <c r="G76" s="73">
        <f t="shared" si="93"/>
        <v>0.86027397260273974</v>
      </c>
      <c r="H76" s="73">
        <f t="shared" si="93"/>
        <v>1.3643835616438356</v>
      </c>
      <c r="I76" s="73">
        <f t="shared" si="93"/>
        <v>1.8602739726027397</v>
      </c>
      <c r="J76" s="73">
        <f t="shared" si="93"/>
        <v>2.3643835616438356</v>
      </c>
      <c r="K76" s="73">
        <f t="shared" si="93"/>
        <v>2.8602739726027395</v>
      </c>
      <c r="L76" s="73">
        <f t="shared" si="93"/>
        <v>3.3643835616438356</v>
      </c>
      <c r="M76" s="73">
        <f t="shared" si="93"/>
        <v>3.8630136986301369</v>
      </c>
      <c r="N76" s="73">
        <f t="shared" si="93"/>
        <v>4.3671232876712329</v>
      </c>
      <c r="O76" s="73">
        <f t="shared" si="93"/>
        <v>4.8630136986301373</v>
      </c>
      <c r="P76" s="73">
        <f t="shared" si="93"/>
        <v>5.3671232876712329</v>
      </c>
      <c r="Q76" s="73">
        <f t="shared" si="93"/>
        <v>5.8630136986301373</v>
      </c>
      <c r="R76" s="73">
        <f t="shared" si="93"/>
        <v>6.3671232876712329</v>
      </c>
      <c r="S76" s="73" t="str">
        <f t="shared" si="93"/>
        <v/>
      </c>
      <c r="T76" s="73" t="str">
        <f t="shared" si="93"/>
        <v/>
      </c>
      <c r="U76" s="73" t="str">
        <f t="shared" si="93"/>
        <v/>
      </c>
      <c r="V76" s="73" t="str">
        <f t="shared" si="93"/>
        <v/>
      </c>
      <c r="W76" s="73" t="str">
        <f t="shared" si="93"/>
        <v/>
      </c>
      <c r="X76" s="73" t="str">
        <f t="shared" si="93"/>
        <v/>
      </c>
      <c r="Y76" s="73" t="str">
        <f t="shared" si="93"/>
        <v/>
      </c>
      <c r="Z76" s="73" t="str">
        <f t="shared" si="93"/>
        <v/>
      </c>
      <c r="AA76" s="73" t="str">
        <f t="shared" si="93"/>
        <v/>
      </c>
      <c r="AB76" s="73" t="str">
        <f t="shared" si="93"/>
        <v/>
      </c>
      <c r="AC76" s="73" t="str">
        <f t="shared" si="93"/>
        <v/>
      </c>
      <c r="AD76" s="73" t="str">
        <f t="shared" si="93"/>
        <v/>
      </c>
      <c r="AE76" s="73" t="str">
        <f t="shared" si="93"/>
        <v/>
      </c>
      <c r="AF76" s="73" t="str">
        <f t="shared" si="93"/>
        <v/>
      </c>
      <c r="AG76" s="73" t="str">
        <f t="shared" si="93"/>
        <v/>
      </c>
      <c r="AH76" s="73" t="str">
        <f t="shared" si="93"/>
        <v/>
      </c>
      <c r="AI76" s="73" t="str">
        <f t="shared" si="93"/>
        <v/>
      </c>
      <c r="AJ76" s="73" t="str">
        <f t="shared" si="93"/>
        <v/>
      </c>
      <c r="AK76" s="73" t="str">
        <f t="shared" si="93"/>
        <v/>
      </c>
      <c r="AL76" s="73" t="str">
        <f t="shared" ref="AL76:BQ76" si="94">IF(AL21="","",(MAX(AL21-$C$1,0)/365))</f>
        <v/>
      </c>
      <c r="AM76" s="73" t="str">
        <f t="shared" si="94"/>
        <v/>
      </c>
      <c r="AN76" s="73" t="str">
        <f t="shared" si="94"/>
        <v/>
      </c>
      <c r="AO76" s="73" t="str">
        <f t="shared" si="94"/>
        <v/>
      </c>
      <c r="AP76" s="73" t="str">
        <f t="shared" si="94"/>
        <v/>
      </c>
      <c r="AQ76" s="73" t="str">
        <f t="shared" si="94"/>
        <v/>
      </c>
      <c r="AR76" s="73" t="str">
        <f t="shared" si="94"/>
        <v/>
      </c>
      <c r="AS76" s="73" t="str">
        <f t="shared" si="94"/>
        <v/>
      </c>
      <c r="AT76" s="73" t="str">
        <f t="shared" si="94"/>
        <v/>
      </c>
      <c r="AU76" s="73" t="str">
        <f t="shared" si="94"/>
        <v/>
      </c>
      <c r="AV76" s="73" t="str">
        <f t="shared" si="94"/>
        <v/>
      </c>
      <c r="AW76" s="73" t="str">
        <f t="shared" si="94"/>
        <v/>
      </c>
      <c r="AX76" s="73" t="str">
        <f t="shared" si="94"/>
        <v/>
      </c>
      <c r="AY76" s="73" t="str">
        <f t="shared" si="94"/>
        <v/>
      </c>
      <c r="AZ76" s="73" t="str">
        <f t="shared" si="94"/>
        <v/>
      </c>
      <c r="BA76" s="73" t="str">
        <f t="shared" si="94"/>
        <v/>
      </c>
      <c r="BB76" s="73" t="str">
        <f t="shared" si="94"/>
        <v/>
      </c>
      <c r="BC76" s="73" t="str">
        <f t="shared" si="94"/>
        <v/>
      </c>
      <c r="BD76" s="73" t="str">
        <f t="shared" si="94"/>
        <v/>
      </c>
      <c r="BE76" s="73" t="str">
        <f t="shared" si="94"/>
        <v/>
      </c>
      <c r="BF76" s="73" t="str">
        <f t="shared" si="94"/>
        <v/>
      </c>
      <c r="BG76" s="73" t="str">
        <f t="shared" si="94"/>
        <v/>
      </c>
      <c r="BH76" s="73" t="str">
        <f t="shared" si="94"/>
        <v/>
      </c>
      <c r="BI76" s="73" t="str">
        <f t="shared" si="94"/>
        <v/>
      </c>
      <c r="BJ76" s="73" t="str">
        <f t="shared" si="94"/>
        <v/>
      </c>
      <c r="BK76" s="73" t="str">
        <f t="shared" si="94"/>
        <v/>
      </c>
      <c r="BL76" s="73" t="str">
        <f t="shared" si="94"/>
        <v/>
      </c>
      <c r="BM76" s="73" t="str">
        <f t="shared" si="94"/>
        <v/>
      </c>
      <c r="BN76" s="73" t="str">
        <f t="shared" si="94"/>
        <v/>
      </c>
      <c r="BO76" s="73" t="str">
        <f t="shared" si="94"/>
        <v/>
      </c>
      <c r="BP76" s="73" t="str">
        <f t="shared" si="94"/>
        <v/>
      </c>
      <c r="BQ76" s="73" t="str">
        <f t="shared" si="94"/>
        <v/>
      </c>
      <c r="BR76" s="73" t="str">
        <f t="shared" ref="BR76:CW76" si="95">IF(BR21="","",(MAX(BR21-$C$1,0)/365))</f>
        <v/>
      </c>
      <c r="BS76" s="73" t="str">
        <f t="shared" si="95"/>
        <v/>
      </c>
      <c r="BT76" s="73" t="str">
        <f t="shared" si="95"/>
        <v/>
      </c>
      <c r="BU76" s="73" t="str">
        <f t="shared" si="95"/>
        <v/>
      </c>
      <c r="BV76" s="73" t="str">
        <f t="shared" si="95"/>
        <v/>
      </c>
      <c r="BW76" s="73" t="str">
        <f t="shared" si="95"/>
        <v/>
      </c>
      <c r="BX76" s="73" t="str">
        <f t="shared" si="95"/>
        <v/>
      </c>
      <c r="BY76" s="73" t="str">
        <f t="shared" si="95"/>
        <v/>
      </c>
      <c r="BZ76" s="73" t="str">
        <f t="shared" si="95"/>
        <v/>
      </c>
      <c r="CA76" s="73" t="str">
        <f t="shared" si="95"/>
        <v/>
      </c>
      <c r="CB76" s="73" t="str">
        <f t="shared" si="95"/>
        <v/>
      </c>
      <c r="CC76" s="73" t="str">
        <f t="shared" si="95"/>
        <v/>
      </c>
      <c r="CD76" s="73" t="str">
        <f t="shared" si="95"/>
        <v/>
      </c>
      <c r="CE76" s="73" t="str">
        <f t="shared" si="95"/>
        <v/>
      </c>
      <c r="CF76" s="73" t="str">
        <f t="shared" si="95"/>
        <v/>
      </c>
      <c r="CG76" s="73" t="str">
        <f t="shared" si="95"/>
        <v/>
      </c>
      <c r="CH76" s="73" t="str">
        <f t="shared" si="95"/>
        <v/>
      </c>
      <c r="CI76" s="73" t="str">
        <f t="shared" si="95"/>
        <v/>
      </c>
      <c r="CJ76" s="73" t="str">
        <f t="shared" si="95"/>
        <v/>
      </c>
      <c r="CK76" s="73" t="str">
        <f t="shared" si="95"/>
        <v/>
      </c>
      <c r="CL76" s="73" t="str">
        <f t="shared" si="95"/>
        <v/>
      </c>
      <c r="CM76" s="73" t="str">
        <f t="shared" si="95"/>
        <v/>
      </c>
      <c r="CN76" s="73" t="str">
        <f t="shared" si="95"/>
        <v/>
      </c>
      <c r="CO76" s="73" t="str">
        <f t="shared" si="95"/>
        <v/>
      </c>
      <c r="CP76" s="73" t="str">
        <f t="shared" si="95"/>
        <v/>
      </c>
      <c r="CQ76" s="73" t="str">
        <f t="shared" si="95"/>
        <v/>
      </c>
      <c r="CR76" s="73" t="str">
        <f t="shared" si="95"/>
        <v/>
      </c>
      <c r="CS76" s="73" t="str">
        <f t="shared" si="95"/>
        <v/>
      </c>
      <c r="CT76" s="73" t="str">
        <f t="shared" si="95"/>
        <v/>
      </c>
      <c r="CU76" s="73" t="str">
        <f t="shared" si="95"/>
        <v/>
      </c>
      <c r="CV76" s="73" t="str">
        <f t="shared" si="95"/>
        <v/>
      </c>
      <c r="CW76" s="73" t="str">
        <f t="shared" si="95"/>
        <v/>
      </c>
      <c r="CX76" s="73" t="str">
        <f t="shared" ref="CX76:EC76" si="96">IF(CX21="","",(MAX(CX21-$C$1,0)/365))</f>
        <v/>
      </c>
      <c r="CY76" s="73" t="str">
        <f t="shared" si="96"/>
        <v/>
      </c>
      <c r="CZ76" s="73" t="str">
        <f t="shared" si="96"/>
        <v/>
      </c>
      <c r="DA76" s="73" t="str">
        <f t="shared" si="96"/>
        <v/>
      </c>
      <c r="DB76" s="73" t="str">
        <f t="shared" si="96"/>
        <v/>
      </c>
      <c r="DC76" s="73" t="str">
        <f t="shared" si="96"/>
        <v/>
      </c>
      <c r="DD76" s="73" t="str">
        <f t="shared" si="96"/>
        <v/>
      </c>
      <c r="DE76" s="73" t="str">
        <f t="shared" si="96"/>
        <v/>
      </c>
      <c r="DF76" s="73" t="str">
        <f t="shared" si="96"/>
        <v/>
      </c>
      <c r="DG76" s="73" t="str">
        <f t="shared" si="96"/>
        <v/>
      </c>
      <c r="DH76" s="73" t="str">
        <f t="shared" si="96"/>
        <v/>
      </c>
      <c r="DI76" s="73" t="str">
        <f t="shared" si="96"/>
        <v/>
      </c>
      <c r="DJ76" s="73" t="str">
        <f t="shared" si="96"/>
        <v/>
      </c>
      <c r="DK76" s="73" t="str">
        <f t="shared" si="96"/>
        <v/>
      </c>
      <c r="DL76" s="73" t="str">
        <f t="shared" si="96"/>
        <v/>
      </c>
      <c r="DM76" s="73" t="str">
        <f t="shared" si="96"/>
        <v/>
      </c>
      <c r="DN76" s="73" t="str">
        <f t="shared" si="96"/>
        <v/>
      </c>
      <c r="DO76" s="73" t="str">
        <f t="shared" si="96"/>
        <v/>
      </c>
      <c r="DP76" s="73" t="str">
        <f t="shared" si="96"/>
        <v/>
      </c>
      <c r="DQ76" s="73" t="str">
        <f t="shared" si="96"/>
        <v/>
      </c>
      <c r="DR76" s="73" t="str">
        <f t="shared" si="96"/>
        <v/>
      </c>
      <c r="DS76" s="73" t="str">
        <f t="shared" si="96"/>
        <v/>
      </c>
      <c r="DT76" s="73" t="str">
        <f t="shared" si="96"/>
        <v/>
      </c>
      <c r="DU76" s="73" t="str">
        <f t="shared" si="96"/>
        <v/>
      </c>
      <c r="DV76" s="73" t="str">
        <f t="shared" si="96"/>
        <v/>
      </c>
      <c r="DW76" s="73" t="str">
        <f t="shared" si="96"/>
        <v/>
      </c>
      <c r="DX76" s="73" t="str">
        <f t="shared" si="96"/>
        <v/>
      </c>
      <c r="DY76" s="73" t="str">
        <f t="shared" si="96"/>
        <v/>
      </c>
      <c r="DZ76" s="73" t="str">
        <f t="shared" si="96"/>
        <v/>
      </c>
      <c r="EA76" s="73" t="str">
        <f t="shared" si="96"/>
        <v/>
      </c>
      <c r="EB76" s="73" t="str">
        <f t="shared" si="96"/>
        <v/>
      </c>
      <c r="EC76" s="73" t="str">
        <f t="shared" si="96"/>
        <v/>
      </c>
      <c r="ED76" s="73" t="str">
        <f t="shared" ref="ED76:FI76" si="97">IF(ED21="","",(MAX(ED21-$C$1,0)/365))</f>
        <v/>
      </c>
      <c r="EE76" s="73" t="str">
        <f t="shared" si="97"/>
        <v/>
      </c>
      <c r="EF76" s="73" t="str">
        <f t="shared" si="97"/>
        <v/>
      </c>
      <c r="EG76" s="73" t="str">
        <f t="shared" si="97"/>
        <v/>
      </c>
      <c r="EH76" s="73" t="str">
        <f t="shared" si="97"/>
        <v/>
      </c>
      <c r="EI76" s="73" t="str">
        <f t="shared" si="97"/>
        <v/>
      </c>
      <c r="EJ76" s="73" t="str">
        <f t="shared" si="97"/>
        <v/>
      </c>
      <c r="EK76" s="73" t="str">
        <f t="shared" si="97"/>
        <v/>
      </c>
      <c r="EL76" s="73" t="str">
        <f t="shared" si="97"/>
        <v/>
      </c>
      <c r="EM76" s="73" t="str">
        <f t="shared" si="97"/>
        <v/>
      </c>
      <c r="EN76" s="73" t="str">
        <f t="shared" si="97"/>
        <v/>
      </c>
      <c r="EO76" s="73" t="str">
        <f t="shared" si="97"/>
        <v/>
      </c>
      <c r="EP76" s="73" t="str">
        <f t="shared" si="97"/>
        <v/>
      </c>
      <c r="EQ76" s="73" t="str">
        <f t="shared" si="97"/>
        <v/>
      </c>
      <c r="ER76" s="73" t="str">
        <f t="shared" si="97"/>
        <v/>
      </c>
      <c r="ES76" s="73" t="str">
        <f t="shared" si="97"/>
        <v/>
      </c>
      <c r="ET76" s="73" t="str">
        <f t="shared" si="97"/>
        <v/>
      </c>
      <c r="EU76" s="73" t="str">
        <f t="shared" si="97"/>
        <v/>
      </c>
      <c r="EV76" s="73" t="str">
        <f t="shared" si="97"/>
        <v/>
      </c>
      <c r="EW76" s="73" t="str">
        <f t="shared" si="97"/>
        <v/>
      </c>
      <c r="EX76" s="73" t="str">
        <f t="shared" si="97"/>
        <v/>
      </c>
      <c r="EY76" s="73" t="str">
        <f t="shared" si="97"/>
        <v/>
      </c>
      <c r="EZ76" s="73" t="str">
        <f t="shared" si="97"/>
        <v/>
      </c>
      <c r="FA76" s="73" t="str">
        <f t="shared" si="97"/>
        <v/>
      </c>
      <c r="FB76" s="73" t="str">
        <f t="shared" si="97"/>
        <v/>
      </c>
      <c r="FC76" s="73" t="str">
        <f t="shared" si="97"/>
        <v/>
      </c>
      <c r="FD76" s="73" t="str">
        <f t="shared" si="97"/>
        <v/>
      </c>
      <c r="FE76" s="73" t="str">
        <f t="shared" si="97"/>
        <v/>
      </c>
      <c r="FF76" s="73" t="str">
        <f t="shared" si="97"/>
        <v/>
      </c>
      <c r="FG76" s="73" t="str">
        <f t="shared" si="97"/>
        <v/>
      </c>
      <c r="FH76" s="73" t="str">
        <f t="shared" si="97"/>
        <v/>
      </c>
      <c r="FI76" s="73" t="str">
        <f t="shared" si="97"/>
        <v/>
      </c>
      <c r="FJ76" s="73" t="str">
        <f t="shared" ref="FJ76:GQ76" si="98">IF(FJ21="","",(MAX(FJ21-$C$1,0)/365))</f>
        <v/>
      </c>
      <c r="FK76" s="73" t="str">
        <f t="shared" si="98"/>
        <v/>
      </c>
      <c r="FL76" s="73" t="str">
        <f t="shared" si="98"/>
        <v/>
      </c>
      <c r="FM76" s="73" t="str">
        <f t="shared" si="98"/>
        <v/>
      </c>
      <c r="FN76" s="73" t="str">
        <f t="shared" si="98"/>
        <v/>
      </c>
      <c r="FO76" s="73" t="str">
        <f t="shared" si="98"/>
        <v/>
      </c>
      <c r="FP76" s="73" t="str">
        <f t="shared" si="98"/>
        <v/>
      </c>
      <c r="FQ76" s="73" t="str">
        <f t="shared" si="98"/>
        <v/>
      </c>
      <c r="FR76" s="73" t="str">
        <f t="shared" si="98"/>
        <v/>
      </c>
      <c r="FS76" s="73" t="str">
        <f t="shared" si="98"/>
        <v/>
      </c>
      <c r="FT76" s="73" t="str">
        <f t="shared" si="98"/>
        <v/>
      </c>
      <c r="FU76" s="73" t="str">
        <f t="shared" si="98"/>
        <v/>
      </c>
      <c r="FV76" s="73" t="str">
        <f t="shared" si="98"/>
        <v/>
      </c>
      <c r="FW76" s="73" t="str">
        <f t="shared" si="98"/>
        <v/>
      </c>
      <c r="FX76" s="73" t="str">
        <f t="shared" si="98"/>
        <v/>
      </c>
      <c r="FY76" s="73" t="str">
        <f t="shared" si="98"/>
        <v/>
      </c>
      <c r="FZ76" s="73" t="str">
        <f t="shared" si="98"/>
        <v/>
      </c>
      <c r="GA76" s="73" t="str">
        <f t="shared" si="98"/>
        <v/>
      </c>
      <c r="GB76" s="73" t="str">
        <f t="shared" si="98"/>
        <v/>
      </c>
      <c r="GC76" s="73" t="str">
        <f t="shared" si="98"/>
        <v/>
      </c>
      <c r="GD76" s="73" t="str">
        <f t="shared" si="98"/>
        <v/>
      </c>
      <c r="GE76" s="73" t="str">
        <f t="shared" si="98"/>
        <v/>
      </c>
      <c r="GF76" s="73" t="str">
        <f t="shared" si="98"/>
        <v/>
      </c>
      <c r="GG76" s="73" t="str">
        <f t="shared" si="98"/>
        <v/>
      </c>
      <c r="GH76" s="73" t="str">
        <f t="shared" si="98"/>
        <v/>
      </c>
      <c r="GI76" s="73" t="str">
        <f t="shared" si="98"/>
        <v/>
      </c>
      <c r="GJ76" s="73" t="str">
        <f t="shared" si="98"/>
        <v/>
      </c>
      <c r="GK76" s="73" t="str">
        <f t="shared" si="98"/>
        <v/>
      </c>
      <c r="GL76" s="73" t="str">
        <f t="shared" si="98"/>
        <v/>
      </c>
      <c r="GM76" s="73" t="str">
        <f t="shared" si="98"/>
        <v/>
      </c>
      <c r="GN76" s="73" t="str">
        <f t="shared" si="98"/>
        <v/>
      </c>
      <c r="GO76" s="73" t="str">
        <f t="shared" si="98"/>
        <v/>
      </c>
      <c r="GP76" s="73" t="str">
        <f t="shared" si="98"/>
        <v/>
      </c>
      <c r="GQ76" s="73" t="str">
        <f t="shared" si="98"/>
        <v/>
      </c>
    </row>
    <row r="77" spans="2:199" x14ac:dyDescent="0.2">
      <c r="B77" t="str">
        <f t="shared" si="68"/>
        <v>US040114HQ69</v>
      </c>
      <c r="C77" t="str">
        <f t="shared" si="25"/>
        <v>USD 5.875% 2028</v>
      </c>
      <c r="E77" s="73"/>
      <c r="F77" s="73">
        <f t="shared" ref="F77:AK77" si="99">IF(F22="","",(MAX(F22-$C$1,0)/365))</f>
        <v>0.32328767123287672</v>
      </c>
      <c r="G77" s="73">
        <f t="shared" si="99"/>
        <v>0.81917808219178079</v>
      </c>
      <c r="H77" s="73">
        <f t="shared" si="99"/>
        <v>1.3232876712328767</v>
      </c>
      <c r="I77" s="73">
        <f t="shared" si="99"/>
        <v>1.8191780821917809</v>
      </c>
      <c r="J77" s="73">
        <f t="shared" si="99"/>
        <v>2.3232876712328765</v>
      </c>
      <c r="K77" s="73">
        <f t="shared" si="99"/>
        <v>2.8191780821917809</v>
      </c>
      <c r="L77" s="73">
        <f t="shared" si="99"/>
        <v>3.3232876712328765</v>
      </c>
      <c r="M77" s="73">
        <f t="shared" si="99"/>
        <v>3.8219178082191783</v>
      </c>
      <c r="N77" s="73">
        <f t="shared" si="99"/>
        <v>4.3260273972602743</v>
      </c>
      <c r="O77" s="73">
        <f t="shared" si="99"/>
        <v>4.8219178082191778</v>
      </c>
      <c r="P77" s="73">
        <f t="shared" si="99"/>
        <v>5.3260273972602743</v>
      </c>
      <c r="Q77" s="73">
        <f t="shared" si="99"/>
        <v>5.8219178082191778</v>
      </c>
      <c r="R77" s="73">
        <f t="shared" si="99"/>
        <v>6.3260273972602743</v>
      </c>
      <c r="S77" s="73">
        <f t="shared" si="99"/>
        <v>6.8219178082191778</v>
      </c>
      <c r="T77" s="73">
        <f t="shared" si="99"/>
        <v>7.3260273972602743</v>
      </c>
      <c r="U77" s="73" t="str">
        <f t="shared" si="99"/>
        <v/>
      </c>
      <c r="V77" s="73" t="str">
        <f t="shared" si="99"/>
        <v/>
      </c>
      <c r="W77" s="73" t="str">
        <f t="shared" si="99"/>
        <v/>
      </c>
      <c r="X77" s="73" t="str">
        <f t="shared" si="99"/>
        <v/>
      </c>
      <c r="Y77" s="73" t="str">
        <f t="shared" si="99"/>
        <v/>
      </c>
      <c r="Z77" s="73" t="str">
        <f t="shared" si="99"/>
        <v/>
      </c>
      <c r="AA77" s="73" t="str">
        <f t="shared" si="99"/>
        <v/>
      </c>
      <c r="AB77" s="73" t="str">
        <f t="shared" si="99"/>
        <v/>
      </c>
      <c r="AC77" s="73" t="str">
        <f t="shared" si="99"/>
        <v/>
      </c>
      <c r="AD77" s="73" t="str">
        <f t="shared" si="99"/>
        <v/>
      </c>
      <c r="AE77" s="73" t="str">
        <f t="shared" si="99"/>
        <v/>
      </c>
      <c r="AF77" s="73" t="str">
        <f t="shared" si="99"/>
        <v/>
      </c>
      <c r="AG77" s="73" t="str">
        <f t="shared" si="99"/>
        <v/>
      </c>
      <c r="AH77" s="73" t="str">
        <f t="shared" si="99"/>
        <v/>
      </c>
      <c r="AI77" s="73" t="str">
        <f t="shared" si="99"/>
        <v/>
      </c>
      <c r="AJ77" s="73" t="str">
        <f t="shared" si="99"/>
        <v/>
      </c>
      <c r="AK77" s="73" t="str">
        <f t="shared" si="99"/>
        <v/>
      </c>
      <c r="AL77" s="73" t="str">
        <f t="shared" ref="AL77:BQ77" si="100">IF(AL22="","",(MAX(AL22-$C$1,0)/365))</f>
        <v/>
      </c>
      <c r="AM77" s="73" t="str">
        <f t="shared" si="100"/>
        <v/>
      </c>
      <c r="AN77" s="73" t="str">
        <f t="shared" si="100"/>
        <v/>
      </c>
      <c r="AO77" s="73" t="str">
        <f t="shared" si="100"/>
        <v/>
      </c>
      <c r="AP77" s="73" t="str">
        <f t="shared" si="100"/>
        <v/>
      </c>
      <c r="AQ77" s="73" t="str">
        <f t="shared" si="100"/>
        <v/>
      </c>
      <c r="AR77" s="73" t="str">
        <f t="shared" si="100"/>
        <v/>
      </c>
      <c r="AS77" s="73" t="str">
        <f t="shared" si="100"/>
        <v/>
      </c>
      <c r="AT77" s="73" t="str">
        <f t="shared" si="100"/>
        <v/>
      </c>
      <c r="AU77" s="73" t="str">
        <f t="shared" si="100"/>
        <v/>
      </c>
      <c r="AV77" s="73" t="str">
        <f t="shared" si="100"/>
        <v/>
      </c>
      <c r="AW77" s="73" t="str">
        <f t="shared" si="100"/>
        <v/>
      </c>
      <c r="AX77" s="73" t="str">
        <f t="shared" si="100"/>
        <v/>
      </c>
      <c r="AY77" s="73" t="str">
        <f t="shared" si="100"/>
        <v/>
      </c>
      <c r="AZ77" s="73" t="str">
        <f t="shared" si="100"/>
        <v/>
      </c>
      <c r="BA77" s="73" t="str">
        <f t="shared" si="100"/>
        <v/>
      </c>
      <c r="BB77" s="73" t="str">
        <f t="shared" si="100"/>
        <v/>
      </c>
      <c r="BC77" s="73" t="str">
        <f t="shared" si="100"/>
        <v/>
      </c>
      <c r="BD77" s="73" t="str">
        <f t="shared" si="100"/>
        <v/>
      </c>
      <c r="BE77" s="73" t="str">
        <f t="shared" si="100"/>
        <v/>
      </c>
      <c r="BF77" s="73" t="str">
        <f t="shared" si="100"/>
        <v/>
      </c>
      <c r="BG77" s="73" t="str">
        <f t="shared" si="100"/>
        <v/>
      </c>
      <c r="BH77" s="73" t="str">
        <f t="shared" si="100"/>
        <v/>
      </c>
      <c r="BI77" s="73" t="str">
        <f t="shared" si="100"/>
        <v/>
      </c>
      <c r="BJ77" s="73" t="str">
        <f t="shared" si="100"/>
        <v/>
      </c>
      <c r="BK77" s="73" t="str">
        <f t="shared" si="100"/>
        <v/>
      </c>
      <c r="BL77" s="73" t="str">
        <f t="shared" si="100"/>
        <v/>
      </c>
      <c r="BM77" s="73" t="str">
        <f t="shared" si="100"/>
        <v/>
      </c>
      <c r="BN77" s="73" t="str">
        <f t="shared" si="100"/>
        <v/>
      </c>
      <c r="BO77" s="73" t="str">
        <f t="shared" si="100"/>
        <v/>
      </c>
      <c r="BP77" s="73" t="str">
        <f t="shared" si="100"/>
        <v/>
      </c>
      <c r="BQ77" s="73" t="str">
        <f t="shared" si="100"/>
        <v/>
      </c>
      <c r="BR77" s="73" t="str">
        <f t="shared" ref="BR77:CW77" si="101">IF(BR22="","",(MAX(BR22-$C$1,0)/365))</f>
        <v/>
      </c>
      <c r="BS77" s="73" t="str">
        <f t="shared" si="101"/>
        <v/>
      </c>
      <c r="BT77" s="73" t="str">
        <f t="shared" si="101"/>
        <v/>
      </c>
      <c r="BU77" s="73" t="str">
        <f t="shared" si="101"/>
        <v/>
      </c>
      <c r="BV77" s="73" t="str">
        <f t="shared" si="101"/>
        <v/>
      </c>
      <c r="BW77" s="73" t="str">
        <f t="shared" si="101"/>
        <v/>
      </c>
      <c r="BX77" s="73" t="str">
        <f t="shared" si="101"/>
        <v/>
      </c>
      <c r="BY77" s="73" t="str">
        <f t="shared" si="101"/>
        <v/>
      </c>
      <c r="BZ77" s="73" t="str">
        <f t="shared" si="101"/>
        <v/>
      </c>
      <c r="CA77" s="73" t="str">
        <f t="shared" si="101"/>
        <v/>
      </c>
      <c r="CB77" s="73" t="str">
        <f t="shared" si="101"/>
        <v/>
      </c>
      <c r="CC77" s="73" t="str">
        <f t="shared" si="101"/>
        <v/>
      </c>
      <c r="CD77" s="73" t="str">
        <f t="shared" si="101"/>
        <v/>
      </c>
      <c r="CE77" s="73" t="str">
        <f t="shared" si="101"/>
        <v/>
      </c>
      <c r="CF77" s="73" t="str">
        <f t="shared" si="101"/>
        <v/>
      </c>
      <c r="CG77" s="73" t="str">
        <f t="shared" si="101"/>
        <v/>
      </c>
      <c r="CH77" s="73" t="str">
        <f t="shared" si="101"/>
        <v/>
      </c>
      <c r="CI77" s="73" t="str">
        <f t="shared" si="101"/>
        <v/>
      </c>
      <c r="CJ77" s="73" t="str">
        <f t="shared" si="101"/>
        <v/>
      </c>
      <c r="CK77" s="73" t="str">
        <f t="shared" si="101"/>
        <v/>
      </c>
      <c r="CL77" s="73" t="str">
        <f t="shared" si="101"/>
        <v/>
      </c>
      <c r="CM77" s="73" t="str">
        <f t="shared" si="101"/>
        <v/>
      </c>
      <c r="CN77" s="73" t="str">
        <f t="shared" si="101"/>
        <v/>
      </c>
      <c r="CO77" s="73" t="str">
        <f t="shared" si="101"/>
        <v/>
      </c>
      <c r="CP77" s="73" t="str">
        <f t="shared" si="101"/>
        <v/>
      </c>
      <c r="CQ77" s="73" t="str">
        <f t="shared" si="101"/>
        <v/>
      </c>
      <c r="CR77" s="73" t="str">
        <f t="shared" si="101"/>
        <v/>
      </c>
      <c r="CS77" s="73" t="str">
        <f t="shared" si="101"/>
        <v/>
      </c>
      <c r="CT77" s="73" t="str">
        <f t="shared" si="101"/>
        <v/>
      </c>
      <c r="CU77" s="73" t="str">
        <f t="shared" si="101"/>
        <v/>
      </c>
      <c r="CV77" s="73" t="str">
        <f t="shared" si="101"/>
        <v/>
      </c>
      <c r="CW77" s="73" t="str">
        <f t="shared" si="101"/>
        <v/>
      </c>
      <c r="CX77" s="73" t="str">
        <f t="shared" ref="CX77:EC77" si="102">IF(CX22="","",(MAX(CX22-$C$1,0)/365))</f>
        <v/>
      </c>
      <c r="CY77" s="73" t="str">
        <f t="shared" si="102"/>
        <v/>
      </c>
      <c r="CZ77" s="73" t="str">
        <f t="shared" si="102"/>
        <v/>
      </c>
      <c r="DA77" s="73" t="str">
        <f t="shared" si="102"/>
        <v/>
      </c>
      <c r="DB77" s="73" t="str">
        <f t="shared" si="102"/>
        <v/>
      </c>
      <c r="DC77" s="73" t="str">
        <f t="shared" si="102"/>
        <v/>
      </c>
      <c r="DD77" s="73" t="str">
        <f t="shared" si="102"/>
        <v/>
      </c>
      <c r="DE77" s="73" t="str">
        <f t="shared" si="102"/>
        <v/>
      </c>
      <c r="DF77" s="73" t="str">
        <f t="shared" si="102"/>
        <v/>
      </c>
      <c r="DG77" s="73" t="str">
        <f t="shared" si="102"/>
        <v/>
      </c>
      <c r="DH77" s="73" t="str">
        <f t="shared" si="102"/>
        <v/>
      </c>
      <c r="DI77" s="73" t="str">
        <f t="shared" si="102"/>
        <v/>
      </c>
      <c r="DJ77" s="73" t="str">
        <f t="shared" si="102"/>
        <v/>
      </c>
      <c r="DK77" s="73" t="str">
        <f t="shared" si="102"/>
        <v/>
      </c>
      <c r="DL77" s="73" t="str">
        <f t="shared" si="102"/>
        <v/>
      </c>
      <c r="DM77" s="73" t="str">
        <f t="shared" si="102"/>
        <v/>
      </c>
      <c r="DN77" s="73" t="str">
        <f t="shared" si="102"/>
        <v/>
      </c>
      <c r="DO77" s="73" t="str">
        <f t="shared" si="102"/>
        <v/>
      </c>
      <c r="DP77" s="73" t="str">
        <f t="shared" si="102"/>
        <v/>
      </c>
      <c r="DQ77" s="73" t="str">
        <f t="shared" si="102"/>
        <v/>
      </c>
      <c r="DR77" s="73" t="str">
        <f t="shared" si="102"/>
        <v/>
      </c>
      <c r="DS77" s="73" t="str">
        <f t="shared" si="102"/>
        <v/>
      </c>
      <c r="DT77" s="73" t="str">
        <f t="shared" si="102"/>
        <v/>
      </c>
      <c r="DU77" s="73" t="str">
        <f t="shared" si="102"/>
        <v/>
      </c>
      <c r="DV77" s="73" t="str">
        <f t="shared" si="102"/>
        <v/>
      </c>
      <c r="DW77" s="73" t="str">
        <f t="shared" si="102"/>
        <v/>
      </c>
      <c r="DX77" s="73" t="str">
        <f t="shared" si="102"/>
        <v/>
      </c>
      <c r="DY77" s="73" t="str">
        <f t="shared" si="102"/>
        <v/>
      </c>
      <c r="DZ77" s="73" t="str">
        <f t="shared" si="102"/>
        <v/>
      </c>
      <c r="EA77" s="73" t="str">
        <f t="shared" si="102"/>
        <v/>
      </c>
      <c r="EB77" s="73" t="str">
        <f t="shared" si="102"/>
        <v/>
      </c>
      <c r="EC77" s="73" t="str">
        <f t="shared" si="102"/>
        <v/>
      </c>
      <c r="ED77" s="73" t="str">
        <f t="shared" ref="ED77:FI77" si="103">IF(ED22="","",(MAX(ED22-$C$1,0)/365))</f>
        <v/>
      </c>
      <c r="EE77" s="73" t="str">
        <f t="shared" si="103"/>
        <v/>
      </c>
      <c r="EF77" s="73" t="str">
        <f t="shared" si="103"/>
        <v/>
      </c>
      <c r="EG77" s="73" t="str">
        <f t="shared" si="103"/>
        <v/>
      </c>
      <c r="EH77" s="73" t="str">
        <f t="shared" si="103"/>
        <v/>
      </c>
      <c r="EI77" s="73" t="str">
        <f t="shared" si="103"/>
        <v/>
      </c>
      <c r="EJ77" s="73" t="str">
        <f t="shared" si="103"/>
        <v/>
      </c>
      <c r="EK77" s="73" t="str">
        <f t="shared" si="103"/>
        <v/>
      </c>
      <c r="EL77" s="73" t="str">
        <f t="shared" si="103"/>
        <v/>
      </c>
      <c r="EM77" s="73" t="str">
        <f t="shared" si="103"/>
        <v/>
      </c>
      <c r="EN77" s="73" t="str">
        <f t="shared" si="103"/>
        <v/>
      </c>
      <c r="EO77" s="73" t="str">
        <f t="shared" si="103"/>
        <v/>
      </c>
      <c r="EP77" s="73" t="str">
        <f t="shared" si="103"/>
        <v/>
      </c>
      <c r="EQ77" s="73" t="str">
        <f t="shared" si="103"/>
        <v/>
      </c>
      <c r="ER77" s="73" t="str">
        <f t="shared" si="103"/>
        <v/>
      </c>
      <c r="ES77" s="73" t="str">
        <f t="shared" si="103"/>
        <v/>
      </c>
      <c r="ET77" s="73" t="str">
        <f t="shared" si="103"/>
        <v/>
      </c>
      <c r="EU77" s="73" t="str">
        <f t="shared" si="103"/>
        <v/>
      </c>
      <c r="EV77" s="73" t="str">
        <f t="shared" si="103"/>
        <v/>
      </c>
      <c r="EW77" s="73" t="str">
        <f t="shared" si="103"/>
        <v/>
      </c>
      <c r="EX77" s="73" t="str">
        <f t="shared" si="103"/>
        <v/>
      </c>
      <c r="EY77" s="73" t="str">
        <f t="shared" si="103"/>
        <v/>
      </c>
      <c r="EZ77" s="73" t="str">
        <f t="shared" si="103"/>
        <v/>
      </c>
      <c r="FA77" s="73" t="str">
        <f t="shared" si="103"/>
        <v/>
      </c>
      <c r="FB77" s="73" t="str">
        <f t="shared" si="103"/>
        <v/>
      </c>
      <c r="FC77" s="73" t="str">
        <f t="shared" si="103"/>
        <v/>
      </c>
      <c r="FD77" s="73" t="str">
        <f t="shared" si="103"/>
        <v/>
      </c>
      <c r="FE77" s="73" t="str">
        <f t="shared" si="103"/>
        <v/>
      </c>
      <c r="FF77" s="73" t="str">
        <f t="shared" si="103"/>
        <v/>
      </c>
      <c r="FG77" s="73" t="str">
        <f t="shared" si="103"/>
        <v/>
      </c>
      <c r="FH77" s="73" t="str">
        <f t="shared" si="103"/>
        <v/>
      </c>
      <c r="FI77" s="73" t="str">
        <f t="shared" si="103"/>
        <v/>
      </c>
      <c r="FJ77" s="73" t="str">
        <f t="shared" ref="FJ77:GQ77" si="104">IF(FJ22="","",(MAX(FJ22-$C$1,0)/365))</f>
        <v/>
      </c>
      <c r="FK77" s="73" t="str">
        <f t="shared" si="104"/>
        <v/>
      </c>
      <c r="FL77" s="73" t="str">
        <f t="shared" si="104"/>
        <v/>
      </c>
      <c r="FM77" s="73" t="str">
        <f t="shared" si="104"/>
        <v/>
      </c>
      <c r="FN77" s="73" t="str">
        <f t="shared" si="104"/>
        <v/>
      </c>
      <c r="FO77" s="73" t="str">
        <f t="shared" si="104"/>
        <v/>
      </c>
      <c r="FP77" s="73" t="str">
        <f t="shared" si="104"/>
        <v/>
      </c>
      <c r="FQ77" s="73" t="str">
        <f t="shared" si="104"/>
        <v/>
      </c>
      <c r="FR77" s="73" t="str">
        <f t="shared" si="104"/>
        <v/>
      </c>
      <c r="FS77" s="73" t="str">
        <f t="shared" si="104"/>
        <v/>
      </c>
      <c r="FT77" s="73" t="str">
        <f t="shared" si="104"/>
        <v/>
      </c>
      <c r="FU77" s="73" t="str">
        <f t="shared" si="104"/>
        <v/>
      </c>
      <c r="FV77" s="73" t="str">
        <f t="shared" si="104"/>
        <v/>
      </c>
      <c r="FW77" s="73" t="str">
        <f t="shared" si="104"/>
        <v/>
      </c>
      <c r="FX77" s="73" t="str">
        <f t="shared" si="104"/>
        <v/>
      </c>
      <c r="FY77" s="73" t="str">
        <f t="shared" si="104"/>
        <v/>
      </c>
      <c r="FZ77" s="73" t="str">
        <f t="shared" si="104"/>
        <v/>
      </c>
      <c r="GA77" s="73" t="str">
        <f t="shared" si="104"/>
        <v/>
      </c>
      <c r="GB77" s="73" t="str">
        <f t="shared" si="104"/>
        <v/>
      </c>
      <c r="GC77" s="73" t="str">
        <f t="shared" si="104"/>
        <v/>
      </c>
      <c r="GD77" s="73" t="str">
        <f t="shared" si="104"/>
        <v/>
      </c>
      <c r="GE77" s="73" t="str">
        <f t="shared" si="104"/>
        <v/>
      </c>
      <c r="GF77" s="73" t="str">
        <f t="shared" si="104"/>
        <v/>
      </c>
      <c r="GG77" s="73" t="str">
        <f t="shared" si="104"/>
        <v/>
      </c>
      <c r="GH77" s="73" t="str">
        <f t="shared" si="104"/>
        <v/>
      </c>
      <c r="GI77" s="73" t="str">
        <f t="shared" si="104"/>
        <v/>
      </c>
      <c r="GJ77" s="73" t="str">
        <f t="shared" si="104"/>
        <v/>
      </c>
      <c r="GK77" s="73" t="str">
        <f t="shared" si="104"/>
        <v/>
      </c>
      <c r="GL77" s="73" t="str">
        <f t="shared" si="104"/>
        <v/>
      </c>
      <c r="GM77" s="73" t="str">
        <f t="shared" si="104"/>
        <v/>
      </c>
      <c r="GN77" s="73" t="str">
        <f t="shared" si="104"/>
        <v/>
      </c>
      <c r="GO77" s="73" t="str">
        <f t="shared" si="104"/>
        <v/>
      </c>
      <c r="GP77" s="73" t="str">
        <f t="shared" si="104"/>
        <v/>
      </c>
      <c r="GQ77" s="73" t="str">
        <f t="shared" si="104"/>
        <v/>
      </c>
    </row>
    <row r="78" spans="2:199" x14ac:dyDescent="0.2">
      <c r="B78" t="str">
        <f t="shared" si="68"/>
        <v>US040114HF05</v>
      </c>
      <c r="C78" t="str">
        <f t="shared" si="25"/>
        <v>USD 6.625% 2028</v>
      </c>
      <c r="E78" s="73"/>
      <c r="F78" s="73">
        <f t="shared" ref="F78:AK78" si="105">IF(F23="","",(MAX(F23-$C$1,0)/365))</f>
        <v>0.30958904109589042</v>
      </c>
      <c r="G78" s="73">
        <f t="shared" si="105"/>
        <v>0.80547945205479454</v>
      </c>
      <c r="H78" s="73">
        <f t="shared" si="105"/>
        <v>1.3095890410958904</v>
      </c>
      <c r="I78" s="73">
        <f t="shared" si="105"/>
        <v>1.8054794520547945</v>
      </c>
      <c r="J78" s="73">
        <f t="shared" si="105"/>
        <v>2.3095890410958906</v>
      </c>
      <c r="K78" s="73">
        <f t="shared" si="105"/>
        <v>2.8054794520547945</v>
      </c>
      <c r="L78" s="73">
        <f t="shared" si="105"/>
        <v>3.3095890410958906</v>
      </c>
      <c r="M78" s="73">
        <f t="shared" si="105"/>
        <v>3.8082191780821919</v>
      </c>
      <c r="N78" s="73">
        <f t="shared" si="105"/>
        <v>4.3123287671232875</v>
      </c>
      <c r="O78" s="73">
        <f t="shared" si="105"/>
        <v>4.8082191780821919</v>
      </c>
      <c r="P78" s="73">
        <f t="shared" si="105"/>
        <v>5.3123287671232875</v>
      </c>
      <c r="Q78" s="73">
        <f t="shared" si="105"/>
        <v>5.8082191780821919</v>
      </c>
      <c r="R78" s="73">
        <f t="shared" si="105"/>
        <v>6.3123287671232875</v>
      </c>
      <c r="S78" s="73">
        <f t="shared" si="105"/>
        <v>6.8082191780821919</v>
      </c>
      <c r="T78" s="73">
        <f t="shared" si="105"/>
        <v>7.3123287671232875</v>
      </c>
      <c r="U78" s="73">
        <f t="shared" si="105"/>
        <v>7.8109589041095893</v>
      </c>
      <c r="V78" s="73" t="str">
        <f t="shared" si="105"/>
        <v/>
      </c>
      <c r="W78" s="73" t="str">
        <f t="shared" si="105"/>
        <v/>
      </c>
      <c r="X78" s="73" t="str">
        <f t="shared" si="105"/>
        <v/>
      </c>
      <c r="Y78" s="73" t="str">
        <f t="shared" si="105"/>
        <v/>
      </c>
      <c r="Z78" s="73" t="str">
        <f t="shared" si="105"/>
        <v/>
      </c>
      <c r="AA78" s="73" t="str">
        <f t="shared" si="105"/>
        <v/>
      </c>
      <c r="AB78" s="73" t="str">
        <f t="shared" si="105"/>
        <v/>
      </c>
      <c r="AC78" s="73" t="str">
        <f t="shared" si="105"/>
        <v/>
      </c>
      <c r="AD78" s="73" t="str">
        <f t="shared" si="105"/>
        <v/>
      </c>
      <c r="AE78" s="73" t="str">
        <f t="shared" si="105"/>
        <v/>
      </c>
      <c r="AF78" s="73" t="str">
        <f t="shared" si="105"/>
        <v/>
      </c>
      <c r="AG78" s="73" t="str">
        <f t="shared" si="105"/>
        <v/>
      </c>
      <c r="AH78" s="73" t="str">
        <f t="shared" si="105"/>
        <v/>
      </c>
      <c r="AI78" s="73" t="str">
        <f t="shared" si="105"/>
        <v/>
      </c>
      <c r="AJ78" s="73" t="str">
        <f t="shared" si="105"/>
        <v/>
      </c>
      <c r="AK78" s="73" t="str">
        <f t="shared" si="105"/>
        <v/>
      </c>
      <c r="AL78" s="73" t="str">
        <f t="shared" ref="AL78:BQ78" si="106">IF(AL23="","",(MAX(AL23-$C$1,0)/365))</f>
        <v/>
      </c>
      <c r="AM78" s="73" t="str">
        <f t="shared" si="106"/>
        <v/>
      </c>
      <c r="AN78" s="73" t="str">
        <f t="shared" si="106"/>
        <v/>
      </c>
      <c r="AO78" s="73" t="str">
        <f t="shared" si="106"/>
        <v/>
      </c>
      <c r="AP78" s="73" t="str">
        <f t="shared" si="106"/>
        <v/>
      </c>
      <c r="AQ78" s="73" t="str">
        <f t="shared" si="106"/>
        <v/>
      </c>
      <c r="AR78" s="73" t="str">
        <f t="shared" si="106"/>
        <v/>
      </c>
      <c r="AS78" s="73" t="str">
        <f t="shared" si="106"/>
        <v/>
      </c>
      <c r="AT78" s="73" t="str">
        <f t="shared" si="106"/>
        <v/>
      </c>
      <c r="AU78" s="73" t="str">
        <f t="shared" si="106"/>
        <v/>
      </c>
      <c r="AV78" s="73" t="str">
        <f t="shared" si="106"/>
        <v/>
      </c>
      <c r="AW78" s="73" t="str">
        <f t="shared" si="106"/>
        <v/>
      </c>
      <c r="AX78" s="73" t="str">
        <f t="shared" si="106"/>
        <v/>
      </c>
      <c r="AY78" s="73" t="str">
        <f t="shared" si="106"/>
        <v/>
      </c>
      <c r="AZ78" s="73" t="str">
        <f t="shared" si="106"/>
        <v/>
      </c>
      <c r="BA78" s="73" t="str">
        <f t="shared" si="106"/>
        <v/>
      </c>
      <c r="BB78" s="73" t="str">
        <f t="shared" si="106"/>
        <v/>
      </c>
      <c r="BC78" s="73" t="str">
        <f t="shared" si="106"/>
        <v/>
      </c>
      <c r="BD78" s="73" t="str">
        <f t="shared" si="106"/>
        <v/>
      </c>
      <c r="BE78" s="73" t="str">
        <f t="shared" si="106"/>
        <v/>
      </c>
      <c r="BF78" s="73" t="str">
        <f t="shared" si="106"/>
        <v/>
      </c>
      <c r="BG78" s="73" t="str">
        <f t="shared" si="106"/>
        <v/>
      </c>
      <c r="BH78" s="73" t="str">
        <f t="shared" si="106"/>
        <v/>
      </c>
      <c r="BI78" s="73" t="str">
        <f t="shared" si="106"/>
        <v/>
      </c>
      <c r="BJ78" s="73" t="str">
        <f t="shared" si="106"/>
        <v/>
      </c>
      <c r="BK78" s="73" t="str">
        <f t="shared" si="106"/>
        <v/>
      </c>
      <c r="BL78" s="73" t="str">
        <f t="shared" si="106"/>
        <v/>
      </c>
      <c r="BM78" s="73" t="str">
        <f t="shared" si="106"/>
        <v/>
      </c>
      <c r="BN78" s="73" t="str">
        <f t="shared" si="106"/>
        <v/>
      </c>
      <c r="BO78" s="73" t="str">
        <f t="shared" si="106"/>
        <v/>
      </c>
      <c r="BP78" s="73" t="str">
        <f t="shared" si="106"/>
        <v/>
      </c>
      <c r="BQ78" s="73" t="str">
        <f t="shared" si="106"/>
        <v/>
      </c>
      <c r="BR78" s="73" t="str">
        <f t="shared" ref="BR78:CW78" si="107">IF(BR23="","",(MAX(BR23-$C$1,0)/365))</f>
        <v/>
      </c>
      <c r="BS78" s="73" t="str">
        <f t="shared" si="107"/>
        <v/>
      </c>
      <c r="BT78" s="73" t="str">
        <f t="shared" si="107"/>
        <v/>
      </c>
      <c r="BU78" s="73" t="str">
        <f t="shared" si="107"/>
        <v/>
      </c>
      <c r="BV78" s="73" t="str">
        <f t="shared" si="107"/>
        <v/>
      </c>
      <c r="BW78" s="73" t="str">
        <f t="shared" si="107"/>
        <v/>
      </c>
      <c r="BX78" s="73" t="str">
        <f t="shared" si="107"/>
        <v/>
      </c>
      <c r="BY78" s="73" t="str">
        <f t="shared" si="107"/>
        <v/>
      </c>
      <c r="BZ78" s="73" t="str">
        <f t="shared" si="107"/>
        <v/>
      </c>
      <c r="CA78" s="73" t="str">
        <f t="shared" si="107"/>
        <v/>
      </c>
      <c r="CB78" s="73" t="str">
        <f t="shared" si="107"/>
        <v/>
      </c>
      <c r="CC78" s="73" t="str">
        <f t="shared" si="107"/>
        <v/>
      </c>
      <c r="CD78" s="73" t="str">
        <f t="shared" si="107"/>
        <v/>
      </c>
      <c r="CE78" s="73" t="str">
        <f t="shared" si="107"/>
        <v/>
      </c>
      <c r="CF78" s="73" t="str">
        <f t="shared" si="107"/>
        <v/>
      </c>
      <c r="CG78" s="73" t="str">
        <f t="shared" si="107"/>
        <v/>
      </c>
      <c r="CH78" s="73" t="str">
        <f t="shared" si="107"/>
        <v/>
      </c>
      <c r="CI78" s="73" t="str">
        <f t="shared" si="107"/>
        <v/>
      </c>
      <c r="CJ78" s="73" t="str">
        <f t="shared" si="107"/>
        <v/>
      </c>
      <c r="CK78" s="73" t="str">
        <f t="shared" si="107"/>
        <v/>
      </c>
      <c r="CL78" s="73" t="str">
        <f t="shared" si="107"/>
        <v/>
      </c>
      <c r="CM78" s="73" t="str">
        <f t="shared" si="107"/>
        <v/>
      </c>
      <c r="CN78" s="73" t="str">
        <f t="shared" si="107"/>
        <v/>
      </c>
      <c r="CO78" s="73" t="str">
        <f t="shared" si="107"/>
        <v/>
      </c>
      <c r="CP78" s="73" t="str">
        <f t="shared" si="107"/>
        <v/>
      </c>
      <c r="CQ78" s="73" t="str">
        <f t="shared" si="107"/>
        <v/>
      </c>
      <c r="CR78" s="73" t="str">
        <f t="shared" si="107"/>
        <v/>
      </c>
      <c r="CS78" s="73" t="str">
        <f t="shared" si="107"/>
        <v/>
      </c>
      <c r="CT78" s="73" t="str">
        <f t="shared" si="107"/>
        <v/>
      </c>
      <c r="CU78" s="73" t="str">
        <f t="shared" si="107"/>
        <v/>
      </c>
      <c r="CV78" s="73" t="str">
        <f t="shared" si="107"/>
        <v/>
      </c>
      <c r="CW78" s="73" t="str">
        <f t="shared" si="107"/>
        <v/>
      </c>
      <c r="CX78" s="73" t="str">
        <f t="shared" ref="CX78:EC78" si="108">IF(CX23="","",(MAX(CX23-$C$1,0)/365))</f>
        <v/>
      </c>
      <c r="CY78" s="73" t="str">
        <f t="shared" si="108"/>
        <v/>
      </c>
      <c r="CZ78" s="73" t="str">
        <f t="shared" si="108"/>
        <v/>
      </c>
      <c r="DA78" s="73" t="str">
        <f t="shared" si="108"/>
        <v/>
      </c>
      <c r="DB78" s="73" t="str">
        <f t="shared" si="108"/>
        <v/>
      </c>
      <c r="DC78" s="73" t="str">
        <f t="shared" si="108"/>
        <v/>
      </c>
      <c r="DD78" s="73" t="str">
        <f t="shared" si="108"/>
        <v/>
      </c>
      <c r="DE78" s="73" t="str">
        <f t="shared" si="108"/>
        <v/>
      </c>
      <c r="DF78" s="73" t="str">
        <f t="shared" si="108"/>
        <v/>
      </c>
      <c r="DG78" s="73" t="str">
        <f t="shared" si="108"/>
        <v/>
      </c>
      <c r="DH78" s="73" t="str">
        <f t="shared" si="108"/>
        <v/>
      </c>
      <c r="DI78" s="73" t="str">
        <f t="shared" si="108"/>
        <v/>
      </c>
      <c r="DJ78" s="73" t="str">
        <f t="shared" si="108"/>
        <v/>
      </c>
      <c r="DK78" s="73" t="str">
        <f t="shared" si="108"/>
        <v/>
      </c>
      <c r="DL78" s="73" t="str">
        <f t="shared" si="108"/>
        <v/>
      </c>
      <c r="DM78" s="73" t="str">
        <f t="shared" si="108"/>
        <v/>
      </c>
      <c r="DN78" s="73" t="str">
        <f t="shared" si="108"/>
        <v/>
      </c>
      <c r="DO78" s="73" t="str">
        <f t="shared" si="108"/>
        <v/>
      </c>
      <c r="DP78" s="73" t="str">
        <f t="shared" si="108"/>
        <v/>
      </c>
      <c r="DQ78" s="73" t="str">
        <f t="shared" si="108"/>
        <v/>
      </c>
      <c r="DR78" s="73" t="str">
        <f t="shared" si="108"/>
        <v/>
      </c>
      <c r="DS78" s="73" t="str">
        <f t="shared" si="108"/>
        <v/>
      </c>
      <c r="DT78" s="73" t="str">
        <f t="shared" si="108"/>
        <v/>
      </c>
      <c r="DU78" s="73" t="str">
        <f t="shared" si="108"/>
        <v/>
      </c>
      <c r="DV78" s="73" t="str">
        <f t="shared" si="108"/>
        <v/>
      </c>
      <c r="DW78" s="73" t="str">
        <f t="shared" si="108"/>
        <v/>
      </c>
      <c r="DX78" s="73" t="str">
        <f t="shared" si="108"/>
        <v/>
      </c>
      <c r="DY78" s="73" t="str">
        <f t="shared" si="108"/>
        <v/>
      </c>
      <c r="DZ78" s="73" t="str">
        <f t="shared" si="108"/>
        <v/>
      </c>
      <c r="EA78" s="73" t="str">
        <f t="shared" si="108"/>
        <v/>
      </c>
      <c r="EB78" s="73" t="str">
        <f t="shared" si="108"/>
        <v/>
      </c>
      <c r="EC78" s="73" t="str">
        <f t="shared" si="108"/>
        <v/>
      </c>
      <c r="ED78" s="73" t="str">
        <f t="shared" ref="ED78:FI78" si="109">IF(ED23="","",(MAX(ED23-$C$1,0)/365))</f>
        <v/>
      </c>
      <c r="EE78" s="73" t="str">
        <f t="shared" si="109"/>
        <v/>
      </c>
      <c r="EF78" s="73" t="str">
        <f t="shared" si="109"/>
        <v/>
      </c>
      <c r="EG78" s="73" t="str">
        <f t="shared" si="109"/>
        <v/>
      </c>
      <c r="EH78" s="73" t="str">
        <f t="shared" si="109"/>
        <v/>
      </c>
      <c r="EI78" s="73" t="str">
        <f t="shared" si="109"/>
        <v/>
      </c>
      <c r="EJ78" s="73" t="str">
        <f t="shared" si="109"/>
        <v/>
      </c>
      <c r="EK78" s="73" t="str">
        <f t="shared" si="109"/>
        <v/>
      </c>
      <c r="EL78" s="73" t="str">
        <f t="shared" si="109"/>
        <v/>
      </c>
      <c r="EM78" s="73" t="str">
        <f t="shared" si="109"/>
        <v/>
      </c>
      <c r="EN78" s="73" t="str">
        <f t="shared" si="109"/>
        <v/>
      </c>
      <c r="EO78" s="73" t="str">
        <f t="shared" si="109"/>
        <v/>
      </c>
      <c r="EP78" s="73" t="str">
        <f t="shared" si="109"/>
        <v/>
      </c>
      <c r="EQ78" s="73" t="str">
        <f t="shared" si="109"/>
        <v/>
      </c>
      <c r="ER78" s="73" t="str">
        <f t="shared" si="109"/>
        <v/>
      </c>
      <c r="ES78" s="73" t="str">
        <f t="shared" si="109"/>
        <v/>
      </c>
      <c r="ET78" s="73" t="str">
        <f t="shared" si="109"/>
        <v/>
      </c>
      <c r="EU78" s="73" t="str">
        <f t="shared" si="109"/>
        <v/>
      </c>
      <c r="EV78" s="73" t="str">
        <f t="shared" si="109"/>
        <v/>
      </c>
      <c r="EW78" s="73" t="str">
        <f t="shared" si="109"/>
        <v/>
      </c>
      <c r="EX78" s="73" t="str">
        <f t="shared" si="109"/>
        <v/>
      </c>
      <c r="EY78" s="73" t="str">
        <f t="shared" si="109"/>
        <v/>
      </c>
      <c r="EZ78" s="73" t="str">
        <f t="shared" si="109"/>
        <v/>
      </c>
      <c r="FA78" s="73" t="str">
        <f t="shared" si="109"/>
        <v/>
      </c>
      <c r="FB78" s="73" t="str">
        <f t="shared" si="109"/>
        <v/>
      </c>
      <c r="FC78" s="73" t="str">
        <f t="shared" si="109"/>
        <v/>
      </c>
      <c r="FD78" s="73" t="str">
        <f t="shared" si="109"/>
        <v/>
      </c>
      <c r="FE78" s="73" t="str">
        <f t="shared" si="109"/>
        <v/>
      </c>
      <c r="FF78" s="73" t="str">
        <f t="shared" si="109"/>
        <v/>
      </c>
      <c r="FG78" s="73" t="str">
        <f t="shared" si="109"/>
        <v/>
      </c>
      <c r="FH78" s="73" t="str">
        <f t="shared" si="109"/>
        <v/>
      </c>
      <c r="FI78" s="73" t="str">
        <f t="shared" si="109"/>
        <v/>
      </c>
      <c r="FJ78" s="73" t="str">
        <f t="shared" ref="FJ78:GQ78" si="110">IF(FJ23="","",(MAX(FJ23-$C$1,0)/365))</f>
        <v/>
      </c>
      <c r="FK78" s="73" t="str">
        <f t="shared" si="110"/>
        <v/>
      </c>
      <c r="FL78" s="73" t="str">
        <f t="shared" si="110"/>
        <v/>
      </c>
      <c r="FM78" s="73" t="str">
        <f t="shared" si="110"/>
        <v/>
      </c>
      <c r="FN78" s="73" t="str">
        <f t="shared" si="110"/>
        <v/>
      </c>
      <c r="FO78" s="73" t="str">
        <f t="shared" si="110"/>
        <v/>
      </c>
      <c r="FP78" s="73" t="str">
        <f t="shared" si="110"/>
        <v/>
      </c>
      <c r="FQ78" s="73" t="str">
        <f t="shared" si="110"/>
        <v/>
      </c>
      <c r="FR78" s="73" t="str">
        <f t="shared" si="110"/>
        <v/>
      </c>
      <c r="FS78" s="73" t="str">
        <f t="shared" si="110"/>
        <v/>
      </c>
      <c r="FT78" s="73" t="str">
        <f t="shared" si="110"/>
        <v/>
      </c>
      <c r="FU78" s="73" t="str">
        <f t="shared" si="110"/>
        <v/>
      </c>
      <c r="FV78" s="73" t="str">
        <f t="shared" si="110"/>
        <v/>
      </c>
      <c r="FW78" s="73" t="str">
        <f t="shared" si="110"/>
        <v/>
      </c>
      <c r="FX78" s="73" t="str">
        <f t="shared" si="110"/>
        <v/>
      </c>
      <c r="FY78" s="73" t="str">
        <f t="shared" si="110"/>
        <v/>
      </c>
      <c r="FZ78" s="73" t="str">
        <f t="shared" si="110"/>
        <v/>
      </c>
      <c r="GA78" s="73" t="str">
        <f t="shared" si="110"/>
        <v/>
      </c>
      <c r="GB78" s="73" t="str">
        <f t="shared" si="110"/>
        <v/>
      </c>
      <c r="GC78" s="73" t="str">
        <f t="shared" si="110"/>
        <v/>
      </c>
      <c r="GD78" s="73" t="str">
        <f t="shared" si="110"/>
        <v/>
      </c>
      <c r="GE78" s="73" t="str">
        <f t="shared" si="110"/>
        <v/>
      </c>
      <c r="GF78" s="73" t="str">
        <f t="shared" si="110"/>
        <v/>
      </c>
      <c r="GG78" s="73" t="str">
        <f t="shared" si="110"/>
        <v/>
      </c>
      <c r="GH78" s="73" t="str">
        <f t="shared" si="110"/>
        <v/>
      </c>
      <c r="GI78" s="73" t="str">
        <f t="shared" si="110"/>
        <v/>
      </c>
      <c r="GJ78" s="73" t="str">
        <f t="shared" si="110"/>
        <v/>
      </c>
      <c r="GK78" s="73" t="str">
        <f t="shared" si="110"/>
        <v/>
      </c>
      <c r="GL78" s="73" t="str">
        <f t="shared" si="110"/>
        <v/>
      </c>
      <c r="GM78" s="73" t="str">
        <f t="shared" si="110"/>
        <v/>
      </c>
      <c r="GN78" s="73" t="str">
        <f t="shared" si="110"/>
        <v/>
      </c>
      <c r="GO78" s="73" t="str">
        <f t="shared" si="110"/>
        <v/>
      </c>
      <c r="GP78" s="73" t="str">
        <f t="shared" si="110"/>
        <v/>
      </c>
      <c r="GQ78" s="73" t="str">
        <f t="shared" si="110"/>
        <v/>
      </c>
    </row>
    <row r="79" spans="2:199" x14ac:dyDescent="0.2">
      <c r="B79" t="str">
        <f t="shared" si="68"/>
        <v>US040114HG87</v>
      </c>
      <c r="C79" t="str">
        <f t="shared" si="25"/>
        <v>USD 2036</v>
      </c>
      <c r="E79" s="73"/>
      <c r="F79" s="73">
        <f t="shared" ref="F79:AK79" si="111">IF(F24="","",(MAX(F24-$C$1,0)/365))</f>
        <v>0.30958904109589042</v>
      </c>
      <c r="G79" s="73">
        <f t="shared" si="111"/>
        <v>0.80547945205479454</v>
      </c>
      <c r="H79" s="73">
        <f t="shared" si="111"/>
        <v>1.3095890410958904</v>
      </c>
      <c r="I79" s="73">
        <f t="shared" si="111"/>
        <v>1.8054794520547945</v>
      </c>
      <c r="J79" s="73">
        <f t="shared" si="111"/>
        <v>2.3095890410958906</v>
      </c>
      <c r="K79" s="73">
        <f t="shared" si="111"/>
        <v>2.8054794520547945</v>
      </c>
      <c r="L79" s="73">
        <f t="shared" si="111"/>
        <v>3.3095890410958906</v>
      </c>
      <c r="M79" s="73">
        <f t="shared" si="111"/>
        <v>3.8082191780821919</v>
      </c>
      <c r="N79" s="73">
        <f t="shared" si="111"/>
        <v>4.3123287671232875</v>
      </c>
      <c r="O79" s="73">
        <f t="shared" si="111"/>
        <v>4.8082191780821919</v>
      </c>
      <c r="P79" s="73">
        <f t="shared" si="111"/>
        <v>5.3123287671232875</v>
      </c>
      <c r="Q79" s="73">
        <f t="shared" si="111"/>
        <v>5.8082191780821919</v>
      </c>
      <c r="R79" s="73">
        <f t="shared" si="111"/>
        <v>6.3123287671232875</v>
      </c>
      <c r="S79" s="73">
        <f t="shared" si="111"/>
        <v>6.8082191780821919</v>
      </c>
      <c r="T79" s="73">
        <f t="shared" si="111"/>
        <v>7.3123287671232875</v>
      </c>
      <c r="U79" s="73">
        <f t="shared" si="111"/>
        <v>7.8109589041095893</v>
      </c>
      <c r="V79" s="73">
        <f t="shared" si="111"/>
        <v>8.3150684931506849</v>
      </c>
      <c r="W79" s="73">
        <f t="shared" si="111"/>
        <v>8.8109589041095884</v>
      </c>
      <c r="X79" s="73">
        <f t="shared" si="111"/>
        <v>9.3150684931506849</v>
      </c>
      <c r="Y79" s="73">
        <f t="shared" si="111"/>
        <v>9.8109589041095884</v>
      </c>
      <c r="Z79" s="73">
        <f t="shared" si="111"/>
        <v>10.315068493150685</v>
      </c>
      <c r="AA79" s="73">
        <f t="shared" si="111"/>
        <v>10.810958904109588</v>
      </c>
      <c r="AB79" s="73">
        <f t="shared" si="111"/>
        <v>11.315068493150685</v>
      </c>
      <c r="AC79" s="73">
        <f t="shared" si="111"/>
        <v>11.813698630136987</v>
      </c>
      <c r="AD79" s="73">
        <f t="shared" si="111"/>
        <v>12.317808219178081</v>
      </c>
      <c r="AE79" s="73">
        <f t="shared" si="111"/>
        <v>12.813698630136987</v>
      </c>
      <c r="AF79" s="73">
        <f t="shared" si="111"/>
        <v>13.317808219178081</v>
      </c>
      <c r="AG79" s="73">
        <f t="shared" si="111"/>
        <v>13.813698630136987</v>
      </c>
      <c r="AH79" s="73">
        <f t="shared" si="111"/>
        <v>14.317808219178081</v>
      </c>
      <c r="AI79" s="73">
        <f t="shared" si="111"/>
        <v>14.813698630136987</v>
      </c>
      <c r="AJ79" s="73">
        <f t="shared" si="111"/>
        <v>15.317808219178081</v>
      </c>
      <c r="AK79" s="73">
        <f t="shared" si="111"/>
        <v>15.816438356164383</v>
      </c>
      <c r="AL79" s="73" t="str">
        <f t="shared" ref="AL79:BQ79" si="112">IF(AL24="","",(MAX(AL24-$C$1,0)/365))</f>
        <v/>
      </c>
      <c r="AM79" s="73" t="str">
        <f t="shared" si="112"/>
        <v/>
      </c>
      <c r="AN79" s="73" t="str">
        <f t="shared" si="112"/>
        <v/>
      </c>
      <c r="AO79" s="73" t="str">
        <f t="shared" si="112"/>
        <v/>
      </c>
      <c r="AP79" s="73" t="str">
        <f t="shared" si="112"/>
        <v/>
      </c>
      <c r="AQ79" s="73" t="str">
        <f t="shared" si="112"/>
        <v/>
      </c>
      <c r="AR79" s="73" t="str">
        <f t="shared" si="112"/>
        <v/>
      </c>
      <c r="AS79" s="73" t="str">
        <f t="shared" si="112"/>
        <v/>
      </c>
      <c r="AT79" s="73" t="str">
        <f t="shared" si="112"/>
        <v/>
      </c>
      <c r="AU79" s="73" t="str">
        <f t="shared" si="112"/>
        <v/>
      </c>
      <c r="AV79" s="73" t="str">
        <f t="shared" si="112"/>
        <v/>
      </c>
      <c r="AW79" s="73" t="str">
        <f t="shared" si="112"/>
        <v/>
      </c>
      <c r="AX79" s="73" t="str">
        <f t="shared" si="112"/>
        <v/>
      </c>
      <c r="AY79" s="73" t="str">
        <f t="shared" si="112"/>
        <v/>
      </c>
      <c r="AZ79" s="73" t="str">
        <f t="shared" si="112"/>
        <v/>
      </c>
      <c r="BA79" s="73" t="str">
        <f t="shared" si="112"/>
        <v/>
      </c>
      <c r="BB79" s="73" t="str">
        <f t="shared" si="112"/>
        <v/>
      </c>
      <c r="BC79" s="73" t="str">
        <f t="shared" si="112"/>
        <v/>
      </c>
      <c r="BD79" s="73" t="str">
        <f t="shared" si="112"/>
        <v/>
      </c>
      <c r="BE79" s="73" t="str">
        <f t="shared" si="112"/>
        <v/>
      </c>
      <c r="BF79" s="73" t="str">
        <f t="shared" si="112"/>
        <v/>
      </c>
      <c r="BG79" s="73" t="str">
        <f t="shared" si="112"/>
        <v/>
      </c>
      <c r="BH79" s="73" t="str">
        <f t="shared" si="112"/>
        <v/>
      </c>
      <c r="BI79" s="73" t="str">
        <f t="shared" si="112"/>
        <v/>
      </c>
      <c r="BJ79" s="73" t="str">
        <f t="shared" si="112"/>
        <v/>
      </c>
      <c r="BK79" s="73" t="str">
        <f t="shared" si="112"/>
        <v/>
      </c>
      <c r="BL79" s="73" t="str">
        <f t="shared" si="112"/>
        <v/>
      </c>
      <c r="BM79" s="73" t="str">
        <f t="shared" si="112"/>
        <v/>
      </c>
      <c r="BN79" s="73" t="str">
        <f t="shared" si="112"/>
        <v/>
      </c>
      <c r="BO79" s="73" t="str">
        <f t="shared" si="112"/>
        <v/>
      </c>
      <c r="BP79" s="73" t="str">
        <f t="shared" si="112"/>
        <v/>
      </c>
      <c r="BQ79" s="73" t="str">
        <f t="shared" si="112"/>
        <v/>
      </c>
      <c r="BR79" s="73" t="str">
        <f t="shared" ref="BR79:CW79" si="113">IF(BR24="","",(MAX(BR24-$C$1,0)/365))</f>
        <v/>
      </c>
      <c r="BS79" s="73" t="str">
        <f t="shared" si="113"/>
        <v/>
      </c>
      <c r="BT79" s="73" t="str">
        <f t="shared" si="113"/>
        <v/>
      </c>
      <c r="BU79" s="73" t="str">
        <f t="shared" si="113"/>
        <v/>
      </c>
      <c r="BV79" s="73" t="str">
        <f t="shared" si="113"/>
        <v/>
      </c>
      <c r="BW79" s="73" t="str">
        <f t="shared" si="113"/>
        <v/>
      </c>
      <c r="BX79" s="73" t="str">
        <f t="shared" si="113"/>
        <v/>
      </c>
      <c r="BY79" s="73" t="str">
        <f t="shared" si="113"/>
        <v/>
      </c>
      <c r="BZ79" s="73" t="str">
        <f t="shared" si="113"/>
        <v/>
      </c>
      <c r="CA79" s="73" t="str">
        <f t="shared" si="113"/>
        <v/>
      </c>
      <c r="CB79" s="73" t="str">
        <f t="shared" si="113"/>
        <v/>
      </c>
      <c r="CC79" s="73" t="str">
        <f t="shared" si="113"/>
        <v/>
      </c>
      <c r="CD79" s="73" t="str">
        <f t="shared" si="113"/>
        <v/>
      </c>
      <c r="CE79" s="73" t="str">
        <f t="shared" si="113"/>
        <v/>
      </c>
      <c r="CF79" s="73" t="str">
        <f t="shared" si="113"/>
        <v/>
      </c>
      <c r="CG79" s="73" t="str">
        <f t="shared" si="113"/>
        <v/>
      </c>
      <c r="CH79" s="73" t="str">
        <f t="shared" si="113"/>
        <v/>
      </c>
      <c r="CI79" s="73" t="str">
        <f t="shared" si="113"/>
        <v/>
      </c>
      <c r="CJ79" s="73" t="str">
        <f t="shared" si="113"/>
        <v/>
      </c>
      <c r="CK79" s="73" t="str">
        <f t="shared" si="113"/>
        <v/>
      </c>
      <c r="CL79" s="73" t="str">
        <f t="shared" si="113"/>
        <v/>
      </c>
      <c r="CM79" s="73" t="str">
        <f t="shared" si="113"/>
        <v/>
      </c>
      <c r="CN79" s="73" t="str">
        <f t="shared" si="113"/>
        <v/>
      </c>
      <c r="CO79" s="73" t="str">
        <f t="shared" si="113"/>
        <v/>
      </c>
      <c r="CP79" s="73" t="str">
        <f t="shared" si="113"/>
        <v/>
      </c>
      <c r="CQ79" s="73" t="str">
        <f t="shared" si="113"/>
        <v/>
      </c>
      <c r="CR79" s="73" t="str">
        <f t="shared" si="113"/>
        <v/>
      </c>
      <c r="CS79" s="73" t="str">
        <f t="shared" si="113"/>
        <v/>
      </c>
      <c r="CT79" s="73" t="str">
        <f t="shared" si="113"/>
        <v/>
      </c>
      <c r="CU79" s="73" t="str">
        <f t="shared" si="113"/>
        <v/>
      </c>
      <c r="CV79" s="73" t="str">
        <f t="shared" si="113"/>
        <v/>
      </c>
      <c r="CW79" s="73" t="str">
        <f t="shared" si="113"/>
        <v/>
      </c>
      <c r="CX79" s="73" t="str">
        <f t="shared" ref="CX79:EC79" si="114">IF(CX24="","",(MAX(CX24-$C$1,0)/365))</f>
        <v/>
      </c>
      <c r="CY79" s="73" t="str">
        <f t="shared" si="114"/>
        <v/>
      </c>
      <c r="CZ79" s="73" t="str">
        <f t="shared" si="114"/>
        <v/>
      </c>
      <c r="DA79" s="73" t="str">
        <f t="shared" si="114"/>
        <v/>
      </c>
      <c r="DB79" s="73" t="str">
        <f t="shared" si="114"/>
        <v/>
      </c>
      <c r="DC79" s="73" t="str">
        <f t="shared" si="114"/>
        <v/>
      </c>
      <c r="DD79" s="73" t="str">
        <f t="shared" si="114"/>
        <v/>
      </c>
      <c r="DE79" s="73" t="str">
        <f t="shared" si="114"/>
        <v/>
      </c>
      <c r="DF79" s="73" t="str">
        <f t="shared" si="114"/>
        <v/>
      </c>
      <c r="DG79" s="73" t="str">
        <f t="shared" si="114"/>
        <v/>
      </c>
      <c r="DH79" s="73" t="str">
        <f t="shared" si="114"/>
        <v/>
      </c>
      <c r="DI79" s="73" t="str">
        <f t="shared" si="114"/>
        <v/>
      </c>
      <c r="DJ79" s="73" t="str">
        <f t="shared" si="114"/>
        <v/>
      </c>
      <c r="DK79" s="73" t="str">
        <f t="shared" si="114"/>
        <v/>
      </c>
      <c r="DL79" s="73" t="str">
        <f t="shared" si="114"/>
        <v/>
      </c>
      <c r="DM79" s="73" t="str">
        <f t="shared" si="114"/>
        <v/>
      </c>
      <c r="DN79" s="73" t="str">
        <f t="shared" si="114"/>
        <v/>
      </c>
      <c r="DO79" s="73" t="str">
        <f t="shared" si="114"/>
        <v/>
      </c>
      <c r="DP79" s="73" t="str">
        <f t="shared" si="114"/>
        <v/>
      </c>
      <c r="DQ79" s="73" t="str">
        <f t="shared" si="114"/>
        <v/>
      </c>
      <c r="DR79" s="73" t="str">
        <f t="shared" si="114"/>
        <v/>
      </c>
      <c r="DS79" s="73" t="str">
        <f t="shared" si="114"/>
        <v/>
      </c>
      <c r="DT79" s="73" t="str">
        <f t="shared" si="114"/>
        <v/>
      </c>
      <c r="DU79" s="73" t="str">
        <f t="shared" si="114"/>
        <v/>
      </c>
      <c r="DV79" s="73" t="str">
        <f t="shared" si="114"/>
        <v/>
      </c>
      <c r="DW79" s="73" t="str">
        <f t="shared" si="114"/>
        <v/>
      </c>
      <c r="DX79" s="73" t="str">
        <f t="shared" si="114"/>
        <v/>
      </c>
      <c r="DY79" s="73" t="str">
        <f t="shared" si="114"/>
        <v/>
      </c>
      <c r="DZ79" s="73" t="str">
        <f t="shared" si="114"/>
        <v/>
      </c>
      <c r="EA79" s="73" t="str">
        <f t="shared" si="114"/>
        <v/>
      </c>
      <c r="EB79" s="73" t="str">
        <f t="shared" si="114"/>
        <v/>
      </c>
      <c r="EC79" s="73" t="str">
        <f t="shared" si="114"/>
        <v/>
      </c>
      <c r="ED79" s="73" t="str">
        <f t="shared" ref="ED79:FI79" si="115">IF(ED24="","",(MAX(ED24-$C$1,0)/365))</f>
        <v/>
      </c>
      <c r="EE79" s="73" t="str">
        <f t="shared" si="115"/>
        <v/>
      </c>
      <c r="EF79" s="73" t="str">
        <f t="shared" si="115"/>
        <v/>
      </c>
      <c r="EG79" s="73" t="str">
        <f t="shared" si="115"/>
        <v/>
      </c>
      <c r="EH79" s="73" t="str">
        <f t="shared" si="115"/>
        <v/>
      </c>
      <c r="EI79" s="73" t="str">
        <f t="shared" si="115"/>
        <v/>
      </c>
      <c r="EJ79" s="73" t="str">
        <f t="shared" si="115"/>
        <v/>
      </c>
      <c r="EK79" s="73" t="str">
        <f t="shared" si="115"/>
        <v/>
      </c>
      <c r="EL79" s="73" t="str">
        <f t="shared" si="115"/>
        <v/>
      </c>
      <c r="EM79" s="73" t="str">
        <f t="shared" si="115"/>
        <v/>
      </c>
      <c r="EN79" s="73" t="str">
        <f t="shared" si="115"/>
        <v/>
      </c>
      <c r="EO79" s="73" t="str">
        <f t="shared" si="115"/>
        <v/>
      </c>
      <c r="EP79" s="73" t="str">
        <f t="shared" si="115"/>
        <v/>
      </c>
      <c r="EQ79" s="73" t="str">
        <f t="shared" si="115"/>
        <v/>
      </c>
      <c r="ER79" s="73" t="str">
        <f t="shared" si="115"/>
        <v/>
      </c>
      <c r="ES79" s="73" t="str">
        <f t="shared" si="115"/>
        <v/>
      </c>
      <c r="ET79" s="73" t="str">
        <f t="shared" si="115"/>
        <v/>
      </c>
      <c r="EU79" s="73" t="str">
        <f t="shared" si="115"/>
        <v/>
      </c>
      <c r="EV79" s="73" t="str">
        <f t="shared" si="115"/>
        <v/>
      </c>
      <c r="EW79" s="73" t="str">
        <f t="shared" si="115"/>
        <v/>
      </c>
      <c r="EX79" s="73" t="str">
        <f t="shared" si="115"/>
        <v/>
      </c>
      <c r="EY79" s="73" t="str">
        <f t="shared" si="115"/>
        <v/>
      </c>
      <c r="EZ79" s="73" t="str">
        <f t="shared" si="115"/>
        <v/>
      </c>
      <c r="FA79" s="73" t="str">
        <f t="shared" si="115"/>
        <v/>
      </c>
      <c r="FB79" s="73" t="str">
        <f t="shared" si="115"/>
        <v/>
      </c>
      <c r="FC79" s="73" t="str">
        <f t="shared" si="115"/>
        <v/>
      </c>
      <c r="FD79" s="73" t="str">
        <f t="shared" si="115"/>
        <v/>
      </c>
      <c r="FE79" s="73" t="str">
        <f t="shared" si="115"/>
        <v/>
      </c>
      <c r="FF79" s="73" t="str">
        <f t="shared" si="115"/>
        <v/>
      </c>
      <c r="FG79" s="73" t="str">
        <f t="shared" si="115"/>
        <v/>
      </c>
      <c r="FH79" s="73" t="str">
        <f t="shared" si="115"/>
        <v/>
      </c>
      <c r="FI79" s="73" t="str">
        <f t="shared" si="115"/>
        <v/>
      </c>
      <c r="FJ79" s="73" t="str">
        <f t="shared" ref="FJ79:GQ79" si="116">IF(FJ24="","",(MAX(FJ24-$C$1,0)/365))</f>
        <v/>
      </c>
      <c r="FK79" s="73" t="str">
        <f t="shared" si="116"/>
        <v/>
      </c>
      <c r="FL79" s="73" t="str">
        <f t="shared" si="116"/>
        <v/>
      </c>
      <c r="FM79" s="73" t="str">
        <f t="shared" si="116"/>
        <v/>
      </c>
      <c r="FN79" s="73" t="str">
        <f t="shared" si="116"/>
        <v/>
      </c>
      <c r="FO79" s="73" t="str">
        <f t="shared" si="116"/>
        <v/>
      </c>
      <c r="FP79" s="73" t="str">
        <f t="shared" si="116"/>
        <v/>
      </c>
      <c r="FQ79" s="73" t="str">
        <f t="shared" si="116"/>
        <v/>
      </c>
      <c r="FR79" s="73" t="str">
        <f t="shared" si="116"/>
        <v/>
      </c>
      <c r="FS79" s="73" t="str">
        <f t="shared" si="116"/>
        <v/>
      </c>
      <c r="FT79" s="73" t="str">
        <f t="shared" si="116"/>
        <v/>
      </c>
      <c r="FU79" s="73" t="str">
        <f t="shared" si="116"/>
        <v/>
      </c>
      <c r="FV79" s="73" t="str">
        <f t="shared" si="116"/>
        <v/>
      </c>
      <c r="FW79" s="73" t="str">
        <f t="shared" si="116"/>
        <v/>
      </c>
      <c r="FX79" s="73" t="str">
        <f t="shared" si="116"/>
        <v/>
      </c>
      <c r="FY79" s="73" t="str">
        <f t="shared" si="116"/>
        <v/>
      </c>
      <c r="FZ79" s="73" t="str">
        <f t="shared" si="116"/>
        <v/>
      </c>
      <c r="GA79" s="73" t="str">
        <f t="shared" si="116"/>
        <v/>
      </c>
      <c r="GB79" s="73" t="str">
        <f t="shared" si="116"/>
        <v/>
      </c>
      <c r="GC79" s="73" t="str">
        <f t="shared" si="116"/>
        <v/>
      </c>
      <c r="GD79" s="73" t="str">
        <f t="shared" si="116"/>
        <v/>
      </c>
      <c r="GE79" s="73" t="str">
        <f t="shared" si="116"/>
        <v/>
      </c>
      <c r="GF79" s="73" t="str">
        <f t="shared" si="116"/>
        <v/>
      </c>
      <c r="GG79" s="73" t="str">
        <f t="shared" si="116"/>
        <v/>
      </c>
      <c r="GH79" s="73" t="str">
        <f t="shared" si="116"/>
        <v/>
      </c>
      <c r="GI79" s="73" t="str">
        <f t="shared" si="116"/>
        <v/>
      </c>
      <c r="GJ79" s="73" t="str">
        <f t="shared" si="116"/>
        <v/>
      </c>
      <c r="GK79" s="73" t="str">
        <f t="shared" si="116"/>
        <v/>
      </c>
      <c r="GL79" s="73" t="str">
        <f t="shared" si="116"/>
        <v/>
      </c>
      <c r="GM79" s="73" t="str">
        <f t="shared" si="116"/>
        <v/>
      </c>
      <c r="GN79" s="73" t="str">
        <f t="shared" si="116"/>
        <v/>
      </c>
      <c r="GO79" s="73" t="str">
        <f t="shared" si="116"/>
        <v/>
      </c>
      <c r="GP79" s="73" t="str">
        <f t="shared" si="116"/>
        <v/>
      </c>
      <c r="GQ79" s="73" t="str">
        <f t="shared" si="116"/>
        <v/>
      </c>
    </row>
    <row r="80" spans="2:199" x14ac:dyDescent="0.2">
      <c r="B80" t="str">
        <f t="shared" si="68"/>
        <v>US040114GY03</v>
      </c>
      <c r="C80" t="str">
        <f t="shared" si="25"/>
        <v>USD 2046</v>
      </c>
      <c r="E80" s="73"/>
      <c r="F80" s="73">
        <f t="shared" ref="F80:AK80" si="117">IF(F25="","",(MAX(F25-$C$1,0)/365))</f>
        <v>0.10136986301369863</v>
      </c>
      <c r="G80" s="73">
        <f t="shared" si="117"/>
        <v>0.6</v>
      </c>
      <c r="H80" s="73">
        <f t="shared" si="117"/>
        <v>1.1013698630136985</v>
      </c>
      <c r="I80" s="73">
        <f t="shared" si="117"/>
        <v>1.6</v>
      </c>
      <c r="J80" s="73">
        <f t="shared" si="117"/>
        <v>2.1013698630136988</v>
      </c>
      <c r="K80" s="73">
        <f t="shared" si="117"/>
        <v>2.6</v>
      </c>
      <c r="L80" s="73">
        <f t="shared" si="117"/>
        <v>3.1013698630136988</v>
      </c>
      <c r="M80" s="73">
        <f t="shared" si="117"/>
        <v>3.6027397260273974</v>
      </c>
      <c r="N80" s="73">
        <f t="shared" si="117"/>
        <v>4.1041095890410961</v>
      </c>
      <c r="O80" s="73">
        <f t="shared" si="117"/>
        <v>4.602739726027397</v>
      </c>
      <c r="P80" s="73">
        <f t="shared" si="117"/>
        <v>5.1041095890410961</v>
      </c>
      <c r="Q80" s="73">
        <f t="shared" si="117"/>
        <v>5.602739726027397</v>
      </c>
      <c r="R80" s="73">
        <f t="shared" si="117"/>
        <v>6.1041095890410961</v>
      </c>
      <c r="S80" s="73">
        <f t="shared" si="117"/>
        <v>6.602739726027397</v>
      </c>
      <c r="T80" s="73">
        <f t="shared" si="117"/>
        <v>7.1041095890410961</v>
      </c>
      <c r="U80" s="73">
        <f t="shared" si="117"/>
        <v>7.6054794520547944</v>
      </c>
      <c r="V80" s="73">
        <f t="shared" si="117"/>
        <v>8.1068493150684926</v>
      </c>
      <c r="W80" s="73">
        <f t="shared" si="117"/>
        <v>8.6054794520547944</v>
      </c>
      <c r="X80" s="73">
        <f t="shared" si="117"/>
        <v>9.1068493150684926</v>
      </c>
      <c r="Y80" s="73">
        <f t="shared" si="117"/>
        <v>9.6054794520547944</v>
      </c>
      <c r="Z80" s="73">
        <f t="shared" si="117"/>
        <v>10.106849315068493</v>
      </c>
      <c r="AA80" s="73">
        <f t="shared" si="117"/>
        <v>10.605479452054794</v>
      </c>
      <c r="AB80" s="73">
        <f t="shared" si="117"/>
        <v>11.106849315068493</v>
      </c>
      <c r="AC80" s="73">
        <f t="shared" si="117"/>
        <v>11.608219178082193</v>
      </c>
      <c r="AD80" s="73">
        <f t="shared" si="117"/>
        <v>12.109589041095891</v>
      </c>
      <c r="AE80" s="73">
        <f t="shared" si="117"/>
        <v>12.608219178082193</v>
      </c>
      <c r="AF80" s="73">
        <f t="shared" si="117"/>
        <v>13.109589041095891</v>
      </c>
      <c r="AG80" s="73">
        <f t="shared" si="117"/>
        <v>13.608219178082193</v>
      </c>
      <c r="AH80" s="73">
        <f t="shared" si="117"/>
        <v>14.109589041095891</v>
      </c>
      <c r="AI80" s="73">
        <f t="shared" si="117"/>
        <v>14.608219178082193</v>
      </c>
      <c r="AJ80" s="73">
        <f t="shared" si="117"/>
        <v>15.109589041095891</v>
      </c>
      <c r="AK80" s="73">
        <f t="shared" si="117"/>
        <v>15.610958904109589</v>
      </c>
      <c r="AL80" s="73">
        <f t="shared" ref="AL80:BQ80" si="118">IF(AL25="","",(MAX(AL25-$C$1,0)/365))</f>
        <v>16.112328767123287</v>
      </c>
      <c r="AM80" s="73">
        <f t="shared" si="118"/>
        <v>16.610958904109587</v>
      </c>
      <c r="AN80" s="73">
        <f t="shared" si="118"/>
        <v>17.112328767123287</v>
      </c>
      <c r="AO80" s="73">
        <f t="shared" si="118"/>
        <v>17.610958904109587</v>
      </c>
      <c r="AP80" s="73">
        <f t="shared" si="118"/>
        <v>18.112328767123287</v>
      </c>
      <c r="AQ80" s="73">
        <f t="shared" si="118"/>
        <v>18.610958904109587</v>
      </c>
      <c r="AR80" s="73">
        <f t="shared" si="118"/>
        <v>19.112328767123287</v>
      </c>
      <c r="AS80" s="73">
        <f t="shared" si="118"/>
        <v>19.613698630136987</v>
      </c>
      <c r="AT80" s="73">
        <f t="shared" si="118"/>
        <v>20.115068493150684</v>
      </c>
      <c r="AU80" s="73">
        <f t="shared" si="118"/>
        <v>20.613698630136987</v>
      </c>
      <c r="AV80" s="73">
        <f t="shared" si="118"/>
        <v>21.115068493150684</v>
      </c>
      <c r="AW80" s="73">
        <f t="shared" si="118"/>
        <v>21.613698630136987</v>
      </c>
      <c r="AX80" s="73">
        <f t="shared" si="118"/>
        <v>22.115068493150684</v>
      </c>
      <c r="AY80" s="73">
        <f t="shared" si="118"/>
        <v>22.613698630136987</v>
      </c>
      <c r="AZ80" s="73">
        <f t="shared" si="118"/>
        <v>23.115068493150684</v>
      </c>
      <c r="BA80" s="73">
        <f t="shared" si="118"/>
        <v>23.616438356164384</v>
      </c>
      <c r="BB80" s="73">
        <f t="shared" si="118"/>
        <v>24.117808219178084</v>
      </c>
      <c r="BC80" s="73">
        <f t="shared" si="118"/>
        <v>24.616438356164384</v>
      </c>
      <c r="BD80" s="73">
        <f t="shared" si="118"/>
        <v>25.117808219178084</v>
      </c>
      <c r="BE80" s="73">
        <f t="shared" si="118"/>
        <v>25.616438356164384</v>
      </c>
      <c r="BF80" s="73" t="str">
        <f t="shared" si="118"/>
        <v/>
      </c>
      <c r="BG80" s="73" t="str">
        <f t="shared" si="118"/>
        <v/>
      </c>
      <c r="BH80" s="73" t="str">
        <f t="shared" si="118"/>
        <v/>
      </c>
      <c r="BI80" s="73" t="str">
        <f t="shared" si="118"/>
        <v/>
      </c>
      <c r="BJ80" s="73" t="str">
        <f t="shared" si="118"/>
        <v/>
      </c>
      <c r="BK80" s="73" t="str">
        <f t="shared" si="118"/>
        <v/>
      </c>
      <c r="BL80" s="73" t="str">
        <f t="shared" si="118"/>
        <v/>
      </c>
      <c r="BM80" s="73" t="str">
        <f t="shared" si="118"/>
        <v/>
      </c>
      <c r="BN80" s="73" t="str">
        <f t="shared" si="118"/>
        <v/>
      </c>
      <c r="BO80" s="73" t="str">
        <f t="shared" si="118"/>
        <v/>
      </c>
      <c r="BP80" s="73" t="str">
        <f t="shared" si="118"/>
        <v/>
      </c>
      <c r="BQ80" s="73" t="str">
        <f t="shared" si="118"/>
        <v/>
      </c>
      <c r="BR80" s="73" t="str">
        <f t="shared" ref="BR80:CW80" si="119">IF(BR25="","",(MAX(BR25-$C$1,0)/365))</f>
        <v/>
      </c>
      <c r="BS80" s="73" t="str">
        <f t="shared" si="119"/>
        <v/>
      </c>
      <c r="BT80" s="73" t="str">
        <f t="shared" si="119"/>
        <v/>
      </c>
      <c r="BU80" s="73" t="str">
        <f t="shared" si="119"/>
        <v/>
      </c>
      <c r="BV80" s="73" t="str">
        <f t="shared" si="119"/>
        <v/>
      </c>
      <c r="BW80" s="73" t="str">
        <f t="shared" si="119"/>
        <v/>
      </c>
      <c r="BX80" s="73" t="str">
        <f t="shared" si="119"/>
        <v/>
      </c>
      <c r="BY80" s="73" t="str">
        <f t="shared" si="119"/>
        <v/>
      </c>
      <c r="BZ80" s="73" t="str">
        <f t="shared" si="119"/>
        <v/>
      </c>
      <c r="CA80" s="73" t="str">
        <f t="shared" si="119"/>
        <v/>
      </c>
      <c r="CB80" s="73" t="str">
        <f t="shared" si="119"/>
        <v/>
      </c>
      <c r="CC80" s="73" t="str">
        <f t="shared" si="119"/>
        <v/>
      </c>
      <c r="CD80" s="73" t="str">
        <f t="shared" si="119"/>
        <v/>
      </c>
      <c r="CE80" s="73" t="str">
        <f t="shared" si="119"/>
        <v/>
      </c>
      <c r="CF80" s="73" t="str">
        <f t="shared" si="119"/>
        <v/>
      </c>
      <c r="CG80" s="73" t="str">
        <f t="shared" si="119"/>
        <v/>
      </c>
      <c r="CH80" s="73" t="str">
        <f t="shared" si="119"/>
        <v/>
      </c>
      <c r="CI80" s="73" t="str">
        <f t="shared" si="119"/>
        <v/>
      </c>
      <c r="CJ80" s="73" t="str">
        <f t="shared" si="119"/>
        <v/>
      </c>
      <c r="CK80" s="73" t="str">
        <f t="shared" si="119"/>
        <v/>
      </c>
      <c r="CL80" s="73" t="str">
        <f t="shared" si="119"/>
        <v/>
      </c>
      <c r="CM80" s="73" t="str">
        <f t="shared" si="119"/>
        <v/>
      </c>
      <c r="CN80" s="73" t="str">
        <f t="shared" si="119"/>
        <v/>
      </c>
      <c r="CO80" s="73" t="str">
        <f t="shared" si="119"/>
        <v/>
      </c>
      <c r="CP80" s="73" t="str">
        <f t="shared" si="119"/>
        <v/>
      </c>
      <c r="CQ80" s="73" t="str">
        <f t="shared" si="119"/>
        <v/>
      </c>
      <c r="CR80" s="73" t="str">
        <f t="shared" si="119"/>
        <v/>
      </c>
      <c r="CS80" s="73" t="str">
        <f t="shared" si="119"/>
        <v/>
      </c>
      <c r="CT80" s="73" t="str">
        <f t="shared" si="119"/>
        <v/>
      </c>
      <c r="CU80" s="73" t="str">
        <f t="shared" si="119"/>
        <v/>
      </c>
      <c r="CV80" s="73" t="str">
        <f t="shared" si="119"/>
        <v/>
      </c>
      <c r="CW80" s="73" t="str">
        <f t="shared" si="119"/>
        <v/>
      </c>
      <c r="CX80" s="73" t="str">
        <f t="shared" ref="CX80:EC80" si="120">IF(CX25="","",(MAX(CX25-$C$1,0)/365))</f>
        <v/>
      </c>
      <c r="CY80" s="73" t="str">
        <f t="shared" si="120"/>
        <v/>
      </c>
      <c r="CZ80" s="73" t="str">
        <f t="shared" si="120"/>
        <v/>
      </c>
      <c r="DA80" s="73" t="str">
        <f t="shared" si="120"/>
        <v/>
      </c>
      <c r="DB80" s="73" t="str">
        <f t="shared" si="120"/>
        <v/>
      </c>
      <c r="DC80" s="73" t="str">
        <f t="shared" si="120"/>
        <v/>
      </c>
      <c r="DD80" s="73" t="str">
        <f t="shared" si="120"/>
        <v/>
      </c>
      <c r="DE80" s="73" t="str">
        <f t="shared" si="120"/>
        <v/>
      </c>
      <c r="DF80" s="73" t="str">
        <f t="shared" si="120"/>
        <v/>
      </c>
      <c r="DG80" s="73" t="str">
        <f t="shared" si="120"/>
        <v/>
      </c>
      <c r="DH80" s="73" t="str">
        <f t="shared" si="120"/>
        <v/>
      </c>
      <c r="DI80" s="73" t="str">
        <f t="shared" si="120"/>
        <v/>
      </c>
      <c r="DJ80" s="73" t="str">
        <f t="shared" si="120"/>
        <v/>
      </c>
      <c r="DK80" s="73" t="str">
        <f t="shared" si="120"/>
        <v/>
      </c>
      <c r="DL80" s="73" t="str">
        <f t="shared" si="120"/>
        <v/>
      </c>
      <c r="DM80" s="73" t="str">
        <f t="shared" si="120"/>
        <v/>
      </c>
      <c r="DN80" s="73" t="str">
        <f t="shared" si="120"/>
        <v/>
      </c>
      <c r="DO80" s="73" t="str">
        <f t="shared" si="120"/>
        <v/>
      </c>
      <c r="DP80" s="73" t="str">
        <f t="shared" si="120"/>
        <v/>
      </c>
      <c r="DQ80" s="73" t="str">
        <f t="shared" si="120"/>
        <v/>
      </c>
      <c r="DR80" s="73" t="str">
        <f t="shared" si="120"/>
        <v/>
      </c>
      <c r="DS80" s="73" t="str">
        <f t="shared" si="120"/>
        <v/>
      </c>
      <c r="DT80" s="73" t="str">
        <f t="shared" si="120"/>
        <v/>
      </c>
      <c r="DU80" s="73" t="str">
        <f t="shared" si="120"/>
        <v/>
      </c>
      <c r="DV80" s="73" t="str">
        <f t="shared" si="120"/>
        <v/>
      </c>
      <c r="DW80" s="73" t="str">
        <f t="shared" si="120"/>
        <v/>
      </c>
      <c r="DX80" s="73" t="str">
        <f t="shared" si="120"/>
        <v/>
      </c>
      <c r="DY80" s="73" t="str">
        <f t="shared" si="120"/>
        <v/>
      </c>
      <c r="DZ80" s="73" t="str">
        <f t="shared" si="120"/>
        <v/>
      </c>
      <c r="EA80" s="73" t="str">
        <f t="shared" si="120"/>
        <v/>
      </c>
      <c r="EB80" s="73" t="str">
        <f t="shared" si="120"/>
        <v/>
      </c>
      <c r="EC80" s="73" t="str">
        <f t="shared" si="120"/>
        <v/>
      </c>
      <c r="ED80" s="73" t="str">
        <f t="shared" ref="ED80:FI80" si="121">IF(ED25="","",(MAX(ED25-$C$1,0)/365))</f>
        <v/>
      </c>
      <c r="EE80" s="73" t="str">
        <f t="shared" si="121"/>
        <v/>
      </c>
      <c r="EF80" s="73" t="str">
        <f t="shared" si="121"/>
        <v/>
      </c>
      <c r="EG80" s="73" t="str">
        <f t="shared" si="121"/>
        <v/>
      </c>
      <c r="EH80" s="73" t="str">
        <f t="shared" si="121"/>
        <v/>
      </c>
      <c r="EI80" s="73" t="str">
        <f t="shared" si="121"/>
        <v/>
      </c>
      <c r="EJ80" s="73" t="str">
        <f t="shared" si="121"/>
        <v/>
      </c>
      <c r="EK80" s="73" t="str">
        <f t="shared" si="121"/>
        <v/>
      </c>
      <c r="EL80" s="73" t="str">
        <f t="shared" si="121"/>
        <v/>
      </c>
      <c r="EM80" s="73" t="str">
        <f t="shared" si="121"/>
        <v/>
      </c>
      <c r="EN80" s="73" t="str">
        <f t="shared" si="121"/>
        <v/>
      </c>
      <c r="EO80" s="73" t="str">
        <f t="shared" si="121"/>
        <v/>
      </c>
      <c r="EP80" s="73" t="str">
        <f t="shared" si="121"/>
        <v/>
      </c>
      <c r="EQ80" s="73" t="str">
        <f t="shared" si="121"/>
        <v/>
      </c>
      <c r="ER80" s="73" t="str">
        <f t="shared" si="121"/>
        <v/>
      </c>
      <c r="ES80" s="73" t="str">
        <f t="shared" si="121"/>
        <v/>
      </c>
      <c r="ET80" s="73" t="str">
        <f t="shared" si="121"/>
        <v/>
      </c>
      <c r="EU80" s="73" t="str">
        <f t="shared" si="121"/>
        <v/>
      </c>
      <c r="EV80" s="73" t="str">
        <f t="shared" si="121"/>
        <v/>
      </c>
      <c r="EW80" s="73" t="str">
        <f t="shared" si="121"/>
        <v/>
      </c>
      <c r="EX80" s="73" t="str">
        <f t="shared" si="121"/>
        <v/>
      </c>
      <c r="EY80" s="73" t="str">
        <f t="shared" si="121"/>
        <v/>
      </c>
      <c r="EZ80" s="73" t="str">
        <f t="shared" si="121"/>
        <v/>
      </c>
      <c r="FA80" s="73" t="str">
        <f t="shared" si="121"/>
        <v/>
      </c>
      <c r="FB80" s="73" t="str">
        <f t="shared" si="121"/>
        <v/>
      </c>
      <c r="FC80" s="73" t="str">
        <f t="shared" si="121"/>
        <v/>
      </c>
      <c r="FD80" s="73" t="str">
        <f t="shared" si="121"/>
        <v/>
      </c>
      <c r="FE80" s="73" t="str">
        <f t="shared" si="121"/>
        <v/>
      </c>
      <c r="FF80" s="73" t="str">
        <f t="shared" si="121"/>
        <v/>
      </c>
      <c r="FG80" s="73" t="str">
        <f t="shared" si="121"/>
        <v/>
      </c>
      <c r="FH80" s="73" t="str">
        <f t="shared" si="121"/>
        <v/>
      </c>
      <c r="FI80" s="73" t="str">
        <f t="shared" si="121"/>
        <v/>
      </c>
      <c r="FJ80" s="73" t="str">
        <f t="shared" ref="FJ80:GQ80" si="122">IF(FJ25="","",(MAX(FJ25-$C$1,0)/365))</f>
        <v/>
      </c>
      <c r="FK80" s="73" t="str">
        <f t="shared" si="122"/>
        <v/>
      </c>
      <c r="FL80" s="73" t="str">
        <f t="shared" si="122"/>
        <v/>
      </c>
      <c r="FM80" s="73" t="str">
        <f t="shared" si="122"/>
        <v/>
      </c>
      <c r="FN80" s="73" t="str">
        <f t="shared" si="122"/>
        <v/>
      </c>
      <c r="FO80" s="73" t="str">
        <f t="shared" si="122"/>
        <v/>
      </c>
      <c r="FP80" s="73" t="str">
        <f t="shared" si="122"/>
        <v/>
      </c>
      <c r="FQ80" s="73" t="str">
        <f t="shared" si="122"/>
        <v/>
      </c>
      <c r="FR80" s="73" t="str">
        <f t="shared" si="122"/>
        <v/>
      </c>
      <c r="FS80" s="73" t="str">
        <f t="shared" si="122"/>
        <v/>
      </c>
      <c r="FT80" s="73" t="str">
        <f t="shared" si="122"/>
        <v/>
      </c>
      <c r="FU80" s="73" t="str">
        <f t="shared" si="122"/>
        <v/>
      </c>
      <c r="FV80" s="73" t="str">
        <f t="shared" si="122"/>
        <v/>
      </c>
      <c r="FW80" s="73" t="str">
        <f t="shared" si="122"/>
        <v/>
      </c>
      <c r="FX80" s="73" t="str">
        <f t="shared" si="122"/>
        <v/>
      </c>
      <c r="FY80" s="73" t="str">
        <f t="shared" si="122"/>
        <v/>
      </c>
      <c r="FZ80" s="73" t="str">
        <f t="shared" si="122"/>
        <v/>
      </c>
      <c r="GA80" s="73" t="str">
        <f t="shared" si="122"/>
        <v/>
      </c>
      <c r="GB80" s="73" t="str">
        <f t="shared" si="122"/>
        <v/>
      </c>
      <c r="GC80" s="73" t="str">
        <f t="shared" si="122"/>
        <v/>
      </c>
      <c r="GD80" s="73" t="str">
        <f t="shared" si="122"/>
        <v/>
      </c>
      <c r="GE80" s="73" t="str">
        <f t="shared" si="122"/>
        <v/>
      </c>
      <c r="GF80" s="73" t="str">
        <f t="shared" si="122"/>
        <v/>
      </c>
      <c r="GG80" s="73" t="str">
        <f t="shared" si="122"/>
        <v/>
      </c>
      <c r="GH80" s="73" t="str">
        <f t="shared" si="122"/>
        <v/>
      </c>
      <c r="GI80" s="73" t="str">
        <f t="shared" si="122"/>
        <v/>
      </c>
      <c r="GJ80" s="73" t="str">
        <f t="shared" si="122"/>
        <v/>
      </c>
      <c r="GK80" s="73" t="str">
        <f t="shared" si="122"/>
        <v/>
      </c>
      <c r="GL80" s="73" t="str">
        <f t="shared" si="122"/>
        <v/>
      </c>
      <c r="GM80" s="73" t="str">
        <f t="shared" si="122"/>
        <v/>
      </c>
      <c r="GN80" s="73" t="str">
        <f t="shared" si="122"/>
        <v/>
      </c>
      <c r="GO80" s="73" t="str">
        <f t="shared" si="122"/>
        <v/>
      </c>
      <c r="GP80" s="73" t="str">
        <f t="shared" si="122"/>
        <v/>
      </c>
      <c r="GQ80" s="73" t="str">
        <f t="shared" si="122"/>
        <v/>
      </c>
    </row>
    <row r="81" spans="1:199" x14ac:dyDescent="0.2">
      <c r="B81" t="str">
        <f t="shared" si="68"/>
        <v>US040114HR43</v>
      </c>
      <c r="C81" t="str">
        <f t="shared" si="25"/>
        <v>USD 2048</v>
      </c>
      <c r="E81" s="73"/>
      <c r="F81" s="73">
        <f t="shared" ref="F81:AK81" si="123">IF(F26="","",(MAX(F26-$C$1,0)/365))</f>
        <v>0.32328767123287672</v>
      </c>
      <c r="G81" s="73">
        <f t="shared" si="123"/>
        <v>0.81917808219178079</v>
      </c>
      <c r="H81" s="73">
        <f t="shared" si="123"/>
        <v>1.3232876712328767</v>
      </c>
      <c r="I81" s="73">
        <f t="shared" si="123"/>
        <v>1.8191780821917809</v>
      </c>
      <c r="J81" s="73">
        <f t="shared" si="123"/>
        <v>2.3232876712328765</v>
      </c>
      <c r="K81" s="73">
        <f t="shared" si="123"/>
        <v>2.8191780821917809</v>
      </c>
      <c r="L81" s="73">
        <f t="shared" si="123"/>
        <v>3.3232876712328765</v>
      </c>
      <c r="M81" s="73">
        <f t="shared" si="123"/>
        <v>3.8219178082191783</v>
      </c>
      <c r="N81" s="73">
        <f t="shared" si="123"/>
        <v>4.3260273972602743</v>
      </c>
      <c r="O81" s="73">
        <f t="shared" si="123"/>
        <v>4.8219178082191778</v>
      </c>
      <c r="P81" s="73">
        <f t="shared" si="123"/>
        <v>5.3260273972602743</v>
      </c>
      <c r="Q81" s="73">
        <f t="shared" si="123"/>
        <v>5.8219178082191778</v>
      </c>
      <c r="R81" s="73">
        <f t="shared" si="123"/>
        <v>6.3260273972602743</v>
      </c>
      <c r="S81" s="73">
        <f t="shared" si="123"/>
        <v>6.8219178082191778</v>
      </c>
      <c r="T81" s="73">
        <f t="shared" si="123"/>
        <v>7.3260273972602743</v>
      </c>
      <c r="U81" s="73">
        <f t="shared" si="123"/>
        <v>7.8246575342465752</v>
      </c>
      <c r="V81" s="73">
        <f t="shared" si="123"/>
        <v>8.3287671232876708</v>
      </c>
      <c r="W81" s="73">
        <f t="shared" si="123"/>
        <v>8.8246575342465761</v>
      </c>
      <c r="X81" s="73">
        <f t="shared" si="123"/>
        <v>9.3287671232876708</v>
      </c>
      <c r="Y81" s="73">
        <f t="shared" si="123"/>
        <v>9.8246575342465761</v>
      </c>
      <c r="Z81" s="73">
        <f t="shared" si="123"/>
        <v>10.328767123287671</v>
      </c>
      <c r="AA81" s="73">
        <f t="shared" si="123"/>
        <v>10.824657534246576</v>
      </c>
      <c r="AB81" s="73">
        <f t="shared" si="123"/>
        <v>11.328767123287671</v>
      </c>
      <c r="AC81" s="73">
        <f t="shared" si="123"/>
        <v>11.827397260273973</v>
      </c>
      <c r="AD81" s="73">
        <f t="shared" si="123"/>
        <v>12.331506849315069</v>
      </c>
      <c r="AE81" s="73">
        <f t="shared" si="123"/>
        <v>12.827397260273973</v>
      </c>
      <c r="AF81" s="73">
        <f t="shared" si="123"/>
        <v>13.331506849315069</v>
      </c>
      <c r="AG81" s="73">
        <f t="shared" si="123"/>
        <v>13.827397260273973</v>
      </c>
      <c r="AH81" s="73">
        <f t="shared" si="123"/>
        <v>14.331506849315069</v>
      </c>
      <c r="AI81" s="73">
        <f t="shared" si="123"/>
        <v>14.827397260273973</v>
      </c>
      <c r="AJ81" s="73">
        <f t="shared" si="123"/>
        <v>15.331506849315069</v>
      </c>
      <c r="AK81" s="73">
        <f t="shared" si="123"/>
        <v>15.830136986301369</v>
      </c>
      <c r="AL81" s="73">
        <f t="shared" ref="AL81:BQ81" si="124">IF(AL26="","",(MAX(AL26-$C$1,0)/365))</f>
        <v>16.334246575342465</v>
      </c>
      <c r="AM81" s="73">
        <f t="shared" si="124"/>
        <v>16.830136986301369</v>
      </c>
      <c r="AN81" s="73">
        <f t="shared" si="124"/>
        <v>17.334246575342465</v>
      </c>
      <c r="AO81" s="73">
        <f t="shared" si="124"/>
        <v>17.830136986301369</v>
      </c>
      <c r="AP81" s="73">
        <f t="shared" si="124"/>
        <v>18.334246575342465</v>
      </c>
      <c r="AQ81" s="73">
        <f t="shared" si="124"/>
        <v>18.830136986301369</v>
      </c>
      <c r="AR81" s="73">
        <f t="shared" si="124"/>
        <v>19.334246575342465</v>
      </c>
      <c r="AS81" s="73">
        <f t="shared" si="124"/>
        <v>19.832876712328765</v>
      </c>
      <c r="AT81" s="73">
        <f t="shared" si="124"/>
        <v>20.336986301369862</v>
      </c>
      <c r="AU81" s="73">
        <f t="shared" si="124"/>
        <v>20.832876712328765</v>
      </c>
      <c r="AV81" s="73">
        <f t="shared" si="124"/>
        <v>21.336986301369862</v>
      </c>
      <c r="AW81" s="73">
        <f t="shared" si="124"/>
        <v>21.832876712328765</v>
      </c>
      <c r="AX81" s="73">
        <f t="shared" si="124"/>
        <v>22.336986301369862</v>
      </c>
      <c r="AY81" s="73">
        <f t="shared" si="124"/>
        <v>22.832876712328765</v>
      </c>
      <c r="AZ81" s="73">
        <f t="shared" si="124"/>
        <v>23.336986301369862</v>
      </c>
      <c r="BA81" s="73">
        <f t="shared" si="124"/>
        <v>23.835616438356166</v>
      </c>
      <c r="BB81" s="73">
        <f t="shared" si="124"/>
        <v>24.339726027397262</v>
      </c>
      <c r="BC81" s="73">
        <f t="shared" si="124"/>
        <v>24.835616438356166</v>
      </c>
      <c r="BD81" s="73">
        <f t="shared" si="124"/>
        <v>25.339726027397262</v>
      </c>
      <c r="BE81" s="73">
        <f t="shared" si="124"/>
        <v>25.835616438356166</v>
      </c>
      <c r="BF81" s="73">
        <f t="shared" si="124"/>
        <v>26.339726027397262</v>
      </c>
      <c r="BG81" s="73">
        <f t="shared" si="124"/>
        <v>26.835616438356166</v>
      </c>
      <c r="BH81" s="73">
        <f t="shared" si="124"/>
        <v>27.339726027397262</v>
      </c>
      <c r="BI81" s="73" t="str">
        <f t="shared" si="124"/>
        <v/>
      </c>
      <c r="BJ81" s="73" t="str">
        <f t="shared" si="124"/>
        <v/>
      </c>
      <c r="BK81" s="73" t="str">
        <f t="shared" si="124"/>
        <v/>
      </c>
      <c r="BL81" s="73" t="str">
        <f t="shared" si="124"/>
        <v/>
      </c>
      <c r="BM81" s="73" t="str">
        <f t="shared" si="124"/>
        <v/>
      </c>
      <c r="BN81" s="73" t="str">
        <f t="shared" si="124"/>
        <v/>
      </c>
      <c r="BO81" s="73" t="str">
        <f t="shared" si="124"/>
        <v/>
      </c>
      <c r="BP81" s="73" t="str">
        <f t="shared" si="124"/>
        <v/>
      </c>
      <c r="BQ81" s="73" t="str">
        <f t="shared" si="124"/>
        <v/>
      </c>
      <c r="BR81" s="73" t="str">
        <f t="shared" ref="BR81:CW81" si="125">IF(BR26="","",(MAX(BR26-$C$1,0)/365))</f>
        <v/>
      </c>
      <c r="BS81" s="73" t="str">
        <f t="shared" si="125"/>
        <v/>
      </c>
      <c r="BT81" s="73" t="str">
        <f t="shared" si="125"/>
        <v/>
      </c>
      <c r="BU81" s="73" t="str">
        <f t="shared" si="125"/>
        <v/>
      </c>
      <c r="BV81" s="73" t="str">
        <f t="shared" si="125"/>
        <v/>
      </c>
      <c r="BW81" s="73" t="str">
        <f t="shared" si="125"/>
        <v/>
      </c>
      <c r="BX81" s="73" t="str">
        <f t="shared" si="125"/>
        <v/>
      </c>
      <c r="BY81" s="73" t="str">
        <f t="shared" si="125"/>
        <v/>
      </c>
      <c r="BZ81" s="73" t="str">
        <f t="shared" si="125"/>
        <v/>
      </c>
      <c r="CA81" s="73" t="str">
        <f t="shared" si="125"/>
        <v/>
      </c>
      <c r="CB81" s="73" t="str">
        <f t="shared" si="125"/>
        <v/>
      </c>
      <c r="CC81" s="73" t="str">
        <f t="shared" si="125"/>
        <v/>
      </c>
      <c r="CD81" s="73" t="str">
        <f t="shared" si="125"/>
        <v/>
      </c>
      <c r="CE81" s="73" t="str">
        <f t="shared" si="125"/>
        <v/>
      </c>
      <c r="CF81" s="73" t="str">
        <f t="shared" si="125"/>
        <v/>
      </c>
      <c r="CG81" s="73" t="str">
        <f t="shared" si="125"/>
        <v/>
      </c>
      <c r="CH81" s="73" t="str">
        <f t="shared" si="125"/>
        <v/>
      </c>
      <c r="CI81" s="73" t="str">
        <f t="shared" si="125"/>
        <v/>
      </c>
      <c r="CJ81" s="73" t="str">
        <f t="shared" si="125"/>
        <v/>
      </c>
      <c r="CK81" s="73" t="str">
        <f t="shared" si="125"/>
        <v/>
      </c>
      <c r="CL81" s="73" t="str">
        <f t="shared" si="125"/>
        <v/>
      </c>
      <c r="CM81" s="73" t="str">
        <f t="shared" si="125"/>
        <v/>
      </c>
      <c r="CN81" s="73" t="str">
        <f t="shared" si="125"/>
        <v/>
      </c>
      <c r="CO81" s="73" t="str">
        <f t="shared" si="125"/>
        <v/>
      </c>
      <c r="CP81" s="73" t="str">
        <f t="shared" si="125"/>
        <v/>
      </c>
      <c r="CQ81" s="73" t="str">
        <f t="shared" si="125"/>
        <v/>
      </c>
      <c r="CR81" s="73" t="str">
        <f t="shared" si="125"/>
        <v/>
      </c>
      <c r="CS81" s="73" t="str">
        <f t="shared" si="125"/>
        <v/>
      </c>
      <c r="CT81" s="73" t="str">
        <f t="shared" si="125"/>
        <v/>
      </c>
      <c r="CU81" s="73" t="str">
        <f t="shared" si="125"/>
        <v/>
      </c>
      <c r="CV81" s="73" t="str">
        <f t="shared" si="125"/>
        <v/>
      </c>
      <c r="CW81" s="73" t="str">
        <f t="shared" si="125"/>
        <v/>
      </c>
      <c r="CX81" s="73" t="str">
        <f t="shared" ref="CX81:EC81" si="126">IF(CX26="","",(MAX(CX26-$C$1,0)/365))</f>
        <v/>
      </c>
      <c r="CY81" s="73" t="str">
        <f t="shared" si="126"/>
        <v/>
      </c>
      <c r="CZ81" s="73" t="str">
        <f t="shared" si="126"/>
        <v/>
      </c>
      <c r="DA81" s="73" t="str">
        <f t="shared" si="126"/>
        <v/>
      </c>
      <c r="DB81" s="73" t="str">
        <f t="shared" si="126"/>
        <v/>
      </c>
      <c r="DC81" s="73" t="str">
        <f t="shared" si="126"/>
        <v/>
      </c>
      <c r="DD81" s="73" t="str">
        <f t="shared" si="126"/>
        <v/>
      </c>
      <c r="DE81" s="73" t="str">
        <f t="shared" si="126"/>
        <v/>
      </c>
      <c r="DF81" s="73" t="str">
        <f t="shared" si="126"/>
        <v/>
      </c>
      <c r="DG81" s="73" t="str">
        <f t="shared" si="126"/>
        <v/>
      </c>
      <c r="DH81" s="73" t="str">
        <f t="shared" si="126"/>
        <v/>
      </c>
      <c r="DI81" s="73" t="str">
        <f t="shared" si="126"/>
        <v/>
      </c>
      <c r="DJ81" s="73" t="str">
        <f t="shared" si="126"/>
        <v/>
      </c>
      <c r="DK81" s="73" t="str">
        <f t="shared" si="126"/>
        <v/>
      </c>
      <c r="DL81" s="73" t="str">
        <f t="shared" si="126"/>
        <v/>
      </c>
      <c r="DM81" s="73" t="str">
        <f t="shared" si="126"/>
        <v/>
      </c>
      <c r="DN81" s="73" t="str">
        <f t="shared" si="126"/>
        <v/>
      </c>
      <c r="DO81" s="73" t="str">
        <f t="shared" si="126"/>
        <v/>
      </c>
      <c r="DP81" s="73" t="str">
        <f t="shared" si="126"/>
        <v/>
      </c>
      <c r="DQ81" s="73" t="str">
        <f t="shared" si="126"/>
        <v/>
      </c>
      <c r="DR81" s="73" t="str">
        <f t="shared" si="126"/>
        <v/>
      </c>
      <c r="DS81" s="73" t="str">
        <f t="shared" si="126"/>
        <v/>
      </c>
      <c r="DT81" s="73" t="str">
        <f t="shared" si="126"/>
        <v/>
      </c>
      <c r="DU81" s="73" t="str">
        <f t="shared" si="126"/>
        <v/>
      </c>
      <c r="DV81" s="73" t="str">
        <f t="shared" si="126"/>
        <v/>
      </c>
      <c r="DW81" s="73" t="str">
        <f t="shared" si="126"/>
        <v/>
      </c>
      <c r="DX81" s="73" t="str">
        <f t="shared" si="126"/>
        <v/>
      </c>
      <c r="DY81" s="73" t="str">
        <f t="shared" si="126"/>
        <v/>
      </c>
      <c r="DZ81" s="73" t="str">
        <f t="shared" si="126"/>
        <v/>
      </c>
      <c r="EA81" s="73" t="str">
        <f t="shared" si="126"/>
        <v/>
      </c>
      <c r="EB81" s="73" t="str">
        <f t="shared" si="126"/>
        <v/>
      </c>
      <c r="EC81" s="73" t="str">
        <f t="shared" si="126"/>
        <v/>
      </c>
      <c r="ED81" s="73" t="str">
        <f t="shared" ref="ED81:FI81" si="127">IF(ED26="","",(MAX(ED26-$C$1,0)/365))</f>
        <v/>
      </c>
      <c r="EE81" s="73" t="str">
        <f t="shared" si="127"/>
        <v/>
      </c>
      <c r="EF81" s="73" t="str">
        <f t="shared" si="127"/>
        <v/>
      </c>
      <c r="EG81" s="73" t="str">
        <f t="shared" si="127"/>
        <v/>
      </c>
      <c r="EH81" s="73" t="str">
        <f t="shared" si="127"/>
        <v/>
      </c>
      <c r="EI81" s="73" t="str">
        <f t="shared" si="127"/>
        <v/>
      </c>
      <c r="EJ81" s="73" t="str">
        <f t="shared" si="127"/>
        <v/>
      </c>
      <c r="EK81" s="73" t="str">
        <f t="shared" si="127"/>
        <v/>
      </c>
      <c r="EL81" s="73" t="str">
        <f t="shared" si="127"/>
        <v/>
      </c>
      <c r="EM81" s="73" t="str">
        <f t="shared" si="127"/>
        <v/>
      </c>
      <c r="EN81" s="73" t="str">
        <f t="shared" si="127"/>
        <v/>
      </c>
      <c r="EO81" s="73" t="str">
        <f t="shared" si="127"/>
        <v/>
      </c>
      <c r="EP81" s="73" t="str">
        <f t="shared" si="127"/>
        <v/>
      </c>
      <c r="EQ81" s="73" t="str">
        <f t="shared" si="127"/>
        <v/>
      </c>
      <c r="ER81" s="73" t="str">
        <f t="shared" si="127"/>
        <v/>
      </c>
      <c r="ES81" s="73" t="str">
        <f t="shared" si="127"/>
        <v/>
      </c>
      <c r="ET81" s="73" t="str">
        <f t="shared" si="127"/>
        <v/>
      </c>
      <c r="EU81" s="73" t="str">
        <f t="shared" si="127"/>
        <v/>
      </c>
      <c r="EV81" s="73" t="str">
        <f t="shared" si="127"/>
        <v/>
      </c>
      <c r="EW81" s="73" t="str">
        <f t="shared" si="127"/>
        <v/>
      </c>
      <c r="EX81" s="73" t="str">
        <f t="shared" si="127"/>
        <v/>
      </c>
      <c r="EY81" s="73" t="str">
        <f t="shared" si="127"/>
        <v/>
      </c>
      <c r="EZ81" s="73" t="str">
        <f t="shared" si="127"/>
        <v/>
      </c>
      <c r="FA81" s="73" t="str">
        <f t="shared" si="127"/>
        <v/>
      </c>
      <c r="FB81" s="73" t="str">
        <f t="shared" si="127"/>
        <v/>
      </c>
      <c r="FC81" s="73" t="str">
        <f t="shared" si="127"/>
        <v/>
      </c>
      <c r="FD81" s="73" t="str">
        <f t="shared" si="127"/>
        <v/>
      </c>
      <c r="FE81" s="73" t="str">
        <f t="shared" si="127"/>
        <v/>
      </c>
      <c r="FF81" s="73" t="str">
        <f t="shared" si="127"/>
        <v/>
      </c>
      <c r="FG81" s="73" t="str">
        <f t="shared" si="127"/>
        <v/>
      </c>
      <c r="FH81" s="73" t="str">
        <f t="shared" si="127"/>
        <v/>
      </c>
      <c r="FI81" s="73" t="str">
        <f t="shared" si="127"/>
        <v/>
      </c>
      <c r="FJ81" s="73" t="str">
        <f t="shared" ref="FJ81:GQ81" si="128">IF(FJ26="","",(MAX(FJ26-$C$1,0)/365))</f>
        <v/>
      </c>
      <c r="FK81" s="73" t="str">
        <f t="shared" si="128"/>
        <v/>
      </c>
      <c r="FL81" s="73" t="str">
        <f t="shared" si="128"/>
        <v/>
      </c>
      <c r="FM81" s="73" t="str">
        <f t="shared" si="128"/>
        <v/>
      </c>
      <c r="FN81" s="73" t="str">
        <f t="shared" si="128"/>
        <v/>
      </c>
      <c r="FO81" s="73" t="str">
        <f t="shared" si="128"/>
        <v/>
      </c>
      <c r="FP81" s="73" t="str">
        <f t="shared" si="128"/>
        <v/>
      </c>
      <c r="FQ81" s="73" t="str">
        <f t="shared" si="128"/>
        <v/>
      </c>
      <c r="FR81" s="73" t="str">
        <f t="shared" si="128"/>
        <v/>
      </c>
      <c r="FS81" s="73" t="str">
        <f t="shared" si="128"/>
        <v/>
      </c>
      <c r="FT81" s="73" t="str">
        <f t="shared" si="128"/>
        <v/>
      </c>
      <c r="FU81" s="73" t="str">
        <f t="shared" si="128"/>
        <v/>
      </c>
      <c r="FV81" s="73" t="str">
        <f t="shared" si="128"/>
        <v/>
      </c>
      <c r="FW81" s="73" t="str">
        <f t="shared" si="128"/>
        <v/>
      </c>
      <c r="FX81" s="73" t="str">
        <f t="shared" si="128"/>
        <v/>
      </c>
      <c r="FY81" s="73" t="str">
        <f t="shared" si="128"/>
        <v/>
      </c>
      <c r="FZ81" s="73" t="str">
        <f t="shared" si="128"/>
        <v/>
      </c>
      <c r="GA81" s="73" t="str">
        <f t="shared" si="128"/>
        <v/>
      </c>
      <c r="GB81" s="73" t="str">
        <f t="shared" si="128"/>
        <v/>
      </c>
      <c r="GC81" s="73" t="str">
        <f t="shared" si="128"/>
        <v/>
      </c>
      <c r="GD81" s="73" t="str">
        <f t="shared" si="128"/>
        <v/>
      </c>
      <c r="GE81" s="73" t="str">
        <f t="shared" si="128"/>
        <v/>
      </c>
      <c r="GF81" s="73" t="str">
        <f t="shared" si="128"/>
        <v/>
      </c>
      <c r="GG81" s="73" t="str">
        <f t="shared" si="128"/>
        <v/>
      </c>
      <c r="GH81" s="73" t="str">
        <f t="shared" si="128"/>
        <v/>
      </c>
      <c r="GI81" s="73" t="str">
        <f t="shared" si="128"/>
        <v/>
      </c>
      <c r="GJ81" s="73" t="str">
        <f t="shared" si="128"/>
        <v/>
      </c>
      <c r="GK81" s="73" t="str">
        <f t="shared" si="128"/>
        <v/>
      </c>
      <c r="GL81" s="73" t="str">
        <f t="shared" si="128"/>
        <v/>
      </c>
      <c r="GM81" s="73" t="str">
        <f t="shared" si="128"/>
        <v/>
      </c>
      <c r="GN81" s="73" t="str">
        <f t="shared" si="128"/>
        <v/>
      </c>
      <c r="GO81" s="73" t="str">
        <f t="shared" si="128"/>
        <v/>
      </c>
      <c r="GP81" s="73" t="str">
        <f t="shared" si="128"/>
        <v/>
      </c>
      <c r="GQ81" s="73" t="str">
        <f t="shared" si="128"/>
        <v/>
      </c>
    </row>
    <row r="82" spans="1:199" x14ac:dyDescent="0.2">
      <c r="B82" t="str">
        <f t="shared" si="68"/>
        <v>USP04808AN44</v>
      </c>
      <c r="C82" t="str">
        <f t="shared" si="25"/>
        <v>USD 2117</v>
      </c>
      <c r="E82" s="73"/>
      <c r="F82" s="73">
        <f t="shared" ref="F82:AK82" si="129">IF(F27="","",(MAX(F27-$C$1,0)/365))</f>
        <v>0.28493150684931506</v>
      </c>
      <c r="G82" s="73">
        <f t="shared" si="129"/>
        <v>0.78356164383561644</v>
      </c>
      <c r="H82" s="73">
        <f t="shared" si="129"/>
        <v>1.284931506849315</v>
      </c>
      <c r="I82" s="73">
        <f t="shared" si="129"/>
        <v>1.7835616438356163</v>
      </c>
      <c r="J82" s="73">
        <f t="shared" si="129"/>
        <v>2.2849315068493152</v>
      </c>
      <c r="K82" s="73">
        <f t="shared" si="129"/>
        <v>2.7835616438356166</v>
      </c>
      <c r="L82" s="73">
        <f t="shared" si="129"/>
        <v>3.2849315068493152</v>
      </c>
      <c r="M82" s="73">
        <f t="shared" si="129"/>
        <v>3.7863013698630139</v>
      </c>
      <c r="N82" s="73">
        <f t="shared" si="129"/>
        <v>4.2876712328767121</v>
      </c>
      <c r="O82" s="73">
        <f t="shared" si="129"/>
        <v>4.7863013698630139</v>
      </c>
      <c r="P82" s="73">
        <f t="shared" si="129"/>
        <v>5.2876712328767121</v>
      </c>
      <c r="Q82" s="73">
        <f t="shared" si="129"/>
        <v>5.7863013698630139</v>
      </c>
      <c r="R82" s="73">
        <f t="shared" si="129"/>
        <v>6.2876712328767121</v>
      </c>
      <c r="S82" s="73">
        <f t="shared" si="129"/>
        <v>6.7863013698630139</v>
      </c>
      <c r="T82" s="73">
        <f t="shared" si="129"/>
        <v>7.2876712328767121</v>
      </c>
      <c r="U82" s="73">
        <f t="shared" si="129"/>
        <v>7.7890410958904113</v>
      </c>
      <c r="V82" s="73">
        <f t="shared" si="129"/>
        <v>8.2904109589041095</v>
      </c>
      <c r="W82" s="73">
        <f t="shared" si="129"/>
        <v>8.7890410958904113</v>
      </c>
      <c r="X82" s="73">
        <f t="shared" si="129"/>
        <v>9.2904109589041095</v>
      </c>
      <c r="Y82" s="73">
        <f t="shared" si="129"/>
        <v>9.7890410958904113</v>
      </c>
      <c r="Z82" s="73">
        <f t="shared" si="129"/>
        <v>10.29041095890411</v>
      </c>
      <c r="AA82" s="73">
        <f t="shared" si="129"/>
        <v>10.789041095890411</v>
      </c>
      <c r="AB82" s="73">
        <f t="shared" si="129"/>
        <v>11.29041095890411</v>
      </c>
      <c r="AC82" s="73">
        <f t="shared" si="129"/>
        <v>11.791780821917808</v>
      </c>
      <c r="AD82" s="73">
        <f t="shared" si="129"/>
        <v>12.293150684931506</v>
      </c>
      <c r="AE82" s="73">
        <f t="shared" si="129"/>
        <v>12.791780821917808</v>
      </c>
      <c r="AF82" s="73">
        <f t="shared" si="129"/>
        <v>13.293150684931506</v>
      </c>
      <c r="AG82" s="73">
        <f t="shared" si="129"/>
        <v>13.791780821917808</v>
      </c>
      <c r="AH82" s="73">
        <f t="shared" si="129"/>
        <v>14.293150684931506</v>
      </c>
      <c r="AI82" s="73">
        <f t="shared" si="129"/>
        <v>14.791780821917808</v>
      </c>
      <c r="AJ82" s="73">
        <f t="shared" si="129"/>
        <v>15.293150684931506</v>
      </c>
      <c r="AK82" s="73">
        <f t="shared" si="129"/>
        <v>15.794520547945206</v>
      </c>
      <c r="AL82" s="73">
        <f t="shared" ref="AL82:BQ82" si="130">IF(AL27="","",(MAX(AL27-$C$1,0)/365))</f>
        <v>16.295890410958904</v>
      </c>
      <c r="AM82" s="73">
        <f t="shared" si="130"/>
        <v>16.794520547945204</v>
      </c>
      <c r="AN82" s="73">
        <f t="shared" si="130"/>
        <v>17.295890410958904</v>
      </c>
      <c r="AO82" s="73">
        <f t="shared" si="130"/>
        <v>17.794520547945204</v>
      </c>
      <c r="AP82" s="73">
        <f t="shared" si="130"/>
        <v>18.295890410958904</v>
      </c>
      <c r="AQ82" s="73">
        <f t="shared" si="130"/>
        <v>18.794520547945204</v>
      </c>
      <c r="AR82" s="73">
        <f t="shared" si="130"/>
        <v>19.295890410958904</v>
      </c>
      <c r="AS82" s="73">
        <f t="shared" si="130"/>
        <v>19.797260273972604</v>
      </c>
      <c r="AT82" s="73">
        <f t="shared" si="130"/>
        <v>20.298630136986301</v>
      </c>
      <c r="AU82" s="73">
        <f t="shared" si="130"/>
        <v>20.797260273972604</v>
      </c>
      <c r="AV82" s="73">
        <f t="shared" si="130"/>
        <v>21.298630136986301</v>
      </c>
      <c r="AW82" s="73">
        <f t="shared" si="130"/>
        <v>21.797260273972604</v>
      </c>
      <c r="AX82" s="73">
        <f t="shared" si="130"/>
        <v>22.298630136986301</v>
      </c>
      <c r="AY82" s="73">
        <f t="shared" si="130"/>
        <v>22.797260273972604</v>
      </c>
      <c r="AZ82" s="73">
        <f t="shared" si="130"/>
        <v>23.298630136986301</v>
      </c>
      <c r="BA82" s="73">
        <f t="shared" si="130"/>
        <v>23.8</v>
      </c>
      <c r="BB82" s="73">
        <f t="shared" si="130"/>
        <v>24.301369863013697</v>
      </c>
      <c r="BC82" s="73">
        <f t="shared" si="130"/>
        <v>24.8</v>
      </c>
      <c r="BD82" s="73">
        <f t="shared" si="130"/>
        <v>25.301369863013697</v>
      </c>
      <c r="BE82" s="73">
        <f t="shared" si="130"/>
        <v>25.8</v>
      </c>
      <c r="BF82" s="73">
        <f t="shared" si="130"/>
        <v>26.301369863013697</v>
      </c>
      <c r="BG82" s="73">
        <f t="shared" si="130"/>
        <v>26.8</v>
      </c>
      <c r="BH82" s="73">
        <f t="shared" si="130"/>
        <v>27.301369863013697</v>
      </c>
      <c r="BI82" s="73">
        <f t="shared" si="130"/>
        <v>27.802739726027397</v>
      </c>
      <c r="BJ82" s="73">
        <f t="shared" si="130"/>
        <v>28.304109589041097</v>
      </c>
      <c r="BK82" s="73">
        <f t="shared" si="130"/>
        <v>28.802739726027397</v>
      </c>
      <c r="BL82" s="73">
        <f t="shared" si="130"/>
        <v>29.304109589041097</v>
      </c>
      <c r="BM82" s="73">
        <f t="shared" si="130"/>
        <v>29.802739726027397</v>
      </c>
      <c r="BN82" s="73">
        <f t="shared" si="130"/>
        <v>30.304109589041097</v>
      </c>
      <c r="BO82" s="73">
        <f t="shared" si="130"/>
        <v>30.802739726027397</v>
      </c>
      <c r="BP82" s="73">
        <f t="shared" si="130"/>
        <v>31.304109589041097</v>
      </c>
      <c r="BQ82" s="73">
        <f t="shared" si="130"/>
        <v>31.805479452054794</v>
      </c>
      <c r="BR82" s="73">
        <f t="shared" ref="BR82:CW82" si="131">IF(BR27="","",(MAX(BR27-$C$1,0)/365))</f>
        <v>32.30684931506849</v>
      </c>
      <c r="BS82" s="73">
        <f t="shared" si="131"/>
        <v>32.805479452054797</v>
      </c>
      <c r="BT82" s="73">
        <f t="shared" si="131"/>
        <v>33.30684931506849</v>
      </c>
      <c r="BU82" s="73">
        <f t="shared" si="131"/>
        <v>33.805479452054797</v>
      </c>
      <c r="BV82" s="73">
        <f t="shared" si="131"/>
        <v>34.30684931506849</v>
      </c>
      <c r="BW82" s="73">
        <f t="shared" si="131"/>
        <v>34.805479452054797</v>
      </c>
      <c r="BX82" s="73">
        <f t="shared" si="131"/>
        <v>35.30684931506849</v>
      </c>
      <c r="BY82" s="73">
        <f t="shared" si="131"/>
        <v>35.80821917808219</v>
      </c>
      <c r="BZ82" s="73">
        <f t="shared" si="131"/>
        <v>36.30958904109589</v>
      </c>
      <c r="CA82" s="73">
        <f t="shared" si="131"/>
        <v>36.80821917808219</v>
      </c>
      <c r="CB82" s="73">
        <f t="shared" si="131"/>
        <v>37.30958904109589</v>
      </c>
      <c r="CC82" s="73">
        <f t="shared" si="131"/>
        <v>37.80821917808219</v>
      </c>
      <c r="CD82" s="73">
        <f t="shared" si="131"/>
        <v>38.30958904109589</v>
      </c>
      <c r="CE82" s="73">
        <f t="shared" si="131"/>
        <v>38.80821917808219</v>
      </c>
      <c r="CF82" s="73">
        <f t="shared" si="131"/>
        <v>39.30958904109589</v>
      </c>
      <c r="CG82" s="73">
        <f t="shared" si="131"/>
        <v>39.81095890410959</v>
      </c>
      <c r="CH82" s="73">
        <f t="shared" si="131"/>
        <v>40.31232876712329</v>
      </c>
      <c r="CI82" s="73">
        <f t="shared" si="131"/>
        <v>40.81095890410959</v>
      </c>
      <c r="CJ82" s="73">
        <f t="shared" si="131"/>
        <v>41.31232876712329</v>
      </c>
      <c r="CK82" s="73">
        <f t="shared" si="131"/>
        <v>41.81095890410959</v>
      </c>
      <c r="CL82" s="73">
        <f t="shared" si="131"/>
        <v>42.31232876712329</v>
      </c>
      <c r="CM82" s="73">
        <f t="shared" si="131"/>
        <v>42.81095890410959</v>
      </c>
      <c r="CN82" s="73">
        <f t="shared" si="131"/>
        <v>43.31232876712329</v>
      </c>
      <c r="CO82" s="73">
        <f t="shared" si="131"/>
        <v>43.813698630136983</v>
      </c>
      <c r="CP82" s="73">
        <f t="shared" si="131"/>
        <v>44.315068493150683</v>
      </c>
      <c r="CQ82" s="73">
        <f t="shared" si="131"/>
        <v>44.813698630136983</v>
      </c>
      <c r="CR82" s="73">
        <f t="shared" si="131"/>
        <v>45.315068493150683</v>
      </c>
      <c r="CS82" s="73">
        <f t="shared" si="131"/>
        <v>45.813698630136983</v>
      </c>
      <c r="CT82" s="73">
        <f t="shared" si="131"/>
        <v>46.315068493150683</v>
      </c>
      <c r="CU82" s="73">
        <f t="shared" si="131"/>
        <v>46.813698630136983</v>
      </c>
      <c r="CV82" s="73">
        <f t="shared" si="131"/>
        <v>47.315068493150683</v>
      </c>
      <c r="CW82" s="73">
        <f t="shared" si="131"/>
        <v>47.816438356164383</v>
      </c>
      <c r="CX82" s="73">
        <f t="shared" ref="CX82:EC82" si="132">IF(CX27="","",(MAX(CX27-$C$1,0)/365))</f>
        <v>48.317808219178083</v>
      </c>
      <c r="CY82" s="73">
        <f t="shared" si="132"/>
        <v>48.816438356164383</v>
      </c>
      <c r="CZ82" s="73">
        <f t="shared" si="132"/>
        <v>49.317808219178083</v>
      </c>
      <c r="DA82" s="73">
        <f t="shared" si="132"/>
        <v>49.816438356164383</v>
      </c>
      <c r="DB82" s="73">
        <f t="shared" si="132"/>
        <v>50.317808219178083</v>
      </c>
      <c r="DC82" s="73">
        <f t="shared" si="132"/>
        <v>50.816438356164383</v>
      </c>
      <c r="DD82" s="73">
        <f t="shared" si="132"/>
        <v>51.317808219178083</v>
      </c>
      <c r="DE82" s="73">
        <f t="shared" si="132"/>
        <v>51.819178082191783</v>
      </c>
      <c r="DF82" s="73">
        <f t="shared" si="132"/>
        <v>52.320547945205476</v>
      </c>
      <c r="DG82" s="73">
        <f t="shared" si="132"/>
        <v>52.819178082191783</v>
      </c>
      <c r="DH82" s="73">
        <f t="shared" si="132"/>
        <v>53.320547945205476</v>
      </c>
      <c r="DI82" s="73">
        <f t="shared" si="132"/>
        <v>53.819178082191783</v>
      </c>
      <c r="DJ82" s="73">
        <f t="shared" si="132"/>
        <v>54.320547945205476</v>
      </c>
      <c r="DK82" s="73">
        <f t="shared" si="132"/>
        <v>54.819178082191783</v>
      </c>
      <c r="DL82" s="73">
        <f t="shared" si="132"/>
        <v>55.320547945205476</v>
      </c>
      <c r="DM82" s="73">
        <f t="shared" si="132"/>
        <v>55.821917808219176</v>
      </c>
      <c r="DN82" s="73">
        <f t="shared" si="132"/>
        <v>56.323287671232876</v>
      </c>
      <c r="DO82" s="73">
        <f t="shared" si="132"/>
        <v>56.821917808219176</v>
      </c>
      <c r="DP82" s="73">
        <f t="shared" si="132"/>
        <v>57.323287671232876</v>
      </c>
      <c r="DQ82" s="73">
        <f t="shared" si="132"/>
        <v>57.821917808219176</v>
      </c>
      <c r="DR82" s="73">
        <f t="shared" si="132"/>
        <v>58.323287671232876</v>
      </c>
      <c r="DS82" s="73">
        <f t="shared" si="132"/>
        <v>58.821917808219176</v>
      </c>
      <c r="DT82" s="73">
        <f t="shared" si="132"/>
        <v>59.323287671232876</v>
      </c>
      <c r="DU82" s="73">
        <f t="shared" si="132"/>
        <v>59.824657534246576</v>
      </c>
      <c r="DV82" s="73">
        <f t="shared" si="132"/>
        <v>60.326027397260276</v>
      </c>
      <c r="DW82" s="73">
        <f t="shared" si="132"/>
        <v>60.824657534246576</v>
      </c>
      <c r="DX82" s="73">
        <f t="shared" si="132"/>
        <v>61.326027397260276</v>
      </c>
      <c r="DY82" s="73">
        <f t="shared" si="132"/>
        <v>61.824657534246576</v>
      </c>
      <c r="DZ82" s="73">
        <f t="shared" si="132"/>
        <v>62.326027397260276</v>
      </c>
      <c r="EA82" s="73">
        <f t="shared" si="132"/>
        <v>62.824657534246576</v>
      </c>
      <c r="EB82" s="73">
        <f t="shared" si="132"/>
        <v>63.326027397260276</v>
      </c>
      <c r="EC82" s="73">
        <f t="shared" si="132"/>
        <v>63.827397260273976</v>
      </c>
      <c r="ED82" s="73">
        <f t="shared" ref="ED82:FI82" si="133">IF(ED27="","",(MAX(ED27-$C$1,0)/365))</f>
        <v>64.328767123287676</v>
      </c>
      <c r="EE82" s="73">
        <f t="shared" si="133"/>
        <v>64.827397260273969</v>
      </c>
      <c r="EF82" s="73">
        <f t="shared" si="133"/>
        <v>65.328767123287676</v>
      </c>
      <c r="EG82" s="73">
        <f t="shared" si="133"/>
        <v>65.827397260273969</v>
      </c>
      <c r="EH82" s="73">
        <f t="shared" si="133"/>
        <v>66.328767123287676</v>
      </c>
      <c r="EI82" s="73">
        <f t="shared" si="133"/>
        <v>66.827397260273969</v>
      </c>
      <c r="EJ82" s="73">
        <f t="shared" si="133"/>
        <v>67.328767123287676</v>
      </c>
      <c r="EK82" s="73">
        <f t="shared" si="133"/>
        <v>67.830136986301369</v>
      </c>
      <c r="EL82" s="73">
        <f t="shared" si="133"/>
        <v>68.331506849315062</v>
      </c>
      <c r="EM82" s="73">
        <f t="shared" si="133"/>
        <v>68.830136986301369</v>
      </c>
      <c r="EN82" s="73">
        <f t="shared" si="133"/>
        <v>69.331506849315062</v>
      </c>
      <c r="EO82" s="73">
        <f t="shared" si="133"/>
        <v>69.830136986301369</v>
      </c>
      <c r="EP82" s="73">
        <f t="shared" si="133"/>
        <v>70.331506849315062</v>
      </c>
      <c r="EQ82" s="73">
        <f t="shared" si="133"/>
        <v>70.830136986301369</v>
      </c>
      <c r="ER82" s="73">
        <f t="shared" si="133"/>
        <v>71.331506849315062</v>
      </c>
      <c r="ES82" s="73">
        <f t="shared" si="133"/>
        <v>71.832876712328769</v>
      </c>
      <c r="ET82" s="73">
        <f t="shared" si="133"/>
        <v>72.334246575342462</v>
      </c>
      <c r="EU82" s="73">
        <f t="shared" si="133"/>
        <v>72.832876712328769</v>
      </c>
      <c r="EV82" s="73">
        <f t="shared" si="133"/>
        <v>73.334246575342462</v>
      </c>
      <c r="EW82" s="73">
        <f t="shared" si="133"/>
        <v>73.832876712328769</v>
      </c>
      <c r="EX82" s="73">
        <f t="shared" si="133"/>
        <v>74.334246575342462</v>
      </c>
      <c r="EY82" s="73">
        <f t="shared" si="133"/>
        <v>74.832876712328769</v>
      </c>
      <c r="EZ82" s="73">
        <f t="shared" si="133"/>
        <v>75.334246575342462</v>
      </c>
      <c r="FA82" s="73">
        <f t="shared" si="133"/>
        <v>75.835616438356169</v>
      </c>
      <c r="FB82" s="73">
        <f t="shared" si="133"/>
        <v>76.336986301369862</v>
      </c>
      <c r="FC82" s="73">
        <f t="shared" si="133"/>
        <v>76.835616438356169</v>
      </c>
      <c r="FD82" s="73">
        <f t="shared" si="133"/>
        <v>77.336986301369862</v>
      </c>
      <c r="FE82" s="73">
        <f t="shared" si="133"/>
        <v>77.835616438356169</v>
      </c>
      <c r="FF82" s="73">
        <f t="shared" si="133"/>
        <v>78.336986301369862</v>
      </c>
      <c r="FG82" s="73">
        <f t="shared" si="133"/>
        <v>78.835616438356169</v>
      </c>
      <c r="FH82" s="73">
        <f t="shared" si="133"/>
        <v>79.336986301369862</v>
      </c>
      <c r="FI82" s="73">
        <f t="shared" si="133"/>
        <v>79.835616438356169</v>
      </c>
      <c r="FJ82" s="73">
        <f t="shared" ref="FJ82:GQ82" si="134">IF(FJ27="","",(MAX(FJ27-$C$1,0)/365))</f>
        <v>80.336986301369862</v>
      </c>
      <c r="FK82" s="73">
        <f t="shared" si="134"/>
        <v>80.835616438356169</v>
      </c>
      <c r="FL82" s="73">
        <f t="shared" si="134"/>
        <v>81.336986301369862</v>
      </c>
      <c r="FM82" s="73">
        <f t="shared" si="134"/>
        <v>81.835616438356169</v>
      </c>
      <c r="FN82" s="73">
        <f t="shared" si="134"/>
        <v>82.336986301369862</v>
      </c>
      <c r="FO82" s="73">
        <f t="shared" si="134"/>
        <v>82.835616438356169</v>
      </c>
      <c r="FP82" s="73">
        <f t="shared" si="134"/>
        <v>83.336986301369862</v>
      </c>
      <c r="FQ82" s="73">
        <f t="shared" si="134"/>
        <v>83.838356164383555</v>
      </c>
      <c r="FR82" s="73">
        <f t="shared" si="134"/>
        <v>84.339726027397262</v>
      </c>
      <c r="FS82" s="73">
        <f t="shared" si="134"/>
        <v>84.838356164383555</v>
      </c>
      <c r="FT82" s="73">
        <f t="shared" si="134"/>
        <v>85.339726027397262</v>
      </c>
      <c r="FU82" s="73">
        <f t="shared" si="134"/>
        <v>85.838356164383555</v>
      </c>
      <c r="FV82" s="73">
        <f t="shared" si="134"/>
        <v>86.339726027397262</v>
      </c>
      <c r="FW82" s="73">
        <f t="shared" si="134"/>
        <v>86.838356164383555</v>
      </c>
      <c r="FX82" s="73">
        <f t="shared" si="134"/>
        <v>87.339726027397262</v>
      </c>
      <c r="FY82" s="73">
        <f t="shared" si="134"/>
        <v>87.841095890410955</v>
      </c>
      <c r="FZ82" s="73">
        <f t="shared" si="134"/>
        <v>88.342465753424662</v>
      </c>
      <c r="GA82" s="73">
        <f t="shared" si="134"/>
        <v>88.841095890410955</v>
      </c>
      <c r="GB82" s="73">
        <f t="shared" si="134"/>
        <v>89.342465753424662</v>
      </c>
      <c r="GC82" s="73">
        <f t="shared" si="134"/>
        <v>89.841095890410955</v>
      </c>
      <c r="GD82" s="73">
        <f t="shared" si="134"/>
        <v>90.342465753424662</v>
      </c>
      <c r="GE82" s="73">
        <f t="shared" si="134"/>
        <v>90.841095890410955</v>
      </c>
      <c r="GF82" s="73">
        <f t="shared" si="134"/>
        <v>91.342465753424662</v>
      </c>
      <c r="GG82" s="73">
        <f t="shared" si="134"/>
        <v>91.843835616438355</v>
      </c>
      <c r="GH82" s="73">
        <f t="shared" si="134"/>
        <v>92.345205479452048</v>
      </c>
      <c r="GI82" s="73">
        <f t="shared" si="134"/>
        <v>92.843835616438355</v>
      </c>
      <c r="GJ82" s="73">
        <f t="shared" si="134"/>
        <v>93.345205479452048</v>
      </c>
      <c r="GK82" s="73">
        <f t="shared" si="134"/>
        <v>93.843835616438355</v>
      </c>
      <c r="GL82" s="73">
        <f t="shared" si="134"/>
        <v>94.345205479452048</v>
      </c>
      <c r="GM82" s="73">
        <f t="shared" si="134"/>
        <v>94.843835616438355</v>
      </c>
      <c r="GN82" s="73">
        <f t="shared" si="134"/>
        <v>95.345205479452048</v>
      </c>
      <c r="GO82" s="73">
        <f t="shared" si="134"/>
        <v>95.846575342465755</v>
      </c>
      <c r="GP82" s="73">
        <f t="shared" si="134"/>
        <v>96.347945205479448</v>
      </c>
      <c r="GQ82" s="73">
        <f t="shared" si="134"/>
        <v>96.846575342465755</v>
      </c>
    </row>
    <row r="83" spans="1:199" x14ac:dyDescent="0.2">
      <c r="B83" t="s">
        <v>34</v>
      </c>
      <c r="C83" t="str">
        <f t="shared" si="25"/>
        <v>Euro 2022</v>
      </c>
      <c r="E83" s="73"/>
      <c r="F83" s="73">
        <f t="shared" ref="F83:AK83" si="135">IF(F28="","",(MAX(F28-$C$1,0)/365))</f>
        <v>0.33424657534246577</v>
      </c>
      <c r="G83" s="73">
        <f t="shared" si="135"/>
        <v>1.3342465753424657</v>
      </c>
      <c r="H83" s="73" t="str">
        <f t="shared" si="135"/>
        <v/>
      </c>
      <c r="I83" s="73" t="str">
        <f t="shared" si="135"/>
        <v/>
      </c>
      <c r="J83" s="73" t="str">
        <f t="shared" si="135"/>
        <v/>
      </c>
      <c r="K83" s="73" t="str">
        <f t="shared" si="135"/>
        <v/>
      </c>
      <c r="L83" s="73" t="str">
        <f t="shared" si="135"/>
        <v/>
      </c>
      <c r="M83" s="73" t="str">
        <f t="shared" si="135"/>
        <v/>
      </c>
      <c r="N83" s="73" t="str">
        <f t="shared" si="135"/>
        <v/>
      </c>
      <c r="O83" s="73" t="str">
        <f t="shared" si="135"/>
        <v/>
      </c>
      <c r="P83" s="73" t="str">
        <f t="shared" si="135"/>
        <v/>
      </c>
      <c r="Q83" s="73" t="str">
        <f t="shared" si="135"/>
        <v/>
      </c>
      <c r="R83" s="73" t="str">
        <f t="shared" si="135"/>
        <v/>
      </c>
      <c r="S83" s="73" t="str">
        <f t="shared" si="135"/>
        <v/>
      </c>
      <c r="T83" s="73" t="str">
        <f t="shared" si="135"/>
        <v/>
      </c>
      <c r="U83" s="73" t="str">
        <f t="shared" si="135"/>
        <v/>
      </c>
      <c r="V83" s="73" t="str">
        <f t="shared" si="135"/>
        <v/>
      </c>
      <c r="W83" s="73" t="str">
        <f t="shared" si="135"/>
        <v/>
      </c>
      <c r="X83" s="73" t="str">
        <f t="shared" si="135"/>
        <v/>
      </c>
      <c r="Y83" s="73" t="str">
        <f t="shared" si="135"/>
        <v/>
      </c>
      <c r="Z83" s="73" t="str">
        <f t="shared" si="135"/>
        <v/>
      </c>
      <c r="AA83" s="73" t="str">
        <f t="shared" si="135"/>
        <v/>
      </c>
      <c r="AB83" s="73" t="str">
        <f t="shared" si="135"/>
        <v/>
      </c>
      <c r="AC83" s="73" t="str">
        <f t="shared" si="135"/>
        <v/>
      </c>
      <c r="AD83" s="73" t="str">
        <f t="shared" si="135"/>
        <v/>
      </c>
      <c r="AE83" s="73" t="str">
        <f t="shared" si="135"/>
        <v/>
      </c>
      <c r="AF83" s="73" t="str">
        <f t="shared" si="135"/>
        <v/>
      </c>
      <c r="AG83" s="73" t="str">
        <f t="shared" si="135"/>
        <v/>
      </c>
      <c r="AH83" s="73" t="str">
        <f t="shared" si="135"/>
        <v/>
      </c>
      <c r="AI83" s="73" t="str">
        <f t="shared" si="135"/>
        <v/>
      </c>
      <c r="AJ83" s="73" t="str">
        <f t="shared" si="135"/>
        <v/>
      </c>
      <c r="AK83" s="73" t="str">
        <f t="shared" si="135"/>
        <v/>
      </c>
      <c r="AL83" s="73" t="str">
        <f t="shared" ref="AL83:BQ83" si="136">IF(AL28="","",(MAX(AL28-$C$1,0)/365))</f>
        <v/>
      </c>
      <c r="AM83" s="73" t="str">
        <f t="shared" si="136"/>
        <v/>
      </c>
      <c r="AN83" s="73" t="str">
        <f t="shared" si="136"/>
        <v/>
      </c>
      <c r="AO83" s="73" t="str">
        <f t="shared" si="136"/>
        <v/>
      </c>
      <c r="AP83" s="73" t="str">
        <f t="shared" si="136"/>
        <v/>
      </c>
      <c r="AQ83" s="73" t="str">
        <f t="shared" si="136"/>
        <v/>
      </c>
      <c r="AR83" s="73" t="str">
        <f t="shared" si="136"/>
        <v/>
      </c>
      <c r="AS83" s="73" t="str">
        <f t="shared" si="136"/>
        <v/>
      </c>
      <c r="AT83" s="73" t="str">
        <f t="shared" si="136"/>
        <v/>
      </c>
      <c r="AU83" s="73" t="str">
        <f t="shared" si="136"/>
        <v/>
      </c>
      <c r="AV83" s="73" t="str">
        <f t="shared" si="136"/>
        <v/>
      </c>
      <c r="AW83" s="73" t="str">
        <f t="shared" si="136"/>
        <v/>
      </c>
      <c r="AX83" s="73" t="str">
        <f t="shared" si="136"/>
        <v/>
      </c>
      <c r="AY83" s="73" t="str">
        <f t="shared" si="136"/>
        <v/>
      </c>
      <c r="AZ83" s="73" t="str">
        <f t="shared" si="136"/>
        <v/>
      </c>
      <c r="BA83" s="73" t="str">
        <f t="shared" si="136"/>
        <v/>
      </c>
      <c r="BB83" s="73" t="str">
        <f t="shared" si="136"/>
        <v/>
      </c>
      <c r="BC83" s="73" t="str">
        <f t="shared" si="136"/>
        <v/>
      </c>
      <c r="BD83" s="73" t="str">
        <f t="shared" si="136"/>
        <v/>
      </c>
      <c r="BE83" s="73" t="str">
        <f t="shared" si="136"/>
        <v/>
      </c>
      <c r="BF83" s="73" t="str">
        <f t="shared" si="136"/>
        <v/>
      </c>
      <c r="BG83" s="73" t="str">
        <f t="shared" si="136"/>
        <v/>
      </c>
      <c r="BH83" s="73" t="str">
        <f t="shared" si="136"/>
        <v/>
      </c>
      <c r="BI83" s="73" t="str">
        <f t="shared" si="136"/>
        <v/>
      </c>
      <c r="BJ83" s="73" t="str">
        <f t="shared" si="136"/>
        <v/>
      </c>
      <c r="BK83" s="73" t="str">
        <f t="shared" si="136"/>
        <v/>
      </c>
      <c r="BL83" s="73" t="str">
        <f t="shared" si="136"/>
        <v/>
      </c>
      <c r="BM83" s="73" t="str">
        <f t="shared" si="136"/>
        <v/>
      </c>
      <c r="BN83" s="73" t="str">
        <f t="shared" si="136"/>
        <v/>
      </c>
      <c r="BO83" s="73" t="str">
        <f t="shared" si="136"/>
        <v/>
      </c>
      <c r="BP83" s="73" t="str">
        <f t="shared" si="136"/>
        <v/>
      </c>
      <c r="BQ83" s="73" t="str">
        <f t="shared" si="136"/>
        <v/>
      </c>
      <c r="BR83" s="73" t="str">
        <f t="shared" ref="BR83:CW83" si="137">IF(BR28="","",(MAX(BR28-$C$1,0)/365))</f>
        <v/>
      </c>
      <c r="BS83" s="73" t="str">
        <f t="shared" si="137"/>
        <v/>
      </c>
      <c r="BT83" s="73" t="str">
        <f t="shared" si="137"/>
        <v/>
      </c>
      <c r="BU83" s="73" t="str">
        <f t="shared" si="137"/>
        <v/>
      </c>
      <c r="BV83" s="73" t="str">
        <f t="shared" si="137"/>
        <v/>
      </c>
      <c r="BW83" s="73" t="str">
        <f t="shared" si="137"/>
        <v/>
      </c>
      <c r="BX83" s="73" t="str">
        <f t="shared" si="137"/>
        <v/>
      </c>
      <c r="BY83" s="73" t="str">
        <f t="shared" si="137"/>
        <v/>
      </c>
      <c r="BZ83" s="73" t="str">
        <f t="shared" si="137"/>
        <v/>
      </c>
      <c r="CA83" s="73" t="str">
        <f t="shared" si="137"/>
        <v/>
      </c>
      <c r="CB83" s="73" t="str">
        <f t="shared" si="137"/>
        <v/>
      </c>
      <c r="CC83" s="73" t="str">
        <f t="shared" si="137"/>
        <v/>
      </c>
      <c r="CD83" s="73" t="str">
        <f t="shared" si="137"/>
        <v/>
      </c>
      <c r="CE83" s="73" t="str">
        <f t="shared" si="137"/>
        <v/>
      </c>
      <c r="CF83" s="73" t="str">
        <f t="shared" si="137"/>
        <v/>
      </c>
      <c r="CG83" s="73" t="str">
        <f t="shared" si="137"/>
        <v/>
      </c>
      <c r="CH83" s="73" t="str">
        <f t="shared" si="137"/>
        <v/>
      </c>
      <c r="CI83" s="73" t="str">
        <f t="shared" si="137"/>
        <v/>
      </c>
      <c r="CJ83" s="73" t="str">
        <f t="shared" si="137"/>
        <v/>
      </c>
      <c r="CK83" s="73" t="str">
        <f t="shared" si="137"/>
        <v/>
      </c>
      <c r="CL83" s="73" t="str">
        <f t="shared" si="137"/>
        <v/>
      </c>
      <c r="CM83" s="73" t="str">
        <f t="shared" si="137"/>
        <v/>
      </c>
      <c r="CN83" s="73" t="str">
        <f t="shared" si="137"/>
        <v/>
      </c>
      <c r="CO83" s="73" t="str">
        <f t="shared" si="137"/>
        <v/>
      </c>
      <c r="CP83" s="73" t="str">
        <f t="shared" si="137"/>
        <v/>
      </c>
      <c r="CQ83" s="73" t="str">
        <f t="shared" si="137"/>
        <v/>
      </c>
      <c r="CR83" s="73" t="str">
        <f t="shared" si="137"/>
        <v/>
      </c>
      <c r="CS83" s="73" t="str">
        <f t="shared" si="137"/>
        <v/>
      </c>
      <c r="CT83" s="73" t="str">
        <f t="shared" si="137"/>
        <v/>
      </c>
      <c r="CU83" s="73" t="str">
        <f t="shared" si="137"/>
        <v/>
      </c>
      <c r="CV83" s="73" t="str">
        <f t="shared" si="137"/>
        <v/>
      </c>
      <c r="CW83" s="73" t="str">
        <f t="shared" si="137"/>
        <v/>
      </c>
      <c r="CX83" s="73" t="str">
        <f t="shared" ref="CX83:EC83" si="138">IF(CX28="","",(MAX(CX28-$C$1,0)/365))</f>
        <v/>
      </c>
      <c r="CY83" s="73" t="str">
        <f t="shared" si="138"/>
        <v/>
      </c>
      <c r="CZ83" s="73" t="str">
        <f t="shared" si="138"/>
        <v/>
      </c>
      <c r="DA83" s="73" t="str">
        <f t="shared" si="138"/>
        <v/>
      </c>
      <c r="DB83" s="73" t="str">
        <f t="shared" si="138"/>
        <v/>
      </c>
      <c r="DC83" s="73" t="str">
        <f t="shared" si="138"/>
        <v/>
      </c>
      <c r="DD83" s="73" t="str">
        <f t="shared" si="138"/>
        <v/>
      </c>
      <c r="DE83" s="73" t="str">
        <f t="shared" si="138"/>
        <v/>
      </c>
      <c r="DF83" s="73" t="str">
        <f t="shared" si="138"/>
        <v/>
      </c>
      <c r="DG83" s="73" t="str">
        <f t="shared" si="138"/>
        <v/>
      </c>
      <c r="DH83" s="73" t="str">
        <f t="shared" si="138"/>
        <v/>
      </c>
      <c r="DI83" s="73" t="str">
        <f t="shared" si="138"/>
        <v/>
      </c>
      <c r="DJ83" s="73" t="str">
        <f t="shared" si="138"/>
        <v/>
      </c>
      <c r="DK83" s="73" t="str">
        <f t="shared" si="138"/>
        <v/>
      </c>
      <c r="DL83" s="73" t="str">
        <f t="shared" si="138"/>
        <v/>
      </c>
      <c r="DM83" s="73" t="str">
        <f t="shared" si="138"/>
        <v/>
      </c>
      <c r="DN83" s="73" t="str">
        <f t="shared" si="138"/>
        <v/>
      </c>
      <c r="DO83" s="73" t="str">
        <f t="shared" si="138"/>
        <v/>
      </c>
      <c r="DP83" s="73" t="str">
        <f t="shared" si="138"/>
        <v/>
      </c>
      <c r="DQ83" s="73" t="str">
        <f t="shared" si="138"/>
        <v/>
      </c>
      <c r="DR83" s="73" t="str">
        <f t="shared" si="138"/>
        <v/>
      </c>
      <c r="DS83" s="73" t="str">
        <f t="shared" si="138"/>
        <v/>
      </c>
      <c r="DT83" s="73" t="str">
        <f t="shared" si="138"/>
        <v/>
      </c>
      <c r="DU83" s="73" t="str">
        <f t="shared" si="138"/>
        <v/>
      </c>
      <c r="DV83" s="73" t="str">
        <f t="shared" si="138"/>
        <v/>
      </c>
      <c r="DW83" s="73" t="str">
        <f t="shared" si="138"/>
        <v/>
      </c>
      <c r="DX83" s="73" t="str">
        <f t="shared" si="138"/>
        <v/>
      </c>
      <c r="DY83" s="73" t="str">
        <f t="shared" si="138"/>
        <v/>
      </c>
      <c r="DZ83" s="73" t="str">
        <f t="shared" si="138"/>
        <v/>
      </c>
      <c r="EA83" s="73" t="str">
        <f t="shared" si="138"/>
        <v/>
      </c>
      <c r="EB83" s="73" t="str">
        <f t="shared" si="138"/>
        <v/>
      </c>
      <c r="EC83" s="73" t="str">
        <f t="shared" si="138"/>
        <v/>
      </c>
      <c r="ED83" s="73" t="str">
        <f t="shared" ref="ED83:FI83" si="139">IF(ED28="","",(MAX(ED28-$C$1,0)/365))</f>
        <v/>
      </c>
      <c r="EE83" s="73" t="str">
        <f t="shared" si="139"/>
        <v/>
      </c>
      <c r="EF83" s="73" t="str">
        <f t="shared" si="139"/>
        <v/>
      </c>
      <c r="EG83" s="73" t="str">
        <f t="shared" si="139"/>
        <v/>
      </c>
      <c r="EH83" s="73" t="str">
        <f t="shared" si="139"/>
        <v/>
      </c>
      <c r="EI83" s="73" t="str">
        <f t="shared" si="139"/>
        <v/>
      </c>
      <c r="EJ83" s="73" t="str">
        <f t="shared" si="139"/>
        <v/>
      </c>
      <c r="EK83" s="73" t="str">
        <f t="shared" si="139"/>
        <v/>
      </c>
      <c r="EL83" s="73" t="str">
        <f t="shared" si="139"/>
        <v/>
      </c>
      <c r="EM83" s="73" t="str">
        <f t="shared" si="139"/>
        <v/>
      </c>
      <c r="EN83" s="73" t="str">
        <f t="shared" si="139"/>
        <v/>
      </c>
      <c r="EO83" s="73" t="str">
        <f t="shared" si="139"/>
        <v/>
      </c>
      <c r="EP83" s="73" t="str">
        <f t="shared" si="139"/>
        <v/>
      </c>
      <c r="EQ83" s="73" t="str">
        <f t="shared" si="139"/>
        <v/>
      </c>
      <c r="ER83" s="73" t="str">
        <f t="shared" si="139"/>
        <v/>
      </c>
      <c r="ES83" s="73" t="str">
        <f t="shared" si="139"/>
        <v/>
      </c>
      <c r="ET83" s="73" t="str">
        <f t="shared" si="139"/>
        <v/>
      </c>
      <c r="EU83" s="73" t="str">
        <f t="shared" si="139"/>
        <v/>
      </c>
      <c r="EV83" s="73" t="str">
        <f t="shared" si="139"/>
        <v/>
      </c>
      <c r="EW83" s="73" t="str">
        <f t="shared" si="139"/>
        <v/>
      </c>
      <c r="EX83" s="73" t="str">
        <f t="shared" si="139"/>
        <v/>
      </c>
      <c r="EY83" s="73" t="str">
        <f t="shared" si="139"/>
        <v/>
      </c>
      <c r="EZ83" s="73" t="str">
        <f t="shared" si="139"/>
        <v/>
      </c>
      <c r="FA83" s="73" t="str">
        <f t="shared" si="139"/>
        <v/>
      </c>
      <c r="FB83" s="73" t="str">
        <f t="shared" si="139"/>
        <v/>
      </c>
      <c r="FC83" s="73" t="str">
        <f t="shared" si="139"/>
        <v/>
      </c>
      <c r="FD83" s="73" t="str">
        <f t="shared" si="139"/>
        <v/>
      </c>
      <c r="FE83" s="73" t="str">
        <f t="shared" si="139"/>
        <v/>
      </c>
      <c r="FF83" s="73" t="str">
        <f t="shared" si="139"/>
        <v/>
      </c>
      <c r="FG83" s="73" t="str">
        <f t="shared" si="139"/>
        <v/>
      </c>
      <c r="FH83" s="73" t="str">
        <f t="shared" si="139"/>
        <v/>
      </c>
      <c r="FI83" s="73" t="str">
        <f t="shared" si="139"/>
        <v/>
      </c>
      <c r="FJ83" s="73" t="str">
        <f t="shared" ref="FJ83:GQ83" si="140">IF(FJ28="","",(MAX(FJ28-$C$1,0)/365))</f>
        <v/>
      </c>
      <c r="FK83" s="73" t="str">
        <f t="shared" si="140"/>
        <v/>
      </c>
      <c r="FL83" s="73" t="str">
        <f t="shared" si="140"/>
        <v/>
      </c>
      <c r="FM83" s="73" t="str">
        <f t="shared" si="140"/>
        <v/>
      </c>
      <c r="FN83" s="73" t="str">
        <f t="shared" si="140"/>
        <v/>
      </c>
      <c r="FO83" s="73" t="str">
        <f t="shared" si="140"/>
        <v/>
      </c>
      <c r="FP83" s="73" t="str">
        <f t="shared" si="140"/>
        <v/>
      </c>
      <c r="FQ83" s="73" t="str">
        <f t="shared" si="140"/>
        <v/>
      </c>
      <c r="FR83" s="73" t="str">
        <f t="shared" si="140"/>
        <v/>
      </c>
      <c r="FS83" s="73" t="str">
        <f t="shared" si="140"/>
        <v/>
      </c>
      <c r="FT83" s="73" t="str">
        <f t="shared" si="140"/>
        <v/>
      </c>
      <c r="FU83" s="73" t="str">
        <f t="shared" si="140"/>
        <v/>
      </c>
      <c r="FV83" s="73" t="str">
        <f t="shared" si="140"/>
        <v/>
      </c>
      <c r="FW83" s="73" t="str">
        <f t="shared" si="140"/>
        <v/>
      </c>
      <c r="FX83" s="73" t="str">
        <f t="shared" si="140"/>
        <v/>
      </c>
      <c r="FY83" s="73" t="str">
        <f t="shared" si="140"/>
        <v/>
      </c>
      <c r="FZ83" s="73" t="str">
        <f t="shared" si="140"/>
        <v/>
      </c>
      <c r="GA83" s="73" t="str">
        <f t="shared" si="140"/>
        <v/>
      </c>
      <c r="GB83" s="73" t="str">
        <f t="shared" si="140"/>
        <v/>
      </c>
      <c r="GC83" s="73" t="str">
        <f t="shared" si="140"/>
        <v/>
      </c>
      <c r="GD83" s="73" t="str">
        <f t="shared" si="140"/>
        <v/>
      </c>
      <c r="GE83" s="73" t="str">
        <f t="shared" si="140"/>
        <v/>
      </c>
      <c r="GF83" s="73" t="str">
        <f t="shared" si="140"/>
        <v/>
      </c>
      <c r="GG83" s="73" t="str">
        <f t="shared" si="140"/>
        <v/>
      </c>
      <c r="GH83" s="73" t="str">
        <f t="shared" si="140"/>
        <v/>
      </c>
      <c r="GI83" s="73" t="str">
        <f t="shared" si="140"/>
        <v/>
      </c>
      <c r="GJ83" s="73" t="str">
        <f t="shared" si="140"/>
        <v/>
      </c>
      <c r="GK83" s="73" t="str">
        <f t="shared" si="140"/>
        <v/>
      </c>
      <c r="GL83" s="73" t="str">
        <f t="shared" si="140"/>
        <v/>
      </c>
      <c r="GM83" s="73" t="str">
        <f t="shared" si="140"/>
        <v/>
      </c>
      <c r="GN83" s="73" t="str">
        <f t="shared" si="140"/>
        <v/>
      </c>
      <c r="GO83" s="73" t="str">
        <f t="shared" si="140"/>
        <v/>
      </c>
      <c r="GP83" s="73" t="str">
        <f t="shared" si="140"/>
        <v/>
      </c>
      <c r="GQ83" s="73" t="str">
        <f t="shared" si="140"/>
        <v/>
      </c>
    </row>
    <row r="84" spans="1:199" x14ac:dyDescent="0.2">
      <c r="B84" t="s">
        <v>36</v>
      </c>
      <c r="C84" t="str">
        <f t="shared" si="25"/>
        <v>Euro 2023</v>
      </c>
      <c r="E84" s="73"/>
      <c r="F84" s="73">
        <f t="shared" ref="F84:AK84" si="141">IF(F29="","",(MAX(F29-$C$1,0)/365))</f>
        <v>0.33424657534246577</v>
      </c>
      <c r="G84" s="73">
        <f t="shared" si="141"/>
        <v>1.3342465753424657</v>
      </c>
      <c r="H84" s="73">
        <f t="shared" si="141"/>
        <v>2.3342465753424659</v>
      </c>
      <c r="I84" s="73" t="str">
        <f t="shared" si="141"/>
        <v/>
      </c>
      <c r="J84" s="73" t="str">
        <f t="shared" si="141"/>
        <v/>
      </c>
      <c r="K84" s="73" t="str">
        <f t="shared" si="141"/>
        <v/>
      </c>
      <c r="L84" s="73" t="str">
        <f t="shared" si="141"/>
        <v/>
      </c>
      <c r="M84" s="73" t="str">
        <f t="shared" si="141"/>
        <v/>
      </c>
      <c r="N84" s="73" t="str">
        <f t="shared" si="141"/>
        <v/>
      </c>
      <c r="O84" s="73" t="str">
        <f t="shared" si="141"/>
        <v/>
      </c>
      <c r="P84" s="73" t="str">
        <f t="shared" si="141"/>
        <v/>
      </c>
      <c r="Q84" s="73" t="str">
        <f t="shared" si="141"/>
        <v/>
      </c>
      <c r="R84" s="73" t="str">
        <f t="shared" si="141"/>
        <v/>
      </c>
      <c r="S84" s="73" t="str">
        <f t="shared" si="141"/>
        <v/>
      </c>
      <c r="T84" s="73" t="str">
        <f t="shared" si="141"/>
        <v/>
      </c>
      <c r="U84" s="73" t="str">
        <f t="shared" si="141"/>
        <v/>
      </c>
      <c r="V84" s="73" t="str">
        <f t="shared" si="141"/>
        <v/>
      </c>
      <c r="W84" s="73" t="str">
        <f t="shared" si="141"/>
        <v/>
      </c>
      <c r="X84" s="73" t="str">
        <f t="shared" si="141"/>
        <v/>
      </c>
      <c r="Y84" s="73" t="str">
        <f t="shared" si="141"/>
        <v/>
      </c>
      <c r="Z84" s="73" t="str">
        <f t="shared" si="141"/>
        <v/>
      </c>
      <c r="AA84" s="73" t="str">
        <f t="shared" si="141"/>
        <v/>
      </c>
      <c r="AB84" s="73" t="str">
        <f t="shared" si="141"/>
        <v/>
      </c>
      <c r="AC84" s="73" t="str">
        <f t="shared" si="141"/>
        <v/>
      </c>
      <c r="AD84" s="73" t="str">
        <f t="shared" si="141"/>
        <v/>
      </c>
      <c r="AE84" s="73" t="str">
        <f t="shared" si="141"/>
        <v/>
      </c>
      <c r="AF84" s="73" t="str">
        <f t="shared" si="141"/>
        <v/>
      </c>
      <c r="AG84" s="73" t="str">
        <f t="shared" si="141"/>
        <v/>
      </c>
      <c r="AH84" s="73" t="str">
        <f t="shared" si="141"/>
        <v/>
      </c>
      <c r="AI84" s="73" t="str">
        <f t="shared" si="141"/>
        <v/>
      </c>
      <c r="AJ84" s="73" t="str">
        <f t="shared" si="141"/>
        <v/>
      </c>
      <c r="AK84" s="73" t="str">
        <f t="shared" si="141"/>
        <v/>
      </c>
      <c r="AL84" s="73" t="str">
        <f t="shared" ref="AL84:BQ84" si="142">IF(AL29="","",(MAX(AL29-$C$1,0)/365))</f>
        <v/>
      </c>
      <c r="AM84" s="73" t="str">
        <f t="shared" si="142"/>
        <v/>
      </c>
      <c r="AN84" s="73" t="str">
        <f t="shared" si="142"/>
        <v/>
      </c>
      <c r="AO84" s="73" t="str">
        <f t="shared" si="142"/>
        <v/>
      </c>
      <c r="AP84" s="73" t="str">
        <f t="shared" si="142"/>
        <v/>
      </c>
      <c r="AQ84" s="73" t="str">
        <f t="shared" si="142"/>
        <v/>
      </c>
      <c r="AR84" s="73" t="str">
        <f t="shared" si="142"/>
        <v/>
      </c>
      <c r="AS84" s="73" t="str">
        <f t="shared" si="142"/>
        <v/>
      </c>
      <c r="AT84" s="73" t="str">
        <f t="shared" si="142"/>
        <v/>
      </c>
      <c r="AU84" s="73" t="str">
        <f t="shared" si="142"/>
        <v/>
      </c>
      <c r="AV84" s="73" t="str">
        <f t="shared" si="142"/>
        <v/>
      </c>
      <c r="AW84" s="73" t="str">
        <f t="shared" si="142"/>
        <v/>
      </c>
      <c r="AX84" s="73" t="str">
        <f t="shared" si="142"/>
        <v/>
      </c>
      <c r="AY84" s="73" t="str">
        <f t="shared" si="142"/>
        <v/>
      </c>
      <c r="AZ84" s="73" t="str">
        <f t="shared" si="142"/>
        <v/>
      </c>
      <c r="BA84" s="73" t="str">
        <f t="shared" si="142"/>
        <v/>
      </c>
      <c r="BB84" s="73" t="str">
        <f t="shared" si="142"/>
        <v/>
      </c>
      <c r="BC84" s="73" t="str">
        <f t="shared" si="142"/>
        <v/>
      </c>
      <c r="BD84" s="73" t="str">
        <f t="shared" si="142"/>
        <v/>
      </c>
      <c r="BE84" s="73" t="str">
        <f t="shared" si="142"/>
        <v/>
      </c>
      <c r="BF84" s="73" t="str">
        <f t="shared" si="142"/>
        <v/>
      </c>
      <c r="BG84" s="73" t="str">
        <f t="shared" si="142"/>
        <v/>
      </c>
      <c r="BH84" s="73" t="str">
        <f t="shared" si="142"/>
        <v/>
      </c>
      <c r="BI84" s="73" t="str">
        <f t="shared" si="142"/>
        <v/>
      </c>
      <c r="BJ84" s="73" t="str">
        <f t="shared" si="142"/>
        <v/>
      </c>
      <c r="BK84" s="73" t="str">
        <f t="shared" si="142"/>
        <v/>
      </c>
      <c r="BL84" s="73" t="str">
        <f t="shared" si="142"/>
        <v/>
      </c>
      <c r="BM84" s="73" t="str">
        <f t="shared" si="142"/>
        <v/>
      </c>
      <c r="BN84" s="73" t="str">
        <f t="shared" si="142"/>
        <v/>
      </c>
      <c r="BO84" s="73" t="str">
        <f t="shared" si="142"/>
        <v/>
      </c>
      <c r="BP84" s="73" t="str">
        <f t="shared" si="142"/>
        <v/>
      </c>
      <c r="BQ84" s="73" t="str">
        <f t="shared" si="142"/>
        <v/>
      </c>
      <c r="BR84" s="73" t="str">
        <f t="shared" ref="BR84:CW84" si="143">IF(BR29="","",(MAX(BR29-$C$1,0)/365))</f>
        <v/>
      </c>
      <c r="BS84" s="73" t="str">
        <f t="shared" si="143"/>
        <v/>
      </c>
      <c r="BT84" s="73" t="str">
        <f t="shared" si="143"/>
        <v/>
      </c>
      <c r="BU84" s="73" t="str">
        <f t="shared" si="143"/>
        <v/>
      </c>
      <c r="BV84" s="73" t="str">
        <f t="shared" si="143"/>
        <v/>
      </c>
      <c r="BW84" s="73" t="str">
        <f t="shared" si="143"/>
        <v/>
      </c>
      <c r="BX84" s="73" t="str">
        <f t="shared" si="143"/>
        <v/>
      </c>
      <c r="BY84" s="73" t="str">
        <f t="shared" si="143"/>
        <v/>
      </c>
      <c r="BZ84" s="73" t="str">
        <f t="shared" si="143"/>
        <v/>
      </c>
      <c r="CA84" s="73" t="str">
        <f t="shared" si="143"/>
        <v/>
      </c>
      <c r="CB84" s="73" t="str">
        <f t="shared" si="143"/>
        <v/>
      </c>
      <c r="CC84" s="73" t="str">
        <f t="shared" si="143"/>
        <v/>
      </c>
      <c r="CD84" s="73" t="str">
        <f t="shared" si="143"/>
        <v/>
      </c>
      <c r="CE84" s="73" t="str">
        <f t="shared" si="143"/>
        <v/>
      </c>
      <c r="CF84" s="73" t="str">
        <f t="shared" si="143"/>
        <v/>
      </c>
      <c r="CG84" s="73" t="str">
        <f t="shared" si="143"/>
        <v/>
      </c>
      <c r="CH84" s="73" t="str">
        <f t="shared" si="143"/>
        <v/>
      </c>
      <c r="CI84" s="73" t="str">
        <f t="shared" si="143"/>
        <v/>
      </c>
      <c r="CJ84" s="73" t="str">
        <f t="shared" si="143"/>
        <v/>
      </c>
      <c r="CK84" s="73" t="str">
        <f t="shared" si="143"/>
        <v/>
      </c>
      <c r="CL84" s="73" t="str">
        <f t="shared" si="143"/>
        <v/>
      </c>
      <c r="CM84" s="73" t="str">
        <f t="shared" si="143"/>
        <v/>
      </c>
      <c r="CN84" s="73" t="str">
        <f t="shared" si="143"/>
        <v/>
      </c>
      <c r="CO84" s="73" t="str">
        <f t="shared" si="143"/>
        <v/>
      </c>
      <c r="CP84" s="73" t="str">
        <f t="shared" si="143"/>
        <v/>
      </c>
      <c r="CQ84" s="73" t="str">
        <f t="shared" si="143"/>
        <v/>
      </c>
      <c r="CR84" s="73" t="str">
        <f t="shared" si="143"/>
        <v/>
      </c>
      <c r="CS84" s="73" t="str">
        <f t="shared" si="143"/>
        <v/>
      </c>
      <c r="CT84" s="73" t="str">
        <f t="shared" si="143"/>
        <v/>
      </c>
      <c r="CU84" s="73" t="str">
        <f t="shared" si="143"/>
        <v/>
      </c>
      <c r="CV84" s="73" t="str">
        <f t="shared" si="143"/>
        <v/>
      </c>
      <c r="CW84" s="73" t="str">
        <f t="shared" si="143"/>
        <v/>
      </c>
      <c r="CX84" s="73" t="str">
        <f t="shared" ref="CX84:EC84" si="144">IF(CX29="","",(MAX(CX29-$C$1,0)/365))</f>
        <v/>
      </c>
      <c r="CY84" s="73" t="str">
        <f t="shared" si="144"/>
        <v/>
      </c>
      <c r="CZ84" s="73" t="str">
        <f t="shared" si="144"/>
        <v/>
      </c>
      <c r="DA84" s="73" t="str">
        <f t="shared" si="144"/>
        <v/>
      </c>
      <c r="DB84" s="73" t="str">
        <f t="shared" si="144"/>
        <v/>
      </c>
      <c r="DC84" s="73" t="str">
        <f t="shared" si="144"/>
        <v/>
      </c>
      <c r="DD84" s="73" t="str">
        <f t="shared" si="144"/>
        <v/>
      </c>
      <c r="DE84" s="73" t="str">
        <f t="shared" si="144"/>
        <v/>
      </c>
      <c r="DF84" s="73" t="str">
        <f t="shared" si="144"/>
        <v/>
      </c>
      <c r="DG84" s="73" t="str">
        <f t="shared" si="144"/>
        <v/>
      </c>
      <c r="DH84" s="73" t="str">
        <f t="shared" si="144"/>
        <v/>
      </c>
      <c r="DI84" s="73" t="str">
        <f t="shared" si="144"/>
        <v/>
      </c>
      <c r="DJ84" s="73" t="str">
        <f t="shared" si="144"/>
        <v/>
      </c>
      <c r="DK84" s="73" t="str">
        <f t="shared" si="144"/>
        <v/>
      </c>
      <c r="DL84" s="73" t="str">
        <f t="shared" si="144"/>
        <v/>
      </c>
      <c r="DM84" s="73" t="str">
        <f t="shared" si="144"/>
        <v/>
      </c>
      <c r="DN84" s="73" t="str">
        <f t="shared" si="144"/>
        <v/>
      </c>
      <c r="DO84" s="73" t="str">
        <f t="shared" si="144"/>
        <v/>
      </c>
      <c r="DP84" s="73" t="str">
        <f t="shared" si="144"/>
        <v/>
      </c>
      <c r="DQ84" s="73" t="str">
        <f t="shared" si="144"/>
        <v/>
      </c>
      <c r="DR84" s="73" t="str">
        <f t="shared" si="144"/>
        <v/>
      </c>
      <c r="DS84" s="73" t="str">
        <f t="shared" si="144"/>
        <v/>
      </c>
      <c r="DT84" s="73" t="str">
        <f t="shared" si="144"/>
        <v/>
      </c>
      <c r="DU84" s="73" t="str">
        <f t="shared" si="144"/>
        <v/>
      </c>
      <c r="DV84" s="73" t="str">
        <f t="shared" si="144"/>
        <v/>
      </c>
      <c r="DW84" s="73" t="str">
        <f t="shared" si="144"/>
        <v/>
      </c>
      <c r="DX84" s="73" t="str">
        <f t="shared" si="144"/>
        <v/>
      </c>
      <c r="DY84" s="73" t="str">
        <f t="shared" si="144"/>
        <v/>
      </c>
      <c r="DZ84" s="73" t="str">
        <f t="shared" si="144"/>
        <v/>
      </c>
      <c r="EA84" s="73" t="str">
        <f t="shared" si="144"/>
        <v/>
      </c>
      <c r="EB84" s="73" t="str">
        <f t="shared" si="144"/>
        <v/>
      </c>
      <c r="EC84" s="73" t="str">
        <f t="shared" si="144"/>
        <v/>
      </c>
      <c r="ED84" s="73" t="str">
        <f t="shared" ref="ED84:FI84" si="145">IF(ED29="","",(MAX(ED29-$C$1,0)/365))</f>
        <v/>
      </c>
      <c r="EE84" s="73" t="str">
        <f t="shared" si="145"/>
        <v/>
      </c>
      <c r="EF84" s="73" t="str">
        <f t="shared" si="145"/>
        <v/>
      </c>
      <c r="EG84" s="73" t="str">
        <f t="shared" si="145"/>
        <v/>
      </c>
      <c r="EH84" s="73" t="str">
        <f t="shared" si="145"/>
        <v/>
      </c>
      <c r="EI84" s="73" t="str">
        <f t="shared" si="145"/>
        <v/>
      </c>
      <c r="EJ84" s="73" t="str">
        <f t="shared" si="145"/>
        <v/>
      </c>
      <c r="EK84" s="73" t="str">
        <f t="shared" si="145"/>
        <v/>
      </c>
      <c r="EL84" s="73" t="str">
        <f t="shared" si="145"/>
        <v/>
      </c>
      <c r="EM84" s="73" t="str">
        <f t="shared" si="145"/>
        <v/>
      </c>
      <c r="EN84" s="73" t="str">
        <f t="shared" si="145"/>
        <v/>
      </c>
      <c r="EO84" s="73" t="str">
        <f t="shared" si="145"/>
        <v/>
      </c>
      <c r="EP84" s="73" t="str">
        <f t="shared" si="145"/>
        <v/>
      </c>
      <c r="EQ84" s="73" t="str">
        <f t="shared" si="145"/>
        <v/>
      </c>
      <c r="ER84" s="73" t="str">
        <f t="shared" si="145"/>
        <v/>
      </c>
      <c r="ES84" s="73" t="str">
        <f t="shared" si="145"/>
        <v/>
      </c>
      <c r="ET84" s="73" t="str">
        <f t="shared" si="145"/>
        <v/>
      </c>
      <c r="EU84" s="73" t="str">
        <f t="shared" si="145"/>
        <v/>
      </c>
      <c r="EV84" s="73" t="str">
        <f t="shared" si="145"/>
        <v/>
      </c>
      <c r="EW84" s="73" t="str">
        <f t="shared" si="145"/>
        <v/>
      </c>
      <c r="EX84" s="73" t="str">
        <f t="shared" si="145"/>
        <v/>
      </c>
      <c r="EY84" s="73" t="str">
        <f t="shared" si="145"/>
        <v/>
      </c>
      <c r="EZ84" s="73" t="str">
        <f t="shared" si="145"/>
        <v/>
      </c>
      <c r="FA84" s="73" t="str">
        <f t="shared" si="145"/>
        <v/>
      </c>
      <c r="FB84" s="73" t="str">
        <f t="shared" si="145"/>
        <v/>
      </c>
      <c r="FC84" s="73" t="str">
        <f t="shared" si="145"/>
        <v/>
      </c>
      <c r="FD84" s="73" t="str">
        <f t="shared" si="145"/>
        <v/>
      </c>
      <c r="FE84" s="73" t="str">
        <f t="shared" si="145"/>
        <v/>
      </c>
      <c r="FF84" s="73" t="str">
        <f t="shared" si="145"/>
        <v/>
      </c>
      <c r="FG84" s="73" t="str">
        <f t="shared" si="145"/>
        <v/>
      </c>
      <c r="FH84" s="73" t="str">
        <f t="shared" si="145"/>
        <v/>
      </c>
      <c r="FI84" s="73" t="str">
        <f t="shared" si="145"/>
        <v/>
      </c>
      <c r="FJ84" s="73" t="str">
        <f t="shared" ref="FJ84:GQ84" si="146">IF(FJ29="","",(MAX(FJ29-$C$1,0)/365))</f>
        <v/>
      </c>
      <c r="FK84" s="73" t="str">
        <f t="shared" si="146"/>
        <v/>
      </c>
      <c r="FL84" s="73" t="str">
        <f t="shared" si="146"/>
        <v/>
      </c>
      <c r="FM84" s="73" t="str">
        <f t="shared" si="146"/>
        <v/>
      </c>
      <c r="FN84" s="73" t="str">
        <f t="shared" si="146"/>
        <v/>
      </c>
      <c r="FO84" s="73" t="str">
        <f t="shared" si="146"/>
        <v/>
      </c>
      <c r="FP84" s="73" t="str">
        <f t="shared" si="146"/>
        <v/>
      </c>
      <c r="FQ84" s="73" t="str">
        <f t="shared" si="146"/>
        <v/>
      </c>
      <c r="FR84" s="73" t="str">
        <f t="shared" si="146"/>
        <v/>
      </c>
      <c r="FS84" s="73" t="str">
        <f t="shared" si="146"/>
        <v/>
      </c>
      <c r="FT84" s="73" t="str">
        <f t="shared" si="146"/>
        <v/>
      </c>
      <c r="FU84" s="73" t="str">
        <f t="shared" si="146"/>
        <v/>
      </c>
      <c r="FV84" s="73" t="str">
        <f t="shared" si="146"/>
        <v/>
      </c>
      <c r="FW84" s="73" t="str">
        <f t="shared" si="146"/>
        <v/>
      </c>
      <c r="FX84" s="73" t="str">
        <f t="shared" si="146"/>
        <v/>
      </c>
      <c r="FY84" s="73" t="str">
        <f t="shared" si="146"/>
        <v/>
      </c>
      <c r="FZ84" s="73" t="str">
        <f t="shared" si="146"/>
        <v/>
      </c>
      <c r="GA84" s="73" t="str">
        <f t="shared" si="146"/>
        <v/>
      </c>
      <c r="GB84" s="73" t="str">
        <f t="shared" si="146"/>
        <v/>
      </c>
      <c r="GC84" s="73" t="str">
        <f t="shared" si="146"/>
        <v/>
      </c>
      <c r="GD84" s="73" t="str">
        <f t="shared" si="146"/>
        <v/>
      </c>
      <c r="GE84" s="73" t="str">
        <f t="shared" si="146"/>
        <v/>
      </c>
      <c r="GF84" s="73" t="str">
        <f t="shared" si="146"/>
        <v/>
      </c>
      <c r="GG84" s="73" t="str">
        <f t="shared" si="146"/>
        <v/>
      </c>
      <c r="GH84" s="73" t="str">
        <f t="shared" si="146"/>
        <v/>
      </c>
      <c r="GI84" s="73" t="str">
        <f t="shared" si="146"/>
        <v/>
      </c>
      <c r="GJ84" s="73" t="str">
        <f t="shared" si="146"/>
        <v/>
      </c>
      <c r="GK84" s="73" t="str">
        <f t="shared" si="146"/>
        <v/>
      </c>
      <c r="GL84" s="73" t="str">
        <f t="shared" si="146"/>
        <v/>
      </c>
      <c r="GM84" s="73" t="str">
        <f t="shared" si="146"/>
        <v/>
      </c>
      <c r="GN84" s="73" t="str">
        <f t="shared" si="146"/>
        <v/>
      </c>
      <c r="GO84" s="73" t="str">
        <f t="shared" si="146"/>
        <v/>
      </c>
      <c r="GP84" s="73" t="str">
        <f t="shared" si="146"/>
        <v/>
      </c>
      <c r="GQ84" s="73" t="str">
        <f t="shared" si="146"/>
        <v/>
      </c>
    </row>
    <row r="85" spans="1:199" x14ac:dyDescent="0.2">
      <c r="B85" t="s">
        <v>47</v>
      </c>
      <c r="C85" t="str">
        <f t="shared" si="25"/>
        <v>Euro 2027</v>
      </c>
      <c r="E85" s="73"/>
      <c r="F85" s="73">
        <f t="shared" ref="F85:AK85" si="147">IF(F30="","",(MAX(F30-$C$1,0)/365))</f>
        <v>0.33424657534246577</v>
      </c>
      <c r="G85" s="73">
        <f t="shared" si="147"/>
        <v>1.3342465753424657</v>
      </c>
      <c r="H85" s="73">
        <f t="shared" si="147"/>
        <v>2.3342465753424659</v>
      </c>
      <c r="I85" s="73">
        <f t="shared" si="147"/>
        <v>3.3342465753424659</v>
      </c>
      <c r="J85" s="73">
        <f t="shared" si="147"/>
        <v>4.3369863013698629</v>
      </c>
      <c r="K85" s="73">
        <f t="shared" si="147"/>
        <v>5.3369863013698629</v>
      </c>
      <c r="L85" s="73">
        <f t="shared" si="147"/>
        <v>6.3369863013698629</v>
      </c>
      <c r="M85" s="73" t="str">
        <f t="shared" si="147"/>
        <v/>
      </c>
      <c r="N85" s="73" t="str">
        <f t="shared" si="147"/>
        <v/>
      </c>
      <c r="O85" s="73" t="str">
        <f t="shared" si="147"/>
        <v/>
      </c>
      <c r="P85" s="73" t="str">
        <f t="shared" si="147"/>
        <v/>
      </c>
      <c r="Q85" s="73" t="str">
        <f t="shared" si="147"/>
        <v/>
      </c>
      <c r="R85" s="73" t="str">
        <f t="shared" si="147"/>
        <v/>
      </c>
      <c r="S85" s="73" t="str">
        <f t="shared" si="147"/>
        <v/>
      </c>
      <c r="T85" s="73" t="str">
        <f t="shared" si="147"/>
        <v/>
      </c>
      <c r="U85" s="73" t="str">
        <f t="shared" si="147"/>
        <v/>
      </c>
      <c r="V85" s="73" t="str">
        <f t="shared" si="147"/>
        <v/>
      </c>
      <c r="W85" s="73" t="str">
        <f t="shared" si="147"/>
        <v/>
      </c>
      <c r="X85" s="73" t="str">
        <f t="shared" si="147"/>
        <v/>
      </c>
      <c r="Y85" s="73" t="str">
        <f t="shared" si="147"/>
        <v/>
      </c>
      <c r="Z85" s="73" t="str">
        <f t="shared" si="147"/>
        <v/>
      </c>
      <c r="AA85" s="73" t="str">
        <f t="shared" si="147"/>
        <v/>
      </c>
      <c r="AB85" s="73" t="str">
        <f t="shared" si="147"/>
        <v/>
      </c>
      <c r="AC85" s="73" t="str">
        <f t="shared" si="147"/>
        <v/>
      </c>
      <c r="AD85" s="73" t="str">
        <f t="shared" si="147"/>
        <v/>
      </c>
      <c r="AE85" s="73" t="str">
        <f t="shared" si="147"/>
        <v/>
      </c>
      <c r="AF85" s="73" t="str">
        <f t="shared" si="147"/>
        <v/>
      </c>
      <c r="AG85" s="73" t="str">
        <f t="shared" si="147"/>
        <v/>
      </c>
      <c r="AH85" s="73" t="str">
        <f t="shared" si="147"/>
        <v/>
      </c>
      <c r="AI85" s="73" t="str">
        <f t="shared" si="147"/>
        <v/>
      </c>
      <c r="AJ85" s="73" t="str">
        <f t="shared" si="147"/>
        <v/>
      </c>
      <c r="AK85" s="73" t="str">
        <f t="shared" si="147"/>
        <v/>
      </c>
      <c r="AL85" s="73" t="str">
        <f t="shared" ref="AL85:BQ85" si="148">IF(AL30="","",(MAX(AL30-$C$1,0)/365))</f>
        <v/>
      </c>
      <c r="AM85" s="73" t="str">
        <f t="shared" si="148"/>
        <v/>
      </c>
      <c r="AN85" s="73" t="str">
        <f t="shared" si="148"/>
        <v/>
      </c>
      <c r="AO85" s="73" t="str">
        <f t="shared" si="148"/>
        <v/>
      </c>
      <c r="AP85" s="73" t="str">
        <f t="shared" si="148"/>
        <v/>
      </c>
      <c r="AQ85" s="73" t="str">
        <f t="shared" si="148"/>
        <v/>
      </c>
      <c r="AR85" s="73" t="str">
        <f t="shared" si="148"/>
        <v/>
      </c>
      <c r="AS85" s="73" t="str">
        <f t="shared" si="148"/>
        <v/>
      </c>
      <c r="AT85" s="73" t="str">
        <f t="shared" si="148"/>
        <v/>
      </c>
      <c r="AU85" s="73" t="str">
        <f t="shared" si="148"/>
        <v/>
      </c>
      <c r="AV85" s="73" t="str">
        <f t="shared" si="148"/>
        <v/>
      </c>
      <c r="AW85" s="73" t="str">
        <f t="shared" si="148"/>
        <v/>
      </c>
      <c r="AX85" s="73" t="str">
        <f t="shared" si="148"/>
        <v/>
      </c>
      <c r="AY85" s="73" t="str">
        <f t="shared" si="148"/>
        <v/>
      </c>
      <c r="AZ85" s="73" t="str">
        <f t="shared" si="148"/>
        <v/>
      </c>
      <c r="BA85" s="73" t="str">
        <f t="shared" si="148"/>
        <v/>
      </c>
      <c r="BB85" s="73" t="str">
        <f t="shared" si="148"/>
        <v/>
      </c>
      <c r="BC85" s="73" t="str">
        <f t="shared" si="148"/>
        <v/>
      </c>
      <c r="BD85" s="73" t="str">
        <f t="shared" si="148"/>
        <v/>
      </c>
      <c r="BE85" s="73" t="str">
        <f t="shared" si="148"/>
        <v/>
      </c>
      <c r="BF85" s="73" t="str">
        <f t="shared" si="148"/>
        <v/>
      </c>
      <c r="BG85" s="73" t="str">
        <f t="shared" si="148"/>
        <v/>
      </c>
      <c r="BH85" s="73" t="str">
        <f t="shared" si="148"/>
        <v/>
      </c>
      <c r="BI85" s="73" t="str">
        <f t="shared" si="148"/>
        <v/>
      </c>
      <c r="BJ85" s="73" t="str">
        <f t="shared" si="148"/>
        <v/>
      </c>
      <c r="BK85" s="73" t="str">
        <f t="shared" si="148"/>
        <v/>
      </c>
      <c r="BL85" s="73" t="str">
        <f t="shared" si="148"/>
        <v/>
      </c>
      <c r="BM85" s="73" t="str">
        <f t="shared" si="148"/>
        <v/>
      </c>
      <c r="BN85" s="73" t="str">
        <f t="shared" si="148"/>
        <v/>
      </c>
      <c r="BO85" s="73" t="str">
        <f t="shared" si="148"/>
        <v/>
      </c>
      <c r="BP85" s="73" t="str">
        <f t="shared" si="148"/>
        <v/>
      </c>
      <c r="BQ85" s="73" t="str">
        <f t="shared" si="148"/>
        <v/>
      </c>
      <c r="BR85" s="73" t="str">
        <f t="shared" ref="BR85:CW85" si="149">IF(BR30="","",(MAX(BR30-$C$1,0)/365))</f>
        <v/>
      </c>
      <c r="BS85" s="73" t="str">
        <f t="shared" si="149"/>
        <v/>
      </c>
      <c r="BT85" s="73" t="str">
        <f t="shared" si="149"/>
        <v/>
      </c>
      <c r="BU85" s="73" t="str">
        <f t="shared" si="149"/>
        <v/>
      </c>
      <c r="BV85" s="73" t="str">
        <f t="shared" si="149"/>
        <v/>
      </c>
      <c r="BW85" s="73" t="str">
        <f t="shared" si="149"/>
        <v/>
      </c>
      <c r="BX85" s="73" t="str">
        <f t="shared" si="149"/>
        <v/>
      </c>
      <c r="BY85" s="73" t="str">
        <f t="shared" si="149"/>
        <v/>
      </c>
      <c r="BZ85" s="73" t="str">
        <f t="shared" si="149"/>
        <v/>
      </c>
      <c r="CA85" s="73" t="str">
        <f t="shared" si="149"/>
        <v/>
      </c>
      <c r="CB85" s="73" t="str">
        <f t="shared" si="149"/>
        <v/>
      </c>
      <c r="CC85" s="73" t="str">
        <f t="shared" si="149"/>
        <v/>
      </c>
      <c r="CD85" s="73" t="str">
        <f t="shared" si="149"/>
        <v/>
      </c>
      <c r="CE85" s="73" t="str">
        <f t="shared" si="149"/>
        <v/>
      </c>
      <c r="CF85" s="73" t="str">
        <f t="shared" si="149"/>
        <v/>
      </c>
      <c r="CG85" s="73" t="str">
        <f t="shared" si="149"/>
        <v/>
      </c>
      <c r="CH85" s="73" t="str">
        <f t="shared" si="149"/>
        <v/>
      </c>
      <c r="CI85" s="73" t="str">
        <f t="shared" si="149"/>
        <v/>
      </c>
      <c r="CJ85" s="73" t="str">
        <f t="shared" si="149"/>
        <v/>
      </c>
      <c r="CK85" s="73" t="str">
        <f t="shared" si="149"/>
        <v/>
      </c>
      <c r="CL85" s="73" t="str">
        <f t="shared" si="149"/>
        <v/>
      </c>
      <c r="CM85" s="73" t="str">
        <f t="shared" si="149"/>
        <v/>
      </c>
      <c r="CN85" s="73" t="str">
        <f t="shared" si="149"/>
        <v/>
      </c>
      <c r="CO85" s="73" t="str">
        <f t="shared" si="149"/>
        <v/>
      </c>
      <c r="CP85" s="73" t="str">
        <f t="shared" si="149"/>
        <v/>
      </c>
      <c r="CQ85" s="73" t="str">
        <f t="shared" si="149"/>
        <v/>
      </c>
      <c r="CR85" s="73" t="str">
        <f t="shared" si="149"/>
        <v/>
      </c>
      <c r="CS85" s="73" t="str">
        <f t="shared" si="149"/>
        <v/>
      </c>
      <c r="CT85" s="73" t="str">
        <f t="shared" si="149"/>
        <v/>
      </c>
      <c r="CU85" s="73" t="str">
        <f t="shared" si="149"/>
        <v/>
      </c>
      <c r="CV85" s="73" t="str">
        <f t="shared" si="149"/>
        <v/>
      </c>
      <c r="CW85" s="73" t="str">
        <f t="shared" si="149"/>
        <v/>
      </c>
      <c r="CX85" s="73" t="str">
        <f t="shared" ref="CX85:EC85" si="150">IF(CX30="","",(MAX(CX30-$C$1,0)/365))</f>
        <v/>
      </c>
      <c r="CY85" s="73" t="str">
        <f t="shared" si="150"/>
        <v/>
      </c>
      <c r="CZ85" s="73" t="str">
        <f t="shared" si="150"/>
        <v/>
      </c>
      <c r="DA85" s="73" t="str">
        <f t="shared" si="150"/>
        <v/>
      </c>
      <c r="DB85" s="73" t="str">
        <f t="shared" si="150"/>
        <v/>
      </c>
      <c r="DC85" s="73" t="str">
        <f t="shared" si="150"/>
        <v/>
      </c>
      <c r="DD85" s="73" t="str">
        <f t="shared" si="150"/>
        <v/>
      </c>
      <c r="DE85" s="73" t="str">
        <f t="shared" si="150"/>
        <v/>
      </c>
      <c r="DF85" s="73" t="str">
        <f t="shared" si="150"/>
        <v/>
      </c>
      <c r="DG85" s="73" t="str">
        <f t="shared" si="150"/>
        <v/>
      </c>
      <c r="DH85" s="73" t="str">
        <f t="shared" si="150"/>
        <v/>
      </c>
      <c r="DI85" s="73" t="str">
        <f t="shared" si="150"/>
        <v/>
      </c>
      <c r="DJ85" s="73" t="str">
        <f t="shared" si="150"/>
        <v/>
      </c>
      <c r="DK85" s="73" t="str">
        <f t="shared" si="150"/>
        <v/>
      </c>
      <c r="DL85" s="73" t="str">
        <f t="shared" si="150"/>
        <v/>
      </c>
      <c r="DM85" s="73" t="str">
        <f t="shared" si="150"/>
        <v/>
      </c>
      <c r="DN85" s="73" t="str">
        <f t="shared" si="150"/>
        <v/>
      </c>
      <c r="DO85" s="73" t="str">
        <f t="shared" si="150"/>
        <v/>
      </c>
      <c r="DP85" s="73" t="str">
        <f t="shared" si="150"/>
        <v/>
      </c>
      <c r="DQ85" s="73" t="str">
        <f t="shared" si="150"/>
        <v/>
      </c>
      <c r="DR85" s="73" t="str">
        <f t="shared" si="150"/>
        <v/>
      </c>
      <c r="DS85" s="73" t="str">
        <f t="shared" si="150"/>
        <v/>
      </c>
      <c r="DT85" s="73" t="str">
        <f t="shared" si="150"/>
        <v/>
      </c>
      <c r="DU85" s="73" t="str">
        <f t="shared" si="150"/>
        <v/>
      </c>
      <c r="DV85" s="73" t="str">
        <f t="shared" si="150"/>
        <v/>
      </c>
      <c r="DW85" s="73" t="str">
        <f t="shared" si="150"/>
        <v/>
      </c>
      <c r="DX85" s="73" t="str">
        <f t="shared" si="150"/>
        <v/>
      </c>
      <c r="DY85" s="73" t="str">
        <f t="shared" si="150"/>
        <v/>
      </c>
      <c r="DZ85" s="73" t="str">
        <f t="shared" si="150"/>
        <v/>
      </c>
      <c r="EA85" s="73" t="str">
        <f t="shared" si="150"/>
        <v/>
      </c>
      <c r="EB85" s="73" t="str">
        <f t="shared" si="150"/>
        <v/>
      </c>
      <c r="EC85" s="73" t="str">
        <f t="shared" si="150"/>
        <v/>
      </c>
      <c r="ED85" s="73" t="str">
        <f t="shared" ref="ED85:FI85" si="151">IF(ED30="","",(MAX(ED30-$C$1,0)/365))</f>
        <v/>
      </c>
      <c r="EE85" s="73" t="str">
        <f t="shared" si="151"/>
        <v/>
      </c>
      <c r="EF85" s="73" t="str">
        <f t="shared" si="151"/>
        <v/>
      </c>
      <c r="EG85" s="73" t="str">
        <f t="shared" si="151"/>
        <v/>
      </c>
      <c r="EH85" s="73" t="str">
        <f t="shared" si="151"/>
        <v/>
      </c>
      <c r="EI85" s="73" t="str">
        <f t="shared" si="151"/>
        <v/>
      </c>
      <c r="EJ85" s="73" t="str">
        <f t="shared" si="151"/>
        <v/>
      </c>
      <c r="EK85" s="73" t="str">
        <f t="shared" si="151"/>
        <v/>
      </c>
      <c r="EL85" s="73" t="str">
        <f t="shared" si="151"/>
        <v/>
      </c>
      <c r="EM85" s="73" t="str">
        <f t="shared" si="151"/>
        <v/>
      </c>
      <c r="EN85" s="73" t="str">
        <f t="shared" si="151"/>
        <v/>
      </c>
      <c r="EO85" s="73" t="str">
        <f t="shared" si="151"/>
        <v/>
      </c>
      <c r="EP85" s="73" t="str">
        <f t="shared" si="151"/>
        <v/>
      </c>
      <c r="EQ85" s="73" t="str">
        <f t="shared" si="151"/>
        <v/>
      </c>
      <c r="ER85" s="73" t="str">
        <f t="shared" si="151"/>
        <v/>
      </c>
      <c r="ES85" s="73" t="str">
        <f t="shared" si="151"/>
        <v/>
      </c>
      <c r="ET85" s="73" t="str">
        <f t="shared" si="151"/>
        <v/>
      </c>
      <c r="EU85" s="73" t="str">
        <f t="shared" si="151"/>
        <v/>
      </c>
      <c r="EV85" s="73" t="str">
        <f t="shared" si="151"/>
        <v/>
      </c>
      <c r="EW85" s="73" t="str">
        <f t="shared" si="151"/>
        <v/>
      </c>
      <c r="EX85" s="73" t="str">
        <f t="shared" si="151"/>
        <v/>
      </c>
      <c r="EY85" s="73" t="str">
        <f t="shared" si="151"/>
        <v/>
      </c>
      <c r="EZ85" s="73" t="str">
        <f t="shared" si="151"/>
        <v/>
      </c>
      <c r="FA85" s="73" t="str">
        <f t="shared" si="151"/>
        <v/>
      </c>
      <c r="FB85" s="73" t="str">
        <f t="shared" si="151"/>
        <v/>
      </c>
      <c r="FC85" s="73" t="str">
        <f t="shared" si="151"/>
        <v/>
      </c>
      <c r="FD85" s="73" t="str">
        <f t="shared" si="151"/>
        <v/>
      </c>
      <c r="FE85" s="73" t="str">
        <f t="shared" si="151"/>
        <v/>
      </c>
      <c r="FF85" s="73" t="str">
        <f t="shared" si="151"/>
        <v/>
      </c>
      <c r="FG85" s="73" t="str">
        <f t="shared" si="151"/>
        <v/>
      </c>
      <c r="FH85" s="73" t="str">
        <f t="shared" si="151"/>
        <v/>
      </c>
      <c r="FI85" s="73" t="str">
        <f t="shared" si="151"/>
        <v/>
      </c>
      <c r="FJ85" s="73" t="str">
        <f t="shared" ref="FJ85:GQ85" si="152">IF(FJ30="","",(MAX(FJ30-$C$1,0)/365))</f>
        <v/>
      </c>
      <c r="FK85" s="73" t="str">
        <f t="shared" si="152"/>
        <v/>
      </c>
      <c r="FL85" s="73" t="str">
        <f t="shared" si="152"/>
        <v/>
      </c>
      <c r="FM85" s="73" t="str">
        <f t="shared" si="152"/>
        <v/>
      </c>
      <c r="FN85" s="73" t="str">
        <f t="shared" si="152"/>
        <v/>
      </c>
      <c r="FO85" s="73" t="str">
        <f t="shared" si="152"/>
        <v/>
      </c>
      <c r="FP85" s="73" t="str">
        <f t="shared" si="152"/>
        <v/>
      </c>
      <c r="FQ85" s="73" t="str">
        <f t="shared" si="152"/>
        <v/>
      </c>
      <c r="FR85" s="73" t="str">
        <f t="shared" si="152"/>
        <v/>
      </c>
      <c r="FS85" s="73" t="str">
        <f t="shared" si="152"/>
        <v/>
      </c>
      <c r="FT85" s="73" t="str">
        <f t="shared" si="152"/>
        <v/>
      </c>
      <c r="FU85" s="73" t="str">
        <f t="shared" si="152"/>
        <v/>
      </c>
      <c r="FV85" s="73" t="str">
        <f t="shared" si="152"/>
        <v/>
      </c>
      <c r="FW85" s="73" t="str">
        <f t="shared" si="152"/>
        <v/>
      </c>
      <c r="FX85" s="73" t="str">
        <f t="shared" si="152"/>
        <v/>
      </c>
      <c r="FY85" s="73" t="str">
        <f t="shared" si="152"/>
        <v/>
      </c>
      <c r="FZ85" s="73" t="str">
        <f t="shared" si="152"/>
        <v/>
      </c>
      <c r="GA85" s="73" t="str">
        <f t="shared" si="152"/>
        <v/>
      </c>
      <c r="GB85" s="73" t="str">
        <f t="shared" si="152"/>
        <v/>
      </c>
      <c r="GC85" s="73" t="str">
        <f t="shared" si="152"/>
        <v/>
      </c>
      <c r="GD85" s="73" t="str">
        <f t="shared" si="152"/>
        <v/>
      </c>
      <c r="GE85" s="73" t="str">
        <f t="shared" si="152"/>
        <v/>
      </c>
      <c r="GF85" s="73" t="str">
        <f t="shared" si="152"/>
        <v/>
      </c>
      <c r="GG85" s="73" t="str">
        <f t="shared" si="152"/>
        <v/>
      </c>
      <c r="GH85" s="73" t="str">
        <f t="shared" si="152"/>
        <v/>
      </c>
      <c r="GI85" s="73" t="str">
        <f t="shared" si="152"/>
        <v/>
      </c>
      <c r="GJ85" s="73" t="str">
        <f t="shared" si="152"/>
        <v/>
      </c>
      <c r="GK85" s="73" t="str">
        <f t="shared" si="152"/>
        <v/>
      </c>
      <c r="GL85" s="73" t="str">
        <f t="shared" si="152"/>
        <v/>
      </c>
      <c r="GM85" s="73" t="str">
        <f t="shared" si="152"/>
        <v/>
      </c>
      <c r="GN85" s="73" t="str">
        <f t="shared" si="152"/>
        <v/>
      </c>
      <c r="GO85" s="73" t="str">
        <f t="shared" si="152"/>
        <v/>
      </c>
      <c r="GP85" s="73" t="str">
        <f t="shared" si="152"/>
        <v/>
      </c>
      <c r="GQ85" s="73" t="str">
        <f t="shared" si="152"/>
        <v/>
      </c>
    </row>
    <row r="86" spans="1:199" x14ac:dyDescent="0.2">
      <c r="B86" t="s">
        <v>49</v>
      </c>
      <c r="C86" t="str">
        <f t="shared" si="25"/>
        <v>Euro 2028</v>
      </c>
      <c r="E86" s="73"/>
      <c r="F86" s="73">
        <f t="shared" ref="F86:AK86" si="153">IF(F31="","",(MAX(F31-$C$1,0)/365))</f>
        <v>0.33424657534246577</v>
      </c>
      <c r="G86" s="73">
        <f t="shared" si="153"/>
        <v>1.3342465753424657</v>
      </c>
      <c r="H86" s="73">
        <f t="shared" si="153"/>
        <v>2.3342465753424659</v>
      </c>
      <c r="I86" s="73">
        <f t="shared" si="153"/>
        <v>3.3342465753424659</v>
      </c>
      <c r="J86" s="73">
        <f t="shared" si="153"/>
        <v>4.3369863013698629</v>
      </c>
      <c r="K86" s="73">
        <f t="shared" si="153"/>
        <v>5.3369863013698629</v>
      </c>
      <c r="L86" s="73">
        <f t="shared" si="153"/>
        <v>6.3369863013698629</v>
      </c>
      <c r="M86" s="73">
        <f t="shared" si="153"/>
        <v>7.3369863013698629</v>
      </c>
      <c r="N86" s="73" t="str">
        <f t="shared" si="153"/>
        <v/>
      </c>
      <c r="O86" s="73" t="str">
        <f t="shared" si="153"/>
        <v/>
      </c>
      <c r="P86" s="73" t="str">
        <f t="shared" si="153"/>
        <v/>
      </c>
      <c r="Q86" s="73" t="str">
        <f t="shared" si="153"/>
        <v/>
      </c>
      <c r="R86" s="73" t="str">
        <f t="shared" si="153"/>
        <v/>
      </c>
      <c r="S86" s="73" t="str">
        <f t="shared" si="153"/>
        <v/>
      </c>
      <c r="T86" s="73" t="str">
        <f t="shared" si="153"/>
        <v/>
      </c>
      <c r="U86" s="73" t="str">
        <f t="shared" si="153"/>
        <v/>
      </c>
      <c r="V86" s="73" t="str">
        <f t="shared" si="153"/>
        <v/>
      </c>
      <c r="W86" s="73" t="str">
        <f t="shared" si="153"/>
        <v/>
      </c>
      <c r="X86" s="73" t="str">
        <f t="shared" si="153"/>
        <v/>
      </c>
      <c r="Y86" s="73" t="str">
        <f t="shared" si="153"/>
        <v/>
      </c>
      <c r="Z86" s="73" t="str">
        <f t="shared" si="153"/>
        <v/>
      </c>
      <c r="AA86" s="73" t="str">
        <f t="shared" si="153"/>
        <v/>
      </c>
      <c r="AB86" s="73" t="str">
        <f t="shared" si="153"/>
        <v/>
      </c>
      <c r="AC86" s="73" t="str">
        <f t="shared" si="153"/>
        <v/>
      </c>
      <c r="AD86" s="73" t="str">
        <f t="shared" si="153"/>
        <v/>
      </c>
      <c r="AE86" s="73" t="str">
        <f t="shared" si="153"/>
        <v/>
      </c>
      <c r="AF86" s="73" t="str">
        <f t="shared" si="153"/>
        <v/>
      </c>
      <c r="AG86" s="73" t="str">
        <f t="shared" si="153"/>
        <v/>
      </c>
      <c r="AH86" s="73" t="str">
        <f t="shared" si="153"/>
        <v/>
      </c>
      <c r="AI86" s="73" t="str">
        <f t="shared" si="153"/>
        <v/>
      </c>
      <c r="AJ86" s="73" t="str">
        <f t="shared" si="153"/>
        <v/>
      </c>
      <c r="AK86" s="73" t="str">
        <f t="shared" si="153"/>
        <v/>
      </c>
      <c r="AL86" s="73" t="str">
        <f t="shared" ref="AL86:BQ86" si="154">IF(AL31="","",(MAX(AL31-$C$1,0)/365))</f>
        <v/>
      </c>
      <c r="AM86" s="73" t="str">
        <f t="shared" si="154"/>
        <v/>
      </c>
      <c r="AN86" s="73" t="str">
        <f t="shared" si="154"/>
        <v/>
      </c>
      <c r="AO86" s="73" t="str">
        <f t="shared" si="154"/>
        <v/>
      </c>
      <c r="AP86" s="73" t="str">
        <f t="shared" si="154"/>
        <v/>
      </c>
      <c r="AQ86" s="73" t="str">
        <f t="shared" si="154"/>
        <v/>
      </c>
      <c r="AR86" s="73" t="str">
        <f t="shared" si="154"/>
        <v/>
      </c>
      <c r="AS86" s="73" t="str">
        <f t="shared" si="154"/>
        <v/>
      </c>
      <c r="AT86" s="73" t="str">
        <f t="shared" si="154"/>
        <v/>
      </c>
      <c r="AU86" s="73" t="str">
        <f t="shared" si="154"/>
        <v/>
      </c>
      <c r="AV86" s="73" t="str">
        <f t="shared" si="154"/>
        <v/>
      </c>
      <c r="AW86" s="73" t="str">
        <f t="shared" si="154"/>
        <v/>
      </c>
      <c r="AX86" s="73" t="str">
        <f t="shared" si="154"/>
        <v/>
      </c>
      <c r="AY86" s="73" t="str">
        <f t="shared" si="154"/>
        <v/>
      </c>
      <c r="AZ86" s="73" t="str">
        <f t="shared" si="154"/>
        <v/>
      </c>
      <c r="BA86" s="73" t="str">
        <f t="shared" si="154"/>
        <v/>
      </c>
      <c r="BB86" s="73" t="str">
        <f t="shared" si="154"/>
        <v/>
      </c>
      <c r="BC86" s="73" t="str">
        <f t="shared" si="154"/>
        <v/>
      </c>
      <c r="BD86" s="73" t="str">
        <f t="shared" si="154"/>
        <v/>
      </c>
      <c r="BE86" s="73" t="str">
        <f t="shared" si="154"/>
        <v/>
      </c>
      <c r="BF86" s="73" t="str">
        <f t="shared" si="154"/>
        <v/>
      </c>
      <c r="BG86" s="73" t="str">
        <f t="shared" si="154"/>
        <v/>
      </c>
      <c r="BH86" s="73" t="str">
        <f t="shared" si="154"/>
        <v/>
      </c>
      <c r="BI86" s="73" t="str">
        <f t="shared" si="154"/>
        <v/>
      </c>
      <c r="BJ86" s="73" t="str">
        <f t="shared" si="154"/>
        <v/>
      </c>
      <c r="BK86" s="73" t="str">
        <f t="shared" si="154"/>
        <v/>
      </c>
      <c r="BL86" s="73" t="str">
        <f t="shared" si="154"/>
        <v/>
      </c>
      <c r="BM86" s="73" t="str">
        <f t="shared" si="154"/>
        <v/>
      </c>
      <c r="BN86" s="73" t="str">
        <f t="shared" si="154"/>
        <v/>
      </c>
      <c r="BO86" s="73" t="str">
        <f t="shared" si="154"/>
        <v/>
      </c>
      <c r="BP86" s="73" t="str">
        <f t="shared" si="154"/>
        <v/>
      </c>
      <c r="BQ86" s="73" t="str">
        <f t="shared" si="154"/>
        <v/>
      </c>
      <c r="BR86" s="73" t="str">
        <f t="shared" ref="BR86:CW86" si="155">IF(BR31="","",(MAX(BR31-$C$1,0)/365))</f>
        <v/>
      </c>
      <c r="BS86" s="73" t="str">
        <f t="shared" si="155"/>
        <v/>
      </c>
      <c r="BT86" s="73" t="str">
        <f t="shared" si="155"/>
        <v/>
      </c>
      <c r="BU86" s="73" t="str">
        <f t="shared" si="155"/>
        <v/>
      </c>
      <c r="BV86" s="73" t="str">
        <f t="shared" si="155"/>
        <v/>
      </c>
      <c r="BW86" s="73" t="str">
        <f t="shared" si="155"/>
        <v/>
      </c>
      <c r="BX86" s="73" t="str">
        <f t="shared" si="155"/>
        <v/>
      </c>
      <c r="BY86" s="73" t="str">
        <f t="shared" si="155"/>
        <v/>
      </c>
      <c r="BZ86" s="73" t="str">
        <f t="shared" si="155"/>
        <v/>
      </c>
      <c r="CA86" s="73" t="str">
        <f t="shared" si="155"/>
        <v/>
      </c>
      <c r="CB86" s="73" t="str">
        <f t="shared" si="155"/>
        <v/>
      </c>
      <c r="CC86" s="73" t="str">
        <f t="shared" si="155"/>
        <v/>
      </c>
      <c r="CD86" s="73" t="str">
        <f t="shared" si="155"/>
        <v/>
      </c>
      <c r="CE86" s="73" t="str">
        <f t="shared" si="155"/>
        <v/>
      </c>
      <c r="CF86" s="73" t="str">
        <f t="shared" si="155"/>
        <v/>
      </c>
      <c r="CG86" s="73" t="str">
        <f t="shared" si="155"/>
        <v/>
      </c>
      <c r="CH86" s="73" t="str">
        <f t="shared" si="155"/>
        <v/>
      </c>
      <c r="CI86" s="73" t="str">
        <f t="shared" si="155"/>
        <v/>
      </c>
      <c r="CJ86" s="73" t="str">
        <f t="shared" si="155"/>
        <v/>
      </c>
      <c r="CK86" s="73" t="str">
        <f t="shared" si="155"/>
        <v/>
      </c>
      <c r="CL86" s="73" t="str">
        <f t="shared" si="155"/>
        <v/>
      </c>
      <c r="CM86" s="73" t="str">
        <f t="shared" si="155"/>
        <v/>
      </c>
      <c r="CN86" s="73" t="str">
        <f t="shared" si="155"/>
        <v/>
      </c>
      <c r="CO86" s="73" t="str">
        <f t="shared" si="155"/>
        <v/>
      </c>
      <c r="CP86" s="73" t="str">
        <f t="shared" si="155"/>
        <v/>
      </c>
      <c r="CQ86" s="73" t="str">
        <f t="shared" si="155"/>
        <v/>
      </c>
      <c r="CR86" s="73" t="str">
        <f t="shared" si="155"/>
        <v/>
      </c>
      <c r="CS86" s="73" t="str">
        <f t="shared" si="155"/>
        <v/>
      </c>
      <c r="CT86" s="73" t="str">
        <f t="shared" si="155"/>
        <v/>
      </c>
      <c r="CU86" s="73" t="str">
        <f t="shared" si="155"/>
        <v/>
      </c>
      <c r="CV86" s="73" t="str">
        <f t="shared" si="155"/>
        <v/>
      </c>
      <c r="CW86" s="73" t="str">
        <f t="shared" si="155"/>
        <v/>
      </c>
      <c r="CX86" s="73" t="str">
        <f t="shared" ref="CX86:EC86" si="156">IF(CX31="","",(MAX(CX31-$C$1,0)/365))</f>
        <v/>
      </c>
      <c r="CY86" s="73" t="str">
        <f t="shared" si="156"/>
        <v/>
      </c>
      <c r="CZ86" s="73" t="str">
        <f t="shared" si="156"/>
        <v/>
      </c>
      <c r="DA86" s="73" t="str">
        <f t="shared" si="156"/>
        <v/>
      </c>
      <c r="DB86" s="73" t="str">
        <f t="shared" si="156"/>
        <v/>
      </c>
      <c r="DC86" s="73" t="str">
        <f t="shared" si="156"/>
        <v/>
      </c>
      <c r="DD86" s="73" t="str">
        <f t="shared" si="156"/>
        <v/>
      </c>
      <c r="DE86" s="73" t="str">
        <f t="shared" si="156"/>
        <v/>
      </c>
      <c r="DF86" s="73" t="str">
        <f t="shared" si="156"/>
        <v/>
      </c>
      <c r="DG86" s="73" t="str">
        <f t="shared" si="156"/>
        <v/>
      </c>
      <c r="DH86" s="73" t="str">
        <f t="shared" si="156"/>
        <v/>
      </c>
      <c r="DI86" s="73" t="str">
        <f t="shared" si="156"/>
        <v/>
      </c>
      <c r="DJ86" s="73" t="str">
        <f t="shared" si="156"/>
        <v/>
      </c>
      <c r="DK86" s="73" t="str">
        <f t="shared" si="156"/>
        <v/>
      </c>
      <c r="DL86" s="73" t="str">
        <f t="shared" si="156"/>
        <v/>
      </c>
      <c r="DM86" s="73" t="str">
        <f t="shared" si="156"/>
        <v/>
      </c>
      <c r="DN86" s="73" t="str">
        <f t="shared" si="156"/>
        <v/>
      </c>
      <c r="DO86" s="73" t="str">
        <f t="shared" si="156"/>
        <v/>
      </c>
      <c r="DP86" s="73" t="str">
        <f t="shared" si="156"/>
        <v/>
      </c>
      <c r="DQ86" s="73" t="str">
        <f t="shared" si="156"/>
        <v/>
      </c>
      <c r="DR86" s="73" t="str">
        <f t="shared" si="156"/>
        <v/>
      </c>
      <c r="DS86" s="73" t="str">
        <f t="shared" si="156"/>
        <v/>
      </c>
      <c r="DT86" s="73" t="str">
        <f t="shared" si="156"/>
        <v/>
      </c>
      <c r="DU86" s="73" t="str">
        <f t="shared" si="156"/>
        <v/>
      </c>
      <c r="DV86" s="73" t="str">
        <f t="shared" si="156"/>
        <v/>
      </c>
      <c r="DW86" s="73" t="str">
        <f t="shared" si="156"/>
        <v/>
      </c>
      <c r="DX86" s="73" t="str">
        <f t="shared" si="156"/>
        <v/>
      </c>
      <c r="DY86" s="73" t="str">
        <f t="shared" si="156"/>
        <v/>
      </c>
      <c r="DZ86" s="73" t="str">
        <f t="shared" si="156"/>
        <v/>
      </c>
      <c r="EA86" s="73" t="str">
        <f t="shared" si="156"/>
        <v/>
      </c>
      <c r="EB86" s="73" t="str">
        <f t="shared" si="156"/>
        <v/>
      </c>
      <c r="EC86" s="73" t="str">
        <f t="shared" si="156"/>
        <v/>
      </c>
      <c r="ED86" s="73" t="str">
        <f t="shared" ref="ED86:FI86" si="157">IF(ED31="","",(MAX(ED31-$C$1,0)/365))</f>
        <v/>
      </c>
      <c r="EE86" s="73" t="str">
        <f t="shared" si="157"/>
        <v/>
      </c>
      <c r="EF86" s="73" t="str">
        <f t="shared" si="157"/>
        <v/>
      </c>
      <c r="EG86" s="73" t="str">
        <f t="shared" si="157"/>
        <v/>
      </c>
      <c r="EH86" s="73" t="str">
        <f t="shared" si="157"/>
        <v/>
      </c>
      <c r="EI86" s="73" t="str">
        <f t="shared" si="157"/>
        <v/>
      </c>
      <c r="EJ86" s="73" t="str">
        <f t="shared" si="157"/>
        <v/>
      </c>
      <c r="EK86" s="73" t="str">
        <f t="shared" si="157"/>
        <v/>
      </c>
      <c r="EL86" s="73" t="str">
        <f t="shared" si="157"/>
        <v/>
      </c>
      <c r="EM86" s="73" t="str">
        <f t="shared" si="157"/>
        <v/>
      </c>
      <c r="EN86" s="73" t="str">
        <f t="shared" si="157"/>
        <v/>
      </c>
      <c r="EO86" s="73" t="str">
        <f t="shared" si="157"/>
        <v/>
      </c>
      <c r="EP86" s="73" t="str">
        <f t="shared" si="157"/>
        <v/>
      </c>
      <c r="EQ86" s="73" t="str">
        <f t="shared" si="157"/>
        <v/>
      </c>
      <c r="ER86" s="73" t="str">
        <f t="shared" si="157"/>
        <v/>
      </c>
      <c r="ES86" s="73" t="str">
        <f t="shared" si="157"/>
        <v/>
      </c>
      <c r="ET86" s="73" t="str">
        <f t="shared" si="157"/>
        <v/>
      </c>
      <c r="EU86" s="73" t="str">
        <f t="shared" si="157"/>
        <v/>
      </c>
      <c r="EV86" s="73" t="str">
        <f t="shared" si="157"/>
        <v/>
      </c>
      <c r="EW86" s="73" t="str">
        <f t="shared" si="157"/>
        <v/>
      </c>
      <c r="EX86" s="73" t="str">
        <f t="shared" si="157"/>
        <v/>
      </c>
      <c r="EY86" s="73" t="str">
        <f t="shared" si="157"/>
        <v/>
      </c>
      <c r="EZ86" s="73" t="str">
        <f t="shared" si="157"/>
        <v/>
      </c>
      <c r="FA86" s="73" t="str">
        <f t="shared" si="157"/>
        <v/>
      </c>
      <c r="FB86" s="73" t="str">
        <f t="shared" si="157"/>
        <v/>
      </c>
      <c r="FC86" s="73" t="str">
        <f t="shared" si="157"/>
        <v/>
      </c>
      <c r="FD86" s="73" t="str">
        <f t="shared" si="157"/>
        <v/>
      </c>
      <c r="FE86" s="73" t="str">
        <f t="shared" si="157"/>
        <v/>
      </c>
      <c r="FF86" s="73" t="str">
        <f t="shared" si="157"/>
        <v/>
      </c>
      <c r="FG86" s="73" t="str">
        <f t="shared" si="157"/>
        <v/>
      </c>
      <c r="FH86" s="73" t="str">
        <f t="shared" si="157"/>
        <v/>
      </c>
      <c r="FI86" s="73" t="str">
        <f t="shared" si="157"/>
        <v/>
      </c>
      <c r="FJ86" s="73" t="str">
        <f t="shared" ref="FJ86:GQ86" si="158">IF(FJ31="","",(MAX(FJ31-$C$1,0)/365))</f>
        <v/>
      </c>
      <c r="FK86" s="73" t="str">
        <f t="shared" si="158"/>
        <v/>
      </c>
      <c r="FL86" s="73" t="str">
        <f t="shared" si="158"/>
        <v/>
      </c>
      <c r="FM86" s="73" t="str">
        <f t="shared" si="158"/>
        <v/>
      </c>
      <c r="FN86" s="73" t="str">
        <f t="shared" si="158"/>
        <v/>
      </c>
      <c r="FO86" s="73" t="str">
        <f t="shared" si="158"/>
        <v/>
      </c>
      <c r="FP86" s="73" t="str">
        <f t="shared" si="158"/>
        <v/>
      </c>
      <c r="FQ86" s="73" t="str">
        <f t="shared" si="158"/>
        <v/>
      </c>
      <c r="FR86" s="73" t="str">
        <f t="shared" si="158"/>
        <v/>
      </c>
      <c r="FS86" s="73" t="str">
        <f t="shared" si="158"/>
        <v/>
      </c>
      <c r="FT86" s="73" t="str">
        <f t="shared" si="158"/>
        <v/>
      </c>
      <c r="FU86" s="73" t="str">
        <f t="shared" si="158"/>
        <v/>
      </c>
      <c r="FV86" s="73" t="str">
        <f t="shared" si="158"/>
        <v/>
      </c>
      <c r="FW86" s="73" t="str">
        <f t="shared" si="158"/>
        <v/>
      </c>
      <c r="FX86" s="73" t="str">
        <f t="shared" si="158"/>
        <v/>
      </c>
      <c r="FY86" s="73" t="str">
        <f t="shared" si="158"/>
        <v/>
      </c>
      <c r="FZ86" s="73" t="str">
        <f t="shared" si="158"/>
        <v/>
      </c>
      <c r="GA86" s="73" t="str">
        <f t="shared" si="158"/>
        <v/>
      </c>
      <c r="GB86" s="73" t="str">
        <f t="shared" si="158"/>
        <v/>
      </c>
      <c r="GC86" s="73" t="str">
        <f t="shared" si="158"/>
        <v/>
      </c>
      <c r="GD86" s="73" t="str">
        <f t="shared" si="158"/>
        <v/>
      </c>
      <c r="GE86" s="73" t="str">
        <f t="shared" si="158"/>
        <v/>
      </c>
      <c r="GF86" s="73" t="str">
        <f t="shared" si="158"/>
        <v/>
      </c>
      <c r="GG86" s="73" t="str">
        <f t="shared" si="158"/>
        <v/>
      </c>
      <c r="GH86" s="73" t="str">
        <f t="shared" si="158"/>
        <v/>
      </c>
      <c r="GI86" s="73" t="str">
        <f t="shared" si="158"/>
        <v/>
      </c>
      <c r="GJ86" s="73" t="str">
        <f t="shared" si="158"/>
        <v/>
      </c>
      <c r="GK86" s="73" t="str">
        <f t="shared" si="158"/>
        <v/>
      </c>
      <c r="GL86" s="73" t="str">
        <f t="shared" si="158"/>
        <v/>
      </c>
      <c r="GM86" s="73" t="str">
        <f t="shared" si="158"/>
        <v/>
      </c>
      <c r="GN86" s="73" t="str">
        <f t="shared" si="158"/>
        <v/>
      </c>
      <c r="GO86" s="73" t="str">
        <f t="shared" si="158"/>
        <v/>
      </c>
      <c r="GP86" s="73" t="str">
        <f t="shared" si="158"/>
        <v/>
      </c>
      <c r="GQ86" s="73" t="str">
        <f t="shared" si="158"/>
        <v/>
      </c>
    </row>
    <row r="87" spans="1:199" x14ac:dyDescent="0.2">
      <c r="B87" t="s">
        <v>55</v>
      </c>
      <c r="C87" t="str">
        <f t="shared" si="25"/>
        <v>Euro 2047</v>
      </c>
      <c r="E87" s="73"/>
      <c r="F87" s="73">
        <f t="shared" ref="F87:AK87" si="159">IF(F32="","",(MAX(F32-$C$1,0)/365))</f>
        <v>0.15068493150684931</v>
      </c>
      <c r="G87" s="73">
        <f t="shared" si="159"/>
        <v>1.1506849315068493</v>
      </c>
      <c r="H87" s="73">
        <f t="shared" si="159"/>
        <v>2.1506849315068495</v>
      </c>
      <c r="I87" s="73">
        <f t="shared" si="159"/>
        <v>3.1506849315068495</v>
      </c>
      <c r="J87" s="73">
        <f t="shared" si="159"/>
        <v>4.1534246575342468</v>
      </c>
      <c r="K87" s="73">
        <f t="shared" si="159"/>
        <v>5.1534246575342468</v>
      </c>
      <c r="L87" s="73">
        <f t="shared" si="159"/>
        <v>6.1534246575342468</v>
      </c>
      <c r="M87" s="73">
        <f t="shared" si="159"/>
        <v>7.1534246575342468</v>
      </c>
      <c r="N87" s="73">
        <f t="shared" si="159"/>
        <v>8.1561643835616433</v>
      </c>
      <c r="O87" s="73">
        <f t="shared" si="159"/>
        <v>9.1561643835616433</v>
      </c>
      <c r="P87" s="73">
        <f t="shared" si="159"/>
        <v>10.156164383561643</v>
      </c>
      <c r="Q87" s="73">
        <f t="shared" si="159"/>
        <v>11.156164383561643</v>
      </c>
      <c r="R87" s="73">
        <f t="shared" si="159"/>
        <v>12.158904109589042</v>
      </c>
      <c r="S87" s="73">
        <f t="shared" si="159"/>
        <v>13.158904109589042</v>
      </c>
      <c r="T87" s="73">
        <f t="shared" si="159"/>
        <v>14.158904109589042</v>
      </c>
      <c r="U87" s="73">
        <f t="shared" si="159"/>
        <v>15.158904109589042</v>
      </c>
      <c r="V87" s="73">
        <f t="shared" si="159"/>
        <v>16.161643835616438</v>
      </c>
      <c r="W87" s="73">
        <f t="shared" si="159"/>
        <v>17.161643835616438</v>
      </c>
      <c r="X87" s="73">
        <f t="shared" si="159"/>
        <v>18.161643835616438</v>
      </c>
      <c r="Y87" s="73">
        <f t="shared" si="159"/>
        <v>19.161643835616438</v>
      </c>
      <c r="Z87" s="73">
        <f t="shared" si="159"/>
        <v>20.164383561643834</v>
      </c>
      <c r="AA87" s="73">
        <f t="shared" si="159"/>
        <v>21.164383561643834</v>
      </c>
      <c r="AB87" s="73">
        <f t="shared" si="159"/>
        <v>22.164383561643834</v>
      </c>
      <c r="AC87" s="73">
        <f t="shared" si="159"/>
        <v>23.164383561643834</v>
      </c>
      <c r="AD87" s="73">
        <f t="shared" si="159"/>
        <v>24.167123287671235</v>
      </c>
      <c r="AE87" s="73">
        <f t="shared" si="159"/>
        <v>25.167123287671235</v>
      </c>
      <c r="AF87" s="73">
        <f t="shared" si="159"/>
        <v>26.167123287671235</v>
      </c>
      <c r="AG87" s="73">
        <f t="shared" si="159"/>
        <v>27.167123287671235</v>
      </c>
      <c r="AH87" s="73" t="str">
        <f t="shared" si="159"/>
        <v/>
      </c>
      <c r="AI87" s="73" t="str">
        <f t="shared" si="159"/>
        <v/>
      </c>
      <c r="AJ87" s="73" t="str">
        <f t="shared" si="159"/>
        <v/>
      </c>
      <c r="AK87" s="73" t="str">
        <f t="shared" si="159"/>
        <v/>
      </c>
      <c r="AL87" s="73" t="str">
        <f t="shared" ref="AL87:BQ87" si="160">IF(AL32="","",(MAX(AL32-$C$1,0)/365))</f>
        <v/>
      </c>
      <c r="AM87" s="73" t="str">
        <f t="shared" si="160"/>
        <v/>
      </c>
      <c r="AN87" s="73" t="str">
        <f t="shared" si="160"/>
        <v/>
      </c>
      <c r="AO87" s="73" t="str">
        <f t="shared" si="160"/>
        <v/>
      </c>
      <c r="AP87" s="73" t="str">
        <f t="shared" si="160"/>
        <v/>
      </c>
      <c r="AQ87" s="73" t="str">
        <f t="shared" si="160"/>
        <v/>
      </c>
      <c r="AR87" s="73" t="str">
        <f t="shared" si="160"/>
        <v/>
      </c>
      <c r="AS87" s="73" t="str">
        <f t="shared" si="160"/>
        <v/>
      </c>
      <c r="AT87" s="73" t="str">
        <f t="shared" si="160"/>
        <v/>
      </c>
      <c r="AU87" s="73" t="str">
        <f t="shared" si="160"/>
        <v/>
      </c>
      <c r="AV87" s="73" t="str">
        <f t="shared" si="160"/>
        <v/>
      </c>
      <c r="AW87" s="73" t="str">
        <f t="shared" si="160"/>
        <v/>
      </c>
      <c r="AX87" s="73" t="str">
        <f t="shared" si="160"/>
        <v/>
      </c>
      <c r="AY87" s="73" t="str">
        <f t="shared" si="160"/>
        <v/>
      </c>
      <c r="AZ87" s="73" t="str">
        <f t="shared" si="160"/>
        <v/>
      </c>
      <c r="BA87" s="73" t="str">
        <f t="shared" si="160"/>
        <v/>
      </c>
      <c r="BB87" s="73" t="str">
        <f t="shared" si="160"/>
        <v/>
      </c>
      <c r="BC87" s="73" t="str">
        <f t="shared" si="160"/>
        <v/>
      </c>
      <c r="BD87" s="73" t="str">
        <f t="shared" si="160"/>
        <v/>
      </c>
      <c r="BE87" s="73" t="str">
        <f t="shared" si="160"/>
        <v/>
      </c>
      <c r="BF87" s="73" t="str">
        <f t="shared" si="160"/>
        <v/>
      </c>
      <c r="BG87" s="73" t="str">
        <f t="shared" si="160"/>
        <v/>
      </c>
      <c r="BH87" s="73" t="str">
        <f t="shared" si="160"/>
        <v/>
      </c>
      <c r="BI87" s="73" t="str">
        <f t="shared" si="160"/>
        <v/>
      </c>
      <c r="BJ87" s="73" t="str">
        <f t="shared" si="160"/>
        <v/>
      </c>
      <c r="BK87" s="73" t="str">
        <f t="shared" si="160"/>
        <v/>
      </c>
      <c r="BL87" s="73" t="str">
        <f t="shared" si="160"/>
        <v/>
      </c>
      <c r="BM87" s="73" t="str">
        <f t="shared" si="160"/>
        <v/>
      </c>
      <c r="BN87" s="73" t="str">
        <f t="shared" si="160"/>
        <v/>
      </c>
      <c r="BO87" s="73" t="str">
        <f t="shared" si="160"/>
        <v/>
      </c>
      <c r="BP87" s="73" t="str">
        <f t="shared" si="160"/>
        <v/>
      </c>
      <c r="BQ87" s="73" t="str">
        <f t="shared" si="160"/>
        <v/>
      </c>
      <c r="BR87" s="73" t="str">
        <f t="shared" ref="BR87:CW87" si="161">IF(BR32="","",(MAX(BR32-$C$1,0)/365))</f>
        <v/>
      </c>
      <c r="BS87" s="73" t="str">
        <f t="shared" si="161"/>
        <v/>
      </c>
      <c r="BT87" s="73" t="str">
        <f t="shared" si="161"/>
        <v/>
      </c>
      <c r="BU87" s="73" t="str">
        <f t="shared" si="161"/>
        <v/>
      </c>
      <c r="BV87" s="73" t="str">
        <f t="shared" si="161"/>
        <v/>
      </c>
      <c r="BW87" s="73" t="str">
        <f t="shared" si="161"/>
        <v/>
      </c>
      <c r="BX87" s="73" t="str">
        <f t="shared" si="161"/>
        <v/>
      </c>
      <c r="BY87" s="73" t="str">
        <f t="shared" si="161"/>
        <v/>
      </c>
      <c r="BZ87" s="73" t="str">
        <f t="shared" si="161"/>
        <v/>
      </c>
      <c r="CA87" s="73" t="str">
        <f t="shared" si="161"/>
        <v/>
      </c>
      <c r="CB87" s="73" t="str">
        <f t="shared" si="161"/>
        <v/>
      </c>
      <c r="CC87" s="73" t="str">
        <f t="shared" si="161"/>
        <v/>
      </c>
      <c r="CD87" s="73" t="str">
        <f t="shared" si="161"/>
        <v/>
      </c>
      <c r="CE87" s="73" t="str">
        <f t="shared" si="161"/>
        <v/>
      </c>
      <c r="CF87" s="73" t="str">
        <f t="shared" si="161"/>
        <v/>
      </c>
      <c r="CG87" s="73" t="str">
        <f t="shared" si="161"/>
        <v/>
      </c>
      <c r="CH87" s="73" t="str">
        <f t="shared" si="161"/>
        <v/>
      </c>
      <c r="CI87" s="73" t="str">
        <f t="shared" si="161"/>
        <v/>
      </c>
      <c r="CJ87" s="73" t="str">
        <f t="shared" si="161"/>
        <v/>
      </c>
      <c r="CK87" s="73" t="str">
        <f t="shared" si="161"/>
        <v/>
      </c>
      <c r="CL87" s="73" t="str">
        <f t="shared" si="161"/>
        <v/>
      </c>
      <c r="CM87" s="73" t="str">
        <f t="shared" si="161"/>
        <v/>
      </c>
      <c r="CN87" s="73" t="str">
        <f t="shared" si="161"/>
        <v/>
      </c>
      <c r="CO87" s="73" t="str">
        <f t="shared" si="161"/>
        <v/>
      </c>
      <c r="CP87" s="73" t="str">
        <f t="shared" si="161"/>
        <v/>
      </c>
      <c r="CQ87" s="73" t="str">
        <f t="shared" si="161"/>
        <v/>
      </c>
      <c r="CR87" s="73" t="str">
        <f t="shared" si="161"/>
        <v/>
      </c>
      <c r="CS87" s="73" t="str">
        <f t="shared" si="161"/>
        <v/>
      </c>
      <c r="CT87" s="73" t="str">
        <f t="shared" si="161"/>
        <v/>
      </c>
      <c r="CU87" s="73" t="str">
        <f t="shared" si="161"/>
        <v/>
      </c>
      <c r="CV87" s="73" t="str">
        <f t="shared" si="161"/>
        <v/>
      </c>
      <c r="CW87" s="73" t="str">
        <f t="shared" si="161"/>
        <v/>
      </c>
      <c r="CX87" s="73" t="str">
        <f t="shared" ref="CX87:EC87" si="162">IF(CX32="","",(MAX(CX32-$C$1,0)/365))</f>
        <v/>
      </c>
      <c r="CY87" s="73" t="str">
        <f t="shared" si="162"/>
        <v/>
      </c>
      <c r="CZ87" s="73" t="str">
        <f t="shared" si="162"/>
        <v/>
      </c>
      <c r="DA87" s="73" t="str">
        <f t="shared" si="162"/>
        <v/>
      </c>
      <c r="DB87" s="73" t="str">
        <f t="shared" si="162"/>
        <v/>
      </c>
      <c r="DC87" s="73" t="str">
        <f t="shared" si="162"/>
        <v/>
      </c>
      <c r="DD87" s="73" t="str">
        <f t="shared" si="162"/>
        <v/>
      </c>
      <c r="DE87" s="73" t="str">
        <f t="shared" si="162"/>
        <v/>
      </c>
      <c r="DF87" s="73" t="str">
        <f t="shared" si="162"/>
        <v/>
      </c>
      <c r="DG87" s="73" t="str">
        <f t="shared" si="162"/>
        <v/>
      </c>
      <c r="DH87" s="73" t="str">
        <f t="shared" si="162"/>
        <v/>
      </c>
      <c r="DI87" s="73" t="str">
        <f t="shared" si="162"/>
        <v/>
      </c>
      <c r="DJ87" s="73" t="str">
        <f t="shared" si="162"/>
        <v/>
      </c>
      <c r="DK87" s="73" t="str">
        <f t="shared" si="162"/>
        <v/>
      </c>
      <c r="DL87" s="73" t="str">
        <f t="shared" si="162"/>
        <v/>
      </c>
      <c r="DM87" s="73" t="str">
        <f t="shared" si="162"/>
        <v/>
      </c>
      <c r="DN87" s="73" t="str">
        <f t="shared" si="162"/>
        <v/>
      </c>
      <c r="DO87" s="73" t="str">
        <f t="shared" si="162"/>
        <v/>
      </c>
      <c r="DP87" s="73" t="str">
        <f t="shared" si="162"/>
        <v/>
      </c>
      <c r="DQ87" s="73" t="str">
        <f t="shared" si="162"/>
        <v/>
      </c>
      <c r="DR87" s="73" t="str">
        <f t="shared" si="162"/>
        <v/>
      </c>
      <c r="DS87" s="73" t="str">
        <f t="shared" si="162"/>
        <v/>
      </c>
      <c r="DT87" s="73" t="str">
        <f t="shared" si="162"/>
        <v/>
      </c>
      <c r="DU87" s="73" t="str">
        <f t="shared" si="162"/>
        <v/>
      </c>
      <c r="DV87" s="73" t="str">
        <f t="shared" si="162"/>
        <v/>
      </c>
      <c r="DW87" s="73" t="str">
        <f t="shared" si="162"/>
        <v/>
      </c>
      <c r="DX87" s="73" t="str">
        <f t="shared" si="162"/>
        <v/>
      </c>
      <c r="DY87" s="73" t="str">
        <f t="shared" si="162"/>
        <v/>
      </c>
      <c r="DZ87" s="73" t="str">
        <f t="shared" si="162"/>
        <v/>
      </c>
      <c r="EA87" s="73" t="str">
        <f t="shared" si="162"/>
        <v/>
      </c>
      <c r="EB87" s="73" t="str">
        <f t="shared" si="162"/>
        <v/>
      </c>
      <c r="EC87" s="73" t="str">
        <f t="shared" si="162"/>
        <v/>
      </c>
      <c r="ED87" s="73" t="str">
        <f t="shared" ref="ED87:FI87" si="163">IF(ED32="","",(MAX(ED32-$C$1,0)/365))</f>
        <v/>
      </c>
      <c r="EE87" s="73" t="str">
        <f t="shared" si="163"/>
        <v/>
      </c>
      <c r="EF87" s="73" t="str">
        <f t="shared" si="163"/>
        <v/>
      </c>
      <c r="EG87" s="73" t="str">
        <f t="shared" si="163"/>
        <v/>
      </c>
      <c r="EH87" s="73" t="str">
        <f t="shared" si="163"/>
        <v/>
      </c>
      <c r="EI87" s="73" t="str">
        <f t="shared" si="163"/>
        <v/>
      </c>
      <c r="EJ87" s="73" t="str">
        <f t="shared" si="163"/>
        <v/>
      </c>
      <c r="EK87" s="73" t="str">
        <f t="shared" si="163"/>
        <v/>
      </c>
      <c r="EL87" s="73" t="str">
        <f t="shared" si="163"/>
        <v/>
      </c>
      <c r="EM87" s="73" t="str">
        <f t="shared" si="163"/>
        <v/>
      </c>
      <c r="EN87" s="73" t="str">
        <f t="shared" si="163"/>
        <v/>
      </c>
      <c r="EO87" s="73" t="str">
        <f t="shared" si="163"/>
        <v/>
      </c>
      <c r="EP87" s="73" t="str">
        <f t="shared" si="163"/>
        <v/>
      </c>
      <c r="EQ87" s="73" t="str">
        <f t="shared" si="163"/>
        <v/>
      </c>
      <c r="ER87" s="73" t="str">
        <f t="shared" si="163"/>
        <v/>
      </c>
      <c r="ES87" s="73" t="str">
        <f t="shared" si="163"/>
        <v/>
      </c>
      <c r="ET87" s="73" t="str">
        <f t="shared" si="163"/>
        <v/>
      </c>
      <c r="EU87" s="73" t="str">
        <f t="shared" si="163"/>
        <v/>
      </c>
      <c r="EV87" s="73" t="str">
        <f t="shared" si="163"/>
        <v/>
      </c>
      <c r="EW87" s="73" t="str">
        <f t="shared" si="163"/>
        <v/>
      </c>
      <c r="EX87" s="73" t="str">
        <f t="shared" si="163"/>
        <v/>
      </c>
      <c r="EY87" s="73" t="str">
        <f t="shared" si="163"/>
        <v/>
      </c>
      <c r="EZ87" s="73" t="str">
        <f t="shared" si="163"/>
        <v/>
      </c>
      <c r="FA87" s="73" t="str">
        <f t="shared" si="163"/>
        <v/>
      </c>
      <c r="FB87" s="73" t="str">
        <f t="shared" si="163"/>
        <v/>
      </c>
      <c r="FC87" s="73" t="str">
        <f t="shared" si="163"/>
        <v/>
      </c>
      <c r="FD87" s="73" t="str">
        <f t="shared" si="163"/>
        <v/>
      </c>
      <c r="FE87" s="73" t="str">
        <f t="shared" si="163"/>
        <v/>
      </c>
      <c r="FF87" s="73" t="str">
        <f t="shared" si="163"/>
        <v/>
      </c>
      <c r="FG87" s="73" t="str">
        <f t="shared" si="163"/>
        <v/>
      </c>
      <c r="FH87" s="73" t="str">
        <f t="shared" si="163"/>
        <v/>
      </c>
      <c r="FI87" s="73" t="str">
        <f t="shared" si="163"/>
        <v/>
      </c>
      <c r="FJ87" s="73" t="str">
        <f t="shared" ref="FJ87:GQ87" si="164">IF(FJ32="","",(MAX(FJ32-$C$1,0)/365))</f>
        <v/>
      </c>
      <c r="FK87" s="73" t="str">
        <f t="shared" si="164"/>
        <v/>
      </c>
      <c r="FL87" s="73" t="str">
        <f t="shared" si="164"/>
        <v/>
      </c>
      <c r="FM87" s="73" t="str">
        <f t="shared" si="164"/>
        <v/>
      </c>
      <c r="FN87" s="73" t="str">
        <f t="shared" si="164"/>
        <v/>
      </c>
      <c r="FO87" s="73" t="str">
        <f t="shared" si="164"/>
        <v/>
      </c>
      <c r="FP87" s="73" t="str">
        <f t="shared" si="164"/>
        <v/>
      </c>
      <c r="FQ87" s="73" t="str">
        <f t="shared" si="164"/>
        <v/>
      </c>
      <c r="FR87" s="73" t="str">
        <f t="shared" si="164"/>
        <v/>
      </c>
      <c r="FS87" s="73" t="str">
        <f t="shared" si="164"/>
        <v/>
      </c>
      <c r="FT87" s="73" t="str">
        <f t="shared" si="164"/>
        <v/>
      </c>
      <c r="FU87" s="73" t="str">
        <f t="shared" si="164"/>
        <v/>
      </c>
      <c r="FV87" s="73" t="str">
        <f t="shared" si="164"/>
        <v/>
      </c>
      <c r="FW87" s="73" t="str">
        <f t="shared" si="164"/>
        <v/>
      </c>
      <c r="FX87" s="73" t="str">
        <f t="shared" si="164"/>
        <v/>
      </c>
      <c r="FY87" s="73" t="str">
        <f t="shared" si="164"/>
        <v/>
      </c>
      <c r="FZ87" s="73" t="str">
        <f t="shared" si="164"/>
        <v/>
      </c>
      <c r="GA87" s="73" t="str">
        <f t="shared" si="164"/>
        <v/>
      </c>
      <c r="GB87" s="73" t="str">
        <f t="shared" si="164"/>
        <v/>
      </c>
      <c r="GC87" s="73" t="str">
        <f t="shared" si="164"/>
        <v/>
      </c>
      <c r="GD87" s="73" t="str">
        <f t="shared" si="164"/>
        <v/>
      </c>
      <c r="GE87" s="73" t="str">
        <f t="shared" si="164"/>
        <v/>
      </c>
      <c r="GF87" s="73" t="str">
        <f t="shared" si="164"/>
        <v/>
      </c>
      <c r="GG87" s="73" t="str">
        <f t="shared" si="164"/>
        <v/>
      </c>
      <c r="GH87" s="73" t="str">
        <f t="shared" si="164"/>
        <v/>
      </c>
      <c r="GI87" s="73" t="str">
        <f t="shared" si="164"/>
        <v/>
      </c>
      <c r="GJ87" s="73" t="str">
        <f t="shared" si="164"/>
        <v/>
      </c>
      <c r="GK87" s="73" t="str">
        <f t="shared" si="164"/>
        <v/>
      </c>
      <c r="GL87" s="73" t="str">
        <f t="shared" si="164"/>
        <v/>
      </c>
      <c r="GM87" s="73" t="str">
        <f t="shared" si="164"/>
        <v/>
      </c>
      <c r="GN87" s="73" t="str">
        <f t="shared" si="164"/>
        <v/>
      </c>
      <c r="GO87" s="73" t="str">
        <f t="shared" si="164"/>
        <v/>
      </c>
      <c r="GP87" s="73" t="str">
        <f t="shared" si="164"/>
        <v/>
      </c>
      <c r="GQ87" s="73" t="str">
        <f t="shared" si="164"/>
        <v/>
      </c>
    </row>
    <row r="88" spans="1:199" x14ac:dyDescent="0.2">
      <c r="B88" t="s">
        <v>38</v>
      </c>
      <c r="C88" t="str">
        <f t="shared" si="25"/>
        <v>CHF 2020</v>
      </c>
      <c r="E88" s="73"/>
      <c r="F88" s="73">
        <f t="shared" ref="F88:AK88" si="165">IF(F33="","",(MAX(F33-$C$1,0)/365))</f>
        <v>7.3972602739726029E-2</v>
      </c>
      <c r="G88" s="73" t="str">
        <f t="shared" si="165"/>
        <v/>
      </c>
      <c r="H88" s="73" t="str">
        <f t="shared" si="165"/>
        <v/>
      </c>
      <c r="I88" s="73" t="str">
        <f t="shared" si="165"/>
        <v/>
      </c>
      <c r="J88" s="73" t="str">
        <f t="shared" si="165"/>
        <v/>
      </c>
      <c r="K88" s="73" t="str">
        <f t="shared" si="165"/>
        <v/>
      </c>
      <c r="L88" s="73" t="str">
        <f t="shared" si="165"/>
        <v/>
      </c>
      <c r="M88" s="73" t="str">
        <f t="shared" si="165"/>
        <v/>
      </c>
      <c r="N88" s="73" t="str">
        <f t="shared" si="165"/>
        <v/>
      </c>
      <c r="O88" s="73" t="str">
        <f t="shared" si="165"/>
        <v/>
      </c>
      <c r="P88" s="73" t="str">
        <f t="shared" si="165"/>
        <v/>
      </c>
      <c r="Q88" s="73" t="str">
        <f t="shared" si="165"/>
        <v/>
      </c>
      <c r="R88" s="73" t="str">
        <f t="shared" si="165"/>
        <v/>
      </c>
      <c r="S88" s="73" t="str">
        <f t="shared" si="165"/>
        <v/>
      </c>
      <c r="T88" s="73" t="str">
        <f t="shared" si="165"/>
        <v/>
      </c>
      <c r="U88" s="73" t="str">
        <f t="shared" si="165"/>
        <v/>
      </c>
      <c r="V88" s="73" t="str">
        <f t="shared" si="165"/>
        <v/>
      </c>
      <c r="W88" s="73" t="str">
        <f t="shared" si="165"/>
        <v/>
      </c>
      <c r="X88" s="73" t="str">
        <f t="shared" si="165"/>
        <v/>
      </c>
      <c r="Y88" s="73" t="str">
        <f t="shared" si="165"/>
        <v/>
      </c>
      <c r="Z88" s="73" t="str">
        <f t="shared" si="165"/>
        <v/>
      </c>
      <c r="AA88" s="73" t="str">
        <f t="shared" si="165"/>
        <v/>
      </c>
      <c r="AB88" s="73" t="str">
        <f t="shared" si="165"/>
        <v/>
      </c>
      <c r="AC88" s="73" t="str">
        <f t="shared" si="165"/>
        <v/>
      </c>
      <c r="AD88" s="73" t="str">
        <f t="shared" si="165"/>
        <v/>
      </c>
      <c r="AE88" s="73" t="str">
        <f t="shared" si="165"/>
        <v/>
      </c>
      <c r="AF88" s="73" t="str">
        <f t="shared" si="165"/>
        <v/>
      </c>
      <c r="AG88" s="73" t="str">
        <f t="shared" si="165"/>
        <v/>
      </c>
      <c r="AH88" s="73" t="str">
        <f t="shared" si="165"/>
        <v/>
      </c>
      <c r="AI88" s="73" t="str">
        <f t="shared" si="165"/>
        <v/>
      </c>
      <c r="AJ88" s="73" t="str">
        <f t="shared" si="165"/>
        <v/>
      </c>
      <c r="AK88" s="73" t="str">
        <f t="shared" si="165"/>
        <v/>
      </c>
      <c r="AL88" s="73" t="str">
        <f t="shared" ref="AL88:BQ88" si="166">IF(AL33="","",(MAX(AL33-$C$1,0)/365))</f>
        <v/>
      </c>
      <c r="AM88" s="73" t="str">
        <f t="shared" si="166"/>
        <v/>
      </c>
      <c r="AN88" s="73" t="str">
        <f t="shared" si="166"/>
        <v/>
      </c>
      <c r="AO88" s="73" t="str">
        <f t="shared" si="166"/>
        <v/>
      </c>
      <c r="AP88" s="73" t="str">
        <f t="shared" si="166"/>
        <v/>
      </c>
      <c r="AQ88" s="73" t="str">
        <f t="shared" si="166"/>
        <v/>
      </c>
      <c r="AR88" s="73" t="str">
        <f t="shared" si="166"/>
        <v/>
      </c>
      <c r="AS88" s="73" t="str">
        <f t="shared" si="166"/>
        <v/>
      </c>
      <c r="AT88" s="73" t="str">
        <f t="shared" si="166"/>
        <v/>
      </c>
      <c r="AU88" s="73" t="str">
        <f t="shared" si="166"/>
        <v/>
      </c>
      <c r="AV88" s="73" t="str">
        <f t="shared" si="166"/>
        <v/>
      </c>
      <c r="AW88" s="73" t="str">
        <f t="shared" si="166"/>
        <v/>
      </c>
      <c r="AX88" s="73" t="str">
        <f t="shared" si="166"/>
        <v/>
      </c>
      <c r="AY88" s="73" t="str">
        <f t="shared" si="166"/>
        <v/>
      </c>
      <c r="AZ88" s="73" t="str">
        <f t="shared" si="166"/>
        <v/>
      </c>
      <c r="BA88" s="73" t="str">
        <f t="shared" si="166"/>
        <v/>
      </c>
      <c r="BB88" s="73" t="str">
        <f t="shared" si="166"/>
        <v/>
      </c>
      <c r="BC88" s="73" t="str">
        <f t="shared" si="166"/>
        <v/>
      </c>
      <c r="BD88" s="73" t="str">
        <f t="shared" si="166"/>
        <v/>
      </c>
      <c r="BE88" s="73" t="str">
        <f t="shared" si="166"/>
        <v/>
      </c>
      <c r="BF88" s="73" t="str">
        <f t="shared" si="166"/>
        <v/>
      </c>
      <c r="BG88" s="73" t="str">
        <f t="shared" si="166"/>
        <v/>
      </c>
      <c r="BH88" s="73" t="str">
        <f t="shared" si="166"/>
        <v/>
      </c>
      <c r="BI88" s="73" t="str">
        <f t="shared" si="166"/>
        <v/>
      </c>
      <c r="BJ88" s="73" t="str">
        <f t="shared" si="166"/>
        <v/>
      </c>
      <c r="BK88" s="73" t="str">
        <f t="shared" si="166"/>
        <v/>
      </c>
      <c r="BL88" s="73" t="str">
        <f t="shared" si="166"/>
        <v/>
      </c>
      <c r="BM88" s="73" t="str">
        <f t="shared" si="166"/>
        <v/>
      </c>
      <c r="BN88" s="73" t="str">
        <f t="shared" si="166"/>
        <v/>
      </c>
      <c r="BO88" s="73" t="str">
        <f t="shared" si="166"/>
        <v/>
      </c>
      <c r="BP88" s="73" t="str">
        <f t="shared" si="166"/>
        <v/>
      </c>
      <c r="BQ88" s="73" t="str">
        <f t="shared" si="166"/>
        <v/>
      </c>
      <c r="BR88" s="73" t="str">
        <f t="shared" ref="BR88:CW88" si="167">IF(BR33="","",(MAX(BR33-$C$1,0)/365))</f>
        <v/>
      </c>
      <c r="BS88" s="73" t="str">
        <f t="shared" si="167"/>
        <v/>
      </c>
      <c r="BT88" s="73" t="str">
        <f t="shared" si="167"/>
        <v/>
      </c>
      <c r="BU88" s="73" t="str">
        <f t="shared" si="167"/>
        <v/>
      </c>
      <c r="BV88" s="73" t="str">
        <f t="shared" si="167"/>
        <v/>
      </c>
      <c r="BW88" s="73" t="str">
        <f t="shared" si="167"/>
        <v/>
      </c>
      <c r="BX88" s="73" t="str">
        <f t="shared" si="167"/>
        <v/>
      </c>
      <c r="BY88" s="73" t="str">
        <f t="shared" si="167"/>
        <v/>
      </c>
      <c r="BZ88" s="73" t="str">
        <f t="shared" si="167"/>
        <v/>
      </c>
      <c r="CA88" s="73" t="str">
        <f t="shared" si="167"/>
        <v/>
      </c>
      <c r="CB88" s="73" t="str">
        <f t="shared" si="167"/>
        <v/>
      </c>
      <c r="CC88" s="73" t="str">
        <f t="shared" si="167"/>
        <v/>
      </c>
      <c r="CD88" s="73" t="str">
        <f t="shared" si="167"/>
        <v/>
      </c>
      <c r="CE88" s="73" t="str">
        <f t="shared" si="167"/>
        <v/>
      </c>
      <c r="CF88" s="73" t="str">
        <f t="shared" si="167"/>
        <v/>
      </c>
      <c r="CG88" s="73" t="str">
        <f t="shared" si="167"/>
        <v/>
      </c>
      <c r="CH88" s="73" t="str">
        <f t="shared" si="167"/>
        <v/>
      </c>
      <c r="CI88" s="73" t="str">
        <f t="shared" si="167"/>
        <v/>
      </c>
      <c r="CJ88" s="73" t="str">
        <f t="shared" si="167"/>
        <v/>
      </c>
      <c r="CK88" s="73" t="str">
        <f t="shared" si="167"/>
        <v/>
      </c>
      <c r="CL88" s="73" t="str">
        <f t="shared" si="167"/>
        <v/>
      </c>
      <c r="CM88" s="73" t="str">
        <f t="shared" si="167"/>
        <v/>
      </c>
      <c r="CN88" s="73" t="str">
        <f t="shared" si="167"/>
        <v/>
      </c>
      <c r="CO88" s="73" t="str">
        <f t="shared" si="167"/>
        <v/>
      </c>
      <c r="CP88" s="73" t="str">
        <f t="shared" si="167"/>
        <v/>
      </c>
      <c r="CQ88" s="73" t="str">
        <f t="shared" si="167"/>
        <v/>
      </c>
      <c r="CR88" s="73" t="str">
        <f t="shared" si="167"/>
        <v/>
      </c>
      <c r="CS88" s="73" t="str">
        <f t="shared" si="167"/>
        <v/>
      </c>
      <c r="CT88" s="73" t="str">
        <f t="shared" si="167"/>
        <v/>
      </c>
      <c r="CU88" s="73" t="str">
        <f t="shared" si="167"/>
        <v/>
      </c>
      <c r="CV88" s="73" t="str">
        <f t="shared" si="167"/>
        <v/>
      </c>
      <c r="CW88" s="73" t="str">
        <f t="shared" si="167"/>
        <v/>
      </c>
      <c r="CX88" s="73" t="str">
        <f t="shared" ref="CX88:EC88" si="168">IF(CX33="","",(MAX(CX33-$C$1,0)/365))</f>
        <v/>
      </c>
      <c r="CY88" s="73" t="str">
        <f t="shared" si="168"/>
        <v/>
      </c>
      <c r="CZ88" s="73" t="str">
        <f t="shared" si="168"/>
        <v/>
      </c>
      <c r="DA88" s="73" t="str">
        <f t="shared" si="168"/>
        <v/>
      </c>
      <c r="DB88" s="73" t="str">
        <f t="shared" si="168"/>
        <v/>
      </c>
      <c r="DC88" s="73" t="str">
        <f t="shared" si="168"/>
        <v/>
      </c>
      <c r="DD88" s="73" t="str">
        <f t="shared" si="168"/>
        <v/>
      </c>
      <c r="DE88" s="73" t="str">
        <f t="shared" si="168"/>
        <v/>
      </c>
      <c r="DF88" s="73" t="str">
        <f t="shared" si="168"/>
        <v/>
      </c>
      <c r="DG88" s="73" t="str">
        <f t="shared" si="168"/>
        <v/>
      </c>
      <c r="DH88" s="73" t="str">
        <f t="shared" si="168"/>
        <v/>
      </c>
      <c r="DI88" s="73" t="str">
        <f t="shared" si="168"/>
        <v/>
      </c>
      <c r="DJ88" s="73" t="str">
        <f t="shared" si="168"/>
        <v/>
      </c>
      <c r="DK88" s="73" t="str">
        <f t="shared" si="168"/>
        <v/>
      </c>
      <c r="DL88" s="73" t="str">
        <f t="shared" si="168"/>
        <v/>
      </c>
      <c r="DM88" s="73" t="str">
        <f t="shared" si="168"/>
        <v/>
      </c>
      <c r="DN88" s="73" t="str">
        <f t="shared" si="168"/>
        <v/>
      </c>
      <c r="DO88" s="73" t="str">
        <f t="shared" si="168"/>
        <v/>
      </c>
      <c r="DP88" s="73" t="str">
        <f t="shared" si="168"/>
        <v/>
      </c>
      <c r="DQ88" s="73" t="str">
        <f t="shared" si="168"/>
        <v/>
      </c>
      <c r="DR88" s="73" t="str">
        <f t="shared" si="168"/>
        <v/>
      </c>
      <c r="DS88" s="73" t="str">
        <f t="shared" si="168"/>
        <v/>
      </c>
      <c r="DT88" s="73" t="str">
        <f t="shared" si="168"/>
        <v/>
      </c>
      <c r="DU88" s="73" t="str">
        <f t="shared" si="168"/>
        <v/>
      </c>
      <c r="DV88" s="73" t="str">
        <f t="shared" si="168"/>
        <v/>
      </c>
      <c r="DW88" s="73" t="str">
        <f t="shared" si="168"/>
        <v/>
      </c>
      <c r="DX88" s="73" t="str">
        <f t="shared" si="168"/>
        <v/>
      </c>
      <c r="DY88" s="73" t="str">
        <f t="shared" si="168"/>
        <v/>
      </c>
      <c r="DZ88" s="73" t="str">
        <f t="shared" si="168"/>
        <v/>
      </c>
      <c r="EA88" s="73" t="str">
        <f t="shared" si="168"/>
        <v/>
      </c>
      <c r="EB88" s="73" t="str">
        <f t="shared" si="168"/>
        <v/>
      </c>
      <c r="EC88" s="73" t="str">
        <f t="shared" si="168"/>
        <v/>
      </c>
      <c r="ED88" s="73" t="str">
        <f t="shared" ref="ED88:FI88" si="169">IF(ED33="","",(MAX(ED33-$C$1,0)/365))</f>
        <v/>
      </c>
      <c r="EE88" s="73" t="str">
        <f t="shared" si="169"/>
        <v/>
      </c>
      <c r="EF88" s="73" t="str">
        <f t="shared" si="169"/>
        <v/>
      </c>
      <c r="EG88" s="73" t="str">
        <f t="shared" si="169"/>
        <v/>
      </c>
      <c r="EH88" s="73" t="str">
        <f t="shared" si="169"/>
        <v/>
      </c>
      <c r="EI88" s="73" t="str">
        <f t="shared" si="169"/>
        <v/>
      </c>
      <c r="EJ88" s="73" t="str">
        <f t="shared" si="169"/>
        <v/>
      </c>
      <c r="EK88" s="73" t="str">
        <f t="shared" si="169"/>
        <v/>
      </c>
      <c r="EL88" s="73" t="str">
        <f t="shared" si="169"/>
        <v/>
      </c>
      <c r="EM88" s="73" t="str">
        <f t="shared" si="169"/>
        <v/>
      </c>
      <c r="EN88" s="73" t="str">
        <f t="shared" si="169"/>
        <v/>
      </c>
      <c r="EO88" s="73" t="str">
        <f t="shared" si="169"/>
        <v/>
      </c>
      <c r="EP88" s="73" t="str">
        <f t="shared" si="169"/>
        <v/>
      </c>
      <c r="EQ88" s="73" t="str">
        <f t="shared" si="169"/>
        <v/>
      </c>
      <c r="ER88" s="73" t="str">
        <f t="shared" si="169"/>
        <v/>
      </c>
      <c r="ES88" s="73" t="str">
        <f t="shared" si="169"/>
        <v/>
      </c>
      <c r="ET88" s="73" t="str">
        <f t="shared" si="169"/>
        <v/>
      </c>
      <c r="EU88" s="73" t="str">
        <f t="shared" si="169"/>
        <v/>
      </c>
      <c r="EV88" s="73" t="str">
        <f t="shared" si="169"/>
        <v/>
      </c>
      <c r="EW88" s="73" t="str">
        <f t="shared" si="169"/>
        <v/>
      </c>
      <c r="EX88" s="73" t="str">
        <f t="shared" si="169"/>
        <v/>
      </c>
      <c r="EY88" s="73" t="str">
        <f t="shared" si="169"/>
        <v/>
      </c>
      <c r="EZ88" s="73" t="str">
        <f t="shared" si="169"/>
        <v/>
      </c>
      <c r="FA88" s="73" t="str">
        <f t="shared" si="169"/>
        <v/>
      </c>
      <c r="FB88" s="73" t="str">
        <f t="shared" si="169"/>
        <v/>
      </c>
      <c r="FC88" s="73" t="str">
        <f t="shared" si="169"/>
        <v/>
      </c>
      <c r="FD88" s="73" t="str">
        <f t="shared" si="169"/>
        <v/>
      </c>
      <c r="FE88" s="73" t="str">
        <f t="shared" si="169"/>
        <v/>
      </c>
      <c r="FF88" s="73" t="str">
        <f t="shared" si="169"/>
        <v/>
      </c>
      <c r="FG88" s="73" t="str">
        <f t="shared" si="169"/>
        <v/>
      </c>
      <c r="FH88" s="73" t="str">
        <f t="shared" si="169"/>
        <v/>
      </c>
      <c r="FI88" s="73" t="str">
        <f t="shared" si="169"/>
        <v/>
      </c>
      <c r="FJ88" s="73" t="str">
        <f t="shared" ref="FJ88:GQ88" si="170">IF(FJ33="","",(MAX(FJ33-$C$1,0)/365))</f>
        <v/>
      </c>
      <c r="FK88" s="73" t="str">
        <f t="shared" si="170"/>
        <v/>
      </c>
      <c r="FL88" s="73" t="str">
        <f t="shared" si="170"/>
        <v/>
      </c>
      <c r="FM88" s="73" t="str">
        <f t="shared" si="170"/>
        <v/>
      </c>
      <c r="FN88" s="73" t="str">
        <f t="shared" si="170"/>
        <v/>
      </c>
      <c r="FO88" s="73" t="str">
        <f t="shared" si="170"/>
        <v/>
      </c>
      <c r="FP88" s="73" t="str">
        <f t="shared" si="170"/>
        <v/>
      </c>
      <c r="FQ88" s="73" t="str">
        <f t="shared" si="170"/>
        <v/>
      </c>
      <c r="FR88" s="73" t="str">
        <f t="shared" si="170"/>
        <v/>
      </c>
      <c r="FS88" s="73" t="str">
        <f t="shared" si="170"/>
        <v/>
      </c>
      <c r="FT88" s="73" t="str">
        <f t="shared" si="170"/>
        <v/>
      </c>
      <c r="FU88" s="73" t="str">
        <f t="shared" si="170"/>
        <v/>
      </c>
      <c r="FV88" s="73" t="str">
        <f t="shared" si="170"/>
        <v/>
      </c>
      <c r="FW88" s="73" t="str">
        <f t="shared" si="170"/>
        <v/>
      </c>
      <c r="FX88" s="73" t="str">
        <f t="shared" si="170"/>
        <v/>
      </c>
      <c r="FY88" s="73" t="str">
        <f t="shared" si="170"/>
        <v/>
      </c>
      <c r="FZ88" s="73" t="str">
        <f t="shared" si="170"/>
        <v/>
      </c>
      <c r="GA88" s="73" t="str">
        <f t="shared" si="170"/>
        <v/>
      </c>
      <c r="GB88" s="73" t="str">
        <f t="shared" si="170"/>
        <v/>
      </c>
      <c r="GC88" s="73" t="str">
        <f t="shared" si="170"/>
        <v/>
      </c>
      <c r="GD88" s="73" t="str">
        <f t="shared" si="170"/>
        <v/>
      </c>
      <c r="GE88" s="73" t="str">
        <f t="shared" si="170"/>
        <v/>
      </c>
      <c r="GF88" s="73" t="str">
        <f t="shared" si="170"/>
        <v/>
      </c>
      <c r="GG88" s="73" t="str">
        <f t="shared" si="170"/>
        <v/>
      </c>
      <c r="GH88" s="73" t="str">
        <f t="shared" si="170"/>
        <v/>
      </c>
      <c r="GI88" s="73" t="str">
        <f t="shared" si="170"/>
        <v/>
      </c>
      <c r="GJ88" s="73" t="str">
        <f t="shared" si="170"/>
        <v/>
      </c>
      <c r="GK88" s="73" t="str">
        <f t="shared" si="170"/>
        <v/>
      </c>
      <c r="GL88" s="73" t="str">
        <f t="shared" si="170"/>
        <v/>
      </c>
      <c r="GM88" s="73" t="str">
        <f t="shared" si="170"/>
        <v/>
      </c>
      <c r="GN88" s="73" t="str">
        <f t="shared" si="170"/>
        <v/>
      </c>
      <c r="GO88" s="73" t="str">
        <f t="shared" si="170"/>
        <v/>
      </c>
      <c r="GP88" s="73" t="str">
        <f t="shared" si="170"/>
        <v/>
      </c>
      <c r="GQ88" s="73" t="str">
        <f t="shared" si="170"/>
        <v/>
      </c>
    </row>
    <row r="89" spans="1:199" x14ac:dyDescent="0.2">
      <c r="H89" s="73">
        <f>INDEX($C$3:$C$6,MATCH($A91,$B$3:$B$6,0))</f>
        <v>11.341844884930985</v>
      </c>
    </row>
    <row r="90" spans="1:199" x14ac:dyDescent="0.2">
      <c r="B90" t="s">
        <v>8</v>
      </c>
      <c r="C90" t="s">
        <v>186</v>
      </c>
      <c r="E90" s="16" t="s">
        <v>243</v>
      </c>
      <c r="G90" s="58" t="s">
        <v>244</v>
      </c>
    </row>
    <row r="91" spans="1:199" x14ac:dyDescent="0.2">
      <c r="A91" t="s">
        <v>219</v>
      </c>
      <c r="B91" t="s">
        <v>10</v>
      </c>
      <c r="C91" t="str">
        <f>C64</f>
        <v>USD 2033 Discount I</v>
      </c>
      <c r="E91" s="73" t="str">
        <f t="shared" ref="E91:E115" si="171">IF(E64="","",E37/(1+ INDEX($C$3:$C$6,MATCH($A91,$B$3:$B$6,0))/100)^E64)</f>
        <v/>
      </c>
      <c r="F91" s="103">
        <f t="shared" ref="F91:F109" si="172">IF(F64="","",F37*MIN(F64/0.5,1)/(1+ INDEX($C$3:$C$6,MATCH($A91,$B$3:$B$6,0))/100)^F64)</f>
        <v>3.2976485281983505</v>
      </c>
      <c r="G91" s="73">
        <f t="shared" ref="G91:AL91" si="173">IF(G64="","",G37/(1+ INDEX($C$3:$C$6,MATCH($A91,$B$3:$B$6,0))/100)^G64)</f>
        <v>5.3326858130849679</v>
      </c>
      <c r="H91" s="73">
        <f t="shared" si="173"/>
        <v>5.051554508391682</v>
      </c>
      <c r="I91" s="73">
        <f t="shared" si="173"/>
        <v>4.7894713964872464</v>
      </c>
      <c r="J91" s="73">
        <f t="shared" si="173"/>
        <v>4.5369775519817699</v>
      </c>
      <c r="K91" s="73">
        <f t="shared" si="173"/>
        <v>4.3015915547627621</v>
      </c>
      <c r="L91" s="73">
        <f t="shared" si="173"/>
        <v>4.074818013542548</v>
      </c>
      <c r="M91" s="73">
        <f t="shared" si="173"/>
        <v>8.5268531003929482</v>
      </c>
      <c r="N91" s="73">
        <f t="shared" si="173"/>
        <v>7.894397056474066</v>
      </c>
      <c r="O91" s="73">
        <f t="shared" si="173"/>
        <v>7.3113804121300783</v>
      </c>
      <c r="P91" s="73">
        <f t="shared" si="173"/>
        <v>6.761636769215472</v>
      </c>
      <c r="Q91" s="73">
        <f t="shared" si="173"/>
        <v>6.2550573180718958</v>
      </c>
      <c r="R91" s="73">
        <f t="shared" si="173"/>
        <v>5.777737742492441</v>
      </c>
      <c r="S91" s="73">
        <f t="shared" si="173"/>
        <v>5.3380725922877383</v>
      </c>
      <c r="T91" s="73">
        <f t="shared" si="173"/>
        <v>4.9241265294276308</v>
      </c>
      <c r="U91" s="73">
        <f t="shared" si="173"/>
        <v>4.5416627375651597</v>
      </c>
      <c r="V91" s="73">
        <f t="shared" si="173"/>
        <v>4.183237511038965</v>
      </c>
      <c r="W91" s="73">
        <f t="shared" si="173"/>
        <v>3.8533823373232305</v>
      </c>
      <c r="X91" s="73">
        <f t="shared" si="173"/>
        <v>3.5433637187335636</v>
      </c>
      <c r="Y91" s="73">
        <f t="shared" si="173"/>
        <v>3.2581988703615585</v>
      </c>
      <c r="Z91" s="73">
        <f t="shared" si="173"/>
        <v>2.9904441713532592</v>
      </c>
      <c r="AA91" s="73">
        <f t="shared" si="173"/>
        <v>2.7442876218053143</v>
      </c>
      <c r="AB91" s="73">
        <f t="shared" si="173"/>
        <v>2.5134033139796097</v>
      </c>
      <c r="AC91" s="73">
        <f t="shared" si="173"/>
        <v>2.3005896472840748</v>
      </c>
      <c r="AD91" s="73">
        <f t="shared" si="173"/>
        <v>2.101900966400982</v>
      </c>
      <c r="AE91" s="73">
        <f t="shared" si="173"/>
        <v>1.9194617244049899</v>
      </c>
      <c r="AF91" s="73">
        <f t="shared" si="173"/>
        <v>1.7487504093149182</v>
      </c>
      <c r="AG91" s="73" t="str">
        <f t="shared" si="173"/>
        <v/>
      </c>
      <c r="AH91" s="73" t="str">
        <f t="shared" si="173"/>
        <v/>
      </c>
      <c r="AI91" s="73" t="str">
        <f t="shared" si="173"/>
        <v/>
      </c>
      <c r="AJ91" s="73" t="str">
        <f t="shared" si="173"/>
        <v/>
      </c>
      <c r="AK91" s="73" t="str">
        <f t="shared" si="173"/>
        <v/>
      </c>
      <c r="AL91" s="73" t="str">
        <f t="shared" si="173"/>
        <v/>
      </c>
      <c r="AM91" s="73" t="str">
        <f t="shared" ref="AM91:BR91" si="174">IF(AM64="","",AM37/(1+ INDEX($C$3:$C$6,MATCH($A91,$B$3:$B$6,0))/100)^AM64)</f>
        <v/>
      </c>
      <c r="AN91" s="73" t="str">
        <f t="shared" si="174"/>
        <v/>
      </c>
      <c r="AO91" s="73" t="str">
        <f t="shared" si="174"/>
        <v/>
      </c>
      <c r="AP91" s="73" t="str">
        <f t="shared" si="174"/>
        <v/>
      </c>
      <c r="AQ91" s="73" t="str">
        <f t="shared" si="174"/>
        <v/>
      </c>
      <c r="AR91" s="73" t="str">
        <f t="shared" si="174"/>
        <v/>
      </c>
      <c r="AS91" s="73" t="str">
        <f t="shared" si="174"/>
        <v/>
      </c>
      <c r="AT91" s="73" t="str">
        <f t="shared" si="174"/>
        <v/>
      </c>
      <c r="AU91" s="73" t="str">
        <f t="shared" si="174"/>
        <v/>
      </c>
      <c r="AV91" s="73" t="str">
        <f t="shared" si="174"/>
        <v/>
      </c>
      <c r="AW91" s="73" t="str">
        <f t="shared" si="174"/>
        <v/>
      </c>
      <c r="AX91" s="73" t="str">
        <f t="shared" si="174"/>
        <v/>
      </c>
      <c r="AY91" s="73" t="str">
        <f t="shared" si="174"/>
        <v/>
      </c>
      <c r="AZ91" s="73" t="str">
        <f t="shared" si="174"/>
        <v/>
      </c>
      <c r="BA91" s="73" t="str">
        <f t="shared" si="174"/>
        <v/>
      </c>
      <c r="BB91" s="73" t="str">
        <f t="shared" si="174"/>
        <v/>
      </c>
      <c r="BC91" s="73" t="str">
        <f t="shared" si="174"/>
        <v/>
      </c>
      <c r="BD91" s="73" t="str">
        <f t="shared" si="174"/>
        <v/>
      </c>
      <c r="BE91" s="73" t="str">
        <f t="shared" si="174"/>
        <v/>
      </c>
      <c r="BF91" s="73" t="str">
        <f t="shared" si="174"/>
        <v/>
      </c>
      <c r="BG91" s="73" t="str">
        <f t="shared" si="174"/>
        <v/>
      </c>
      <c r="BH91" s="73" t="str">
        <f t="shared" si="174"/>
        <v/>
      </c>
      <c r="BI91" s="73" t="str">
        <f t="shared" si="174"/>
        <v/>
      </c>
      <c r="BJ91" s="73" t="str">
        <f t="shared" si="174"/>
        <v/>
      </c>
      <c r="BK91" s="73" t="str">
        <f t="shared" si="174"/>
        <v/>
      </c>
      <c r="BL91" s="73" t="str">
        <f t="shared" si="174"/>
        <v/>
      </c>
      <c r="BM91" s="73" t="str">
        <f t="shared" si="174"/>
        <v/>
      </c>
      <c r="BN91" s="73" t="str">
        <f t="shared" si="174"/>
        <v/>
      </c>
      <c r="BO91" s="73" t="str">
        <f t="shared" si="174"/>
        <v/>
      </c>
      <c r="BP91" s="73" t="str">
        <f t="shared" si="174"/>
        <v/>
      </c>
      <c r="BQ91" s="73" t="str">
        <f t="shared" si="174"/>
        <v/>
      </c>
      <c r="BR91" s="73" t="str">
        <f t="shared" si="174"/>
        <v/>
      </c>
      <c r="BS91" s="73" t="str">
        <f t="shared" ref="BS91:CX91" si="175">IF(BS64="","",BS37/(1+ INDEX($C$3:$C$6,MATCH($A91,$B$3:$B$6,0))/100)^BS64)</f>
        <v/>
      </c>
      <c r="BT91" s="73" t="str">
        <f t="shared" si="175"/>
        <v/>
      </c>
      <c r="BU91" s="73" t="str">
        <f t="shared" si="175"/>
        <v/>
      </c>
      <c r="BV91" s="73" t="str">
        <f t="shared" si="175"/>
        <v/>
      </c>
      <c r="BW91" s="73" t="str">
        <f t="shared" si="175"/>
        <v/>
      </c>
      <c r="BX91" s="73" t="str">
        <f t="shared" si="175"/>
        <v/>
      </c>
      <c r="BY91" s="73" t="str">
        <f t="shared" si="175"/>
        <v/>
      </c>
      <c r="BZ91" s="73" t="str">
        <f t="shared" si="175"/>
        <v/>
      </c>
      <c r="CA91" s="73" t="str">
        <f t="shared" si="175"/>
        <v/>
      </c>
      <c r="CB91" s="73" t="str">
        <f t="shared" si="175"/>
        <v/>
      </c>
      <c r="CC91" s="73" t="str">
        <f t="shared" si="175"/>
        <v/>
      </c>
      <c r="CD91" s="73" t="str">
        <f t="shared" si="175"/>
        <v/>
      </c>
      <c r="CE91" s="73" t="str">
        <f t="shared" si="175"/>
        <v/>
      </c>
      <c r="CF91" s="73" t="str">
        <f t="shared" si="175"/>
        <v/>
      </c>
      <c r="CG91" s="73" t="str">
        <f t="shared" si="175"/>
        <v/>
      </c>
      <c r="CH91" s="73" t="str">
        <f t="shared" si="175"/>
        <v/>
      </c>
      <c r="CI91" s="73" t="str">
        <f t="shared" si="175"/>
        <v/>
      </c>
      <c r="CJ91" s="73" t="str">
        <f t="shared" si="175"/>
        <v/>
      </c>
      <c r="CK91" s="73" t="str">
        <f t="shared" si="175"/>
        <v/>
      </c>
      <c r="CL91" s="73" t="str">
        <f t="shared" si="175"/>
        <v/>
      </c>
      <c r="CM91" s="73" t="str">
        <f t="shared" si="175"/>
        <v/>
      </c>
      <c r="CN91" s="73" t="str">
        <f t="shared" si="175"/>
        <v/>
      </c>
      <c r="CO91" s="73" t="str">
        <f t="shared" si="175"/>
        <v/>
      </c>
      <c r="CP91" s="73" t="str">
        <f t="shared" si="175"/>
        <v/>
      </c>
      <c r="CQ91" s="73" t="str">
        <f t="shared" si="175"/>
        <v/>
      </c>
      <c r="CR91" s="73" t="str">
        <f t="shared" si="175"/>
        <v/>
      </c>
      <c r="CS91" s="73" t="str">
        <f t="shared" si="175"/>
        <v/>
      </c>
      <c r="CT91" s="73" t="str">
        <f t="shared" si="175"/>
        <v/>
      </c>
      <c r="CU91" s="73" t="str">
        <f t="shared" si="175"/>
        <v/>
      </c>
      <c r="CV91" s="73" t="str">
        <f t="shared" si="175"/>
        <v/>
      </c>
      <c r="CW91" s="73" t="str">
        <f t="shared" si="175"/>
        <v/>
      </c>
      <c r="CX91" s="73" t="str">
        <f t="shared" si="175"/>
        <v/>
      </c>
      <c r="CY91" s="73" t="str">
        <f t="shared" ref="CY91:ED91" si="176">IF(CY64="","",CY37/(1+ INDEX($C$3:$C$6,MATCH($A91,$B$3:$B$6,0))/100)^CY64)</f>
        <v/>
      </c>
      <c r="CZ91" s="73" t="str">
        <f t="shared" si="176"/>
        <v/>
      </c>
      <c r="DA91" s="73" t="str">
        <f t="shared" si="176"/>
        <v/>
      </c>
      <c r="DB91" s="73" t="str">
        <f t="shared" si="176"/>
        <v/>
      </c>
      <c r="DC91" s="73" t="str">
        <f t="shared" si="176"/>
        <v/>
      </c>
      <c r="DD91" s="73" t="str">
        <f t="shared" si="176"/>
        <v/>
      </c>
      <c r="DE91" s="73" t="str">
        <f t="shared" si="176"/>
        <v/>
      </c>
      <c r="DF91" s="73" t="str">
        <f t="shared" si="176"/>
        <v/>
      </c>
      <c r="DG91" s="73" t="str">
        <f t="shared" si="176"/>
        <v/>
      </c>
      <c r="DH91" s="73" t="str">
        <f t="shared" si="176"/>
        <v/>
      </c>
      <c r="DI91" s="73" t="str">
        <f t="shared" si="176"/>
        <v/>
      </c>
      <c r="DJ91" s="73" t="str">
        <f t="shared" si="176"/>
        <v/>
      </c>
      <c r="DK91" s="73" t="str">
        <f t="shared" si="176"/>
        <v/>
      </c>
      <c r="DL91" s="73" t="str">
        <f t="shared" si="176"/>
        <v/>
      </c>
      <c r="DM91" s="73" t="str">
        <f t="shared" si="176"/>
        <v/>
      </c>
      <c r="DN91" s="73" t="str">
        <f t="shared" si="176"/>
        <v/>
      </c>
      <c r="DO91" s="73" t="str">
        <f t="shared" si="176"/>
        <v/>
      </c>
      <c r="DP91" s="73" t="str">
        <f t="shared" si="176"/>
        <v/>
      </c>
      <c r="DQ91" s="73" t="str">
        <f t="shared" si="176"/>
        <v/>
      </c>
      <c r="DR91" s="73" t="str">
        <f t="shared" si="176"/>
        <v/>
      </c>
      <c r="DS91" s="73" t="str">
        <f t="shared" si="176"/>
        <v/>
      </c>
      <c r="DT91" s="73" t="str">
        <f t="shared" si="176"/>
        <v/>
      </c>
      <c r="DU91" s="73" t="str">
        <f t="shared" si="176"/>
        <v/>
      </c>
      <c r="DV91" s="73" t="str">
        <f t="shared" si="176"/>
        <v/>
      </c>
      <c r="DW91" s="73" t="str">
        <f t="shared" si="176"/>
        <v/>
      </c>
      <c r="DX91" s="73" t="str">
        <f t="shared" si="176"/>
        <v/>
      </c>
      <c r="DY91" s="73" t="str">
        <f t="shared" si="176"/>
        <v/>
      </c>
      <c r="DZ91" s="73" t="str">
        <f t="shared" si="176"/>
        <v/>
      </c>
      <c r="EA91" s="73" t="str">
        <f t="shared" si="176"/>
        <v/>
      </c>
      <c r="EB91" s="73" t="str">
        <f t="shared" si="176"/>
        <v/>
      </c>
      <c r="EC91" s="73" t="str">
        <f t="shared" si="176"/>
        <v/>
      </c>
      <c r="ED91" s="73" t="str">
        <f t="shared" si="176"/>
        <v/>
      </c>
      <c r="EE91" s="73" t="str">
        <f t="shared" ref="EE91:FJ91" si="177">IF(EE64="","",EE37/(1+ INDEX($C$3:$C$6,MATCH($A91,$B$3:$B$6,0))/100)^EE64)</f>
        <v/>
      </c>
      <c r="EF91" s="73" t="str">
        <f t="shared" si="177"/>
        <v/>
      </c>
      <c r="EG91" s="73" t="str">
        <f t="shared" si="177"/>
        <v/>
      </c>
      <c r="EH91" s="73" t="str">
        <f t="shared" si="177"/>
        <v/>
      </c>
      <c r="EI91" s="73" t="str">
        <f t="shared" si="177"/>
        <v/>
      </c>
      <c r="EJ91" s="73" t="str">
        <f t="shared" si="177"/>
        <v/>
      </c>
      <c r="EK91" s="73" t="str">
        <f t="shared" si="177"/>
        <v/>
      </c>
      <c r="EL91" s="73" t="str">
        <f t="shared" si="177"/>
        <v/>
      </c>
      <c r="EM91" s="73" t="str">
        <f t="shared" si="177"/>
        <v/>
      </c>
      <c r="EN91" s="73" t="str">
        <f t="shared" si="177"/>
        <v/>
      </c>
      <c r="EO91" s="73" t="str">
        <f t="shared" si="177"/>
        <v/>
      </c>
      <c r="EP91" s="73" t="str">
        <f t="shared" si="177"/>
        <v/>
      </c>
      <c r="EQ91" s="73" t="str">
        <f t="shared" si="177"/>
        <v/>
      </c>
      <c r="ER91" s="73" t="str">
        <f t="shared" si="177"/>
        <v/>
      </c>
      <c r="ES91" s="73" t="str">
        <f t="shared" si="177"/>
        <v/>
      </c>
      <c r="ET91" s="73" t="str">
        <f t="shared" si="177"/>
        <v/>
      </c>
      <c r="EU91" s="73" t="str">
        <f t="shared" si="177"/>
        <v/>
      </c>
      <c r="EV91" s="73" t="str">
        <f t="shared" si="177"/>
        <v/>
      </c>
      <c r="EW91" s="73" t="str">
        <f t="shared" si="177"/>
        <v/>
      </c>
      <c r="EX91" s="73" t="str">
        <f t="shared" si="177"/>
        <v/>
      </c>
      <c r="EY91" s="73" t="str">
        <f t="shared" si="177"/>
        <v/>
      </c>
      <c r="EZ91" s="73" t="str">
        <f t="shared" si="177"/>
        <v/>
      </c>
      <c r="FA91" s="73" t="str">
        <f t="shared" si="177"/>
        <v/>
      </c>
      <c r="FB91" s="73" t="str">
        <f t="shared" si="177"/>
        <v/>
      </c>
      <c r="FC91" s="73" t="str">
        <f t="shared" si="177"/>
        <v/>
      </c>
      <c r="FD91" s="73" t="str">
        <f t="shared" si="177"/>
        <v/>
      </c>
      <c r="FE91" s="73" t="str">
        <f t="shared" si="177"/>
        <v/>
      </c>
      <c r="FF91" s="73" t="str">
        <f t="shared" si="177"/>
        <v/>
      </c>
      <c r="FG91" s="73" t="str">
        <f t="shared" si="177"/>
        <v/>
      </c>
      <c r="FH91" s="73" t="str">
        <f t="shared" si="177"/>
        <v/>
      </c>
      <c r="FI91" s="73" t="str">
        <f t="shared" si="177"/>
        <v/>
      </c>
      <c r="FJ91" s="73" t="str">
        <f t="shared" si="177"/>
        <v/>
      </c>
      <c r="FK91" s="73" t="str">
        <f t="shared" ref="FK91:GQ91" si="178">IF(FK64="","",FK37/(1+ INDEX($C$3:$C$6,MATCH($A91,$B$3:$B$6,0))/100)^FK64)</f>
        <v/>
      </c>
      <c r="FL91" s="73" t="str">
        <f t="shared" si="178"/>
        <v/>
      </c>
      <c r="FM91" s="73" t="str">
        <f t="shared" si="178"/>
        <v/>
      </c>
      <c r="FN91" s="73" t="str">
        <f t="shared" si="178"/>
        <v/>
      </c>
      <c r="FO91" s="73" t="str">
        <f t="shared" si="178"/>
        <v/>
      </c>
      <c r="FP91" s="73" t="str">
        <f t="shared" si="178"/>
        <v/>
      </c>
      <c r="FQ91" s="73" t="str">
        <f t="shared" si="178"/>
        <v/>
      </c>
      <c r="FR91" s="73" t="str">
        <f t="shared" si="178"/>
        <v/>
      </c>
      <c r="FS91" s="73" t="str">
        <f t="shared" si="178"/>
        <v/>
      </c>
      <c r="FT91" s="73" t="str">
        <f t="shared" si="178"/>
        <v/>
      </c>
      <c r="FU91" s="73" t="str">
        <f t="shared" si="178"/>
        <v/>
      </c>
      <c r="FV91" s="73" t="str">
        <f t="shared" si="178"/>
        <v/>
      </c>
      <c r="FW91" s="73" t="str">
        <f t="shared" si="178"/>
        <v/>
      </c>
      <c r="FX91" s="73" t="str">
        <f t="shared" si="178"/>
        <v/>
      </c>
      <c r="FY91" s="73" t="str">
        <f t="shared" si="178"/>
        <v/>
      </c>
      <c r="FZ91" s="73" t="str">
        <f t="shared" si="178"/>
        <v/>
      </c>
      <c r="GA91" s="73" t="str">
        <f t="shared" si="178"/>
        <v/>
      </c>
      <c r="GB91" s="73" t="str">
        <f t="shared" si="178"/>
        <v/>
      </c>
      <c r="GC91" s="73" t="str">
        <f t="shared" si="178"/>
        <v/>
      </c>
      <c r="GD91" s="73" t="str">
        <f t="shared" si="178"/>
        <v/>
      </c>
      <c r="GE91" s="73" t="str">
        <f t="shared" si="178"/>
        <v/>
      </c>
      <c r="GF91" s="73" t="str">
        <f t="shared" si="178"/>
        <v/>
      </c>
      <c r="GG91" s="73" t="str">
        <f t="shared" si="178"/>
        <v/>
      </c>
      <c r="GH91" s="73" t="str">
        <f t="shared" si="178"/>
        <v/>
      </c>
      <c r="GI91" s="73" t="str">
        <f t="shared" si="178"/>
        <v/>
      </c>
      <c r="GJ91" s="73" t="str">
        <f t="shared" si="178"/>
        <v/>
      </c>
      <c r="GK91" s="73" t="str">
        <f t="shared" si="178"/>
        <v/>
      </c>
      <c r="GL91" s="73" t="str">
        <f t="shared" si="178"/>
        <v/>
      </c>
      <c r="GM91" s="73" t="str">
        <f t="shared" si="178"/>
        <v/>
      </c>
      <c r="GN91" s="73" t="str">
        <f t="shared" si="178"/>
        <v/>
      </c>
      <c r="GO91" s="73" t="str">
        <f t="shared" si="178"/>
        <v/>
      </c>
      <c r="GP91" s="73" t="str">
        <f t="shared" si="178"/>
        <v/>
      </c>
      <c r="GQ91" s="73" t="str">
        <f t="shared" si="178"/>
        <v/>
      </c>
    </row>
    <row r="92" spans="1:199" x14ac:dyDescent="0.2">
      <c r="A92" t="s">
        <v>219</v>
      </c>
      <c r="B92" t="s">
        <v>12</v>
      </c>
      <c r="C92" t="str">
        <f t="shared" ref="C92:C115" si="179">C65</f>
        <v>USD 2033 Discount II and III</v>
      </c>
      <c r="E92" s="73" t="str">
        <f t="shared" si="171"/>
        <v/>
      </c>
      <c r="F92" s="103">
        <f t="shared" si="172"/>
        <v>3.2976485281983505</v>
      </c>
      <c r="G92" s="73">
        <f t="shared" ref="G92:AL92" si="180">IF(G65="","",G38/(1+ INDEX($C$3:$C$6,MATCH($A92,$B$3:$B$6,0))/100)^G65)</f>
        <v>5.3326858130849679</v>
      </c>
      <c r="H92" s="73">
        <f t="shared" si="180"/>
        <v>5.051554508391682</v>
      </c>
      <c r="I92" s="73">
        <f t="shared" si="180"/>
        <v>4.7894713964872464</v>
      </c>
      <c r="J92" s="73">
        <f t="shared" si="180"/>
        <v>4.5369775519817699</v>
      </c>
      <c r="K92" s="73">
        <f t="shared" si="180"/>
        <v>4.3015915547627621</v>
      </c>
      <c r="L92" s="73">
        <f t="shared" si="180"/>
        <v>4.074818013542548</v>
      </c>
      <c r="M92" s="73">
        <f t="shared" si="180"/>
        <v>8.5268531003929482</v>
      </c>
      <c r="N92" s="73">
        <f t="shared" si="180"/>
        <v>7.894397056474066</v>
      </c>
      <c r="O92" s="73">
        <f t="shared" si="180"/>
        <v>7.3113804121300783</v>
      </c>
      <c r="P92" s="73">
        <f t="shared" si="180"/>
        <v>6.761636769215472</v>
      </c>
      <c r="Q92" s="73">
        <f t="shared" si="180"/>
        <v>6.2550573180718958</v>
      </c>
      <c r="R92" s="73">
        <f t="shared" si="180"/>
        <v>5.777737742492441</v>
      </c>
      <c r="S92" s="73">
        <f t="shared" si="180"/>
        <v>5.3380725922877383</v>
      </c>
      <c r="T92" s="73">
        <f t="shared" si="180"/>
        <v>4.9241265294276308</v>
      </c>
      <c r="U92" s="73">
        <f t="shared" si="180"/>
        <v>4.5416627375651597</v>
      </c>
      <c r="V92" s="73">
        <f t="shared" si="180"/>
        <v>4.183237511038965</v>
      </c>
      <c r="W92" s="73">
        <f t="shared" si="180"/>
        <v>3.8533823373232305</v>
      </c>
      <c r="X92" s="73">
        <f t="shared" si="180"/>
        <v>3.5433637187335636</v>
      </c>
      <c r="Y92" s="73">
        <f t="shared" si="180"/>
        <v>3.2581988703615585</v>
      </c>
      <c r="Z92" s="73">
        <f t="shared" si="180"/>
        <v>2.9904441713532592</v>
      </c>
      <c r="AA92" s="73">
        <f t="shared" si="180"/>
        <v>2.7442876218053143</v>
      </c>
      <c r="AB92" s="73">
        <f t="shared" si="180"/>
        <v>2.5134033139796097</v>
      </c>
      <c r="AC92" s="73">
        <f t="shared" si="180"/>
        <v>2.3005896472840748</v>
      </c>
      <c r="AD92" s="73">
        <f t="shared" si="180"/>
        <v>2.101900966400982</v>
      </c>
      <c r="AE92" s="73">
        <f t="shared" si="180"/>
        <v>1.9194617244049899</v>
      </c>
      <c r="AF92" s="73">
        <f t="shared" si="180"/>
        <v>1.7487504093149182</v>
      </c>
      <c r="AG92" s="73" t="str">
        <f t="shared" si="180"/>
        <v/>
      </c>
      <c r="AH92" s="73" t="str">
        <f t="shared" si="180"/>
        <v/>
      </c>
      <c r="AI92" s="73" t="str">
        <f t="shared" si="180"/>
        <v/>
      </c>
      <c r="AJ92" s="73" t="str">
        <f t="shared" si="180"/>
        <v/>
      </c>
      <c r="AK92" s="73" t="str">
        <f t="shared" si="180"/>
        <v/>
      </c>
      <c r="AL92" s="73" t="str">
        <f t="shared" si="180"/>
        <v/>
      </c>
      <c r="AM92" s="73" t="str">
        <f t="shared" ref="AM92:BR92" si="181">IF(AM65="","",AM38/(1+ INDEX($C$3:$C$6,MATCH($A92,$B$3:$B$6,0))/100)^AM65)</f>
        <v/>
      </c>
      <c r="AN92" s="73" t="str">
        <f t="shared" si="181"/>
        <v/>
      </c>
      <c r="AO92" s="73" t="str">
        <f t="shared" si="181"/>
        <v/>
      </c>
      <c r="AP92" s="73" t="str">
        <f t="shared" si="181"/>
        <v/>
      </c>
      <c r="AQ92" s="73" t="str">
        <f t="shared" si="181"/>
        <v/>
      </c>
      <c r="AR92" s="73" t="str">
        <f t="shared" si="181"/>
        <v/>
      </c>
      <c r="AS92" s="73" t="str">
        <f t="shared" si="181"/>
        <v/>
      </c>
      <c r="AT92" s="73" t="str">
        <f t="shared" si="181"/>
        <v/>
      </c>
      <c r="AU92" s="73" t="str">
        <f t="shared" si="181"/>
        <v/>
      </c>
      <c r="AV92" s="73" t="str">
        <f t="shared" si="181"/>
        <v/>
      </c>
      <c r="AW92" s="73" t="str">
        <f t="shared" si="181"/>
        <v/>
      </c>
      <c r="AX92" s="73" t="str">
        <f t="shared" si="181"/>
        <v/>
      </c>
      <c r="AY92" s="73" t="str">
        <f t="shared" si="181"/>
        <v/>
      </c>
      <c r="AZ92" s="73" t="str">
        <f t="shared" si="181"/>
        <v/>
      </c>
      <c r="BA92" s="73" t="str">
        <f t="shared" si="181"/>
        <v/>
      </c>
      <c r="BB92" s="73" t="str">
        <f t="shared" si="181"/>
        <v/>
      </c>
      <c r="BC92" s="73" t="str">
        <f t="shared" si="181"/>
        <v/>
      </c>
      <c r="BD92" s="73" t="str">
        <f t="shared" si="181"/>
        <v/>
      </c>
      <c r="BE92" s="73" t="str">
        <f t="shared" si="181"/>
        <v/>
      </c>
      <c r="BF92" s="73" t="str">
        <f t="shared" si="181"/>
        <v/>
      </c>
      <c r="BG92" s="73" t="str">
        <f t="shared" si="181"/>
        <v/>
      </c>
      <c r="BH92" s="73" t="str">
        <f t="shared" si="181"/>
        <v/>
      </c>
      <c r="BI92" s="73" t="str">
        <f t="shared" si="181"/>
        <v/>
      </c>
      <c r="BJ92" s="73" t="str">
        <f t="shared" si="181"/>
        <v/>
      </c>
      <c r="BK92" s="73" t="str">
        <f t="shared" si="181"/>
        <v/>
      </c>
      <c r="BL92" s="73" t="str">
        <f t="shared" si="181"/>
        <v/>
      </c>
      <c r="BM92" s="73" t="str">
        <f t="shared" si="181"/>
        <v/>
      </c>
      <c r="BN92" s="73" t="str">
        <f t="shared" si="181"/>
        <v/>
      </c>
      <c r="BO92" s="73" t="str">
        <f t="shared" si="181"/>
        <v/>
      </c>
      <c r="BP92" s="73" t="str">
        <f t="shared" si="181"/>
        <v/>
      </c>
      <c r="BQ92" s="73" t="str">
        <f t="shared" si="181"/>
        <v/>
      </c>
      <c r="BR92" s="73" t="str">
        <f t="shared" si="181"/>
        <v/>
      </c>
      <c r="BS92" s="73" t="str">
        <f t="shared" ref="BS92:CX92" si="182">IF(BS65="","",BS38/(1+ INDEX($C$3:$C$6,MATCH($A92,$B$3:$B$6,0))/100)^BS65)</f>
        <v/>
      </c>
      <c r="BT92" s="73" t="str">
        <f t="shared" si="182"/>
        <v/>
      </c>
      <c r="BU92" s="73" t="str">
        <f t="shared" si="182"/>
        <v/>
      </c>
      <c r="BV92" s="73" t="str">
        <f t="shared" si="182"/>
        <v/>
      </c>
      <c r="BW92" s="73" t="str">
        <f t="shared" si="182"/>
        <v/>
      </c>
      <c r="BX92" s="73" t="str">
        <f t="shared" si="182"/>
        <v/>
      </c>
      <c r="BY92" s="73" t="str">
        <f t="shared" si="182"/>
        <v/>
      </c>
      <c r="BZ92" s="73" t="str">
        <f t="shared" si="182"/>
        <v/>
      </c>
      <c r="CA92" s="73" t="str">
        <f t="shared" si="182"/>
        <v/>
      </c>
      <c r="CB92" s="73" t="str">
        <f t="shared" si="182"/>
        <v/>
      </c>
      <c r="CC92" s="73" t="str">
        <f t="shared" si="182"/>
        <v/>
      </c>
      <c r="CD92" s="73" t="str">
        <f t="shared" si="182"/>
        <v/>
      </c>
      <c r="CE92" s="73" t="str">
        <f t="shared" si="182"/>
        <v/>
      </c>
      <c r="CF92" s="73" t="str">
        <f t="shared" si="182"/>
        <v/>
      </c>
      <c r="CG92" s="73" t="str">
        <f t="shared" si="182"/>
        <v/>
      </c>
      <c r="CH92" s="73" t="str">
        <f t="shared" si="182"/>
        <v/>
      </c>
      <c r="CI92" s="73" t="str">
        <f t="shared" si="182"/>
        <v/>
      </c>
      <c r="CJ92" s="73" t="str">
        <f t="shared" si="182"/>
        <v/>
      </c>
      <c r="CK92" s="73" t="str">
        <f t="shared" si="182"/>
        <v/>
      </c>
      <c r="CL92" s="73" t="str">
        <f t="shared" si="182"/>
        <v/>
      </c>
      <c r="CM92" s="73" t="str">
        <f t="shared" si="182"/>
        <v/>
      </c>
      <c r="CN92" s="73" t="str">
        <f t="shared" si="182"/>
        <v/>
      </c>
      <c r="CO92" s="73" t="str">
        <f t="shared" si="182"/>
        <v/>
      </c>
      <c r="CP92" s="73" t="str">
        <f t="shared" si="182"/>
        <v/>
      </c>
      <c r="CQ92" s="73" t="str">
        <f t="shared" si="182"/>
        <v/>
      </c>
      <c r="CR92" s="73" t="str">
        <f t="shared" si="182"/>
        <v/>
      </c>
      <c r="CS92" s="73" t="str">
        <f t="shared" si="182"/>
        <v/>
      </c>
      <c r="CT92" s="73" t="str">
        <f t="shared" si="182"/>
        <v/>
      </c>
      <c r="CU92" s="73" t="str">
        <f t="shared" si="182"/>
        <v/>
      </c>
      <c r="CV92" s="73" t="str">
        <f t="shared" si="182"/>
        <v/>
      </c>
      <c r="CW92" s="73" t="str">
        <f t="shared" si="182"/>
        <v/>
      </c>
      <c r="CX92" s="73" t="str">
        <f t="shared" si="182"/>
        <v/>
      </c>
      <c r="CY92" s="73" t="str">
        <f t="shared" ref="CY92:ED92" si="183">IF(CY65="","",CY38/(1+ INDEX($C$3:$C$6,MATCH($A92,$B$3:$B$6,0))/100)^CY65)</f>
        <v/>
      </c>
      <c r="CZ92" s="73" t="str">
        <f t="shared" si="183"/>
        <v/>
      </c>
      <c r="DA92" s="73" t="str">
        <f t="shared" si="183"/>
        <v/>
      </c>
      <c r="DB92" s="73" t="str">
        <f t="shared" si="183"/>
        <v/>
      </c>
      <c r="DC92" s="73" t="str">
        <f t="shared" si="183"/>
        <v/>
      </c>
      <c r="DD92" s="73" t="str">
        <f t="shared" si="183"/>
        <v/>
      </c>
      <c r="DE92" s="73" t="str">
        <f t="shared" si="183"/>
        <v/>
      </c>
      <c r="DF92" s="73" t="str">
        <f t="shared" si="183"/>
        <v/>
      </c>
      <c r="DG92" s="73" t="str">
        <f t="shared" si="183"/>
        <v/>
      </c>
      <c r="DH92" s="73" t="str">
        <f t="shared" si="183"/>
        <v/>
      </c>
      <c r="DI92" s="73" t="str">
        <f t="shared" si="183"/>
        <v/>
      </c>
      <c r="DJ92" s="73" t="str">
        <f t="shared" si="183"/>
        <v/>
      </c>
      <c r="DK92" s="73" t="str">
        <f t="shared" si="183"/>
        <v/>
      </c>
      <c r="DL92" s="73" t="str">
        <f t="shared" si="183"/>
        <v/>
      </c>
      <c r="DM92" s="73" t="str">
        <f t="shared" si="183"/>
        <v/>
      </c>
      <c r="DN92" s="73" t="str">
        <f t="shared" si="183"/>
        <v/>
      </c>
      <c r="DO92" s="73" t="str">
        <f t="shared" si="183"/>
        <v/>
      </c>
      <c r="DP92" s="73" t="str">
        <f t="shared" si="183"/>
        <v/>
      </c>
      <c r="DQ92" s="73" t="str">
        <f t="shared" si="183"/>
        <v/>
      </c>
      <c r="DR92" s="73" t="str">
        <f t="shared" si="183"/>
        <v/>
      </c>
      <c r="DS92" s="73" t="str">
        <f t="shared" si="183"/>
        <v/>
      </c>
      <c r="DT92" s="73" t="str">
        <f t="shared" si="183"/>
        <v/>
      </c>
      <c r="DU92" s="73" t="str">
        <f t="shared" si="183"/>
        <v/>
      </c>
      <c r="DV92" s="73" t="str">
        <f t="shared" si="183"/>
        <v/>
      </c>
      <c r="DW92" s="73" t="str">
        <f t="shared" si="183"/>
        <v/>
      </c>
      <c r="DX92" s="73" t="str">
        <f t="shared" si="183"/>
        <v/>
      </c>
      <c r="DY92" s="73" t="str">
        <f t="shared" si="183"/>
        <v/>
      </c>
      <c r="DZ92" s="73" t="str">
        <f t="shared" si="183"/>
        <v/>
      </c>
      <c r="EA92" s="73" t="str">
        <f t="shared" si="183"/>
        <v/>
      </c>
      <c r="EB92" s="73" t="str">
        <f t="shared" si="183"/>
        <v/>
      </c>
      <c r="EC92" s="73" t="str">
        <f t="shared" si="183"/>
        <v/>
      </c>
      <c r="ED92" s="73" t="str">
        <f t="shared" si="183"/>
        <v/>
      </c>
      <c r="EE92" s="73" t="str">
        <f t="shared" ref="EE92:FJ92" si="184">IF(EE65="","",EE38/(1+ INDEX($C$3:$C$6,MATCH($A92,$B$3:$B$6,0))/100)^EE65)</f>
        <v/>
      </c>
      <c r="EF92" s="73" t="str">
        <f t="shared" si="184"/>
        <v/>
      </c>
      <c r="EG92" s="73" t="str">
        <f t="shared" si="184"/>
        <v/>
      </c>
      <c r="EH92" s="73" t="str">
        <f t="shared" si="184"/>
        <v/>
      </c>
      <c r="EI92" s="73" t="str">
        <f t="shared" si="184"/>
        <v/>
      </c>
      <c r="EJ92" s="73" t="str">
        <f t="shared" si="184"/>
        <v/>
      </c>
      <c r="EK92" s="73" t="str">
        <f t="shared" si="184"/>
        <v/>
      </c>
      <c r="EL92" s="73" t="str">
        <f t="shared" si="184"/>
        <v/>
      </c>
      <c r="EM92" s="73" t="str">
        <f t="shared" si="184"/>
        <v/>
      </c>
      <c r="EN92" s="73" t="str">
        <f t="shared" si="184"/>
        <v/>
      </c>
      <c r="EO92" s="73" t="str">
        <f t="shared" si="184"/>
        <v/>
      </c>
      <c r="EP92" s="73" t="str">
        <f t="shared" si="184"/>
        <v/>
      </c>
      <c r="EQ92" s="73" t="str">
        <f t="shared" si="184"/>
        <v/>
      </c>
      <c r="ER92" s="73" t="str">
        <f t="shared" si="184"/>
        <v/>
      </c>
      <c r="ES92" s="73" t="str">
        <f t="shared" si="184"/>
        <v/>
      </c>
      <c r="ET92" s="73" t="str">
        <f t="shared" si="184"/>
        <v/>
      </c>
      <c r="EU92" s="73" t="str">
        <f t="shared" si="184"/>
        <v/>
      </c>
      <c r="EV92" s="73" t="str">
        <f t="shared" si="184"/>
        <v/>
      </c>
      <c r="EW92" s="73" t="str">
        <f t="shared" si="184"/>
        <v/>
      </c>
      <c r="EX92" s="73" t="str">
        <f t="shared" si="184"/>
        <v/>
      </c>
      <c r="EY92" s="73" t="str">
        <f t="shared" si="184"/>
        <v/>
      </c>
      <c r="EZ92" s="73" t="str">
        <f t="shared" si="184"/>
        <v/>
      </c>
      <c r="FA92" s="73" t="str">
        <f t="shared" si="184"/>
        <v/>
      </c>
      <c r="FB92" s="73" t="str">
        <f t="shared" si="184"/>
        <v/>
      </c>
      <c r="FC92" s="73" t="str">
        <f t="shared" si="184"/>
        <v/>
      </c>
      <c r="FD92" s="73" t="str">
        <f t="shared" si="184"/>
        <v/>
      </c>
      <c r="FE92" s="73" t="str">
        <f t="shared" si="184"/>
        <v/>
      </c>
      <c r="FF92" s="73" t="str">
        <f t="shared" si="184"/>
        <v/>
      </c>
      <c r="FG92" s="73" t="str">
        <f t="shared" si="184"/>
        <v/>
      </c>
      <c r="FH92" s="73" t="str">
        <f t="shared" si="184"/>
        <v/>
      </c>
      <c r="FI92" s="73" t="str">
        <f t="shared" si="184"/>
        <v/>
      </c>
      <c r="FJ92" s="73" t="str">
        <f t="shared" si="184"/>
        <v/>
      </c>
      <c r="FK92" s="73" t="str">
        <f t="shared" ref="FK92:GQ92" si="185">IF(FK65="","",FK38/(1+ INDEX($C$3:$C$6,MATCH($A92,$B$3:$B$6,0))/100)^FK65)</f>
        <v/>
      </c>
      <c r="FL92" s="73" t="str">
        <f t="shared" si="185"/>
        <v/>
      </c>
      <c r="FM92" s="73" t="str">
        <f t="shared" si="185"/>
        <v/>
      </c>
      <c r="FN92" s="73" t="str">
        <f t="shared" si="185"/>
        <v/>
      </c>
      <c r="FO92" s="73" t="str">
        <f t="shared" si="185"/>
        <v/>
      </c>
      <c r="FP92" s="73" t="str">
        <f t="shared" si="185"/>
        <v/>
      </c>
      <c r="FQ92" s="73" t="str">
        <f t="shared" si="185"/>
        <v/>
      </c>
      <c r="FR92" s="73" t="str">
        <f t="shared" si="185"/>
        <v/>
      </c>
      <c r="FS92" s="73" t="str">
        <f t="shared" si="185"/>
        <v/>
      </c>
      <c r="FT92" s="73" t="str">
        <f t="shared" si="185"/>
        <v/>
      </c>
      <c r="FU92" s="73" t="str">
        <f t="shared" si="185"/>
        <v/>
      </c>
      <c r="FV92" s="73" t="str">
        <f t="shared" si="185"/>
        <v/>
      </c>
      <c r="FW92" s="73" t="str">
        <f t="shared" si="185"/>
        <v/>
      </c>
      <c r="FX92" s="73" t="str">
        <f t="shared" si="185"/>
        <v/>
      </c>
      <c r="FY92" s="73" t="str">
        <f t="shared" si="185"/>
        <v/>
      </c>
      <c r="FZ92" s="73" t="str">
        <f t="shared" si="185"/>
        <v/>
      </c>
      <c r="GA92" s="73" t="str">
        <f t="shared" si="185"/>
        <v/>
      </c>
      <c r="GB92" s="73" t="str">
        <f t="shared" si="185"/>
        <v/>
      </c>
      <c r="GC92" s="73" t="str">
        <f t="shared" si="185"/>
        <v/>
      </c>
      <c r="GD92" s="73" t="str">
        <f t="shared" si="185"/>
        <v/>
      </c>
      <c r="GE92" s="73" t="str">
        <f t="shared" si="185"/>
        <v/>
      </c>
      <c r="GF92" s="73" t="str">
        <f t="shared" si="185"/>
        <v/>
      </c>
      <c r="GG92" s="73" t="str">
        <f t="shared" si="185"/>
        <v/>
      </c>
      <c r="GH92" s="73" t="str">
        <f t="shared" si="185"/>
        <v/>
      </c>
      <c r="GI92" s="73" t="str">
        <f t="shared" si="185"/>
        <v/>
      </c>
      <c r="GJ92" s="73" t="str">
        <f t="shared" si="185"/>
        <v/>
      </c>
      <c r="GK92" s="73" t="str">
        <f t="shared" si="185"/>
        <v/>
      </c>
      <c r="GL92" s="73" t="str">
        <f t="shared" si="185"/>
        <v/>
      </c>
      <c r="GM92" s="73" t="str">
        <f t="shared" si="185"/>
        <v/>
      </c>
      <c r="GN92" s="73" t="str">
        <f t="shared" si="185"/>
        <v/>
      </c>
      <c r="GO92" s="73" t="str">
        <f t="shared" si="185"/>
        <v/>
      </c>
      <c r="GP92" s="73" t="str">
        <f t="shared" si="185"/>
        <v/>
      </c>
      <c r="GQ92" s="73" t="str">
        <f t="shared" si="185"/>
        <v/>
      </c>
    </row>
    <row r="93" spans="1:199" x14ac:dyDescent="0.2">
      <c r="A93" t="s">
        <v>219</v>
      </c>
      <c r="B93" t="s">
        <v>20</v>
      </c>
      <c r="C93" t="str">
        <f t="shared" si="179"/>
        <v>USD Par 2038 I</v>
      </c>
      <c r="E93" s="73" t="str">
        <f t="shared" si="171"/>
        <v/>
      </c>
      <c r="F93" s="103">
        <f t="shared" si="172"/>
        <v>0.15343067416048772</v>
      </c>
      <c r="G93" s="73">
        <f t="shared" ref="G93:AL93" si="186">IF(G66="","",G39/(1+ INDEX($C$3:$C$6,MATCH($A93,$B$3:$B$6,0))/100)^G66)</f>
        <v>1.7693693997371414</v>
      </c>
      <c r="H93" s="73">
        <f t="shared" si="186"/>
        <v>1.6765842804938513</v>
      </c>
      <c r="I93" s="73">
        <f t="shared" si="186"/>
        <v>1.5891324609950017</v>
      </c>
      <c r="J93" s="73">
        <f t="shared" si="186"/>
        <v>1.5057989044698865</v>
      </c>
      <c r="K93" s="73">
        <f t="shared" si="186"/>
        <v>1.4272553707344533</v>
      </c>
      <c r="L93" s="73">
        <f t="shared" si="186"/>
        <v>1.3524105928243708</v>
      </c>
      <c r="M93" s="73">
        <f t="shared" si="186"/>
        <v>1.2814906491767979</v>
      </c>
      <c r="N93" s="73">
        <f t="shared" si="186"/>
        <v>1.214289722840729</v>
      </c>
      <c r="O93" s="73">
        <f t="shared" si="186"/>
        <v>1.1509515137827888</v>
      </c>
      <c r="P93" s="73">
        <f t="shared" si="186"/>
        <v>1.0905960145493072</v>
      </c>
      <c r="Q93" s="73">
        <f t="shared" si="186"/>
        <v>1.0337097566258835</v>
      </c>
      <c r="R93" s="73">
        <f t="shared" si="186"/>
        <v>0.9795023745802045</v>
      </c>
      <c r="S93" s="73">
        <f t="shared" si="186"/>
        <v>0.92841083933376223</v>
      </c>
      <c r="T93" s="73">
        <f t="shared" si="186"/>
        <v>0.87972529608477001</v>
      </c>
      <c r="U93" s="73">
        <f t="shared" si="186"/>
        <v>0.83359280588193818</v>
      </c>
      <c r="V93" s="73">
        <f t="shared" si="186"/>
        <v>0.78987948750670534</v>
      </c>
      <c r="W93" s="73">
        <f t="shared" si="186"/>
        <v>0.74867881589660712</v>
      </c>
      <c r="X93" s="73">
        <f t="shared" si="186"/>
        <v>2.8849679883129045</v>
      </c>
      <c r="Y93" s="73">
        <f t="shared" si="186"/>
        <v>2.6874169999839896</v>
      </c>
      <c r="Z93" s="73">
        <f t="shared" si="186"/>
        <v>2.5018890436945269</v>
      </c>
      <c r="AA93" s="73">
        <f t="shared" si="186"/>
        <v>2.3291144127305992</v>
      </c>
      <c r="AB93" s="73">
        <f t="shared" si="186"/>
        <v>2.1669189775399413</v>
      </c>
      <c r="AC93" s="73">
        <f t="shared" si="186"/>
        <v>2.0153296153140454</v>
      </c>
      <c r="AD93" s="73">
        <f t="shared" si="186"/>
        <v>1.873679992494578</v>
      </c>
      <c r="AE93" s="73">
        <f t="shared" si="186"/>
        <v>1.7418571212144383</v>
      </c>
      <c r="AF93" s="73">
        <f t="shared" si="186"/>
        <v>1.6182120248175189</v>
      </c>
      <c r="AG93" s="73">
        <f t="shared" si="186"/>
        <v>1.503187164089248</v>
      </c>
      <c r="AH93" s="73">
        <f t="shared" si="186"/>
        <v>1.3953483556690542</v>
      </c>
      <c r="AI93" s="73">
        <f t="shared" si="186"/>
        <v>1.2950671034807926</v>
      </c>
      <c r="AJ93" s="73">
        <f t="shared" si="186"/>
        <v>1.2010973681850869</v>
      </c>
      <c r="AK93" s="73">
        <f t="shared" si="186"/>
        <v>1.1134217862561613</v>
      </c>
      <c r="AL93" s="73">
        <f t="shared" si="186"/>
        <v>1.0316386402461306</v>
      </c>
      <c r="AM93" s="73">
        <f t="shared" ref="AM93:BR93" si="187">IF(AM66="","",AM39/(1+ INDEX($C$3:$C$6,MATCH($A93,$B$3:$B$6,0))/100)^AM66)</f>
        <v>0.95565228372197275</v>
      </c>
      <c r="AN93" s="73">
        <f t="shared" si="187"/>
        <v>0.88452571973566096</v>
      </c>
      <c r="AO93" s="73">
        <f t="shared" si="187"/>
        <v>0.81847177127708481</v>
      </c>
      <c r="AP93" s="73">
        <f t="shared" si="187"/>
        <v>0.75667934456435904</v>
      </c>
      <c r="AQ93" s="73">
        <f t="shared" si="187"/>
        <v>0.70891200339119287</v>
      </c>
      <c r="AR93" s="73" t="str">
        <f t="shared" si="187"/>
        <v/>
      </c>
      <c r="AS93" s="73" t="str">
        <f t="shared" si="187"/>
        <v/>
      </c>
      <c r="AT93" s="73" t="str">
        <f t="shared" si="187"/>
        <v/>
      </c>
      <c r="AU93" s="73" t="str">
        <f t="shared" si="187"/>
        <v/>
      </c>
      <c r="AV93" s="73" t="str">
        <f t="shared" si="187"/>
        <v/>
      </c>
      <c r="AW93" s="73" t="str">
        <f t="shared" si="187"/>
        <v/>
      </c>
      <c r="AX93" s="73" t="str">
        <f t="shared" si="187"/>
        <v/>
      </c>
      <c r="AY93" s="73" t="str">
        <f t="shared" si="187"/>
        <v/>
      </c>
      <c r="AZ93" s="73" t="str">
        <f t="shared" si="187"/>
        <v/>
      </c>
      <c r="BA93" s="73" t="str">
        <f t="shared" si="187"/>
        <v/>
      </c>
      <c r="BB93" s="73" t="str">
        <f t="shared" si="187"/>
        <v/>
      </c>
      <c r="BC93" s="73" t="str">
        <f t="shared" si="187"/>
        <v/>
      </c>
      <c r="BD93" s="73" t="str">
        <f t="shared" si="187"/>
        <v/>
      </c>
      <c r="BE93" s="73" t="str">
        <f t="shared" si="187"/>
        <v/>
      </c>
      <c r="BF93" s="73" t="str">
        <f t="shared" si="187"/>
        <v/>
      </c>
      <c r="BG93" s="73" t="str">
        <f t="shared" si="187"/>
        <v/>
      </c>
      <c r="BH93" s="73" t="str">
        <f t="shared" si="187"/>
        <v/>
      </c>
      <c r="BI93" s="73" t="str">
        <f t="shared" si="187"/>
        <v/>
      </c>
      <c r="BJ93" s="73" t="str">
        <f t="shared" si="187"/>
        <v/>
      </c>
      <c r="BK93" s="73" t="str">
        <f t="shared" si="187"/>
        <v/>
      </c>
      <c r="BL93" s="73" t="str">
        <f t="shared" si="187"/>
        <v/>
      </c>
      <c r="BM93" s="73" t="str">
        <f t="shared" si="187"/>
        <v/>
      </c>
      <c r="BN93" s="73" t="str">
        <f t="shared" si="187"/>
        <v/>
      </c>
      <c r="BO93" s="73" t="str">
        <f t="shared" si="187"/>
        <v/>
      </c>
      <c r="BP93" s="73" t="str">
        <f t="shared" si="187"/>
        <v/>
      </c>
      <c r="BQ93" s="73" t="str">
        <f t="shared" si="187"/>
        <v/>
      </c>
      <c r="BR93" s="73" t="str">
        <f t="shared" si="187"/>
        <v/>
      </c>
      <c r="BS93" s="73" t="str">
        <f t="shared" ref="BS93:CX93" si="188">IF(BS66="","",BS39/(1+ INDEX($C$3:$C$6,MATCH($A93,$B$3:$B$6,0))/100)^BS66)</f>
        <v/>
      </c>
      <c r="BT93" s="73" t="str">
        <f t="shared" si="188"/>
        <v/>
      </c>
      <c r="BU93" s="73" t="str">
        <f t="shared" si="188"/>
        <v/>
      </c>
      <c r="BV93" s="73" t="str">
        <f t="shared" si="188"/>
        <v/>
      </c>
      <c r="BW93" s="73" t="str">
        <f t="shared" si="188"/>
        <v/>
      </c>
      <c r="BX93" s="73" t="str">
        <f t="shared" si="188"/>
        <v/>
      </c>
      <c r="BY93" s="73" t="str">
        <f t="shared" si="188"/>
        <v/>
      </c>
      <c r="BZ93" s="73" t="str">
        <f t="shared" si="188"/>
        <v/>
      </c>
      <c r="CA93" s="73" t="str">
        <f t="shared" si="188"/>
        <v/>
      </c>
      <c r="CB93" s="73" t="str">
        <f t="shared" si="188"/>
        <v/>
      </c>
      <c r="CC93" s="73" t="str">
        <f t="shared" si="188"/>
        <v/>
      </c>
      <c r="CD93" s="73" t="str">
        <f t="shared" si="188"/>
        <v/>
      </c>
      <c r="CE93" s="73" t="str">
        <f t="shared" si="188"/>
        <v/>
      </c>
      <c r="CF93" s="73" t="str">
        <f t="shared" si="188"/>
        <v/>
      </c>
      <c r="CG93" s="73" t="str">
        <f t="shared" si="188"/>
        <v/>
      </c>
      <c r="CH93" s="73" t="str">
        <f t="shared" si="188"/>
        <v/>
      </c>
      <c r="CI93" s="73" t="str">
        <f t="shared" si="188"/>
        <v/>
      </c>
      <c r="CJ93" s="73" t="str">
        <f t="shared" si="188"/>
        <v/>
      </c>
      <c r="CK93" s="73" t="str">
        <f t="shared" si="188"/>
        <v/>
      </c>
      <c r="CL93" s="73" t="str">
        <f t="shared" si="188"/>
        <v/>
      </c>
      <c r="CM93" s="73" t="str">
        <f t="shared" si="188"/>
        <v/>
      </c>
      <c r="CN93" s="73" t="str">
        <f t="shared" si="188"/>
        <v/>
      </c>
      <c r="CO93" s="73" t="str">
        <f t="shared" si="188"/>
        <v/>
      </c>
      <c r="CP93" s="73" t="str">
        <f t="shared" si="188"/>
        <v/>
      </c>
      <c r="CQ93" s="73" t="str">
        <f t="shared" si="188"/>
        <v/>
      </c>
      <c r="CR93" s="73" t="str">
        <f t="shared" si="188"/>
        <v/>
      </c>
      <c r="CS93" s="73" t="str">
        <f t="shared" si="188"/>
        <v/>
      </c>
      <c r="CT93" s="73" t="str">
        <f t="shared" si="188"/>
        <v/>
      </c>
      <c r="CU93" s="73" t="str">
        <f t="shared" si="188"/>
        <v/>
      </c>
      <c r="CV93" s="73" t="str">
        <f t="shared" si="188"/>
        <v/>
      </c>
      <c r="CW93" s="73" t="str">
        <f t="shared" si="188"/>
        <v/>
      </c>
      <c r="CX93" s="73" t="str">
        <f t="shared" si="188"/>
        <v/>
      </c>
      <c r="CY93" s="73" t="str">
        <f t="shared" ref="CY93:ED93" si="189">IF(CY66="","",CY39/(1+ INDEX($C$3:$C$6,MATCH($A93,$B$3:$B$6,0))/100)^CY66)</f>
        <v/>
      </c>
      <c r="CZ93" s="73" t="str">
        <f t="shared" si="189"/>
        <v/>
      </c>
      <c r="DA93" s="73" t="str">
        <f t="shared" si="189"/>
        <v/>
      </c>
      <c r="DB93" s="73" t="str">
        <f t="shared" si="189"/>
        <v/>
      </c>
      <c r="DC93" s="73" t="str">
        <f t="shared" si="189"/>
        <v/>
      </c>
      <c r="DD93" s="73" t="str">
        <f t="shared" si="189"/>
        <v/>
      </c>
      <c r="DE93" s="73" t="str">
        <f t="shared" si="189"/>
        <v/>
      </c>
      <c r="DF93" s="73" t="str">
        <f t="shared" si="189"/>
        <v/>
      </c>
      <c r="DG93" s="73" t="str">
        <f t="shared" si="189"/>
        <v/>
      </c>
      <c r="DH93" s="73" t="str">
        <f t="shared" si="189"/>
        <v/>
      </c>
      <c r="DI93" s="73" t="str">
        <f t="shared" si="189"/>
        <v/>
      </c>
      <c r="DJ93" s="73" t="str">
        <f t="shared" si="189"/>
        <v/>
      </c>
      <c r="DK93" s="73" t="str">
        <f t="shared" si="189"/>
        <v/>
      </c>
      <c r="DL93" s="73" t="str">
        <f t="shared" si="189"/>
        <v/>
      </c>
      <c r="DM93" s="73" t="str">
        <f t="shared" si="189"/>
        <v/>
      </c>
      <c r="DN93" s="73" t="str">
        <f t="shared" si="189"/>
        <v/>
      </c>
      <c r="DO93" s="73" t="str">
        <f t="shared" si="189"/>
        <v/>
      </c>
      <c r="DP93" s="73" t="str">
        <f t="shared" si="189"/>
        <v/>
      </c>
      <c r="DQ93" s="73" t="str">
        <f t="shared" si="189"/>
        <v/>
      </c>
      <c r="DR93" s="73" t="str">
        <f t="shared" si="189"/>
        <v/>
      </c>
      <c r="DS93" s="73" t="str">
        <f t="shared" si="189"/>
        <v/>
      </c>
      <c r="DT93" s="73" t="str">
        <f t="shared" si="189"/>
        <v/>
      </c>
      <c r="DU93" s="73" t="str">
        <f t="shared" si="189"/>
        <v/>
      </c>
      <c r="DV93" s="73" t="str">
        <f t="shared" si="189"/>
        <v/>
      </c>
      <c r="DW93" s="73" t="str">
        <f t="shared" si="189"/>
        <v/>
      </c>
      <c r="DX93" s="73" t="str">
        <f t="shared" si="189"/>
        <v/>
      </c>
      <c r="DY93" s="73" t="str">
        <f t="shared" si="189"/>
        <v/>
      </c>
      <c r="DZ93" s="73" t="str">
        <f t="shared" si="189"/>
        <v/>
      </c>
      <c r="EA93" s="73" t="str">
        <f t="shared" si="189"/>
        <v/>
      </c>
      <c r="EB93" s="73" t="str">
        <f t="shared" si="189"/>
        <v/>
      </c>
      <c r="EC93" s="73" t="str">
        <f t="shared" si="189"/>
        <v/>
      </c>
      <c r="ED93" s="73" t="str">
        <f t="shared" si="189"/>
        <v/>
      </c>
      <c r="EE93" s="73" t="str">
        <f t="shared" ref="EE93:FJ93" si="190">IF(EE66="","",EE39/(1+ INDEX($C$3:$C$6,MATCH($A93,$B$3:$B$6,0))/100)^EE66)</f>
        <v/>
      </c>
      <c r="EF93" s="73" t="str">
        <f t="shared" si="190"/>
        <v/>
      </c>
      <c r="EG93" s="73" t="str">
        <f t="shared" si="190"/>
        <v/>
      </c>
      <c r="EH93" s="73" t="str">
        <f t="shared" si="190"/>
        <v/>
      </c>
      <c r="EI93" s="73" t="str">
        <f t="shared" si="190"/>
        <v/>
      </c>
      <c r="EJ93" s="73" t="str">
        <f t="shared" si="190"/>
        <v/>
      </c>
      <c r="EK93" s="73" t="str">
        <f t="shared" si="190"/>
        <v/>
      </c>
      <c r="EL93" s="73" t="str">
        <f t="shared" si="190"/>
        <v/>
      </c>
      <c r="EM93" s="73" t="str">
        <f t="shared" si="190"/>
        <v/>
      </c>
      <c r="EN93" s="73" t="str">
        <f t="shared" si="190"/>
        <v/>
      </c>
      <c r="EO93" s="73" t="str">
        <f t="shared" si="190"/>
        <v/>
      </c>
      <c r="EP93" s="73" t="str">
        <f t="shared" si="190"/>
        <v/>
      </c>
      <c r="EQ93" s="73" t="str">
        <f t="shared" si="190"/>
        <v/>
      </c>
      <c r="ER93" s="73" t="str">
        <f t="shared" si="190"/>
        <v/>
      </c>
      <c r="ES93" s="73" t="str">
        <f t="shared" si="190"/>
        <v/>
      </c>
      <c r="ET93" s="73" t="str">
        <f t="shared" si="190"/>
        <v/>
      </c>
      <c r="EU93" s="73" t="str">
        <f t="shared" si="190"/>
        <v/>
      </c>
      <c r="EV93" s="73" t="str">
        <f t="shared" si="190"/>
        <v/>
      </c>
      <c r="EW93" s="73" t="str">
        <f t="shared" si="190"/>
        <v/>
      </c>
      <c r="EX93" s="73" t="str">
        <f t="shared" si="190"/>
        <v/>
      </c>
      <c r="EY93" s="73" t="str">
        <f t="shared" si="190"/>
        <v/>
      </c>
      <c r="EZ93" s="73" t="str">
        <f t="shared" si="190"/>
        <v/>
      </c>
      <c r="FA93" s="73" t="str">
        <f t="shared" si="190"/>
        <v/>
      </c>
      <c r="FB93" s="73" t="str">
        <f t="shared" si="190"/>
        <v/>
      </c>
      <c r="FC93" s="73" t="str">
        <f t="shared" si="190"/>
        <v/>
      </c>
      <c r="FD93" s="73" t="str">
        <f t="shared" si="190"/>
        <v/>
      </c>
      <c r="FE93" s="73" t="str">
        <f t="shared" si="190"/>
        <v/>
      </c>
      <c r="FF93" s="73" t="str">
        <f t="shared" si="190"/>
        <v/>
      </c>
      <c r="FG93" s="73" t="str">
        <f t="shared" si="190"/>
        <v/>
      </c>
      <c r="FH93" s="73" t="str">
        <f t="shared" si="190"/>
        <v/>
      </c>
      <c r="FI93" s="73" t="str">
        <f t="shared" si="190"/>
        <v/>
      </c>
      <c r="FJ93" s="73" t="str">
        <f t="shared" si="190"/>
        <v/>
      </c>
      <c r="FK93" s="73" t="str">
        <f t="shared" ref="FK93:GQ93" si="191">IF(FK66="","",FK39/(1+ INDEX($C$3:$C$6,MATCH($A93,$B$3:$B$6,0))/100)^FK66)</f>
        <v/>
      </c>
      <c r="FL93" s="73" t="str">
        <f t="shared" si="191"/>
        <v/>
      </c>
      <c r="FM93" s="73" t="str">
        <f t="shared" si="191"/>
        <v/>
      </c>
      <c r="FN93" s="73" t="str">
        <f t="shared" si="191"/>
        <v/>
      </c>
      <c r="FO93" s="73" t="str">
        <f t="shared" si="191"/>
        <v/>
      </c>
      <c r="FP93" s="73" t="str">
        <f t="shared" si="191"/>
        <v/>
      </c>
      <c r="FQ93" s="73" t="str">
        <f t="shared" si="191"/>
        <v/>
      </c>
      <c r="FR93" s="73" t="str">
        <f t="shared" si="191"/>
        <v/>
      </c>
      <c r="FS93" s="73" t="str">
        <f t="shared" si="191"/>
        <v/>
      </c>
      <c r="FT93" s="73" t="str">
        <f t="shared" si="191"/>
        <v/>
      </c>
      <c r="FU93" s="73" t="str">
        <f t="shared" si="191"/>
        <v/>
      </c>
      <c r="FV93" s="73" t="str">
        <f t="shared" si="191"/>
        <v/>
      </c>
      <c r="FW93" s="73" t="str">
        <f t="shared" si="191"/>
        <v/>
      </c>
      <c r="FX93" s="73" t="str">
        <f t="shared" si="191"/>
        <v/>
      </c>
      <c r="FY93" s="73" t="str">
        <f t="shared" si="191"/>
        <v/>
      </c>
      <c r="FZ93" s="73" t="str">
        <f t="shared" si="191"/>
        <v/>
      </c>
      <c r="GA93" s="73" t="str">
        <f t="shared" si="191"/>
        <v/>
      </c>
      <c r="GB93" s="73" t="str">
        <f t="shared" si="191"/>
        <v/>
      </c>
      <c r="GC93" s="73" t="str">
        <f t="shared" si="191"/>
        <v/>
      </c>
      <c r="GD93" s="73" t="str">
        <f t="shared" si="191"/>
        <v/>
      </c>
      <c r="GE93" s="73" t="str">
        <f t="shared" si="191"/>
        <v/>
      </c>
      <c r="GF93" s="73" t="str">
        <f t="shared" si="191"/>
        <v/>
      </c>
      <c r="GG93" s="73" t="str">
        <f t="shared" si="191"/>
        <v/>
      </c>
      <c r="GH93" s="73" t="str">
        <f t="shared" si="191"/>
        <v/>
      </c>
      <c r="GI93" s="73" t="str">
        <f t="shared" si="191"/>
        <v/>
      </c>
      <c r="GJ93" s="73" t="str">
        <f t="shared" si="191"/>
        <v/>
      </c>
      <c r="GK93" s="73" t="str">
        <f t="shared" si="191"/>
        <v/>
      </c>
      <c r="GL93" s="73" t="str">
        <f t="shared" si="191"/>
        <v/>
      </c>
      <c r="GM93" s="73" t="str">
        <f t="shared" si="191"/>
        <v/>
      </c>
      <c r="GN93" s="73" t="str">
        <f t="shared" si="191"/>
        <v/>
      </c>
      <c r="GO93" s="73" t="str">
        <f t="shared" si="191"/>
        <v/>
      </c>
      <c r="GP93" s="73" t="str">
        <f t="shared" si="191"/>
        <v/>
      </c>
      <c r="GQ93" s="73" t="str">
        <f t="shared" si="191"/>
        <v/>
      </c>
    </row>
    <row r="94" spans="1:199" x14ac:dyDescent="0.2">
      <c r="A94" t="s">
        <v>219</v>
      </c>
      <c r="B94" t="s">
        <v>22</v>
      </c>
      <c r="C94" t="str">
        <f t="shared" si="179"/>
        <v>USD Par 2038 II and III</v>
      </c>
      <c r="E94" s="73" t="str">
        <f t="shared" si="171"/>
        <v/>
      </c>
      <c r="F94" s="103">
        <f t="shared" si="172"/>
        <v>0.15343067416048772</v>
      </c>
      <c r="G94" s="73">
        <f t="shared" ref="G94:AL94" si="192">IF(G67="","",G40/(1+ INDEX($C$3:$C$6,MATCH($A94,$B$3:$B$6,0))/100)^G67)</f>
        <v>1.7693693997371414</v>
      </c>
      <c r="H94" s="73">
        <f t="shared" si="192"/>
        <v>1.6765842804938513</v>
      </c>
      <c r="I94" s="73">
        <f t="shared" si="192"/>
        <v>1.5891324609950017</v>
      </c>
      <c r="J94" s="73">
        <f t="shared" si="192"/>
        <v>1.5057989044698865</v>
      </c>
      <c r="K94" s="73">
        <f t="shared" si="192"/>
        <v>1.4272553707344533</v>
      </c>
      <c r="L94" s="73">
        <f t="shared" si="192"/>
        <v>1.3524105928243708</v>
      </c>
      <c r="M94" s="73">
        <f t="shared" si="192"/>
        <v>1.2814906491767979</v>
      </c>
      <c r="N94" s="73">
        <f t="shared" si="192"/>
        <v>1.214289722840729</v>
      </c>
      <c r="O94" s="73">
        <f t="shared" si="192"/>
        <v>1.1509515137827888</v>
      </c>
      <c r="P94" s="73">
        <f t="shared" si="192"/>
        <v>1.0905960145493072</v>
      </c>
      <c r="Q94" s="73">
        <f t="shared" si="192"/>
        <v>1.0337097566258835</v>
      </c>
      <c r="R94" s="73">
        <f t="shared" si="192"/>
        <v>0.9795023745802045</v>
      </c>
      <c r="S94" s="73">
        <f t="shared" si="192"/>
        <v>0.92841083933376223</v>
      </c>
      <c r="T94" s="73">
        <f t="shared" si="192"/>
        <v>0.87972529608477001</v>
      </c>
      <c r="U94" s="73">
        <f t="shared" si="192"/>
        <v>0.83359280588193818</v>
      </c>
      <c r="V94" s="73">
        <f t="shared" si="192"/>
        <v>0.78987948750670534</v>
      </c>
      <c r="W94" s="73">
        <f t="shared" si="192"/>
        <v>0.74867881589660712</v>
      </c>
      <c r="X94" s="73">
        <f t="shared" si="192"/>
        <v>2.8849679883129045</v>
      </c>
      <c r="Y94" s="73">
        <f t="shared" si="192"/>
        <v>2.6874169999839896</v>
      </c>
      <c r="Z94" s="73">
        <f t="shared" si="192"/>
        <v>2.5018890436945269</v>
      </c>
      <c r="AA94" s="73">
        <f t="shared" si="192"/>
        <v>2.3291144127305992</v>
      </c>
      <c r="AB94" s="73">
        <f t="shared" si="192"/>
        <v>2.1669189775399413</v>
      </c>
      <c r="AC94" s="73">
        <f t="shared" si="192"/>
        <v>2.0153296153140454</v>
      </c>
      <c r="AD94" s="73">
        <f t="shared" si="192"/>
        <v>1.873679992494578</v>
      </c>
      <c r="AE94" s="73">
        <f t="shared" si="192"/>
        <v>1.7418571212144383</v>
      </c>
      <c r="AF94" s="73">
        <f t="shared" si="192"/>
        <v>1.6182120248175189</v>
      </c>
      <c r="AG94" s="73">
        <f t="shared" si="192"/>
        <v>1.503187164089248</v>
      </c>
      <c r="AH94" s="73">
        <f t="shared" si="192"/>
        <v>1.3953483556690542</v>
      </c>
      <c r="AI94" s="73">
        <f t="shared" si="192"/>
        <v>1.2950671034807926</v>
      </c>
      <c r="AJ94" s="73">
        <f t="shared" si="192"/>
        <v>1.2010973681850869</v>
      </c>
      <c r="AK94" s="73">
        <f t="shared" si="192"/>
        <v>1.1134217862561613</v>
      </c>
      <c r="AL94" s="73">
        <f t="shared" si="192"/>
        <v>1.0316386402461306</v>
      </c>
      <c r="AM94" s="73">
        <f t="shared" ref="AM94:BR94" si="193">IF(AM67="","",AM40/(1+ INDEX($C$3:$C$6,MATCH($A94,$B$3:$B$6,0))/100)^AM67)</f>
        <v>0.95565228372197275</v>
      </c>
      <c r="AN94" s="73">
        <f t="shared" si="193"/>
        <v>0.88452571973566096</v>
      </c>
      <c r="AO94" s="73">
        <f t="shared" si="193"/>
        <v>0.81847177127708481</v>
      </c>
      <c r="AP94" s="73">
        <f t="shared" si="193"/>
        <v>0.75667934456435904</v>
      </c>
      <c r="AQ94" s="73">
        <f t="shared" si="193"/>
        <v>0.70891200339119287</v>
      </c>
      <c r="AR94" s="73" t="str">
        <f t="shared" si="193"/>
        <v/>
      </c>
      <c r="AS94" s="73" t="str">
        <f t="shared" si="193"/>
        <v/>
      </c>
      <c r="AT94" s="73" t="str">
        <f t="shared" si="193"/>
        <v/>
      </c>
      <c r="AU94" s="73" t="str">
        <f t="shared" si="193"/>
        <v/>
      </c>
      <c r="AV94" s="73" t="str">
        <f t="shared" si="193"/>
        <v/>
      </c>
      <c r="AW94" s="73" t="str">
        <f t="shared" si="193"/>
        <v/>
      </c>
      <c r="AX94" s="73" t="str">
        <f t="shared" si="193"/>
        <v/>
      </c>
      <c r="AY94" s="73" t="str">
        <f t="shared" si="193"/>
        <v/>
      </c>
      <c r="AZ94" s="73" t="str">
        <f t="shared" si="193"/>
        <v/>
      </c>
      <c r="BA94" s="73" t="str">
        <f t="shared" si="193"/>
        <v/>
      </c>
      <c r="BB94" s="73" t="str">
        <f t="shared" si="193"/>
        <v/>
      </c>
      <c r="BC94" s="73" t="str">
        <f t="shared" si="193"/>
        <v/>
      </c>
      <c r="BD94" s="73" t="str">
        <f t="shared" si="193"/>
        <v/>
      </c>
      <c r="BE94" s="73" t="str">
        <f t="shared" si="193"/>
        <v/>
      </c>
      <c r="BF94" s="73" t="str">
        <f t="shared" si="193"/>
        <v/>
      </c>
      <c r="BG94" s="73" t="str">
        <f t="shared" si="193"/>
        <v/>
      </c>
      <c r="BH94" s="73" t="str">
        <f t="shared" si="193"/>
        <v/>
      </c>
      <c r="BI94" s="73" t="str">
        <f t="shared" si="193"/>
        <v/>
      </c>
      <c r="BJ94" s="73" t="str">
        <f t="shared" si="193"/>
        <v/>
      </c>
      <c r="BK94" s="73" t="str">
        <f t="shared" si="193"/>
        <v/>
      </c>
      <c r="BL94" s="73" t="str">
        <f t="shared" si="193"/>
        <v/>
      </c>
      <c r="BM94" s="73" t="str">
        <f t="shared" si="193"/>
        <v/>
      </c>
      <c r="BN94" s="73" t="str">
        <f t="shared" si="193"/>
        <v/>
      </c>
      <c r="BO94" s="73" t="str">
        <f t="shared" si="193"/>
        <v/>
      </c>
      <c r="BP94" s="73" t="str">
        <f t="shared" si="193"/>
        <v/>
      </c>
      <c r="BQ94" s="73" t="str">
        <f t="shared" si="193"/>
        <v/>
      </c>
      <c r="BR94" s="73" t="str">
        <f t="shared" si="193"/>
        <v/>
      </c>
      <c r="BS94" s="73" t="str">
        <f t="shared" ref="BS94:CX94" si="194">IF(BS67="","",BS40/(1+ INDEX($C$3:$C$6,MATCH($A94,$B$3:$B$6,0))/100)^BS67)</f>
        <v/>
      </c>
      <c r="BT94" s="73" t="str">
        <f t="shared" si="194"/>
        <v/>
      </c>
      <c r="BU94" s="73" t="str">
        <f t="shared" si="194"/>
        <v/>
      </c>
      <c r="BV94" s="73" t="str">
        <f t="shared" si="194"/>
        <v/>
      </c>
      <c r="BW94" s="73" t="str">
        <f t="shared" si="194"/>
        <v/>
      </c>
      <c r="BX94" s="73" t="str">
        <f t="shared" si="194"/>
        <v/>
      </c>
      <c r="BY94" s="73" t="str">
        <f t="shared" si="194"/>
        <v/>
      </c>
      <c r="BZ94" s="73" t="str">
        <f t="shared" si="194"/>
        <v/>
      </c>
      <c r="CA94" s="73" t="str">
        <f t="shared" si="194"/>
        <v/>
      </c>
      <c r="CB94" s="73" t="str">
        <f t="shared" si="194"/>
        <v/>
      </c>
      <c r="CC94" s="73" t="str">
        <f t="shared" si="194"/>
        <v/>
      </c>
      <c r="CD94" s="73" t="str">
        <f t="shared" si="194"/>
        <v/>
      </c>
      <c r="CE94" s="73" t="str">
        <f t="shared" si="194"/>
        <v/>
      </c>
      <c r="CF94" s="73" t="str">
        <f t="shared" si="194"/>
        <v/>
      </c>
      <c r="CG94" s="73" t="str">
        <f t="shared" si="194"/>
        <v/>
      </c>
      <c r="CH94" s="73" t="str">
        <f t="shared" si="194"/>
        <v/>
      </c>
      <c r="CI94" s="73" t="str">
        <f t="shared" si="194"/>
        <v/>
      </c>
      <c r="CJ94" s="73" t="str">
        <f t="shared" si="194"/>
        <v/>
      </c>
      <c r="CK94" s="73" t="str">
        <f t="shared" si="194"/>
        <v/>
      </c>
      <c r="CL94" s="73" t="str">
        <f t="shared" si="194"/>
        <v/>
      </c>
      <c r="CM94" s="73" t="str">
        <f t="shared" si="194"/>
        <v/>
      </c>
      <c r="CN94" s="73" t="str">
        <f t="shared" si="194"/>
        <v/>
      </c>
      <c r="CO94" s="73" t="str">
        <f t="shared" si="194"/>
        <v/>
      </c>
      <c r="CP94" s="73" t="str">
        <f t="shared" si="194"/>
        <v/>
      </c>
      <c r="CQ94" s="73" t="str">
        <f t="shared" si="194"/>
        <v/>
      </c>
      <c r="CR94" s="73" t="str">
        <f t="shared" si="194"/>
        <v/>
      </c>
      <c r="CS94" s="73" t="str">
        <f t="shared" si="194"/>
        <v/>
      </c>
      <c r="CT94" s="73" t="str">
        <f t="shared" si="194"/>
        <v/>
      </c>
      <c r="CU94" s="73" t="str">
        <f t="shared" si="194"/>
        <v/>
      </c>
      <c r="CV94" s="73" t="str">
        <f t="shared" si="194"/>
        <v/>
      </c>
      <c r="CW94" s="73" t="str">
        <f t="shared" si="194"/>
        <v/>
      </c>
      <c r="CX94" s="73" t="str">
        <f t="shared" si="194"/>
        <v/>
      </c>
      <c r="CY94" s="73" t="str">
        <f t="shared" ref="CY94:ED94" si="195">IF(CY67="","",CY40/(1+ INDEX($C$3:$C$6,MATCH($A94,$B$3:$B$6,0))/100)^CY67)</f>
        <v/>
      </c>
      <c r="CZ94" s="73" t="str">
        <f t="shared" si="195"/>
        <v/>
      </c>
      <c r="DA94" s="73" t="str">
        <f t="shared" si="195"/>
        <v/>
      </c>
      <c r="DB94" s="73" t="str">
        <f t="shared" si="195"/>
        <v/>
      </c>
      <c r="DC94" s="73" t="str">
        <f t="shared" si="195"/>
        <v/>
      </c>
      <c r="DD94" s="73" t="str">
        <f t="shared" si="195"/>
        <v/>
      </c>
      <c r="DE94" s="73" t="str">
        <f t="shared" si="195"/>
        <v/>
      </c>
      <c r="DF94" s="73" t="str">
        <f t="shared" si="195"/>
        <v/>
      </c>
      <c r="DG94" s="73" t="str">
        <f t="shared" si="195"/>
        <v/>
      </c>
      <c r="DH94" s="73" t="str">
        <f t="shared" si="195"/>
        <v/>
      </c>
      <c r="DI94" s="73" t="str">
        <f t="shared" si="195"/>
        <v/>
      </c>
      <c r="DJ94" s="73" t="str">
        <f t="shared" si="195"/>
        <v/>
      </c>
      <c r="DK94" s="73" t="str">
        <f t="shared" si="195"/>
        <v/>
      </c>
      <c r="DL94" s="73" t="str">
        <f t="shared" si="195"/>
        <v/>
      </c>
      <c r="DM94" s="73" t="str">
        <f t="shared" si="195"/>
        <v/>
      </c>
      <c r="DN94" s="73" t="str">
        <f t="shared" si="195"/>
        <v/>
      </c>
      <c r="DO94" s="73" t="str">
        <f t="shared" si="195"/>
        <v/>
      </c>
      <c r="DP94" s="73" t="str">
        <f t="shared" si="195"/>
        <v/>
      </c>
      <c r="DQ94" s="73" t="str">
        <f t="shared" si="195"/>
        <v/>
      </c>
      <c r="DR94" s="73" t="str">
        <f t="shared" si="195"/>
        <v/>
      </c>
      <c r="DS94" s="73" t="str">
        <f t="shared" si="195"/>
        <v/>
      </c>
      <c r="DT94" s="73" t="str">
        <f t="shared" si="195"/>
        <v/>
      </c>
      <c r="DU94" s="73" t="str">
        <f t="shared" si="195"/>
        <v/>
      </c>
      <c r="DV94" s="73" t="str">
        <f t="shared" si="195"/>
        <v/>
      </c>
      <c r="DW94" s="73" t="str">
        <f t="shared" si="195"/>
        <v/>
      </c>
      <c r="DX94" s="73" t="str">
        <f t="shared" si="195"/>
        <v/>
      </c>
      <c r="DY94" s="73" t="str">
        <f t="shared" si="195"/>
        <v/>
      </c>
      <c r="DZ94" s="73" t="str">
        <f t="shared" si="195"/>
        <v/>
      </c>
      <c r="EA94" s="73" t="str">
        <f t="shared" si="195"/>
        <v/>
      </c>
      <c r="EB94" s="73" t="str">
        <f t="shared" si="195"/>
        <v/>
      </c>
      <c r="EC94" s="73" t="str">
        <f t="shared" si="195"/>
        <v/>
      </c>
      <c r="ED94" s="73" t="str">
        <f t="shared" si="195"/>
        <v/>
      </c>
      <c r="EE94" s="73" t="str">
        <f t="shared" ref="EE94:FJ94" si="196">IF(EE67="","",EE40/(1+ INDEX($C$3:$C$6,MATCH($A94,$B$3:$B$6,0))/100)^EE67)</f>
        <v/>
      </c>
      <c r="EF94" s="73" t="str">
        <f t="shared" si="196"/>
        <v/>
      </c>
      <c r="EG94" s="73" t="str">
        <f t="shared" si="196"/>
        <v/>
      </c>
      <c r="EH94" s="73" t="str">
        <f t="shared" si="196"/>
        <v/>
      </c>
      <c r="EI94" s="73" t="str">
        <f t="shared" si="196"/>
        <v/>
      </c>
      <c r="EJ94" s="73" t="str">
        <f t="shared" si="196"/>
        <v/>
      </c>
      <c r="EK94" s="73" t="str">
        <f t="shared" si="196"/>
        <v/>
      </c>
      <c r="EL94" s="73" t="str">
        <f t="shared" si="196"/>
        <v/>
      </c>
      <c r="EM94" s="73" t="str">
        <f t="shared" si="196"/>
        <v/>
      </c>
      <c r="EN94" s="73" t="str">
        <f t="shared" si="196"/>
        <v/>
      </c>
      <c r="EO94" s="73" t="str">
        <f t="shared" si="196"/>
        <v/>
      </c>
      <c r="EP94" s="73" t="str">
        <f t="shared" si="196"/>
        <v/>
      </c>
      <c r="EQ94" s="73" t="str">
        <f t="shared" si="196"/>
        <v/>
      </c>
      <c r="ER94" s="73" t="str">
        <f t="shared" si="196"/>
        <v/>
      </c>
      <c r="ES94" s="73" t="str">
        <f t="shared" si="196"/>
        <v/>
      </c>
      <c r="ET94" s="73" t="str">
        <f t="shared" si="196"/>
        <v/>
      </c>
      <c r="EU94" s="73" t="str">
        <f t="shared" si="196"/>
        <v/>
      </c>
      <c r="EV94" s="73" t="str">
        <f t="shared" si="196"/>
        <v/>
      </c>
      <c r="EW94" s="73" t="str">
        <f t="shared" si="196"/>
        <v/>
      </c>
      <c r="EX94" s="73" t="str">
        <f t="shared" si="196"/>
        <v/>
      </c>
      <c r="EY94" s="73" t="str">
        <f t="shared" si="196"/>
        <v/>
      </c>
      <c r="EZ94" s="73" t="str">
        <f t="shared" si="196"/>
        <v/>
      </c>
      <c r="FA94" s="73" t="str">
        <f t="shared" si="196"/>
        <v/>
      </c>
      <c r="FB94" s="73" t="str">
        <f t="shared" si="196"/>
        <v/>
      </c>
      <c r="FC94" s="73" t="str">
        <f t="shared" si="196"/>
        <v/>
      </c>
      <c r="FD94" s="73" t="str">
        <f t="shared" si="196"/>
        <v/>
      </c>
      <c r="FE94" s="73" t="str">
        <f t="shared" si="196"/>
        <v/>
      </c>
      <c r="FF94" s="73" t="str">
        <f t="shared" si="196"/>
        <v/>
      </c>
      <c r="FG94" s="73" t="str">
        <f t="shared" si="196"/>
        <v/>
      </c>
      <c r="FH94" s="73" t="str">
        <f t="shared" si="196"/>
        <v/>
      </c>
      <c r="FI94" s="73" t="str">
        <f t="shared" si="196"/>
        <v/>
      </c>
      <c r="FJ94" s="73" t="str">
        <f t="shared" si="196"/>
        <v/>
      </c>
      <c r="FK94" s="73" t="str">
        <f t="shared" ref="FK94:GQ94" si="197">IF(FK67="","",FK40/(1+ INDEX($C$3:$C$6,MATCH($A94,$B$3:$B$6,0))/100)^FK67)</f>
        <v/>
      </c>
      <c r="FL94" s="73" t="str">
        <f t="shared" si="197"/>
        <v/>
      </c>
      <c r="FM94" s="73" t="str">
        <f t="shared" si="197"/>
        <v/>
      </c>
      <c r="FN94" s="73" t="str">
        <f t="shared" si="197"/>
        <v/>
      </c>
      <c r="FO94" s="73" t="str">
        <f t="shared" si="197"/>
        <v/>
      </c>
      <c r="FP94" s="73" t="str">
        <f t="shared" si="197"/>
        <v/>
      </c>
      <c r="FQ94" s="73" t="str">
        <f t="shared" si="197"/>
        <v/>
      </c>
      <c r="FR94" s="73" t="str">
        <f t="shared" si="197"/>
        <v/>
      </c>
      <c r="FS94" s="73" t="str">
        <f t="shared" si="197"/>
        <v/>
      </c>
      <c r="FT94" s="73" t="str">
        <f t="shared" si="197"/>
        <v/>
      </c>
      <c r="FU94" s="73" t="str">
        <f t="shared" si="197"/>
        <v/>
      </c>
      <c r="FV94" s="73" t="str">
        <f t="shared" si="197"/>
        <v/>
      </c>
      <c r="FW94" s="73" t="str">
        <f t="shared" si="197"/>
        <v/>
      </c>
      <c r="FX94" s="73" t="str">
        <f t="shared" si="197"/>
        <v/>
      </c>
      <c r="FY94" s="73" t="str">
        <f t="shared" si="197"/>
        <v/>
      </c>
      <c r="FZ94" s="73" t="str">
        <f t="shared" si="197"/>
        <v/>
      </c>
      <c r="GA94" s="73" t="str">
        <f t="shared" si="197"/>
        <v/>
      </c>
      <c r="GB94" s="73" t="str">
        <f t="shared" si="197"/>
        <v/>
      </c>
      <c r="GC94" s="73" t="str">
        <f t="shared" si="197"/>
        <v/>
      </c>
      <c r="GD94" s="73" t="str">
        <f t="shared" si="197"/>
        <v/>
      </c>
      <c r="GE94" s="73" t="str">
        <f t="shared" si="197"/>
        <v/>
      </c>
      <c r="GF94" s="73" t="str">
        <f t="shared" si="197"/>
        <v/>
      </c>
      <c r="GG94" s="73" t="str">
        <f t="shared" si="197"/>
        <v/>
      </c>
      <c r="GH94" s="73" t="str">
        <f t="shared" si="197"/>
        <v/>
      </c>
      <c r="GI94" s="73" t="str">
        <f t="shared" si="197"/>
        <v/>
      </c>
      <c r="GJ94" s="73" t="str">
        <f t="shared" si="197"/>
        <v/>
      </c>
      <c r="GK94" s="73" t="str">
        <f t="shared" si="197"/>
        <v/>
      </c>
      <c r="GL94" s="73" t="str">
        <f t="shared" si="197"/>
        <v/>
      </c>
      <c r="GM94" s="73" t="str">
        <f t="shared" si="197"/>
        <v/>
      </c>
      <c r="GN94" s="73" t="str">
        <f t="shared" si="197"/>
        <v/>
      </c>
      <c r="GO94" s="73" t="str">
        <f t="shared" si="197"/>
        <v/>
      </c>
      <c r="GP94" s="73" t="str">
        <f t="shared" si="197"/>
        <v/>
      </c>
      <c r="GQ94" s="73" t="str">
        <f t="shared" si="197"/>
        <v/>
      </c>
    </row>
    <row r="95" spans="1:199" x14ac:dyDescent="0.2">
      <c r="A95" t="s">
        <v>220</v>
      </c>
      <c r="B95" t="s">
        <v>15</v>
      </c>
      <c r="C95" t="str">
        <f t="shared" si="179"/>
        <v>Euro 2033 Discount I</v>
      </c>
      <c r="E95" s="73" t="str">
        <f t="shared" si="171"/>
        <v/>
      </c>
      <c r="F95" s="103">
        <f t="shared" si="172"/>
        <v>3.048318034820066</v>
      </c>
      <c r="G95" s="73">
        <f t="shared" ref="G95:AL95" si="198">IF(G68="","",G41/(1+ INDEX($C$3:$C$6,MATCH($A95,$B$3:$B$6,0))/100)^G68)</f>
        <v>4.8850486255297003</v>
      </c>
      <c r="H95" s="73">
        <f t="shared" si="198"/>
        <v>4.5851097291404912</v>
      </c>
      <c r="I95" s="73">
        <f t="shared" si="198"/>
        <v>4.3080353462019927</v>
      </c>
      <c r="J95" s="73">
        <f t="shared" si="198"/>
        <v>4.0435247002705168</v>
      </c>
      <c r="K95" s="73">
        <f t="shared" si="198"/>
        <v>3.7991778520143802</v>
      </c>
      <c r="L95" s="73">
        <f t="shared" si="198"/>
        <v>3.5659107344335474</v>
      </c>
      <c r="M95" s="73">
        <f t="shared" si="198"/>
        <v>7.6322287373832687</v>
      </c>
      <c r="N95" s="73">
        <f t="shared" si="198"/>
        <v>7.0064332740922568</v>
      </c>
      <c r="O95" s="73">
        <f t="shared" si="198"/>
        <v>6.4353572142313693</v>
      </c>
      <c r="P95" s="73">
        <f t="shared" si="198"/>
        <v>5.9016148991172228</v>
      </c>
      <c r="Q95" s="73">
        <f t="shared" si="198"/>
        <v>5.4147461644247343</v>
      </c>
      <c r="R95" s="73">
        <f t="shared" si="198"/>
        <v>4.9600417336610176</v>
      </c>
      <c r="S95" s="73">
        <f t="shared" si="198"/>
        <v>4.545455089219371</v>
      </c>
      <c r="T95" s="73">
        <f t="shared" si="198"/>
        <v>4.1585636410016962</v>
      </c>
      <c r="U95" s="73">
        <f t="shared" si="198"/>
        <v>3.8046657120497733</v>
      </c>
      <c r="V95" s="73">
        <f t="shared" si="198"/>
        <v>3.4760245413359652</v>
      </c>
      <c r="W95" s="73">
        <f t="shared" si="198"/>
        <v>3.1766771689598423</v>
      </c>
      <c r="X95" s="73">
        <f t="shared" si="198"/>
        <v>2.8978197115891766</v>
      </c>
      <c r="Y95" s="73">
        <f t="shared" si="198"/>
        <v>2.6439600375042804</v>
      </c>
      <c r="Z95" s="73">
        <f t="shared" si="198"/>
        <v>2.4077107394435964</v>
      </c>
      <c r="AA95" s="73">
        <f t="shared" si="198"/>
        <v>2.1927693803773538</v>
      </c>
      <c r="AB95" s="73">
        <f t="shared" si="198"/>
        <v>1.992953236867796</v>
      </c>
      <c r="AC95" s="73">
        <f t="shared" si="198"/>
        <v>1.8106544433403184</v>
      </c>
      <c r="AD95" s="73">
        <f t="shared" si="198"/>
        <v>1.642018829484166</v>
      </c>
      <c r="AE95" s="73">
        <f t="shared" si="198"/>
        <v>1.4888028315676802</v>
      </c>
      <c r="AF95" s="73">
        <f t="shared" si="198"/>
        <v>1.3467160807074661</v>
      </c>
      <c r="AG95" s="73" t="str">
        <f t="shared" si="198"/>
        <v/>
      </c>
      <c r="AH95" s="73" t="str">
        <f t="shared" si="198"/>
        <v/>
      </c>
      <c r="AI95" s="73" t="str">
        <f t="shared" si="198"/>
        <v/>
      </c>
      <c r="AJ95" s="73" t="str">
        <f t="shared" si="198"/>
        <v/>
      </c>
      <c r="AK95" s="73" t="str">
        <f t="shared" si="198"/>
        <v/>
      </c>
      <c r="AL95" s="73" t="str">
        <f t="shared" si="198"/>
        <v/>
      </c>
      <c r="AM95" s="73" t="str">
        <f t="shared" ref="AM95:BR95" si="199">IF(AM68="","",AM41/(1+ INDEX($C$3:$C$6,MATCH($A95,$B$3:$B$6,0))/100)^AM68)</f>
        <v/>
      </c>
      <c r="AN95" s="73" t="str">
        <f t="shared" si="199"/>
        <v/>
      </c>
      <c r="AO95" s="73" t="str">
        <f t="shared" si="199"/>
        <v/>
      </c>
      <c r="AP95" s="73" t="str">
        <f t="shared" si="199"/>
        <v/>
      </c>
      <c r="AQ95" s="73" t="str">
        <f t="shared" si="199"/>
        <v/>
      </c>
      <c r="AR95" s="73" t="str">
        <f t="shared" si="199"/>
        <v/>
      </c>
      <c r="AS95" s="73" t="str">
        <f t="shared" si="199"/>
        <v/>
      </c>
      <c r="AT95" s="73" t="str">
        <f t="shared" si="199"/>
        <v/>
      </c>
      <c r="AU95" s="73" t="str">
        <f t="shared" si="199"/>
        <v/>
      </c>
      <c r="AV95" s="73" t="str">
        <f t="shared" si="199"/>
        <v/>
      </c>
      <c r="AW95" s="73" t="str">
        <f t="shared" si="199"/>
        <v/>
      </c>
      <c r="AX95" s="73" t="str">
        <f t="shared" si="199"/>
        <v/>
      </c>
      <c r="AY95" s="73" t="str">
        <f t="shared" si="199"/>
        <v/>
      </c>
      <c r="AZ95" s="73" t="str">
        <f t="shared" si="199"/>
        <v/>
      </c>
      <c r="BA95" s="73" t="str">
        <f t="shared" si="199"/>
        <v/>
      </c>
      <c r="BB95" s="73" t="str">
        <f t="shared" si="199"/>
        <v/>
      </c>
      <c r="BC95" s="73" t="str">
        <f t="shared" si="199"/>
        <v/>
      </c>
      <c r="BD95" s="73" t="str">
        <f t="shared" si="199"/>
        <v/>
      </c>
      <c r="BE95" s="73" t="str">
        <f t="shared" si="199"/>
        <v/>
      </c>
      <c r="BF95" s="73" t="str">
        <f t="shared" si="199"/>
        <v/>
      </c>
      <c r="BG95" s="73" t="str">
        <f t="shared" si="199"/>
        <v/>
      </c>
      <c r="BH95" s="73" t="str">
        <f t="shared" si="199"/>
        <v/>
      </c>
      <c r="BI95" s="73" t="str">
        <f t="shared" si="199"/>
        <v/>
      </c>
      <c r="BJ95" s="73" t="str">
        <f t="shared" si="199"/>
        <v/>
      </c>
      <c r="BK95" s="73" t="str">
        <f t="shared" si="199"/>
        <v/>
      </c>
      <c r="BL95" s="73" t="str">
        <f t="shared" si="199"/>
        <v/>
      </c>
      <c r="BM95" s="73" t="str">
        <f t="shared" si="199"/>
        <v/>
      </c>
      <c r="BN95" s="73" t="str">
        <f t="shared" si="199"/>
        <v/>
      </c>
      <c r="BO95" s="73" t="str">
        <f t="shared" si="199"/>
        <v/>
      </c>
      <c r="BP95" s="73" t="str">
        <f t="shared" si="199"/>
        <v/>
      </c>
      <c r="BQ95" s="73" t="str">
        <f t="shared" si="199"/>
        <v/>
      </c>
      <c r="BR95" s="73" t="str">
        <f t="shared" si="199"/>
        <v/>
      </c>
      <c r="BS95" s="73" t="str">
        <f t="shared" ref="BS95:CX95" si="200">IF(BS68="","",BS41/(1+ INDEX($C$3:$C$6,MATCH($A95,$B$3:$B$6,0))/100)^BS68)</f>
        <v/>
      </c>
      <c r="BT95" s="73" t="str">
        <f t="shared" si="200"/>
        <v/>
      </c>
      <c r="BU95" s="73" t="str">
        <f t="shared" si="200"/>
        <v/>
      </c>
      <c r="BV95" s="73" t="str">
        <f t="shared" si="200"/>
        <v/>
      </c>
      <c r="BW95" s="73" t="str">
        <f t="shared" si="200"/>
        <v/>
      </c>
      <c r="BX95" s="73" t="str">
        <f t="shared" si="200"/>
        <v/>
      </c>
      <c r="BY95" s="73" t="str">
        <f t="shared" si="200"/>
        <v/>
      </c>
      <c r="BZ95" s="73" t="str">
        <f t="shared" si="200"/>
        <v/>
      </c>
      <c r="CA95" s="73" t="str">
        <f t="shared" si="200"/>
        <v/>
      </c>
      <c r="CB95" s="73" t="str">
        <f t="shared" si="200"/>
        <v/>
      </c>
      <c r="CC95" s="73" t="str">
        <f t="shared" si="200"/>
        <v/>
      </c>
      <c r="CD95" s="73" t="str">
        <f t="shared" si="200"/>
        <v/>
      </c>
      <c r="CE95" s="73" t="str">
        <f t="shared" si="200"/>
        <v/>
      </c>
      <c r="CF95" s="73" t="str">
        <f t="shared" si="200"/>
        <v/>
      </c>
      <c r="CG95" s="73" t="str">
        <f t="shared" si="200"/>
        <v/>
      </c>
      <c r="CH95" s="73" t="str">
        <f t="shared" si="200"/>
        <v/>
      </c>
      <c r="CI95" s="73" t="str">
        <f t="shared" si="200"/>
        <v/>
      </c>
      <c r="CJ95" s="73" t="str">
        <f t="shared" si="200"/>
        <v/>
      </c>
      <c r="CK95" s="73" t="str">
        <f t="shared" si="200"/>
        <v/>
      </c>
      <c r="CL95" s="73" t="str">
        <f t="shared" si="200"/>
        <v/>
      </c>
      <c r="CM95" s="73" t="str">
        <f t="shared" si="200"/>
        <v/>
      </c>
      <c r="CN95" s="73" t="str">
        <f t="shared" si="200"/>
        <v/>
      </c>
      <c r="CO95" s="73" t="str">
        <f t="shared" si="200"/>
        <v/>
      </c>
      <c r="CP95" s="73" t="str">
        <f t="shared" si="200"/>
        <v/>
      </c>
      <c r="CQ95" s="73" t="str">
        <f t="shared" si="200"/>
        <v/>
      </c>
      <c r="CR95" s="73" t="str">
        <f t="shared" si="200"/>
        <v/>
      </c>
      <c r="CS95" s="73" t="str">
        <f t="shared" si="200"/>
        <v/>
      </c>
      <c r="CT95" s="73" t="str">
        <f t="shared" si="200"/>
        <v/>
      </c>
      <c r="CU95" s="73" t="str">
        <f t="shared" si="200"/>
        <v/>
      </c>
      <c r="CV95" s="73" t="str">
        <f t="shared" si="200"/>
        <v/>
      </c>
      <c r="CW95" s="73" t="str">
        <f t="shared" si="200"/>
        <v/>
      </c>
      <c r="CX95" s="73" t="str">
        <f t="shared" si="200"/>
        <v/>
      </c>
      <c r="CY95" s="73" t="str">
        <f t="shared" ref="CY95:ED95" si="201">IF(CY68="","",CY41/(1+ INDEX($C$3:$C$6,MATCH($A95,$B$3:$B$6,0))/100)^CY68)</f>
        <v/>
      </c>
      <c r="CZ95" s="73" t="str">
        <f t="shared" si="201"/>
        <v/>
      </c>
      <c r="DA95" s="73" t="str">
        <f t="shared" si="201"/>
        <v/>
      </c>
      <c r="DB95" s="73" t="str">
        <f t="shared" si="201"/>
        <v/>
      </c>
      <c r="DC95" s="73" t="str">
        <f t="shared" si="201"/>
        <v/>
      </c>
      <c r="DD95" s="73" t="str">
        <f t="shared" si="201"/>
        <v/>
      </c>
      <c r="DE95" s="73" t="str">
        <f t="shared" si="201"/>
        <v/>
      </c>
      <c r="DF95" s="73" t="str">
        <f t="shared" si="201"/>
        <v/>
      </c>
      <c r="DG95" s="73" t="str">
        <f t="shared" si="201"/>
        <v/>
      </c>
      <c r="DH95" s="73" t="str">
        <f t="shared" si="201"/>
        <v/>
      </c>
      <c r="DI95" s="73" t="str">
        <f t="shared" si="201"/>
        <v/>
      </c>
      <c r="DJ95" s="73" t="str">
        <f t="shared" si="201"/>
        <v/>
      </c>
      <c r="DK95" s="73" t="str">
        <f t="shared" si="201"/>
        <v/>
      </c>
      <c r="DL95" s="73" t="str">
        <f t="shared" si="201"/>
        <v/>
      </c>
      <c r="DM95" s="73" t="str">
        <f t="shared" si="201"/>
        <v/>
      </c>
      <c r="DN95" s="73" t="str">
        <f t="shared" si="201"/>
        <v/>
      </c>
      <c r="DO95" s="73" t="str">
        <f t="shared" si="201"/>
        <v/>
      </c>
      <c r="DP95" s="73" t="str">
        <f t="shared" si="201"/>
        <v/>
      </c>
      <c r="DQ95" s="73" t="str">
        <f t="shared" si="201"/>
        <v/>
      </c>
      <c r="DR95" s="73" t="str">
        <f t="shared" si="201"/>
        <v/>
      </c>
      <c r="DS95" s="73" t="str">
        <f t="shared" si="201"/>
        <v/>
      </c>
      <c r="DT95" s="73" t="str">
        <f t="shared" si="201"/>
        <v/>
      </c>
      <c r="DU95" s="73" t="str">
        <f t="shared" si="201"/>
        <v/>
      </c>
      <c r="DV95" s="73" t="str">
        <f t="shared" si="201"/>
        <v/>
      </c>
      <c r="DW95" s="73" t="str">
        <f t="shared" si="201"/>
        <v/>
      </c>
      <c r="DX95" s="73" t="str">
        <f t="shared" si="201"/>
        <v/>
      </c>
      <c r="DY95" s="73" t="str">
        <f t="shared" si="201"/>
        <v/>
      </c>
      <c r="DZ95" s="73" t="str">
        <f t="shared" si="201"/>
        <v/>
      </c>
      <c r="EA95" s="73" t="str">
        <f t="shared" si="201"/>
        <v/>
      </c>
      <c r="EB95" s="73" t="str">
        <f t="shared" si="201"/>
        <v/>
      </c>
      <c r="EC95" s="73" t="str">
        <f t="shared" si="201"/>
        <v/>
      </c>
      <c r="ED95" s="73" t="str">
        <f t="shared" si="201"/>
        <v/>
      </c>
      <c r="EE95" s="73" t="str">
        <f t="shared" ref="EE95:FJ95" si="202">IF(EE68="","",EE41/(1+ INDEX($C$3:$C$6,MATCH($A95,$B$3:$B$6,0))/100)^EE68)</f>
        <v/>
      </c>
      <c r="EF95" s="73" t="str">
        <f t="shared" si="202"/>
        <v/>
      </c>
      <c r="EG95" s="73" t="str">
        <f t="shared" si="202"/>
        <v/>
      </c>
      <c r="EH95" s="73" t="str">
        <f t="shared" si="202"/>
        <v/>
      </c>
      <c r="EI95" s="73" t="str">
        <f t="shared" si="202"/>
        <v/>
      </c>
      <c r="EJ95" s="73" t="str">
        <f t="shared" si="202"/>
        <v/>
      </c>
      <c r="EK95" s="73" t="str">
        <f t="shared" si="202"/>
        <v/>
      </c>
      <c r="EL95" s="73" t="str">
        <f t="shared" si="202"/>
        <v/>
      </c>
      <c r="EM95" s="73" t="str">
        <f t="shared" si="202"/>
        <v/>
      </c>
      <c r="EN95" s="73" t="str">
        <f t="shared" si="202"/>
        <v/>
      </c>
      <c r="EO95" s="73" t="str">
        <f t="shared" si="202"/>
        <v/>
      </c>
      <c r="EP95" s="73" t="str">
        <f t="shared" si="202"/>
        <v/>
      </c>
      <c r="EQ95" s="73" t="str">
        <f t="shared" si="202"/>
        <v/>
      </c>
      <c r="ER95" s="73" t="str">
        <f t="shared" si="202"/>
        <v/>
      </c>
      <c r="ES95" s="73" t="str">
        <f t="shared" si="202"/>
        <v/>
      </c>
      <c r="ET95" s="73" t="str">
        <f t="shared" si="202"/>
        <v/>
      </c>
      <c r="EU95" s="73" t="str">
        <f t="shared" si="202"/>
        <v/>
      </c>
      <c r="EV95" s="73" t="str">
        <f t="shared" si="202"/>
        <v/>
      </c>
      <c r="EW95" s="73" t="str">
        <f t="shared" si="202"/>
        <v/>
      </c>
      <c r="EX95" s="73" t="str">
        <f t="shared" si="202"/>
        <v/>
      </c>
      <c r="EY95" s="73" t="str">
        <f t="shared" si="202"/>
        <v/>
      </c>
      <c r="EZ95" s="73" t="str">
        <f t="shared" si="202"/>
        <v/>
      </c>
      <c r="FA95" s="73" t="str">
        <f t="shared" si="202"/>
        <v/>
      </c>
      <c r="FB95" s="73" t="str">
        <f t="shared" si="202"/>
        <v/>
      </c>
      <c r="FC95" s="73" t="str">
        <f t="shared" si="202"/>
        <v/>
      </c>
      <c r="FD95" s="73" t="str">
        <f t="shared" si="202"/>
        <v/>
      </c>
      <c r="FE95" s="73" t="str">
        <f t="shared" si="202"/>
        <v/>
      </c>
      <c r="FF95" s="73" t="str">
        <f t="shared" si="202"/>
        <v/>
      </c>
      <c r="FG95" s="73" t="str">
        <f t="shared" si="202"/>
        <v/>
      </c>
      <c r="FH95" s="73" t="str">
        <f t="shared" si="202"/>
        <v/>
      </c>
      <c r="FI95" s="73" t="str">
        <f t="shared" si="202"/>
        <v/>
      </c>
      <c r="FJ95" s="73" t="str">
        <f t="shared" si="202"/>
        <v/>
      </c>
      <c r="FK95" s="73" t="str">
        <f t="shared" ref="FK95:GQ95" si="203">IF(FK68="","",FK41/(1+ INDEX($C$3:$C$6,MATCH($A95,$B$3:$B$6,0))/100)^FK68)</f>
        <v/>
      </c>
      <c r="FL95" s="73" t="str">
        <f t="shared" si="203"/>
        <v/>
      </c>
      <c r="FM95" s="73" t="str">
        <f t="shared" si="203"/>
        <v/>
      </c>
      <c r="FN95" s="73" t="str">
        <f t="shared" si="203"/>
        <v/>
      </c>
      <c r="FO95" s="73" t="str">
        <f t="shared" si="203"/>
        <v/>
      </c>
      <c r="FP95" s="73" t="str">
        <f t="shared" si="203"/>
        <v/>
      </c>
      <c r="FQ95" s="73" t="str">
        <f t="shared" si="203"/>
        <v/>
      </c>
      <c r="FR95" s="73" t="str">
        <f t="shared" si="203"/>
        <v/>
      </c>
      <c r="FS95" s="73" t="str">
        <f t="shared" si="203"/>
        <v/>
      </c>
      <c r="FT95" s="73" t="str">
        <f t="shared" si="203"/>
        <v/>
      </c>
      <c r="FU95" s="73" t="str">
        <f t="shared" si="203"/>
        <v/>
      </c>
      <c r="FV95" s="73" t="str">
        <f t="shared" si="203"/>
        <v/>
      </c>
      <c r="FW95" s="73" t="str">
        <f t="shared" si="203"/>
        <v/>
      </c>
      <c r="FX95" s="73" t="str">
        <f t="shared" si="203"/>
        <v/>
      </c>
      <c r="FY95" s="73" t="str">
        <f t="shared" si="203"/>
        <v/>
      </c>
      <c r="FZ95" s="73" t="str">
        <f t="shared" si="203"/>
        <v/>
      </c>
      <c r="GA95" s="73" t="str">
        <f t="shared" si="203"/>
        <v/>
      </c>
      <c r="GB95" s="73" t="str">
        <f t="shared" si="203"/>
        <v/>
      </c>
      <c r="GC95" s="73" t="str">
        <f t="shared" si="203"/>
        <v/>
      </c>
      <c r="GD95" s="73" t="str">
        <f t="shared" si="203"/>
        <v/>
      </c>
      <c r="GE95" s="73" t="str">
        <f t="shared" si="203"/>
        <v/>
      </c>
      <c r="GF95" s="73" t="str">
        <f t="shared" si="203"/>
        <v/>
      </c>
      <c r="GG95" s="73" t="str">
        <f t="shared" si="203"/>
        <v/>
      </c>
      <c r="GH95" s="73" t="str">
        <f t="shared" si="203"/>
        <v/>
      </c>
      <c r="GI95" s="73" t="str">
        <f t="shared" si="203"/>
        <v/>
      </c>
      <c r="GJ95" s="73" t="str">
        <f t="shared" si="203"/>
        <v/>
      </c>
      <c r="GK95" s="73" t="str">
        <f t="shared" si="203"/>
        <v/>
      </c>
      <c r="GL95" s="73" t="str">
        <f t="shared" si="203"/>
        <v/>
      </c>
      <c r="GM95" s="73" t="str">
        <f t="shared" si="203"/>
        <v/>
      </c>
      <c r="GN95" s="73" t="str">
        <f t="shared" si="203"/>
        <v/>
      </c>
      <c r="GO95" s="73" t="str">
        <f t="shared" si="203"/>
        <v/>
      </c>
      <c r="GP95" s="73" t="str">
        <f t="shared" si="203"/>
        <v/>
      </c>
      <c r="GQ95" s="73" t="str">
        <f t="shared" si="203"/>
        <v/>
      </c>
    </row>
    <row r="96" spans="1:199" x14ac:dyDescent="0.2">
      <c r="A96" t="s">
        <v>220</v>
      </c>
      <c r="B96" t="s">
        <v>17</v>
      </c>
      <c r="C96" t="str">
        <f t="shared" si="179"/>
        <v>Euro 2033 Discount II and III</v>
      </c>
      <c r="E96" s="73" t="str">
        <f t="shared" si="171"/>
        <v/>
      </c>
      <c r="F96" s="103">
        <f t="shared" si="172"/>
        <v>3.048318034820066</v>
      </c>
      <c r="G96" s="73">
        <f t="shared" ref="G96:AL96" si="204">IF(G69="","",G42/(1+ INDEX($C$3:$C$6,MATCH($A96,$B$3:$B$6,0))/100)^G69)</f>
        <v>4.8850486255297003</v>
      </c>
      <c r="H96" s="73">
        <f t="shared" si="204"/>
        <v>4.5851097291404912</v>
      </c>
      <c r="I96" s="73">
        <f t="shared" si="204"/>
        <v>4.3080353462019927</v>
      </c>
      <c r="J96" s="73">
        <f t="shared" si="204"/>
        <v>4.0435247002705168</v>
      </c>
      <c r="K96" s="73">
        <f t="shared" si="204"/>
        <v>3.7991778520143802</v>
      </c>
      <c r="L96" s="73">
        <f t="shared" si="204"/>
        <v>3.5659107344335474</v>
      </c>
      <c r="M96" s="73">
        <f t="shared" si="204"/>
        <v>7.6322287373832687</v>
      </c>
      <c r="N96" s="73">
        <f t="shared" si="204"/>
        <v>7.0064332740922568</v>
      </c>
      <c r="O96" s="73">
        <f t="shared" si="204"/>
        <v>6.4353572142313693</v>
      </c>
      <c r="P96" s="73">
        <f t="shared" si="204"/>
        <v>5.9016148991172228</v>
      </c>
      <c r="Q96" s="73">
        <f t="shared" si="204"/>
        <v>5.4147461644247343</v>
      </c>
      <c r="R96" s="73">
        <f t="shared" si="204"/>
        <v>4.9600417336610176</v>
      </c>
      <c r="S96" s="73">
        <f t="shared" si="204"/>
        <v>4.545455089219371</v>
      </c>
      <c r="T96" s="73">
        <f t="shared" si="204"/>
        <v>4.1585636410016962</v>
      </c>
      <c r="U96" s="73">
        <f t="shared" si="204"/>
        <v>3.8046657120497733</v>
      </c>
      <c r="V96" s="73">
        <f t="shared" si="204"/>
        <v>3.4760245413359652</v>
      </c>
      <c r="W96" s="73">
        <f t="shared" si="204"/>
        <v>3.1766771689598423</v>
      </c>
      <c r="X96" s="73">
        <f t="shared" si="204"/>
        <v>2.8978197115891766</v>
      </c>
      <c r="Y96" s="73">
        <f t="shared" si="204"/>
        <v>2.6439600375042804</v>
      </c>
      <c r="Z96" s="73">
        <f t="shared" si="204"/>
        <v>2.4077107394435964</v>
      </c>
      <c r="AA96" s="73">
        <f t="shared" si="204"/>
        <v>2.1927693803773538</v>
      </c>
      <c r="AB96" s="73">
        <f t="shared" si="204"/>
        <v>1.992953236867796</v>
      </c>
      <c r="AC96" s="73">
        <f t="shared" si="204"/>
        <v>1.8106544433403184</v>
      </c>
      <c r="AD96" s="73">
        <f t="shared" si="204"/>
        <v>1.642018829484166</v>
      </c>
      <c r="AE96" s="73">
        <f t="shared" si="204"/>
        <v>1.4888028315676802</v>
      </c>
      <c r="AF96" s="73">
        <f t="shared" si="204"/>
        <v>1.3467160807074661</v>
      </c>
      <c r="AG96" s="73" t="str">
        <f t="shared" si="204"/>
        <v/>
      </c>
      <c r="AH96" s="73" t="str">
        <f t="shared" si="204"/>
        <v/>
      </c>
      <c r="AI96" s="73" t="str">
        <f t="shared" si="204"/>
        <v/>
      </c>
      <c r="AJ96" s="73" t="str">
        <f t="shared" si="204"/>
        <v/>
      </c>
      <c r="AK96" s="73" t="str">
        <f t="shared" si="204"/>
        <v/>
      </c>
      <c r="AL96" s="73" t="str">
        <f t="shared" si="204"/>
        <v/>
      </c>
      <c r="AM96" s="73" t="str">
        <f t="shared" ref="AM96:BR96" si="205">IF(AM69="","",AM42/(1+ INDEX($C$3:$C$6,MATCH($A96,$B$3:$B$6,0))/100)^AM69)</f>
        <v/>
      </c>
      <c r="AN96" s="73" t="str">
        <f t="shared" si="205"/>
        <v/>
      </c>
      <c r="AO96" s="73" t="str">
        <f t="shared" si="205"/>
        <v/>
      </c>
      <c r="AP96" s="73" t="str">
        <f t="shared" si="205"/>
        <v/>
      </c>
      <c r="AQ96" s="73" t="str">
        <f t="shared" si="205"/>
        <v/>
      </c>
      <c r="AR96" s="73" t="str">
        <f t="shared" si="205"/>
        <v/>
      </c>
      <c r="AS96" s="73" t="str">
        <f t="shared" si="205"/>
        <v/>
      </c>
      <c r="AT96" s="73" t="str">
        <f t="shared" si="205"/>
        <v/>
      </c>
      <c r="AU96" s="73" t="str">
        <f t="shared" si="205"/>
        <v/>
      </c>
      <c r="AV96" s="73" t="str">
        <f t="shared" si="205"/>
        <v/>
      </c>
      <c r="AW96" s="73" t="str">
        <f t="shared" si="205"/>
        <v/>
      </c>
      <c r="AX96" s="73" t="str">
        <f t="shared" si="205"/>
        <v/>
      </c>
      <c r="AY96" s="73" t="str">
        <f t="shared" si="205"/>
        <v/>
      </c>
      <c r="AZ96" s="73" t="str">
        <f t="shared" si="205"/>
        <v/>
      </c>
      <c r="BA96" s="73" t="str">
        <f t="shared" si="205"/>
        <v/>
      </c>
      <c r="BB96" s="73" t="str">
        <f t="shared" si="205"/>
        <v/>
      </c>
      <c r="BC96" s="73" t="str">
        <f t="shared" si="205"/>
        <v/>
      </c>
      <c r="BD96" s="73" t="str">
        <f t="shared" si="205"/>
        <v/>
      </c>
      <c r="BE96" s="73" t="str">
        <f t="shared" si="205"/>
        <v/>
      </c>
      <c r="BF96" s="73" t="str">
        <f t="shared" si="205"/>
        <v/>
      </c>
      <c r="BG96" s="73" t="str">
        <f t="shared" si="205"/>
        <v/>
      </c>
      <c r="BH96" s="73" t="str">
        <f t="shared" si="205"/>
        <v/>
      </c>
      <c r="BI96" s="73" t="str">
        <f t="shared" si="205"/>
        <v/>
      </c>
      <c r="BJ96" s="73" t="str">
        <f t="shared" si="205"/>
        <v/>
      </c>
      <c r="BK96" s="73" t="str">
        <f t="shared" si="205"/>
        <v/>
      </c>
      <c r="BL96" s="73" t="str">
        <f t="shared" si="205"/>
        <v/>
      </c>
      <c r="BM96" s="73" t="str">
        <f t="shared" si="205"/>
        <v/>
      </c>
      <c r="BN96" s="73" t="str">
        <f t="shared" si="205"/>
        <v/>
      </c>
      <c r="BO96" s="73" t="str">
        <f t="shared" si="205"/>
        <v/>
      </c>
      <c r="BP96" s="73" t="str">
        <f t="shared" si="205"/>
        <v/>
      </c>
      <c r="BQ96" s="73" t="str">
        <f t="shared" si="205"/>
        <v/>
      </c>
      <c r="BR96" s="73" t="str">
        <f t="shared" si="205"/>
        <v/>
      </c>
      <c r="BS96" s="73" t="str">
        <f t="shared" ref="BS96:CX96" si="206">IF(BS69="","",BS42/(1+ INDEX($C$3:$C$6,MATCH($A96,$B$3:$B$6,0))/100)^BS69)</f>
        <v/>
      </c>
      <c r="BT96" s="73" t="str">
        <f t="shared" si="206"/>
        <v/>
      </c>
      <c r="BU96" s="73" t="str">
        <f t="shared" si="206"/>
        <v/>
      </c>
      <c r="BV96" s="73" t="str">
        <f t="shared" si="206"/>
        <v/>
      </c>
      <c r="BW96" s="73" t="str">
        <f t="shared" si="206"/>
        <v/>
      </c>
      <c r="BX96" s="73" t="str">
        <f t="shared" si="206"/>
        <v/>
      </c>
      <c r="BY96" s="73" t="str">
        <f t="shared" si="206"/>
        <v/>
      </c>
      <c r="BZ96" s="73" t="str">
        <f t="shared" si="206"/>
        <v/>
      </c>
      <c r="CA96" s="73" t="str">
        <f t="shared" si="206"/>
        <v/>
      </c>
      <c r="CB96" s="73" t="str">
        <f t="shared" si="206"/>
        <v/>
      </c>
      <c r="CC96" s="73" t="str">
        <f t="shared" si="206"/>
        <v/>
      </c>
      <c r="CD96" s="73" t="str">
        <f t="shared" si="206"/>
        <v/>
      </c>
      <c r="CE96" s="73" t="str">
        <f t="shared" si="206"/>
        <v/>
      </c>
      <c r="CF96" s="73" t="str">
        <f t="shared" si="206"/>
        <v/>
      </c>
      <c r="CG96" s="73" t="str">
        <f t="shared" si="206"/>
        <v/>
      </c>
      <c r="CH96" s="73" t="str">
        <f t="shared" si="206"/>
        <v/>
      </c>
      <c r="CI96" s="73" t="str">
        <f t="shared" si="206"/>
        <v/>
      </c>
      <c r="CJ96" s="73" t="str">
        <f t="shared" si="206"/>
        <v/>
      </c>
      <c r="CK96" s="73" t="str">
        <f t="shared" si="206"/>
        <v/>
      </c>
      <c r="CL96" s="73" t="str">
        <f t="shared" si="206"/>
        <v/>
      </c>
      <c r="CM96" s="73" t="str">
        <f t="shared" si="206"/>
        <v/>
      </c>
      <c r="CN96" s="73" t="str">
        <f t="shared" si="206"/>
        <v/>
      </c>
      <c r="CO96" s="73" t="str">
        <f t="shared" si="206"/>
        <v/>
      </c>
      <c r="CP96" s="73" t="str">
        <f t="shared" si="206"/>
        <v/>
      </c>
      <c r="CQ96" s="73" t="str">
        <f t="shared" si="206"/>
        <v/>
      </c>
      <c r="CR96" s="73" t="str">
        <f t="shared" si="206"/>
        <v/>
      </c>
      <c r="CS96" s="73" t="str">
        <f t="shared" si="206"/>
        <v/>
      </c>
      <c r="CT96" s="73" t="str">
        <f t="shared" si="206"/>
        <v/>
      </c>
      <c r="CU96" s="73" t="str">
        <f t="shared" si="206"/>
        <v/>
      </c>
      <c r="CV96" s="73" t="str">
        <f t="shared" si="206"/>
        <v/>
      </c>
      <c r="CW96" s="73" t="str">
        <f t="shared" si="206"/>
        <v/>
      </c>
      <c r="CX96" s="73" t="str">
        <f t="shared" si="206"/>
        <v/>
      </c>
      <c r="CY96" s="73" t="str">
        <f t="shared" ref="CY96:ED96" si="207">IF(CY69="","",CY42/(1+ INDEX($C$3:$C$6,MATCH($A96,$B$3:$B$6,0))/100)^CY69)</f>
        <v/>
      </c>
      <c r="CZ96" s="73" t="str">
        <f t="shared" si="207"/>
        <v/>
      </c>
      <c r="DA96" s="73" t="str">
        <f t="shared" si="207"/>
        <v/>
      </c>
      <c r="DB96" s="73" t="str">
        <f t="shared" si="207"/>
        <v/>
      </c>
      <c r="DC96" s="73" t="str">
        <f t="shared" si="207"/>
        <v/>
      </c>
      <c r="DD96" s="73" t="str">
        <f t="shared" si="207"/>
        <v/>
      </c>
      <c r="DE96" s="73" t="str">
        <f t="shared" si="207"/>
        <v/>
      </c>
      <c r="DF96" s="73" t="str">
        <f t="shared" si="207"/>
        <v/>
      </c>
      <c r="DG96" s="73" t="str">
        <f t="shared" si="207"/>
        <v/>
      </c>
      <c r="DH96" s="73" t="str">
        <f t="shared" si="207"/>
        <v/>
      </c>
      <c r="DI96" s="73" t="str">
        <f t="shared" si="207"/>
        <v/>
      </c>
      <c r="DJ96" s="73" t="str">
        <f t="shared" si="207"/>
        <v/>
      </c>
      <c r="DK96" s="73" t="str">
        <f t="shared" si="207"/>
        <v/>
      </c>
      <c r="DL96" s="73" t="str">
        <f t="shared" si="207"/>
        <v/>
      </c>
      <c r="DM96" s="73" t="str">
        <f t="shared" si="207"/>
        <v/>
      </c>
      <c r="DN96" s="73" t="str">
        <f t="shared" si="207"/>
        <v/>
      </c>
      <c r="DO96" s="73" t="str">
        <f t="shared" si="207"/>
        <v/>
      </c>
      <c r="DP96" s="73" t="str">
        <f t="shared" si="207"/>
        <v/>
      </c>
      <c r="DQ96" s="73" t="str">
        <f t="shared" si="207"/>
        <v/>
      </c>
      <c r="DR96" s="73" t="str">
        <f t="shared" si="207"/>
        <v/>
      </c>
      <c r="DS96" s="73" t="str">
        <f t="shared" si="207"/>
        <v/>
      </c>
      <c r="DT96" s="73" t="str">
        <f t="shared" si="207"/>
        <v/>
      </c>
      <c r="DU96" s="73" t="str">
        <f t="shared" si="207"/>
        <v/>
      </c>
      <c r="DV96" s="73" t="str">
        <f t="shared" si="207"/>
        <v/>
      </c>
      <c r="DW96" s="73" t="str">
        <f t="shared" si="207"/>
        <v/>
      </c>
      <c r="DX96" s="73" t="str">
        <f t="shared" si="207"/>
        <v/>
      </c>
      <c r="DY96" s="73" t="str">
        <f t="shared" si="207"/>
        <v/>
      </c>
      <c r="DZ96" s="73" t="str">
        <f t="shared" si="207"/>
        <v/>
      </c>
      <c r="EA96" s="73" t="str">
        <f t="shared" si="207"/>
        <v/>
      </c>
      <c r="EB96" s="73" t="str">
        <f t="shared" si="207"/>
        <v/>
      </c>
      <c r="EC96" s="73" t="str">
        <f t="shared" si="207"/>
        <v/>
      </c>
      <c r="ED96" s="73" t="str">
        <f t="shared" si="207"/>
        <v/>
      </c>
      <c r="EE96" s="73" t="str">
        <f t="shared" ref="EE96:FJ96" si="208">IF(EE69="","",EE42/(1+ INDEX($C$3:$C$6,MATCH($A96,$B$3:$B$6,0))/100)^EE69)</f>
        <v/>
      </c>
      <c r="EF96" s="73" t="str">
        <f t="shared" si="208"/>
        <v/>
      </c>
      <c r="EG96" s="73" t="str">
        <f t="shared" si="208"/>
        <v/>
      </c>
      <c r="EH96" s="73" t="str">
        <f t="shared" si="208"/>
        <v/>
      </c>
      <c r="EI96" s="73" t="str">
        <f t="shared" si="208"/>
        <v/>
      </c>
      <c r="EJ96" s="73" t="str">
        <f t="shared" si="208"/>
        <v/>
      </c>
      <c r="EK96" s="73" t="str">
        <f t="shared" si="208"/>
        <v/>
      </c>
      <c r="EL96" s="73" t="str">
        <f t="shared" si="208"/>
        <v/>
      </c>
      <c r="EM96" s="73" t="str">
        <f t="shared" si="208"/>
        <v/>
      </c>
      <c r="EN96" s="73" t="str">
        <f t="shared" si="208"/>
        <v/>
      </c>
      <c r="EO96" s="73" t="str">
        <f t="shared" si="208"/>
        <v/>
      </c>
      <c r="EP96" s="73" t="str">
        <f t="shared" si="208"/>
        <v/>
      </c>
      <c r="EQ96" s="73" t="str">
        <f t="shared" si="208"/>
        <v/>
      </c>
      <c r="ER96" s="73" t="str">
        <f t="shared" si="208"/>
        <v/>
      </c>
      <c r="ES96" s="73" t="str">
        <f t="shared" si="208"/>
        <v/>
      </c>
      <c r="ET96" s="73" t="str">
        <f t="shared" si="208"/>
        <v/>
      </c>
      <c r="EU96" s="73" t="str">
        <f t="shared" si="208"/>
        <v/>
      </c>
      <c r="EV96" s="73" t="str">
        <f t="shared" si="208"/>
        <v/>
      </c>
      <c r="EW96" s="73" t="str">
        <f t="shared" si="208"/>
        <v/>
      </c>
      <c r="EX96" s="73" t="str">
        <f t="shared" si="208"/>
        <v/>
      </c>
      <c r="EY96" s="73" t="str">
        <f t="shared" si="208"/>
        <v/>
      </c>
      <c r="EZ96" s="73" t="str">
        <f t="shared" si="208"/>
        <v/>
      </c>
      <c r="FA96" s="73" t="str">
        <f t="shared" si="208"/>
        <v/>
      </c>
      <c r="FB96" s="73" t="str">
        <f t="shared" si="208"/>
        <v/>
      </c>
      <c r="FC96" s="73" t="str">
        <f t="shared" si="208"/>
        <v/>
      </c>
      <c r="FD96" s="73" t="str">
        <f t="shared" si="208"/>
        <v/>
      </c>
      <c r="FE96" s="73" t="str">
        <f t="shared" si="208"/>
        <v/>
      </c>
      <c r="FF96" s="73" t="str">
        <f t="shared" si="208"/>
        <v/>
      </c>
      <c r="FG96" s="73" t="str">
        <f t="shared" si="208"/>
        <v/>
      </c>
      <c r="FH96" s="73" t="str">
        <f t="shared" si="208"/>
        <v/>
      </c>
      <c r="FI96" s="73" t="str">
        <f t="shared" si="208"/>
        <v/>
      </c>
      <c r="FJ96" s="73" t="str">
        <f t="shared" si="208"/>
        <v/>
      </c>
      <c r="FK96" s="73" t="str">
        <f t="shared" ref="FK96:GQ96" si="209">IF(FK69="","",FK42/(1+ INDEX($C$3:$C$6,MATCH($A96,$B$3:$B$6,0))/100)^FK69)</f>
        <v/>
      </c>
      <c r="FL96" s="73" t="str">
        <f t="shared" si="209"/>
        <v/>
      </c>
      <c r="FM96" s="73" t="str">
        <f t="shared" si="209"/>
        <v/>
      </c>
      <c r="FN96" s="73" t="str">
        <f t="shared" si="209"/>
        <v/>
      </c>
      <c r="FO96" s="73" t="str">
        <f t="shared" si="209"/>
        <v/>
      </c>
      <c r="FP96" s="73" t="str">
        <f t="shared" si="209"/>
        <v/>
      </c>
      <c r="FQ96" s="73" t="str">
        <f t="shared" si="209"/>
        <v/>
      </c>
      <c r="FR96" s="73" t="str">
        <f t="shared" si="209"/>
        <v/>
      </c>
      <c r="FS96" s="73" t="str">
        <f t="shared" si="209"/>
        <v/>
      </c>
      <c r="FT96" s="73" t="str">
        <f t="shared" si="209"/>
        <v/>
      </c>
      <c r="FU96" s="73" t="str">
        <f t="shared" si="209"/>
        <v/>
      </c>
      <c r="FV96" s="73" t="str">
        <f t="shared" si="209"/>
        <v/>
      </c>
      <c r="FW96" s="73" t="str">
        <f t="shared" si="209"/>
        <v/>
      </c>
      <c r="FX96" s="73" t="str">
        <f t="shared" si="209"/>
        <v/>
      </c>
      <c r="FY96" s="73" t="str">
        <f t="shared" si="209"/>
        <v/>
      </c>
      <c r="FZ96" s="73" t="str">
        <f t="shared" si="209"/>
        <v/>
      </c>
      <c r="GA96" s="73" t="str">
        <f t="shared" si="209"/>
        <v/>
      </c>
      <c r="GB96" s="73" t="str">
        <f t="shared" si="209"/>
        <v/>
      </c>
      <c r="GC96" s="73" t="str">
        <f t="shared" si="209"/>
        <v/>
      </c>
      <c r="GD96" s="73" t="str">
        <f t="shared" si="209"/>
        <v/>
      </c>
      <c r="GE96" s="73" t="str">
        <f t="shared" si="209"/>
        <v/>
      </c>
      <c r="GF96" s="73" t="str">
        <f t="shared" si="209"/>
        <v/>
      </c>
      <c r="GG96" s="73" t="str">
        <f t="shared" si="209"/>
        <v/>
      </c>
      <c r="GH96" s="73" t="str">
        <f t="shared" si="209"/>
        <v/>
      </c>
      <c r="GI96" s="73" t="str">
        <f t="shared" si="209"/>
        <v/>
      </c>
      <c r="GJ96" s="73" t="str">
        <f t="shared" si="209"/>
        <v/>
      </c>
      <c r="GK96" s="73" t="str">
        <f t="shared" si="209"/>
        <v/>
      </c>
      <c r="GL96" s="73" t="str">
        <f t="shared" si="209"/>
        <v/>
      </c>
      <c r="GM96" s="73" t="str">
        <f t="shared" si="209"/>
        <v/>
      </c>
      <c r="GN96" s="73" t="str">
        <f t="shared" si="209"/>
        <v/>
      </c>
      <c r="GO96" s="73" t="str">
        <f t="shared" si="209"/>
        <v/>
      </c>
      <c r="GP96" s="73" t="str">
        <f t="shared" si="209"/>
        <v/>
      </c>
      <c r="GQ96" s="73" t="str">
        <f t="shared" si="209"/>
        <v/>
      </c>
    </row>
    <row r="97" spans="1:199" x14ac:dyDescent="0.2">
      <c r="A97" t="s">
        <v>220</v>
      </c>
      <c r="B97" t="s">
        <v>25</v>
      </c>
      <c r="C97" t="str">
        <f t="shared" si="179"/>
        <v>Euro Par 2038 I</v>
      </c>
      <c r="E97" s="73" t="str">
        <f t="shared" si="171"/>
        <v/>
      </c>
      <c r="F97" s="103">
        <f t="shared" si="172"/>
        <v>0.13818843082338481</v>
      </c>
      <c r="G97" s="73">
        <f t="shared" ref="G97:AL97" si="210">IF(G70="","",G43/(1+ INDEX($C$3:$C$6,MATCH($A97,$B$3:$B$6,0))/100)^G70)</f>
        <v>1.5791495423716184</v>
      </c>
      <c r="H97" s="73">
        <f t="shared" si="210"/>
        <v>1.4827012780652657</v>
      </c>
      <c r="I97" s="73">
        <f t="shared" si="210"/>
        <v>1.3926231992701938</v>
      </c>
      <c r="J97" s="73">
        <f t="shared" si="210"/>
        <v>1.3075672328791641</v>
      </c>
      <c r="K97" s="73">
        <f t="shared" si="210"/>
        <v>1.2281290169852415</v>
      </c>
      <c r="L97" s="73">
        <f t="shared" si="210"/>
        <v>1.1531197104856175</v>
      </c>
      <c r="M97" s="73">
        <f t="shared" si="210"/>
        <v>1.0826916784154226</v>
      </c>
      <c r="N97" s="73">
        <f t="shared" si="210"/>
        <v>1.0165651144895818</v>
      </c>
      <c r="O97" s="73">
        <f t="shared" si="210"/>
        <v>0.95480605766675264</v>
      </c>
      <c r="P97" s="73">
        <f t="shared" si="210"/>
        <v>0.89649024618708328</v>
      </c>
      <c r="Q97" s="73">
        <f t="shared" si="210"/>
        <v>0.84202605961780519</v>
      </c>
      <c r="R97" s="73">
        <f t="shared" si="210"/>
        <v>0.79059840835883188</v>
      </c>
      <c r="S97" s="73">
        <f t="shared" si="210"/>
        <v>0.74256743490723243</v>
      </c>
      <c r="T97" s="73">
        <f t="shared" si="210"/>
        <v>0.6972143266008064</v>
      </c>
      <c r="U97" s="73">
        <f t="shared" si="210"/>
        <v>0.65463120838061595</v>
      </c>
      <c r="V97" s="73">
        <f t="shared" si="210"/>
        <v>0.61464890010963491</v>
      </c>
      <c r="W97" s="73">
        <f t="shared" si="210"/>
        <v>0.57730733112709109</v>
      </c>
      <c r="X97" s="73">
        <f t="shared" si="210"/>
        <v>2.363840988388143</v>
      </c>
      <c r="Y97" s="73">
        <f t="shared" si="210"/>
        <v>2.1845328818148726</v>
      </c>
      <c r="Z97" s="73">
        <f t="shared" si="210"/>
        <v>2.0175920686301478</v>
      </c>
      <c r="AA97" s="73">
        <f t="shared" si="210"/>
        <v>1.8635361473978083</v>
      </c>
      <c r="AB97" s="73">
        <f t="shared" si="210"/>
        <v>1.7201596559485151</v>
      </c>
      <c r="AC97" s="73">
        <f t="shared" si="210"/>
        <v>1.5873453869564136</v>
      </c>
      <c r="AD97" s="73">
        <f t="shared" si="210"/>
        <v>1.4643379776735124</v>
      </c>
      <c r="AE97" s="73">
        <f t="shared" si="210"/>
        <v>1.3509000720149056</v>
      </c>
      <c r="AF97" s="73">
        <f t="shared" si="210"/>
        <v>1.2454118084318644</v>
      </c>
      <c r="AG97" s="73">
        <f t="shared" si="210"/>
        <v>1.1481652509904907</v>
      </c>
      <c r="AH97" s="73">
        <f t="shared" si="210"/>
        <v>1.0577736612401878</v>
      </c>
      <c r="AI97" s="73">
        <f t="shared" si="210"/>
        <v>0.97447614141118066</v>
      </c>
      <c r="AJ97" s="73">
        <f t="shared" si="210"/>
        <v>0.8970866041485398</v>
      </c>
      <c r="AK97" s="73">
        <f t="shared" si="210"/>
        <v>0.82551528981951183</v>
      </c>
      <c r="AL97" s="73">
        <f t="shared" si="210"/>
        <v>0.75934017515187868</v>
      </c>
      <c r="AM97" s="73">
        <f t="shared" ref="AM97:BR97" si="211">IF(AM70="","",AM43/(1+ INDEX($C$3:$C$6,MATCH($A97,$B$3:$B$6,0))/100)^AM70)</f>
        <v>0.69840955843195418</v>
      </c>
      <c r="AN97" s="73">
        <f t="shared" si="211"/>
        <v>0.64185861981346681</v>
      </c>
      <c r="AO97" s="73">
        <f t="shared" si="211"/>
        <v>0.58981331466407372</v>
      </c>
      <c r="AP97" s="73">
        <f t="shared" si="211"/>
        <v>0.54153624048585491</v>
      </c>
      <c r="AQ97" s="73">
        <f t="shared" si="211"/>
        <v>0.50684073649604144</v>
      </c>
      <c r="AR97" s="73" t="str">
        <f t="shared" si="211"/>
        <v/>
      </c>
      <c r="AS97" s="73" t="str">
        <f t="shared" si="211"/>
        <v/>
      </c>
      <c r="AT97" s="73" t="str">
        <f t="shared" si="211"/>
        <v/>
      </c>
      <c r="AU97" s="73" t="str">
        <f t="shared" si="211"/>
        <v/>
      </c>
      <c r="AV97" s="73" t="str">
        <f t="shared" si="211"/>
        <v/>
      </c>
      <c r="AW97" s="73" t="str">
        <f t="shared" si="211"/>
        <v/>
      </c>
      <c r="AX97" s="73" t="str">
        <f t="shared" si="211"/>
        <v/>
      </c>
      <c r="AY97" s="73" t="str">
        <f t="shared" si="211"/>
        <v/>
      </c>
      <c r="AZ97" s="73" t="str">
        <f t="shared" si="211"/>
        <v/>
      </c>
      <c r="BA97" s="73" t="str">
        <f t="shared" si="211"/>
        <v/>
      </c>
      <c r="BB97" s="73" t="str">
        <f t="shared" si="211"/>
        <v/>
      </c>
      <c r="BC97" s="73" t="str">
        <f t="shared" si="211"/>
        <v/>
      </c>
      <c r="BD97" s="73" t="str">
        <f t="shared" si="211"/>
        <v/>
      </c>
      <c r="BE97" s="73" t="str">
        <f t="shared" si="211"/>
        <v/>
      </c>
      <c r="BF97" s="73" t="str">
        <f t="shared" si="211"/>
        <v/>
      </c>
      <c r="BG97" s="73" t="str">
        <f t="shared" si="211"/>
        <v/>
      </c>
      <c r="BH97" s="73" t="str">
        <f t="shared" si="211"/>
        <v/>
      </c>
      <c r="BI97" s="73" t="str">
        <f t="shared" si="211"/>
        <v/>
      </c>
      <c r="BJ97" s="73" t="str">
        <f t="shared" si="211"/>
        <v/>
      </c>
      <c r="BK97" s="73" t="str">
        <f t="shared" si="211"/>
        <v/>
      </c>
      <c r="BL97" s="73" t="str">
        <f t="shared" si="211"/>
        <v/>
      </c>
      <c r="BM97" s="73" t="str">
        <f t="shared" si="211"/>
        <v/>
      </c>
      <c r="BN97" s="73" t="str">
        <f t="shared" si="211"/>
        <v/>
      </c>
      <c r="BO97" s="73" t="str">
        <f t="shared" si="211"/>
        <v/>
      </c>
      <c r="BP97" s="73" t="str">
        <f t="shared" si="211"/>
        <v/>
      </c>
      <c r="BQ97" s="73" t="str">
        <f t="shared" si="211"/>
        <v/>
      </c>
      <c r="BR97" s="73" t="str">
        <f t="shared" si="211"/>
        <v/>
      </c>
      <c r="BS97" s="73" t="str">
        <f t="shared" ref="BS97:CX97" si="212">IF(BS70="","",BS43/(1+ INDEX($C$3:$C$6,MATCH($A97,$B$3:$B$6,0))/100)^BS70)</f>
        <v/>
      </c>
      <c r="BT97" s="73" t="str">
        <f t="shared" si="212"/>
        <v/>
      </c>
      <c r="BU97" s="73" t="str">
        <f t="shared" si="212"/>
        <v/>
      </c>
      <c r="BV97" s="73" t="str">
        <f t="shared" si="212"/>
        <v/>
      </c>
      <c r="BW97" s="73" t="str">
        <f t="shared" si="212"/>
        <v/>
      </c>
      <c r="BX97" s="73" t="str">
        <f t="shared" si="212"/>
        <v/>
      </c>
      <c r="BY97" s="73" t="str">
        <f t="shared" si="212"/>
        <v/>
      </c>
      <c r="BZ97" s="73" t="str">
        <f t="shared" si="212"/>
        <v/>
      </c>
      <c r="CA97" s="73" t="str">
        <f t="shared" si="212"/>
        <v/>
      </c>
      <c r="CB97" s="73" t="str">
        <f t="shared" si="212"/>
        <v/>
      </c>
      <c r="CC97" s="73" t="str">
        <f t="shared" si="212"/>
        <v/>
      </c>
      <c r="CD97" s="73" t="str">
        <f t="shared" si="212"/>
        <v/>
      </c>
      <c r="CE97" s="73" t="str">
        <f t="shared" si="212"/>
        <v/>
      </c>
      <c r="CF97" s="73" t="str">
        <f t="shared" si="212"/>
        <v/>
      </c>
      <c r="CG97" s="73" t="str">
        <f t="shared" si="212"/>
        <v/>
      </c>
      <c r="CH97" s="73" t="str">
        <f t="shared" si="212"/>
        <v/>
      </c>
      <c r="CI97" s="73" t="str">
        <f t="shared" si="212"/>
        <v/>
      </c>
      <c r="CJ97" s="73" t="str">
        <f t="shared" si="212"/>
        <v/>
      </c>
      <c r="CK97" s="73" t="str">
        <f t="shared" si="212"/>
        <v/>
      </c>
      <c r="CL97" s="73" t="str">
        <f t="shared" si="212"/>
        <v/>
      </c>
      <c r="CM97" s="73" t="str">
        <f t="shared" si="212"/>
        <v/>
      </c>
      <c r="CN97" s="73" t="str">
        <f t="shared" si="212"/>
        <v/>
      </c>
      <c r="CO97" s="73" t="str">
        <f t="shared" si="212"/>
        <v/>
      </c>
      <c r="CP97" s="73" t="str">
        <f t="shared" si="212"/>
        <v/>
      </c>
      <c r="CQ97" s="73" t="str">
        <f t="shared" si="212"/>
        <v/>
      </c>
      <c r="CR97" s="73" t="str">
        <f t="shared" si="212"/>
        <v/>
      </c>
      <c r="CS97" s="73" t="str">
        <f t="shared" si="212"/>
        <v/>
      </c>
      <c r="CT97" s="73" t="str">
        <f t="shared" si="212"/>
        <v/>
      </c>
      <c r="CU97" s="73" t="str">
        <f t="shared" si="212"/>
        <v/>
      </c>
      <c r="CV97" s="73" t="str">
        <f t="shared" si="212"/>
        <v/>
      </c>
      <c r="CW97" s="73" t="str">
        <f t="shared" si="212"/>
        <v/>
      </c>
      <c r="CX97" s="73" t="str">
        <f t="shared" si="212"/>
        <v/>
      </c>
      <c r="CY97" s="73" t="str">
        <f t="shared" ref="CY97:ED97" si="213">IF(CY70="","",CY43/(1+ INDEX($C$3:$C$6,MATCH($A97,$B$3:$B$6,0))/100)^CY70)</f>
        <v/>
      </c>
      <c r="CZ97" s="73" t="str">
        <f t="shared" si="213"/>
        <v/>
      </c>
      <c r="DA97" s="73" t="str">
        <f t="shared" si="213"/>
        <v/>
      </c>
      <c r="DB97" s="73" t="str">
        <f t="shared" si="213"/>
        <v/>
      </c>
      <c r="DC97" s="73" t="str">
        <f t="shared" si="213"/>
        <v/>
      </c>
      <c r="DD97" s="73" t="str">
        <f t="shared" si="213"/>
        <v/>
      </c>
      <c r="DE97" s="73" t="str">
        <f t="shared" si="213"/>
        <v/>
      </c>
      <c r="DF97" s="73" t="str">
        <f t="shared" si="213"/>
        <v/>
      </c>
      <c r="DG97" s="73" t="str">
        <f t="shared" si="213"/>
        <v/>
      </c>
      <c r="DH97" s="73" t="str">
        <f t="shared" si="213"/>
        <v/>
      </c>
      <c r="DI97" s="73" t="str">
        <f t="shared" si="213"/>
        <v/>
      </c>
      <c r="DJ97" s="73" t="str">
        <f t="shared" si="213"/>
        <v/>
      </c>
      <c r="DK97" s="73" t="str">
        <f t="shared" si="213"/>
        <v/>
      </c>
      <c r="DL97" s="73" t="str">
        <f t="shared" si="213"/>
        <v/>
      </c>
      <c r="DM97" s="73" t="str">
        <f t="shared" si="213"/>
        <v/>
      </c>
      <c r="DN97" s="73" t="str">
        <f t="shared" si="213"/>
        <v/>
      </c>
      <c r="DO97" s="73" t="str">
        <f t="shared" si="213"/>
        <v/>
      </c>
      <c r="DP97" s="73" t="str">
        <f t="shared" si="213"/>
        <v/>
      </c>
      <c r="DQ97" s="73" t="str">
        <f t="shared" si="213"/>
        <v/>
      </c>
      <c r="DR97" s="73" t="str">
        <f t="shared" si="213"/>
        <v/>
      </c>
      <c r="DS97" s="73" t="str">
        <f t="shared" si="213"/>
        <v/>
      </c>
      <c r="DT97" s="73" t="str">
        <f t="shared" si="213"/>
        <v/>
      </c>
      <c r="DU97" s="73" t="str">
        <f t="shared" si="213"/>
        <v/>
      </c>
      <c r="DV97" s="73" t="str">
        <f t="shared" si="213"/>
        <v/>
      </c>
      <c r="DW97" s="73" t="str">
        <f t="shared" si="213"/>
        <v/>
      </c>
      <c r="DX97" s="73" t="str">
        <f t="shared" si="213"/>
        <v/>
      </c>
      <c r="DY97" s="73" t="str">
        <f t="shared" si="213"/>
        <v/>
      </c>
      <c r="DZ97" s="73" t="str">
        <f t="shared" si="213"/>
        <v/>
      </c>
      <c r="EA97" s="73" t="str">
        <f t="shared" si="213"/>
        <v/>
      </c>
      <c r="EB97" s="73" t="str">
        <f t="shared" si="213"/>
        <v/>
      </c>
      <c r="EC97" s="73" t="str">
        <f t="shared" si="213"/>
        <v/>
      </c>
      <c r="ED97" s="73" t="str">
        <f t="shared" si="213"/>
        <v/>
      </c>
      <c r="EE97" s="73" t="str">
        <f t="shared" ref="EE97:FJ97" si="214">IF(EE70="","",EE43/(1+ INDEX($C$3:$C$6,MATCH($A97,$B$3:$B$6,0))/100)^EE70)</f>
        <v/>
      </c>
      <c r="EF97" s="73" t="str">
        <f t="shared" si="214"/>
        <v/>
      </c>
      <c r="EG97" s="73" t="str">
        <f t="shared" si="214"/>
        <v/>
      </c>
      <c r="EH97" s="73" t="str">
        <f t="shared" si="214"/>
        <v/>
      </c>
      <c r="EI97" s="73" t="str">
        <f t="shared" si="214"/>
        <v/>
      </c>
      <c r="EJ97" s="73" t="str">
        <f t="shared" si="214"/>
        <v/>
      </c>
      <c r="EK97" s="73" t="str">
        <f t="shared" si="214"/>
        <v/>
      </c>
      <c r="EL97" s="73" t="str">
        <f t="shared" si="214"/>
        <v/>
      </c>
      <c r="EM97" s="73" t="str">
        <f t="shared" si="214"/>
        <v/>
      </c>
      <c r="EN97" s="73" t="str">
        <f t="shared" si="214"/>
        <v/>
      </c>
      <c r="EO97" s="73" t="str">
        <f t="shared" si="214"/>
        <v/>
      </c>
      <c r="EP97" s="73" t="str">
        <f t="shared" si="214"/>
        <v/>
      </c>
      <c r="EQ97" s="73" t="str">
        <f t="shared" si="214"/>
        <v/>
      </c>
      <c r="ER97" s="73" t="str">
        <f t="shared" si="214"/>
        <v/>
      </c>
      <c r="ES97" s="73" t="str">
        <f t="shared" si="214"/>
        <v/>
      </c>
      <c r="ET97" s="73" t="str">
        <f t="shared" si="214"/>
        <v/>
      </c>
      <c r="EU97" s="73" t="str">
        <f t="shared" si="214"/>
        <v/>
      </c>
      <c r="EV97" s="73" t="str">
        <f t="shared" si="214"/>
        <v/>
      </c>
      <c r="EW97" s="73" t="str">
        <f t="shared" si="214"/>
        <v/>
      </c>
      <c r="EX97" s="73" t="str">
        <f t="shared" si="214"/>
        <v/>
      </c>
      <c r="EY97" s="73" t="str">
        <f t="shared" si="214"/>
        <v/>
      </c>
      <c r="EZ97" s="73" t="str">
        <f t="shared" si="214"/>
        <v/>
      </c>
      <c r="FA97" s="73" t="str">
        <f t="shared" si="214"/>
        <v/>
      </c>
      <c r="FB97" s="73" t="str">
        <f t="shared" si="214"/>
        <v/>
      </c>
      <c r="FC97" s="73" t="str">
        <f t="shared" si="214"/>
        <v/>
      </c>
      <c r="FD97" s="73" t="str">
        <f t="shared" si="214"/>
        <v/>
      </c>
      <c r="FE97" s="73" t="str">
        <f t="shared" si="214"/>
        <v/>
      </c>
      <c r="FF97" s="73" t="str">
        <f t="shared" si="214"/>
        <v/>
      </c>
      <c r="FG97" s="73" t="str">
        <f t="shared" si="214"/>
        <v/>
      </c>
      <c r="FH97" s="73" t="str">
        <f t="shared" si="214"/>
        <v/>
      </c>
      <c r="FI97" s="73" t="str">
        <f t="shared" si="214"/>
        <v/>
      </c>
      <c r="FJ97" s="73" t="str">
        <f t="shared" si="214"/>
        <v/>
      </c>
      <c r="FK97" s="73" t="str">
        <f t="shared" ref="FK97:GQ97" si="215">IF(FK70="","",FK43/(1+ INDEX($C$3:$C$6,MATCH($A97,$B$3:$B$6,0))/100)^FK70)</f>
        <v/>
      </c>
      <c r="FL97" s="73" t="str">
        <f t="shared" si="215"/>
        <v/>
      </c>
      <c r="FM97" s="73" t="str">
        <f t="shared" si="215"/>
        <v/>
      </c>
      <c r="FN97" s="73" t="str">
        <f t="shared" si="215"/>
        <v/>
      </c>
      <c r="FO97" s="73" t="str">
        <f t="shared" si="215"/>
        <v/>
      </c>
      <c r="FP97" s="73" t="str">
        <f t="shared" si="215"/>
        <v/>
      </c>
      <c r="FQ97" s="73" t="str">
        <f t="shared" si="215"/>
        <v/>
      </c>
      <c r="FR97" s="73" t="str">
        <f t="shared" si="215"/>
        <v/>
      </c>
      <c r="FS97" s="73" t="str">
        <f t="shared" si="215"/>
        <v/>
      </c>
      <c r="FT97" s="73" t="str">
        <f t="shared" si="215"/>
        <v/>
      </c>
      <c r="FU97" s="73" t="str">
        <f t="shared" si="215"/>
        <v/>
      </c>
      <c r="FV97" s="73" t="str">
        <f t="shared" si="215"/>
        <v/>
      </c>
      <c r="FW97" s="73" t="str">
        <f t="shared" si="215"/>
        <v/>
      </c>
      <c r="FX97" s="73" t="str">
        <f t="shared" si="215"/>
        <v/>
      </c>
      <c r="FY97" s="73" t="str">
        <f t="shared" si="215"/>
        <v/>
      </c>
      <c r="FZ97" s="73" t="str">
        <f t="shared" si="215"/>
        <v/>
      </c>
      <c r="GA97" s="73" t="str">
        <f t="shared" si="215"/>
        <v/>
      </c>
      <c r="GB97" s="73" t="str">
        <f t="shared" si="215"/>
        <v/>
      </c>
      <c r="GC97" s="73" t="str">
        <f t="shared" si="215"/>
        <v/>
      </c>
      <c r="GD97" s="73" t="str">
        <f t="shared" si="215"/>
        <v/>
      </c>
      <c r="GE97" s="73" t="str">
        <f t="shared" si="215"/>
        <v/>
      </c>
      <c r="GF97" s="73" t="str">
        <f t="shared" si="215"/>
        <v/>
      </c>
      <c r="GG97" s="73" t="str">
        <f t="shared" si="215"/>
        <v/>
      </c>
      <c r="GH97" s="73" t="str">
        <f t="shared" si="215"/>
        <v/>
      </c>
      <c r="GI97" s="73" t="str">
        <f t="shared" si="215"/>
        <v/>
      </c>
      <c r="GJ97" s="73" t="str">
        <f t="shared" si="215"/>
        <v/>
      </c>
      <c r="GK97" s="73" t="str">
        <f t="shared" si="215"/>
        <v/>
      </c>
      <c r="GL97" s="73" t="str">
        <f t="shared" si="215"/>
        <v/>
      </c>
      <c r="GM97" s="73" t="str">
        <f t="shared" si="215"/>
        <v/>
      </c>
      <c r="GN97" s="73" t="str">
        <f t="shared" si="215"/>
        <v/>
      </c>
      <c r="GO97" s="73" t="str">
        <f t="shared" si="215"/>
        <v/>
      </c>
      <c r="GP97" s="73" t="str">
        <f t="shared" si="215"/>
        <v/>
      </c>
      <c r="GQ97" s="73" t="str">
        <f t="shared" si="215"/>
        <v/>
      </c>
    </row>
    <row r="98" spans="1:199" x14ac:dyDescent="0.2">
      <c r="A98" t="s">
        <v>220</v>
      </c>
      <c r="B98" t="s">
        <v>27</v>
      </c>
      <c r="C98" t="str">
        <f t="shared" si="179"/>
        <v>Euro Par 2038 II and III</v>
      </c>
      <c r="E98" s="73" t="str">
        <f t="shared" si="171"/>
        <v/>
      </c>
      <c r="F98" s="103">
        <f t="shared" si="172"/>
        <v>0.13818843082338481</v>
      </c>
      <c r="G98" s="73">
        <f t="shared" ref="G98:AL98" si="216">IF(G71="","",G44/(1+ INDEX($C$3:$C$6,MATCH($A98,$B$3:$B$6,0))/100)^G71)</f>
        <v>1.5791495423716184</v>
      </c>
      <c r="H98" s="73">
        <f t="shared" si="216"/>
        <v>1.4827012780652657</v>
      </c>
      <c r="I98" s="73">
        <f t="shared" si="216"/>
        <v>1.3926231992701938</v>
      </c>
      <c r="J98" s="73">
        <f t="shared" si="216"/>
        <v>1.3075672328791641</v>
      </c>
      <c r="K98" s="73">
        <f t="shared" si="216"/>
        <v>1.2281290169852415</v>
      </c>
      <c r="L98" s="73">
        <f t="shared" si="216"/>
        <v>1.1531197104856175</v>
      </c>
      <c r="M98" s="73">
        <f t="shared" si="216"/>
        <v>1.0826916784154226</v>
      </c>
      <c r="N98" s="73">
        <f t="shared" si="216"/>
        <v>1.0165651144895818</v>
      </c>
      <c r="O98" s="73">
        <f t="shared" si="216"/>
        <v>0.95480605766675264</v>
      </c>
      <c r="P98" s="73">
        <f t="shared" si="216"/>
        <v>0.89649024618708328</v>
      </c>
      <c r="Q98" s="73">
        <f t="shared" si="216"/>
        <v>0.84202605961780519</v>
      </c>
      <c r="R98" s="73">
        <f t="shared" si="216"/>
        <v>0.79059840835883188</v>
      </c>
      <c r="S98" s="73">
        <f t="shared" si="216"/>
        <v>0.74256743490723243</v>
      </c>
      <c r="T98" s="73">
        <f t="shared" si="216"/>
        <v>0.6972143266008064</v>
      </c>
      <c r="U98" s="73">
        <f t="shared" si="216"/>
        <v>0.65463120838061595</v>
      </c>
      <c r="V98" s="73">
        <f t="shared" si="216"/>
        <v>0.61464890010963491</v>
      </c>
      <c r="W98" s="73">
        <f t="shared" si="216"/>
        <v>0.57730733112709109</v>
      </c>
      <c r="X98" s="73">
        <f t="shared" si="216"/>
        <v>2.363840988388143</v>
      </c>
      <c r="Y98" s="73">
        <f t="shared" si="216"/>
        <v>2.1845328818148726</v>
      </c>
      <c r="Z98" s="73">
        <f t="shared" si="216"/>
        <v>2.0175920686301478</v>
      </c>
      <c r="AA98" s="73">
        <f t="shared" si="216"/>
        <v>1.8635361473978083</v>
      </c>
      <c r="AB98" s="73">
        <f t="shared" si="216"/>
        <v>1.7201596559485151</v>
      </c>
      <c r="AC98" s="73">
        <f t="shared" si="216"/>
        <v>1.5873453869564136</v>
      </c>
      <c r="AD98" s="73">
        <f t="shared" si="216"/>
        <v>1.4643379776735124</v>
      </c>
      <c r="AE98" s="73">
        <f t="shared" si="216"/>
        <v>1.3509000720149056</v>
      </c>
      <c r="AF98" s="73">
        <f t="shared" si="216"/>
        <v>1.2454118084318644</v>
      </c>
      <c r="AG98" s="73">
        <f t="shared" si="216"/>
        <v>1.1481652509904907</v>
      </c>
      <c r="AH98" s="73">
        <f t="shared" si="216"/>
        <v>1.0577736612401878</v>
      </c>
      <c r="AI98" s="73">
        <f t="shared" si="216"/>
        <v>0.97447614141118066</v>
      </c>
      <c r="AJ98" s="73">
        <f t="shared" si="216"/>
        <v>0.8970866041485398</v>
      </c>
      <c r="AK98" s="73">
        <f t="shared" si="216"/>
        <v>0.82551528981951183</v>
      </c>
      <c r="AL98" s="73">
        <f t="shared" si="216"/>
        <v>0.75934017515187868</v>
      </c>
      <c r="AM98" s="73">
        <f t="shared" ref="AM98:BR98" si="217">IF(AM71="","",AM44/(1+ INDEX($C$3:$C$6,MATCH($A98,$B$3:$B$6,0))/100)^AM71)</f>
        <v>0.69840955843195418</v>
      </c>
      <c r="AN98" s="73">
        <f t="shared" si="217"/>
        <v>0.64185861981346681</v>
      </c>
      <c r="AO98" s="73">
        <f t="shared" si="217"/>
        <v>0.58981331466407372</v>
      </c>
      <c r="AP98" s="73">
        <f t="shared" si="217"/>
        <v>0.54153624048585491</v>
      </c>
      <c r="AQ98" s="73">
        <f t="shared" si="217"/>
        <v>0.50684073649604144</v>
      </c>
      <c r="AR98" s="73" t="str">
        <f t="shared" si="217"/>
        <v/>
      </c>
      <c r="AS98" s="73" t="str">
        <f t="shared" si="217"/>
        <v/>
      </c>
      <c r="AT98" s="73" t="str">
        <f t="shared" si="217"/>
        <v/>
      </c>
      <c r="AU98" s="73" t="str">
        <f t="shared" si="217"/>
        <v/>
      </c>
      <c r="AV98" s="73" t="str">
        <f t="shared" si="217"/>
        <v/>
      </c>
      <c r="AW98" s="73" t="str">
        <f t="shared" si="217"/>
        <v/>
      </c>
      <c r="AX98" s="73" t="str">
        <f t="shared" si="217"/>
        <v/>
      </c>
      <c r="AY98" s="73" t="str">
        <f t="shared" si="217"/>
        <v/>
      </c>
      <c r="AZ98" s="73" t="str">
        <f t="shared" si="217"/>
        <v/>
      </c>
      <c r="BA98" s="73" t="str">
        <f t="shared" si="217"/>
        <v/>
      </c>
      <c r="BB98" s="73" t="str">
        <f t="shared" si="217"/>
        <v/>
      </c>
      <c r="BC98" s="73" t="str">
        <f t="shared" si="217"/>
        <v/>
      </c>
      <c r="BD98" s="73" t="str">
        <f t="shared" si="217"/>
        <v/>
      </c>
      <c r="BE98" s="73" t="str">
        <f t="shared" si="217"/>
        <v/>
      </c>
      <c r="BF98" s="73" t="str">
        <f t="shared" si="217"/>
        <v/>
      </c>
      <c r="BG98" s="73" t="str">
        <f t="shared" si="217"/>
        <v/>
      </c>
      <c r="BH98" s="73" t="str">
        <f t="shared" si="217"/>
        <v/>
      </c>
      <c r="BI98" s="73" t="str">
        <f t="shared" si="217"/>
        <v/>
      </c>
      <c r="BJ98" s="73" t="str">
        <f t="shared" si="217"/>
        <v/>
      </c>
      <c r="BK98" s="73" t="str">
        <f t="shared" si="217"/>
        <v/>
      </c>
      <c r="BL98" s="73" t="str">
        <f t="shared" si="217"/>
        <v/>
      </c>
      <c r="BM98" s="73" t="str">
        <f t="shared" si="217"/>
        <v/>
      </c>
      <c r="BN98" s="73" t="str">
        <f t="shared" si="217"/>
        <v/>
      </c>
      <c r="BO98" s="73" t="str">
        <f t="shared" si="217"/>
        <v/>
      </c>
      <c r="BP98" s="73" t="str">
        <f t="shared" si="217"/>
        <v/>
      </c>
      <c r="BQ98" s="73" t="str">
        <f t="shared" si="217"/>
        <v/>
      </c>
      <c r="BR98" s="73" t="str">
        <f t="shared" si="217"/>
        <v/>
      </c>
      <c r="BS98" s="73" t="str">
        <f t="shared" ref="BS98:CX98" si="218">IF(BS71="","",BS44/(1+ INDEX($C$3:$C$6,MATCH($A98,$B$3:$B$6,0))/100)^BS71)</f>
        <v/>
      </c>
      <c r="BT98" s="73" t="str">
        <f t="shared" si="218"/>
        <v/>
      </c>
      <c r="BU98" s="73" t="str">
        <f t="shared" si="218"/>
        <v/>
      </c>
      <c r="BV98" s="73" t="str">
        <f t="shared" si="218"/>
        <v/>
      </c>
      <c r="BW98" s="73" t="str">
        <f t="shared" si="218"/>
        <v/>
      </c>
      <c r="BX98" s="73" t="str">
        <f t="shared" si="218"/>
        <v/>
      </c>
      <c r="BY98" s="73" t="str">
        <f t="shared" si="218"/>
        <v/>
      </c>
      <c r="BZ98" s="73" t="str">
        <f t="shared" si="218"/>
        <v/>
      </c>
      <c r="CA98" s="73" t="str">
        <f t="shared" si="218"/>
        <v/>
      </c>
      <c r="CB98" s="73" t="str">
        <f t="shared" si="218"/>
        <v/>
      </c>
      <c r="CC98" s="73" t="str">
        <f t="shared" si="218"/>
        <v/>
      </c>
      <c r="CD98" s="73" t="str">
        <f t="shared" si="218"/>
        <v/>
      </c>
      <c r="CE98" s="73" t="str">
        <f t="shared" si="218"/>
        <v/>
      </c>
      <c r="CF98" s="73" t="str">
        <f t="shared" si="218"/>
        <v/>
      </c>
      <c r="CG98" s="73" t="str">
        <f t="shared" si="218"/>
        <v/>
      </c>
      <c r="CH98" s="73" t="str">
        <f t="shared" si="218"/>
        <v/>
      </c>
      <c r="CI98" s="73" t="str">
        <f t="shared" si="218"/>
        <v/>
      </c>
      <c r="CJ98" s="73" t="str">
        <f t="shared" si="218"/>
        <v/>
      </c>
      <c r="CK98" s="73" t="str">
        <f t="shared" si="218"/>
        <v/>
      </c>
      <c r="CL98" s="73" t="str">
        <f t="shared" si="218"/>
        <v/>
      </c>
      <c r="CM98" s="73" t="str">
        <f t="shared" si="218"/>
        <v/>
      </c>
      <c r="CN98" s="73" t="str">
        <f t="shared" si="218"/>
        <v/>
      </c>
      <c r="CO98" s="73" t="str">
        <f t="shared" si="218"/>
        <v/>
      </c>
      <c r="CP98" s="73" t="str">
        <f t="shared" si="218"/>
        <v/>
      </c>
      <c r="CQ98" s="73" t="str">
        <f t="shared" si="218"/>
        <v/>
      </c>
      <c r="CR98" s="73" t="str">
        <f t="shared" si="218"/>
        <v/>
      </c>
      <c r="CS98" s="73" t="str">
        <f t="shared" si="218"/>
        <v/>
      </c>
      <c r="CT98" s="73" t="str">
        <f t="shared" si="218"/>
        <v/>
      </c>
      <c r="CU98" s="73" t="str">
        <f t="shared" si="218"/>
        <v/>
      </c>
      <c r="CV98" s="73" t="str">
        <f t="shared" si="218"/>
        <v/>
      </c>
      <c r="CW98" s="73" t="str">
        <f t="shared" si="218"/>
        <v/>
      </c>
      <c r="CX98" s="73" t="str">
        <f t="shared" si="218"/>
        <v/>
      </c>
      <c r="CY98" s="73" t="str">
        <f t="shared" ref="CY98:ED98" si="219">IF(CY71="","",CY44/(1+ INDEX($C$3:$C$6,MATCH($A98,$B$3:$B$6,0))/100)^CY71)</f>
        <v/>
      </c>
      <c r="CZ98" s="73" t="str">
        <f t="shared" si="219"/>
        <v/>
      </c>
      <c r="DA98" s="73" t="str">
        <f t="shared" si="219"/>
        <v/>
      </c>
      <c r="DB98" s="73" t="str">
        <f t="shared" si="219"/>
        <v/>
      </c>
      <c r="DC98" s="73" t="str">
        <f t="shared" si="219"/>
        <v/>
      </c>
      <c r="DD98" s="73" t="str">
        <f t="shared" si="219"/>
        <v/>
      </c>
      <c r="DE98" s="73" t="str">
        <f t="shared" si="219"/>
        <v/>
      </c>
      <c r="DF98" s="73" t="str">
        <f t="shared" si="219"/>
        <v/>
      </c>
      <c r="DG98" s="73" t="str">
        <f t="shared" si="219"/>
        <v/>
      </c>
      <c r="DH98" s="73" t="str">
        <f t="shared" si="219"/>
        <v/>
      </c>
      <c r="DI98" s="73" t="str">
        <f t="shared" si="219"/>
        <v/>
      </c>
      <c r="DJ98" s="73" t="str">
        <f t="shared" si="219"/>
        <v/>
      </c>
      <c r="DK98" s="73" t="str">
        <f t="shared" si="219"/>
        <v/>
      </c>
      <c r="DL98" s="73" t="str">
        <f t="shared" si="219"/>
        <v/>
      </c>
      <c r="DM98" s="73" t="str">
        <f t="shared" si="219"/>
        <v/>
      </c>
      <c r="DN98" s="73" t="str">
        <f t="shared" si="219"/>
        <v/>
      </c>
      <c r="DO98" s="73" t="str">
        <f t="shared" si="219"/>
        <v/>
      </c>
      <c r="DP98" s="73" t="str">
        <f t="shared" si="219"/>
        <v/>
      </c>
      <c r="DQ98" s="73" t="str">
        <f t="shared" si="219"/>
        <v/>
      </c>
      <c r="DR98" s="73" t="str">
        <f t="shared" si="219"/>
        <v/>
      </c>
      <c r="DS98" s="73" t="str">
        <f t="shared" si="219"/>
        <v/>
      </c>
      <c r="DT98" s="73" t="str">
        <f t="shared" si="219"/>
        <v/>
      </c>
      <c r="DU98" s="73" t="str">
        <f t="shared" si="219"/>
        <v/>
      </c>
      <c r="DV98" s="73" t="str">
        <f t="shared" si="219"/>
        <v/>
      </c>
      <c r="DW98" s="73" t="str">
        <f t="shared" si="219"/>
        <v/>
      </c>
      <c r="DX98" s="73" t="str">
        <f t="shared" si="219"/>
        <v/>
      </c>
      <c r="DY98" s="73" t="str">
        <f t="shared" si="219"/>
        <v/>
      </c>
      <c r="DZ98" s="73" t="str">
        <f t="shared" si="219"/>
        <v/>
      </c>
      <c r="EA98" s="73" t="str">
        <f t="shared" si="219"/>
        <v/>
      </c>
      <c r="EB98" s="73" t="str">
        <f t="shared" si="219"/>
        <v/>
      </c>
      <c r="EC98" s="73" t="str">
        <f t="shared" si="219"/>
        <v/>
      </c>
      <c r="ED98" s="73" t="str">
        <f t="shared" si="219"/>
        <v/>
      </c>
      <c r="EE98" s="73" t="str">
        <f t="shared" ref="EE98:FJ98" si="220">IF(EE71="","",EE44/(1+ INDEX($C$3:$C$6,MATCH($A98,$B$3:$B$6,0))/100)^EE71)</f>
        <v/>
      </c>
      <c r="EF98" s="73" t="str">
        <f t="shared" si="220"/>
        <v/>
      </c>
      <c r="EG98" s="73" t="str">
        <f t="shared" si="220"/>
        <v/>
      </c>
      <c r="EH98" s="73" t="str">
        <f t="shared" si="220"/>
        <v/>
      </c>
      <c r="EI98" s="73" t="str">
        <f t="shared" si="220"/>
        <v/>
      </c>
      <c r="EJ98" s="73" t="str">
        <f t="shared" si="220"/>
        <v/>
      </c>
      <c r="EK98" s="73" t="str">
        <f t="shared" si="220"/>
        <v/>
      </c>
      <c r="EL98" s="73" t="str">
        <f t="shared" si="220"/>
        <v/>
      </c>
      <c r="EM98" s="73" t="str">
        <f t="shared" si="220"/>
        <v/>
      </c>
      <c r="EN98" s="73" t="str">
        <f t="shared" si="220"/>
        <v/>
      </c>
      <c r="EO98" s="73" t="str">
        <f t="shared" si="220"/>
        <v/>
      </c>
      <c r="EP98" s="73" t="str">
        <f t="shared" si="220"/>
        <v/>
      </c>
      <c r="EQ98" s="73" t="str">
        <f t="shared" si="220"/>
        <v/>
      </c>
      <c r="ER98" s="73" t="str">
        <f t="shared" si="220"/>
        <v/>
      </c>
      <c r="ES98" s="73" t="str">
        <f t="shared" si="220"/>
        <v/>
      </c>
      <c r="ET98" s="73" t="str">
        <f t="shared" si="220"/>
        <v/>
      </c>
      <c r="EU98" s="73" t="str">
        <f t="shared" si="220"/>
        <v/>
      </c>
      <c r="EV98" s="73" t="str">
        <f t="shared" si="220"/>
        <v/>
      </c>
      <c r="EW98" s="73" t="str">
        <f t="shared" si="220"/>
        <v/>
      </c>
      <c r="EX98" s="73" t="str">
        <f t="shared" si="220"/>
        <v/>
      </c>
      <c r="EY98" s="73" t="str">
        <f t="shared" si="220"/>
        <v/>
      </c>
      <c r="EZ98" s="73" t="str">
        <f t="shared" si="220"/>
        <v/>
      </c>
      <c r="FA98" s="73" t="str">
        <f t="shared" si="220"/>
        <v/>
      </c>
      <c r="FB98" s="73" t="str">
        <f t="shared" si="220"/>
        <v/>
      </c>
      <c r="FC98" s="73" t="str">
        <f t="shared" si="220"/>
        <v/>
      </c>
      <c r="FD98" s="73" t="str">
        <f t="shared" si="220"/>
        <v/>
      </c>
      <c r="FE98" s="73" t="str">
        <f t="shared" si="220"/>
        <v/>
      </c>
      <c r="FF98" s="73" t="str">
        <f t="shared" si="220"/>
        <v/>
      </c>
      <c r="FG98" s="73" t="str">
        <f t="shared" si="220"/>
        <v/>
      </c>
      <c r="FH98" s="73" t="str">
        <f t="shared" si="220"/>
        <v/>
      </c>
      <c r="FI98" s="73" t="str">
        <f t="shared" si="220"/>
        <v/>
      </c>
      <c r="FJ98" s="73" t="str">
        <f t="shared" si="220"/>
        <v/>
      </c>
      <c r="FK98" s="73" t="str">
        <f t="shared" ref="FK98:GQ98" si="221">IF(FK71="","",FK44/(1+ INDEX($C$3:$C$6,MATCH($A98,$B$3:$B$6,0))/100)^FK71)</f>
        <v/>
      </c>
      <c r="FL98" s="73" t="str">
        <f t="shared" si="221"/>
        <v/>
      </c>
      <c r="FM98" s="73" t="str">
        <f t="shared" si="221"/>
        <v/>
      </c>
      <c r="FN98" s="73" t="str">
        <f t="shared" si="221"/>
        <v/>
      </c>
      <c r="FO98" s="73" t="str">
        <f t="shared" si="221"/>
        <v/>
      </c>
      <c r="FP98" s="73" t="str">
        <f t="shared" si="221"/>
        <v/>
      </c>
      <c r="FQ98" s="73" t="str">
        <f t="shared" si="221"/>
        <v/>
      </c>
      <c r="FR98" s="73" t="str">
        <f t="shared" si="221"/>
        <v/>
      </c>
      <c r="FS98" s="73" t="str">
        <f t="shared" si="221"/>
        <v/>
      </c>
      <c r="FT98" s="73" t="str">
        <f t="shared" si="221"/>
        <v/>
      </c>
      <c r="FU98" s="73" t="str">
        <f t="shared" si="221"/>
        <v/>
      </c>
      <c r="FV98" s="73" t="str">
        <f t="shared" si="221"/>
        <v/>
      </c>
      <c r="FW98" s="73" t="str">
        <f t="shared" si="221"/>
        <v/>
      </c>
      <c r="FX98" s="73" t="str">
        <f t="shared" si="221"/>
        <v/>
      </c>
      <c r="FY98" s="73" t="str">
        <f t="shared" si="221"/>
        <v/>
      </c>
      <c r="FZ98" s="73" t="str">
        <f t="shared" si="221"/>
        <v/>
      </c>
      <c r="GA98" s="73" t="str">
        <f t="shared" si="221"/>
        <v/>
      </c>
      <c r="GB98" s="73" t="str">
        <f t="shared" si="221"/>
        <v/>
      </c>
      <c r="GC98" s="73" t="str">
        <f t="shared" si="221"/>
        <v/>
      </c>
      <c r="GD98" s="73" t="str">
        <f t="shared" si="221"/>
        <v/>
      </c>
      <c r="GE98" s="73" t="str">
        <f t="shared" si="221"/>
        <v/>
      </c>
      <c r="GF98" s="73" t="str">
        <f t="shared" si="221"/>
        <v/>
      </c>
      <c r="GG98" s="73" t="str">
        <f t="shared" si="221"/>
        <v/>
      </c>
      <c r="GH98" s="73" t="str">
        <f t="shared" si="221"/>
        <v/>
      </c>
      <c r="GI98" s="73" t="str">
        <f t="shared" si="221"/>
        <v/>
      </c>
      <c r="GJ98" s="73" t="str">
        <f t="shared" si="221"/>
        <v/>
      </c>
      <c r="GK98" s="73" t="str">
        <f t="shared" si="221"/>
        <v/>
      </c>
      <c r="GL98" s="73" t="str">
        <f t="shared" si="221"/>
        <v/>
      </c>
      <c r="GM98" s="73" t="str">
        <f t="shared" si="221"/>
        <v/>
      </c>
      <c r="GN98" s="73" t="str">
        <f t="shared" si="221"/>
        <v/>
      </c>
      <c r="GO98" s="73" t="str">
        <f t="shared" si="221"/>
        <v/>
      </c>
      <c r="GP98" s="73" t="str">
        <f t="shared" si="221"/>
        <v/>
      </c>
      <c r="GQ98" s="73" t="str">
        <f t="shared" si="221"/>
        <v/>
      </c>
    </row>
    <row r="99" spans="1:199" x14ac:dyDescent="0.2">
      <c r="A99" t="s">
        <v>221</v>
      </c>
      <c r="B99" t="str">
        <f t="shared" ref="B99:B109" si="222">B72</f>
        <v>US040114GW47</v>
      </c>
      <c r="C99" t="str">
        <f t="shared" si="179"/>
        <v>USD 2021</v>
      </c>
      <c r="E99" s="73" t="str">
        <f t="shared" si="171"/>
        <v/>
      </c>
      <c r="F99" s="103">
        <f t="shared" si="172"/>
        <v>0.68926121285375297</v>
      </c>
      <c r="G99" s="73">
        <f t="shared" ref="G99:AL99" si="223">IF(G72="","",G45/(1+ INDEX($C$3:$C$6,MATCH($A99,$B$3:$B$6,0))/100)^G72)</f>
        <v>96.890386143066721</v>
      </c>
      <c r="H99" s="73" t="str">
        <f t="shared" si="223"/>
        <v/>
      </c>
      <c r="I99" s="73" t="str">
        <f t="shared" si="223"/>
        <v/>
      </c>
      <c r="J99" s="73" t="str">
        <f t="shared" si="223"/>
        <v/>
      </c>
      <c r="K99" s="73" t="str">
        <f t="shared" si="223"/>
        <v/>
      </c>
      <c r="L99" s="73" t="str">
        <f t="shared" si="223"/>
        <v/>
      </c>
      <c r="M99" s="73" t="str">
        <f t="shared" si="223"/>
        <v/>
      </c>
      <c r="N99" s="73" t="str">
        <f t="shared" si="223"/>
        <v/>
      </c>
      <c r="O99" s="73" t="str">
        <f t="shared" si="223"/>
        <v/>
      </c>
      <c r="P99" s="73" t="str">
        <f t="shared" si="223"/>
        <v/>
      </c>
      <c r="Q99" s="73" t="str">
        <f t="shared" si="223"/>
        <v/>
      </c>
      <c r="R99" s="73" t="str">
        <f t="shared" si="223"/>
        <v/>
      </c>
      <c r="S99" s="73" t="str">
        <f t="shared" si="223"/>
        <v/>
      </c>
      <c r="T99" s="73" t="str">
        <f t="shared" si="223"/>
        <v/>
      </c>
      <c r="U99" s="73" t="str">
        <f t="shared" si="223"/>
        <v/>
      </c>
      <c r="V99" s="73" t="str">
        <f t="shared" si="223"/>
        <v/>
      </c>
      <c r="W99" s="73" t="str">
        <f t="shared" si="223"/>
        <v/>
      </c>
      <c r="X99" s="73" t="str">
        <f t="shared" si="223"/>
        <v/>
      </c>
      <c r="Y99" s="73" t="str">
        <f t="shared" si="223"/>
        <v/>
      </c>
      <c r="Z99" s="73" t="str">
        <f t="shared" si="223"/>
        <v/>
      </c>
      <c r="AA99" s="73" t="str">
        <f t="shared" si="223"/>
        <v/>
      </c>
      <c r="AB99" s="73" t="str">
        <f t="shared" si="223"/>
        <v/>
      </c>
      <c r="AC99" s="73" t="str">
        <f t="shared" si="223"/>
        <v/>
      </c>
      <c r="AD99" s="73" t="str">
        <f t="shared" si="223"/>
        <v/>
      </c>
      <c r="AE99" s="73" t="str">
        <f t="shared" si="223"/>
        <v/>
      </c>
      <c r="AF99" s="73" t="str">
        <f t="shared" si="223"/>
        <v/>
      </c>
      <c r="AG99" s="73" t="str">
        <f t="shared" si="223"/>
        <v/>
      </c>
      <c r="AH99" s="73" t="str">
        <f t="shared" si="223"/>
        <v/>
      </c>
      <c r="AI99" s="73" t="str">
        <f t="shared" si="223"/>
        <v/>
      </c>
      <c r="AJ99" s="73" t="str">
        <f t="shared" si="223"/>
        <v/>
      </c>
      <c r="AK99" s="73" t="str">
        <f t="shared" si="223"/>
        <v/>
      </c>
      <c r="AL99" s="73" t="str">
        <f t="shared" si="223"/>
        <v/>
      </c>
      <c r="AM99" s="73" t="str">
        <f t="shared" ref="AM99:BR99" si="224">IF(AM72="","",AM45/(1+ INDEX($C$3:$C$6,MATCH($A99,$B$3:$B$6,0))/100)^AM72)</f>
        <v/>
      </c>
      <c r="AN99" s="73" t="str">
        <f t="shared" si="224"/>
        <v/>
      </c>
      <c r="AO99" s="73" t="str">
        <f t="shared" si="224"/>
        <v/>
      </c>
      <c r="AP99" s="73" t="str">
        <f t="shared" si="224"/>
        <v/>
      </c>
      <c r="AQ99" s="73" t="str">
        <f t="shared" si="224"/>
        <v/>
      </c>
      <c r="AR99" s="73" t="str">
        <f t="shared" si="224"/>
        <v/>
      </c>
      <c r="AS99" s="73" t="str">
        <f t="shared" si="224"/>
        <v/>
      </c>
      <c r="AT99" s="73" t="str">
        <f t="shared" si="224"/>
        <v/>
      </c>
      <c r="AU99" s="73" t="str">
        <f t="shared" si="224"/>
        <v/>
      </c>
      <c r="AV99" s="73" t="str">
        <f t="shared" si="224"/>
        <v/>
      </c>
      <c r="AW99" s="73" t="str">
        <f t="shared" si="224"/>
        <v/>
      </c>
      <c r="AX99" s="73" t="str">
        <f t="shared" si="224"/>
        <v/>
      </c>
      <c r="AY99" s="73" t="str">
        <f t="shared" si="224"/>
        <v/>
      </c>
      <c r="AZ99" s="73" t="str">
        <f t="shared" si="224"/>
        <v/>
      </c>
      <c r="BA99" s="73" t="str">
        <f t="shared" si="224"/>
        <v/>
      </c>
      <c r="BB99" s="73" t="str">
        <f t="shared" si="224"/>
        <v/>
      </c>
      <c r="BC99" s="73" t="str">
        <f t="shared" si="224"/>
        <v/>
      </c>
      <c r="BD99" s="73" t="str">
        <f t="shared" si="224"/>
        <v/>
      </c>
      <c r="BE99" s="73" t="str">
        <f t="shared" si="224"/>
        <v/>
      </c>
      <c r="BF99" s="73" t="str">
        <f t="shared" si="224"/>
        <v/>
      </c>
      <c r="BG99" s="73" t="str">
        <f t="shared" si="224"/>
        <v/>
      </c>
      <c r="BH99" s="73" t="str">
        <f t="shared" si="224"/>
        <v/>
      </c>
      <c r="BI99" s="73" t="str">
        <f t="shared" si="224"/>
        <v/>
      </c>
      <c r="BJ99" s="73" t="str">
        <f t="shared" si="224"/>
        <v/>
      </c>
      <c r="BK99" s="73" t="str">
        <f t="shared" si="224"/>
        <v/>
      </c>
      <c r="BL99" s="73" t="str">
        <f t="shared" si="224"/>
        <v/>
      </c>
      <c r="BM99" s="73" t="str">
        <f t="shared" si="224"/>
        <v/>
      </c>
      <c r="BN99" s="73" t="str">
        <f t="shared" si="224"/>
        <v/>
      </c>
      <c r="BO99" s="73" t="str">
        <f t="shared" si="224"/>
        <v/>
      </c>
      <c r="BP99" s="73" t="str">
        <f t="shared" si="224"/>
        <v/>
      </c>
      <c r="BQ99" s="73" t="str">
        <f t="shared" si="224"/>
        <v/>
      </c>
      <c r="BR99" s="73" t="str">
        <f t="shared" si="224"/>
        <v/>
      </c>
      <c r="BS99" s="73" t="str">
        <f t="shared" ref="BS99:CX99" si="225">IF(BS72="","",BS45/(1+ INDEX($C$3:$C$6,MATCH($A99,$B$3:$B$6,0))/100)^BS72)</f>
        <v/>
      </c>
      <c r="BT99" s="73" t="str">
        <f t="shared" si="225"/>
        <v/>
      </c>
      <c r="BU99" s="73" t="str">
        <f t="shared" si="225"/>
        <v/>
      </c>
      <c r="BV99" s="73" t="str">
        <f t="shared" si="225"/>
        <v/>
      </c>
      <c r="BW99" s="73" t="str">
        <f t="shared" si="225"/>
        <v/>
      </c>
      <c r="BX99" s="73" t="str">
        <f t="shared" si="225"/>
        <v/>
      </c>
      <c r="BY99" s="73" t="str">
        <f t="shared" si="225"/>
        <v/>
      </c>
      <c r="BZ99" s="73" t="str">
        <f t="shared" si="225"/>
        <v/>
      </c>
      <c r="CA99" s="73" t="str">
        <f t="shared" si="225"/>
        <v/>
      </c>
      <c r="CB99" s="73" t="str">
        <f t="shared" si="225"/>
        <v/>
      </c>
      <c r="CC99" s="73" t="str">
        <f t="shared" si="225"/>
        <v/>
      </c>
      <c r="CD99" s="73" t="str">
        <f t="shared" si="225"/>
        <v/>
      </c>
      <c r="CE99" s="73" t="str">
        <f t="shared" si="225"/>
        <v/>
      </c>
      <c r="CF99" s="73" t="str">
        <f t="shared" si="225"/>
        <v/>
      </c>
      <c r="CG99" s="73" t="str">
        <f t="shared" si="225"/>
        <v/>
      </c>
      <c r="CH99" s="73" t="str">
        <f t="shared" si="225"/>
        <v/>
      </c>
      <c r="CI99" s="73" t="str">
        <f t="shared" si="225"/>
        <v/>
      </c>
      <c r="CJ99" s="73" t="str">
        <f t="shared" si="225"/>
        <v/>
      </c>
      <c r="CK99" s="73" t="str">
        <f t="shared" si="225"/>
        <v/>
      </c>
      <c r="CL99" s="73" t="str">
        <f t="shared" si="225"/>
        <v/>
      </c>
      <c r="CM99" s="73" t="str">
        <f t="shared" si="225"/>
        <v/>
      </c>
      <c r="CN99" s="73" t="str">
        <f t="shared" si="225"/>
        <v/>
      </c>
      <c r="CO99" s="73" t="str">
        <f t="shared" si="225"/>
        <v/>
      </c>
      <c r="CP99" s="73" t="str">
        <f t="shared" si="225"/>
        <v/>
      </c>
      <c r="CQ99" s="73" t="str">
        <f t="shared" si="225"/>
        <v/>
      </c>
      <c r="CR99" s="73" t="str">
        <f t="shared" si="225"/>
        <v/>
      </c>
      <c r="CS99" s="73" t="str">
        <f t="shared" si="225"/>
        <v/>
      </c>
      <c r="CT99" s="73" t="str">
        <f t="shared" si="225"/>
        <v/>
      </c>
      <c r="CU99" s="73" t="str">
        <f t="shared" si="225"/>
        <v/>
      </c>
      <c r="CV99" s="73" t="str">
        <f t="shared" si="225"/>
        <v/>
      </c>
      <c r="CW99" s="73" t="str">
        <f t="shared" si="225"/>
        <v/>
      </c>
      <c r="CX99" s="73" t="str">
        <f t="shared" si="225"/>
        <v/>
      </c>
      <c r="CY99" s="73" t="str">
        <f t="shared" ref="CY99:ED99" si="226">IF(CY72="","",CY45/(1+ INDEX($C$3:$C$6,MATCH($A99,$B$3:$B$6,0))/100)^CY72)</f>
        <v/>
      </c>
      <c r="CZ99" s="73" t="str">
        <f t="shared" si="226"/>
        <v/>
      </c>
      <c r="DA99" s="73" t="str">
        <f t="shared" si="226"/>
        <v/>
      </c>
      <c r="DB99" s="73" t="str">
        <f t="shared" si="226"/>
        <v/>
      </c>
      <c r="DC99" s="73" t="str">
        <f t="shared" si="226"/>
        <v/>
      </c>
      <c r="DD99" s="73" t="str">
        <f t="shared" si="226"/>
        <v/>
      </c>
      <c r="DE99" s="73" t="str">
        <f t="shared" si="226"/>
        <v/>
      </c>
      <c r="DF99" s="73" t="str">
        <f t="shared" si="226"/>
        <v/>
      </c>
      <c r="DG99" s="73" t="str">
        <f t="shared" si="226"/>
        <v/>
      </c>
      <c r="DH99" s="73" t="str">
        <f t="shared" si="226"/>
        <v/>
      </c>
      <c r="DI99" s="73" t="str">
        <f t="shared" si="226"/>
        <v/>
      </c>
      <c r="DJ99" s="73" t="str">
        <f t="shared" si="226"/>
        <v/>
      </c>
      <c r="DK99" s="73" t="str">
        <f t="shared" si="226"/>
        <v/>
      </c>
      <c r="DL99" s="73" t="str">
        <f t="shared" si="226"/>
        <v/>
      </c>
      <c r="DM99" s="73" t="str">
        <f t="shared" si="226"/>
        <v/>
      </c>
      <c r="DN99" s="73" t="str">
        <f t="shared" si="226"/>
        <v/>
      </c>
      <c r="DO99" s="73" t="str">
        <f t="shared" si="226"/>
        <v/>
      </c>
      <c r="DP99" s="73" t="str">
        <f t="shared" si="226"/>
        <v/>
      </c>
      <c r="DQ99" s="73" t="str">
        <f t="shared" si="226"/>
        <v/>
      </c>
      <c r="DR99" s="73" t="str">
        <f t="shared" si="226"/>
        <v/>
      </c>
      <c r="DS99" s="73" t="str">
        <f t="shared" si="226"/>
        <v/>
      </c>
      <c r="DT99" s="73" t="str">
        <f t="shared" si="226"/>
        <v/>
      </c>
      <c r="DU99" s="73" t="str">
        <f t="shared" si="226"/>
        <v/>
      </c>
      <c r="DV99" s="73" t="str">
        <f t="shared" si="226"/>
        <v/>
      </c>
      <c r="DW99" s="73" t="str">
        <f t="shared" si="226"/>
        <v/>
      </c>
      <c r="DX99" s="73" t="str">
        <f t="shared" si="226"/>
        <v/>
      </c>
      <c r="DY99" s="73" t="str">
        <f t="shared" si="226"/>
        <v/>
      </c>
      <c r="DZ99" s="73" t="str">
        <f t="shared" si="226"/>
        <v/>
      </c>
      <c r="EA99" s="73" t="str">
        <f t="shared" si="226"/>
        <v/>
      </c>
      <c r="EB99" s="73" t="str">
        <f t="shared" si="226"/>
        <v/>
      </c>
      <c r="EC99" s="73" t="str">
        <f t="shared" si="226"/>
        <v/>
      </c>
      <c r="ED99" s="73" t="str">
        <f t="shared" si="226"/>
        <v/>
      </c>
      <c r="EE99" s="73" t="str">
        <f t="shared" ref="EE99:FJ99" si="227">IF(EE72="","",EE45/(1+ INDEX($C$3:$C$6,MATCH($A99,$B$3:$B$6,0))/100)^EE72)</f>
        <v/>
      </c>
      <c r="EF99" s="73" t="str">
        <f t="shared" si="227"/>
        <v/>
      </c>
      <c r="EG99" s="73" t="str">
        <f t="shared" si="227"/>
        <v/>
      </c>
      <c r="EH99" s="73" t="str">
        <f t="shared" si="227"/>
        <v/>
      </c>
      <c r="EI99" s="73" t="str">
        <f t="shared" si="227"/>
        <v/>
      </c>
      <c r="EJ99" s="73" t="str">
        <f t="shared" si="227"/>
        <v/>
      </c>
      <c r="EK99" s="73" t="str">
        <f t="shared" si="227"/>
        <v/>
      </c>
      <c r="EL99" s="73" t="str">
        <f t="shared" si="227"/>
        <v/>
      </c>
      <c r="EM99" s="73" t="str">
        <f t="shared" si="227"/>
        <v/>
      </c>
      <c r="EN99" s="73" t="str">
        <f t="shared" si="227"/>
        <v/>
      </c>
      <c r="EO99" s="73" t="str">
        <f t="shared" si="227"/>
        <v/>
      </c>
      <c r="EP99" s="73" t="str">
        <f t="shared" si="227"/>
        <v/>
      </c>
      <c r="EQ99" s="73" t="str">
        <f t="shared" si="227"/>
        <v/>
      </c>
      <c r="ER99" s="73" t="str">
        <f t="shared" si="227"/>
        <v/>
      </c>
      <c r="ES99" s="73" t="str">
        <f t="shared" si="227"/>
        <v/>
      </c>
      <c r="ET99" s="73" t="str">
        <f t="shared" si="227"/>
        <v/>
      </c>
      <c r="EU99" s="73" t="str">
        <f t="shared" si="227"/>
        <v/>
      </c>
      <c r="EV99" s="73" t="str">
        <f t="shared" si="227"/>
        <v/>
      </c>
      <c r="EW99" s="73" t="str">
        <f t="shared" si="227"/>
        <v/>
      </c>
      <c r="EX99" s="73" t="str">
        <f t="shared" si="227"/>
        <v/>
      </c>
      <c r="EY99" s="73" t="str">
        <f t="shared" si="227"/>
        <v/>
      </c>
      <c r="EZ99" s="73" t="str">
        <f t="shared" si="227"/>
        <v/>
      </c>
      <c r="FA99" s="73" t="str">
        <f t="shared" si="227"/>
        <v/>
      </c>
      <c r="FB99" s="73" t="str">
        <f t="shared" si="227"/>
        <v/>
      </c>
      <c r="FC99" s="73" t="str">
        <f t="shared" si="227"/>
        <v/>
      </c>
      <c r="FD99" s="73" t="str">
        <f t="shared" si="227"/>
        <v/>
      </c>
      <c r="FE99" s="73" t="str">
        <f t="shared" si="227"/>
        <v/>
      </c>
      <c r="FF99" s="73" t="str">
        <f t="shared" si="227"/>
        <v/>
      </c>
      <c r="FG99" s="73" t="str">
        <f t="shared" si="227"/>
        <v/>
      </c>
      <c r="FH99" s="73" t="str">
        <f t="shared" si="227"/>
        <v/>
      </c>
      <c r="FI99" s="73" t="str">
        <f t="shared" si="227"/>
        <v/>
      </c>
      <c r="FJ99" s="73" t="str">
        <f t="shared" si="227"/>
        <v/>
      </c>
      <c r="FK99" s="73" t="str">
        <f t="shared" ref="FK99:GQ99" si="228">IF(FK72="","",FK45/(1+ INDEX($C$3:$C$6,MATCH($A99,$B$3:$B$6,0))/100)^FK72)</f>
        <v/>
      </c>
      <c r="FL99" s="73" t="str">
        <f t="shared" si="228"/>
        <v/>
      </c>
      <c r="FM99" s="73" t="str">
        <f t="shared" si="228"/>
        <v/>
      </c>
      <c r="FN99" s="73" t="str">
        <f t="shared" si="228"/>
        <v/>
      </c>
      <c r="FO99" s="73" t="str">
        <f t="shared" si="228"/>
        <v/>
      </c>
      <c r="FP99" s="73" t="str">
        <f t="shared" si="228"/>
        <v/>
      </c>
      <c r="FQ99" s="73" t="str">
        <f t="shared" si="228"/>
        <v/>
      </c>
      <c r="FR99" s="73" t="str">
        <f t="shared" si="228"/>
        <v/>
      </c>
      <c r="FS99" s="73" t="str">
        <f t="shared" si="228"/>
        <v/>
      </c>
      <c r="FT99" s="73" t="str">
        <f t="shared" si="228"/>
        <v/>
      </c>
      <c r="FU99" s="73" t="str">
        <f t="shared" si="228"/>
        <v/>
      </c>
      <c r="FV99" s="73" t="str">
        <f t="shared" si="228"/>
        <v/>
      </c>
      <c r="FW99" s="73" t="str">
        <f t="shared" si="228"/>
        <v/>
      </c>
      <c r="FX99" s="73" t="str">
        <f t="shared" si="228"/>
        <v/>
      </c>
      <c r="FY99" s="73" t="str">
        <f t="shared" si="228"/>
        <v/>
      </c>
      <c r="FZ99" s="73" t="str">
        <f t="shared" si="228"/>
        <v/>
      </c>
      <c r="GA99" s="73" t="str">
        <f t="shared" si="228"/>
        <v/>
      </c>
      <c r="GB99" s="73" t="str">
        <f t="shared" si="228"/>
        <v/>
      </c>
      <c r="GC99" s="73" t="str">
        <f t="shared" si="228"/>
        <v/>
      </c>
      <c r="GD99" s="73" t="str">
        <f t="shared" si="228"/>
        <v/>
      </c>
      <c r="GE99" s="73" t="str">
        <f t="shared" si="228"/>
        <v/>
      </c>
      <c r="GF99" s="73" t="str">
        <f t="shared" si="228"/>
        <v/>
      </c>
      <c r="GG99" s="73" t="str">
        <f t="shared" si="228"/>
        <v/>
      </c>
      <c r="GH99" s="73" t="str">
        <f t="shared" si="228"/>
        <v/>
      </c>
      <c r="GI99" s="73" t="str">
        <f t="shared" si="228"/>
        <v/>
      </c>
      <c r="GJ99" s="73" t="str">
        <f t="shared" si="228"/>
        <v/>
      </c>
      <c r="GK99" s="73" t="str">
        <f t="shared" si="228"/>
        <v/>
      </c>
      <c r="GL99" s="73" t="str">
        <f t="shared" si="228"/>
        <v/>
      </c>
      <c r="GM99" s="73" t="str">
        <f t="shared" si="228"/>
        <v/>
      </c>
      <c r="GN99" s="73" t="str">
        <f t="shared" si="228"/>
        <v/>
      </c>
      <c r="GO99" s="73" t="str">
        <f t="shared" si="228"/>
        <v/>
      </c>
      <c r="GP99" s="73" t="str">
        <f t="shared" si="228"/>
        <v/>
      </c>
      <c r="GQ99" s="73" t="str">
        <f t="shared" si="228"/>
        <v/>
      </c>
    </row>
    <row r="100" spans="1:199" x14ac:dyDescent="0.2">
      <c r="A100" t="s">
        <v>221</v>
      </c>
      <c r="B100" t="str">
        <f t="shared" si="222"/>
        <v>US040114HK99</v>
      </c>
      <c r="C100" t="str">
        <f t="shared" si="179"/>
        <v>USD 2022</v>
      </c>
      <c r="E100" s="73" t="str">
        <f t="shared" si="171"/>
        <v/>
      </c>
      <c r="F100" s="103">
        <f t="shared" si="172"/>
        <v>1.9698603424150734</v>
      </c>
      <c r="G100" s="73">
        <f t="shared" ref="G100:AL100" si="229">IF(G73="","",G46/(1+ INDEX($C$3:$C$6,MATCH($A100,$B$3:$B$6,0))/100)^G73)</f>
        <v>2.5608062816551294</v>
      </c>
      <c r="H100" s="73">
        <f t="shared" si="229"/>
        <v>88.607640514438032</v>
      </c>
      <c r="I100" s="73" t="str">
        <f t="shared" si="229"/>
        <v/>
      </c>
      <c r="J100" s="73" t="str">
        <f t="shared" si="229"/>
        <v/>
      </c>
      <c r="K100" s="73" t="str">
        <f t="shared" si="229"/>
        <v/>
      </c>
      <c r="L100" s="73" t="str">
        <f t="shared" si="229"/>
        <v/>
      </c>
      <c r="M100" s="73" t="str">
        <f t="shared" si="229"/>
        <v/>
      </c>
      <c r="N100" s="73" t="str">
        <f t="shared" si="229"/>
        <v/>
      </c>
      <c r="O100" s="73" t="str">
        <f t="shared" si="229"/>
        <v/>
      </c>
      <c r="P100" s="73" t="str">
        <f t="shared" si="229"/>
        <v/>
      </c>
      <c r="Q100" s="73" t="str">
        <f t="shared" si="229"/>
        <v/>
      </c>
      <c r="R100" s="73" t="str">
        <f t="shared" si="229"/>
        <v/>
      </c>
      <c r="S100" s="73" t="str">
        <f t="shared" si="229"/>
        <v/>
      </c>
      <c r="T100" s="73" t="str">
        <f t="shared" si="229"/>
        <v/>
      </c>
      <c r="U100" s="73" t="str">
        <f t="shared" si="229"/>
        <v/>
      </c>
      <c r="V100" s="73" t="str">
        <f t="shared" si="229"/>
        <v/>
      </c>
      <c r="W100" s="73" t="str">
        <f t="shared" si="229"/>
        <v/>
      </c>
      <c r="X100" s="73" t="str">
        <f t="shared" si="229"/>
        <v/>
      </c>
      <c r="Y100" s="73" t="str">
        <f t="shared" si="229"/>
        <v/>
      </c>
      <c r="Z100" s="73" t="str">
        <f t="shared" si="229"/>
        <v/>
      </c>
      <c r="AA100" s="73" t="str">
        <f t="shared" si="229"/>
        <v/>
      </c>
      <c r="AB100" s="73" t="str">
        <f t="shared" si="229"/>
        <v/>
      </c>
      <c r="AC100" s="73" t="str">
        <f t="shared" si="229"/>
        <v/>
      </c>
      <c r="AD100" s="73" t="str">
        <f t="shared" si="229"/>
        <v/>
      </c>
      <c r="AE100" s="73" t="str">
        <f t="shared" si="229"/>
        <v/>
      </c>
      <c r="AF100" s="73" t="str">
        <f t="shared" si="229"/>
        <v/>
      </c>
      <c r="AG100" s="73" t="str">
        <f t="shared" si="229"/>
        <v/>
      </c>
      <c r="AH100" s="73" t="str">
        <f t="shared" si="229"/>
        <v/>
      </c>
      <c r="AI100" s="73" t="str">
        <f t="shared" si="229"/>
        <v/>
      </c>
      <c r="AJ100" s="73" t="str">
        <f t="shared" si="229"/>
        <v/>
      </c>
      <c r="AK100" s="73" t="str">
        <f t="shared" si="229"/>
        <v/>
      </c>
      <c r="AL100" s="73" t="str">
        <f t="shared" si="229"/>
        <v/>
      </c>
      <c r="AM100" s="73" t="str">
        <f t="shared" ref="AM100:BR100" si="230">IF(AM73="","",AM46/(1+ INDEX($C$3:$C$6,MATCH($A100,$B$3:$B$6,0))/100)^AM73)</f>
        <v/>
      </c>
      <c r="AN100" s="73" t="str">
        <f t="shared" si="230"/>
        <v/>
      </c>
      <c r="AO100" s="73" t="str">
        <f t="shared" si="230"/>
        <v/>
      </c>
      <c r="AP100" s="73" t="str">
        <f t="shared" si="230"/>
        <v/>
      </c>
      <c r="AQ100" s="73" t="str">
        <f t="shared" si="230"/>
        <v/>
      </c>
      <c r="AR100" s="73" t="str">
        <f t="shared" si="230"/>
        <v/>
      </c>
      <c r="AS100" s="73" t="str">
        <f t="shared" si="230"/>
        <v/>
      </c>
      <c r="AT100" s="73" t="str">
        <f t="shared" si="230"/>
        <v/>
      </c>
      <c r="AU100" s="73" t="str">
        <f t="shared" si="230"/>
        <v/>
      </c>
      <c r="AV100" s="73" t="str">
        <f t="shared" si="230"/>
        <v/>
      </c>
      <c r="AW100" s="73" t="str">
        <f t="shared" si="230"/>
        <v/>
      </c>
      <c r="AX100" s="73" t="str">
        <f t="shared" si="230"/>
        <v/>
      </c>
      <c r="AY100" s="73" t="str">
        <f t="shared" si="230"/>
        <v/>
      </c>
      <c r="AZ100" s="73" t="str">
        <f t="shared" si="230"/>
        <v/>
      </c>
      <c r="BA100" s="73" t="str">
        <f t="shared" si="230"/>
        <v/>
      </c>
      <c r="BB100" s="73" t="str">
        <f t="shared" si="230"/>
        <v/>
      </c>
      <c r="BC100" s="73" t="str">
        <f t="shared" si="230"/>
        <v/>
      </c>
      <c r="BD100" s="73" t="str">
        <f t="shared" si="230"/>
        <v/>
      </c>
      <c r="BE100" s="73" t="str">
        <f t="shared" si="230"/>
        <v/>
      </c>
      <c r="BF100" s="73" t="str">
        <f t="shared" si="230"/>
        <v/>
      </c>
      <c r="BG100" s="73" t="str">
        <f t="shared" si="230"/>
        <v/>
      </c>
      <c r="BH100" s="73" t="str">
        <f t="shared" si="230"/>
        <v/>
      </c>
      <c r="BI100" s="73" t="str">
        <f t="shared" si="230"/>
        <v/>
      </c>
      <c r="BJ100" s="73" t="str">
        <f t="shared" si="230"/>
        <v/>
      </c>
      <c r="BK100" s="73" t="str">
        <f t="shared" si="230"/>
        <v/>
      </c>
      <c r="BL100" s="73" t="str">
        <f t="shared" si="230"/>
        <v/>
      </c>
      <c r="BM100" s="73" t="str">
        <f t="shared" si="230"/>
        <v/>
      </c>
      <c r="BN100" s="73" t="str">
        <f t="shared" si="230"/>
        <v/>
      </c>
      <c r="BO100" s="73" t="str">
        <f t="shared" si="230"/>
        <v/>
      </c>
      <c r="BP100" s="73" t="str">
        <f t="shared" si="230"/>
        <v/>
      </c>
      <c r="BQ100" s="73" t="str">
        <f t="shared" si="230"/>
        <v/>
      </c>
      <c r="BR100" s="73" t="str">
        <f t="shared" si="230"/>
        <v/>
      </c>
      <c r="BS100" s="73" t="str">
        <f t="shared" ref="BS100:CX100" si="231">IF(BS73="","",BS46/(1+ INDEX($C$3:$C$6,MATCH($A100,$B$3:$B$6,0))/100)^BS73)</f>
        <v/>
      </c>
      <c r="BT100" s="73" t="str">
        <f t="shared" si="231"/>
        <v/>
      </c>
      <c r="BU100" s="73" t="str">
        <f t="shared" si="231"/>
        <v/>
      </c>
      <c r="BV100" s="73" t="str">
        <f t="shared" si="231"/>
        <v/>
      </c>
      <c r="BW100" s="73" t="str">
        <f t="shared" si="231"/>
        <v/>
      </c>
      <c r="BX100" s="73" t="str">
        <f t="shared" si="231"/>
        <v/>
      </c>
      <c r="BY100" s="73" t="str">
        <f t="shared" si="231"/>
        <v/>
      </c>
      <c r="BZ100" s="73" t="str">
        <f t="shared" si="231"/>
        <v/>
      </c>
      <c r="CA100" s="73" t="str">
        <f t="shared" si="231"/>
        <v/>
      </c>
      <c r="CB100" s="73" t="str">
        <f t="shared" si="231"/>
        <v/>
      </c>
      <c r="CC100" s="73" t="str">
        <f t="shared" si="231"/>
        <v/>
      </c>
      <c r="CD100" s="73" t="str">
        <f t="shared" si="231"/>
        <v/>
      </c>
      <c r="CE100" s="73" t="str">
        <f t="shared" si="231"/>
        <v/>
      </c>
      <c r="CF100" s="73" t="str">
        <f t="shared" si="231"/>
        <v/>
      </c>
      <c r="CG100" s="73" t="str">
        <f t="shared" si="231"/>
        <v/>
      </c>
      <c r="CH100" s="73" t="str">
        <f t="shared" si="231"/>
        <v/>
      </c>
      <c r="CI100" s="73" t="str">
        <f t="shared" si="231"/>
        <v/>
      </c>
      <c r="CJ100" s="73" t="str">
        <f t="shared" si="231"/>
        <v/>
      </c>
      <c r="CK100" s="73" t="str">
        <f t="shared" si="231"/>
        <v/>
      </c>
      <c r="CL100" s="73" t="str">
        <f t="shared" si="231"/>
        <v/>
      </c>
      <c r="CM100" s="73" t="str">
        <f t="shared" si="231"/>
        <v/>
      </c>
      <c r="CN100" s="73" t="str">
        <f t="shared" si="231"/>
        <v/>
      </c>
      <c r="CO100" s="73" t="str">
        <f t="shared" si="231"/>
        <v/>
      </c>
      <c r="CP100" s="73" t="str">
        <f t="shared" si="231"/>
        <v/>
      </c>
      <c r="CQ100" s="73" t="str">
        <f t="shared" si="231"/>
        <v/>
      </c>
      <c r="CR100" s="73" t="str">
        <f t="shared" si="231"/>
        <v/>
      </c>
      <c r="CS100" s="73" t="str">
        <f t="shared" si="231"/>
        <v/>
      </c>
      <c r="CT100" s="73" t="str">
        <f t="shared" si="231"/>
        <v/>
      </c>
      <c r="CU100" s="73" t="str">
        <f t="shared" si="231"/>
        <v/>
      </c>
      <c r="CV100" s="73" t="str">
        <f t="shared" si="231"/>
        <v/>
      </c>
      <c r="CW100" s="73" t="str">
        <f t="shared" si="231"/>
        <v/>
      </c>
      <c r="CX100" s="73" t="str">
        <f t="shared" si="231"/>
        <v/>
      </c>
      <c r="CY100" s="73" t="str">
        <f t="shared" ref="CY100:ED100" si="232">IF(CY73="","",CY46/(1+ INDEX($C$3:$C$6,MATCH($A100,$B$3:$B$6,0))/100)^CY73)</f>
        <v/>
      </c>
      <c r="CZ100" s="73" t="str">
        <f t="shared" si="232"/>
        <v/>
      </c>
      <c r="DA100" s="73" t="str">
        <f t="shared" si="232"/>
        <v/>
      </c>
      <c r="DB100" s="73" t="str">
        <f t="shared" si="232"/>
        <v/>
      </c>
      <c r="DC100" s="73" t="str">
        <f t="shared" si="232"/>
        <v/>
      </c>
      <c r="DD100" s="73" t="str">
        <f t="shared" si="232"/>
        <v/>
      </c>
      <c r="DE100" s="73" t="str">
        <f t="shared" si="232"/>
        <v/>
      </c>
      <c r="DF100" s="73" t="str">
        <f t="shared" si="232"/>
        <v/>
      </c>
      <c r="DG100" s="73" t="str">
        <f t="shared" si="232"/>
        <v/>
      </c>
      <c r="DH100" s="73" t="str">
        <f t="shared" si="232"/>
        <v/>
      </c>
      <c r="DI100" s="73" t="str">
        <f t="shared" si="232"/>
        <v/>
      </c>
      <c r="DJ100" s="73" t="str">
        <f t="shared" si="232"/>
        <v/>
      </c>
      <c r="DK100" s="73" t="str">
        <f t="shared" si="232"/>
        <v/>
      </c>
      <c r="DL100" s="73" t="str">
        <f t="shared" si="232"/>
        <v/>
      </c>
      <c r="DM100" s="73" t="str">
        <f t="shared" si="232"/>
        <v/>
      </c>
      <c r="DN100" s="73" t="str">
        <f t="shared" si="232"/>
        <v/>
      </c>
      <c r="DO100" s="73" t="str">
        <f t="shared" si="232"/>
        <v/>
      </c>
      <c r="DP100" s="73" t="str">
        <f t="shared" si="232"/>
        <v/>
      </c>
      <c r="DQ100" s="73" t="str">
        <f t="shared" si="232"/>
        <v/>
      </c>
      <c r="DR100" s="73" t="str">
        <f t="shared" si="232"/>
        <v/>
      </c>
      <c r="DS100" s="73" t="str">
        <f t="shared" si="232"/>
        <v/>
      </c>
      <c r="DT100" s="73" t="str">
        <f t="shared" si="232"/>
        <v/>
      </c>
      <c r="DU100" s="73" t="str">
        <f t="shared" si="232"/>
        <v/>
      </c>
      <c r="DV100" s="73" t="str">
        <f t="shared" si="232"/>
        <v/>
      </c>
      <c r="DW100" s="73" t="str">
        <f t="shared" si="232"/>
        <v/>
      </c>
      <c r="DX100" s="73" t="str">
        <f t="shared" si="232"/>
        <v/>
      </c>
      <c r="DY100" s="73" t="str">
        <f t="shared" si="232"/>
        <v/>
      </c>
      <c r="DZ100" s="73" t="str">
        <f t="shared" si="232"/>
        <v/>
      </c>
      <c r="EA100" s="73" t="str">
        <f t="shared" si="232"/>
        <v/>
      </c>
      <c r="EB100" s="73" t="str">
        <f t="shared" si="232"/>
        <v/>
      </c>
      <c r="EC100" s="73" t="str">
        <f t="shared" si="232"/>
        <v/>
      </c>
      <c r="ED100" s="73" t="str">
        <f t="shared" si="232"/>
        <v/>
      </c>
      <c r="EE100" s="73" t="str">
        <f t="shared" ref="EE100:FJ100" si="233">IF(EE73="","",EE46/(1+ INDEX($C$3:$C$6,MATCH($A100,$B$3:$B$6,0))/100)^EE73)</f>
        <v/>
      </c>
      <c r="EF100" s="73" t="str">
        <f t="shared" si="233"/>
        <v/>
      </c>
      <c r="EG100" s="73" t="str">
        <f t="shared" si="233"/>
        <v/>
      </c>
      <c r="EH100" s="73" t="str">
        <f t="shared" si="233"/>
        <v/>
      </c>
      <c r="EI100" s="73" t="str">
        <f t="shared" si="233"/>
        <v/>
      </c>
      <c r="EJ100" s="73" t="str">
        <f t="shared" si="233"/>
        <v/>
      </c>
      <c r="EK100" s="73" t="str">
        <f t="shared" si="233"/>
        <v/>
      </c>
      <c r="EL100" s="73" t="str">
        <f t="shared" si="233"/>
        <v/>
      </c>
      <c r="EM100" s="73" t="str">
        <f t="shared" si="233"/>
        <v/>
      </c>
      <c r="EN100" s="73" t="str">
        <f t="shared" si="233"/>
        <v/>
      </c>
      <c r="EO100" s="73" t="str">
        <f t="shared" si="233"/>
        <v/>
      </c>
      <c r="EP100" s="73" t="str">
        <f t="shared" si="233"/>
        <v/>
      </c>
      <c r="EQ100" s="73" t="str">
        <f t="shared" si="233"/>
        <v/>
      </c>
      <c r="ER100" s="73" t="str">
        <f t="shared" si="233"/>
        <v/>
      </c>
      <c r="ES100" s="73" t="str">
        <f t="shared" si="233"/>
        <v/>
      </c>
      <c r="ET100" s="73" t="str">
        <f t="shared" si="233"/>
        <v/>
      </c>
      <c r="EU100" s="73" t="str">
        <f t="shared" si="233"/>
        <v/>
      </c>
      <c r="EV100" s="73" t="str">
        <f t="shared" si="233"/>
        <v/>
      </c>
      <c r="EW100" s="73" t="str">
        <f t="shared" si="233"/>
        <v/>
      </c>
      <c r="EX100" s="73" t="str">
        <f t="shared" si="233"/>
        <v/>
      </c>
      <c r="EY100" s="73" t="str">
        <f t="shared" si="233"/>
        <v/>
      </c>
      <c r="EZ100" s="73" t="str">
        <f t="shared" si="233"/>
        <v/>
      </c>
      <c r="FA100" s="73" t="str">
        <f t="shared" si="233"/>
        <v/>
      </c>
      <c r="FB100" s="73" t="str">
        <f t="shared" si="233"/>
        <v/>
      </c>
      <c r="FC100" s="73" t="str">
        <f t="shared" si="233"/>
        <v/>
      </c>
      <c r="FD100" s="73" t="str">
        <f t="shared" si="233"/>
        <v/>
      </c>
      <c r="FE100" s="73" t="str">
        <f t="shared" si="233"/>
        <v/>
      </c>
      <c r="FF100" s="73" t="str">
        <f t="shared" si="233"/>
        <v/>
      </c>
      <c r="FG100" s="73" t="str">
        <f t="shared" si="233"/>
        <v/>
      </c>
      <c r="FH100" s="73" t="str">
        <f t="shared" si="233"/>
        <v/>
      </c>
      <c r="FI100" s="73" t="str">
        <f t="shared" si="233"/>
        <v/>
      </c>
      <c r="FJ100" s="73" t="str">
        <f t="shared" si="233"/>
        <v/>
      </c>
      <c r="FK100" s="73" t="str">
        <f t="shared" ref="FK100:GQ100" si="234">IF(FK73="","",FK46/(1+ INDEX($C$3:$C$6,MATCH($A100,$B$3:$B$6,0))/100)^FK73)</f>
        <v/>
      </c>
      <c r="FL100" s="73" t="str">
        <f t="shared" si="234"/>
        <v/>
      </c>
      <c r="FM100" s="73" t="str">
        <f t="shared" si="234"/>
        <v/>
      </c>
      <c r="FN100" s="73" t="str">
        <f t="shared" si="234"/>
        <v/>
      </c>
      <c r="FO100" s="73" t="str">
        <f t="shared" si="234"/>
        <v/>
      </c>
      <c r="FP100" s="73" t="str">
        <f t="shared" si="234"/>
        <v/>
      </c>
      <c r="FQ100" s="73" t="str">
        <f t="shared" si="234"/>
        <v/>
      </c>
      <c r="FR100" s="73" t="str">
        <f t="shared" si="234"/>
        <v/>
      </c>
      <c r="FS100" s="73" t="str">
        <f t="shared" si="234"/>
        <v/>
      </c>
      <c r="FT100" s="73" t="str">
        <f t="shared" si="234"/>
        <v/>
      </c>
      <c r="FU100" s="73" t="str">
        <f t="shared" si="234"/>
        <v/>
      </c>
      <c r="FV100" s="73" t="str">
        <f t="shared" si="234"/>
        <v/>
      </c>
      <c r="FW100" s="73" t="str">
        <f t="shared" si="234"/>
        <v/>
      </c>
      <c r="FX100" s="73" t="str">
        <f t="shared" si="234"/>
        <v/>
      </c>
      <c r="FY100" s="73" t="str">
        <f t="shared" si="234"/>
        <v/>
      </c>
      <c r="FZ100" s="73" t="str">
        <f t="shared" si="234"/>
        <v/>
      </c>
      <c r="GA100" s="73" t="str">
        <f t="shared" si="234"/>
        <v/>
      </c>
      <c r="GB100" s="73" t="str">
        <f t="shared" si="234"/>
        <v/>
      </c>
      <c r="GC100" s="73" t="str">
        <f t="shared" si="234"/>
        <v/>
      </c>
      <c r="GD100" s="73" t="str">
        <f t="shared" si="234"/>
        <v/>
      </c>
      <c r="GE100" s="73" t="str">
        <f t="shared" si="234"/>
        <v/>
      </c>
      <c r="GF100" s="73" t="str">
        <f t="shared" si="234"/>
        <v/>
      </c>
      <c r="GG100" s="73" t="str">
        <f t="shared" si="234"/>
        <v/>
      </c>
      <c r="GH100" s="73" t="str">
        <f t="shared" si="234"/>
        <v/>
      </c>
      <c r="GI100" s="73" t="str">
        <f t="shared" si="234"/>
        <v/>
      </c>
      <c r="GJ100" s="73" t="str">
        <f t="shared" si="234"/>
        <v/>
      </c>
      <c r="GK100" s="73" t="str">
        <f t="shared" si="234"/>
        <v/>
      </c>
      <c r="GL100" s="73" t="str">
        <f t="shared" si="234"/>
        <v/>
      </c>
      <c r="GM100" s="73" t="str">
        <f t="shared" si="234"/>
        <v/>
      </c>
      <c r="GN100" s="73" t="str">
        <f t="shared" si="234"/>
        <v/>
      </c>
      <c r="GO100" s="73" t="str">
        <f t="shared" si="234"/>
        <v/>
      </c>
      <c r="GP100" s="73" t="str">
        <f t="shared" si="234"/>
        <v/>
      </c>
      <c r="GQ100" s="73" t="str">
        <f t="shared" si="234"/>
        <v/>
      </c>
    </row>
    <row r="101" spans="1:199" x14ac:dyDescent="0.2">
      <c r="A101" t="s">
        <v>221</v>
      </c>
      <c r="B101" t="str">
        <f t="shared" si="222"/>
        <v>US040114HP86</v>
      </c>
      <c r="C101" t="str">
        <f t="shared" si="179"/>
        <v>USD 2023</v>
      </c>
      <c r="E101" s="73" t="str">
        <f t="shared" si="171"/>
        <v/>
      </c>
      <c r="F101" s="103">
        <f t="shared" si="172"/>
        <v>1.4434443208163803</v>
      </c>
      <c r="G101" s="73">
        <f t="shared" ref="G101:AL101" si="235">IF(G74="","",G47/(1+ INDEX($C$3:$C$6,MATCH($A101,$B$3:$B$6,0))/100)^G74)</f>
        <v>2.1150028613873517</v>
      </c>
      <c r="H101" s="73">
        <f t="shared" si="235"/>
        <v>2.0019444219461975</v>
      </c>
      <c r="I101" s="73">
        <f t="shared" si="235"/>
        <v>1.8966276518470382</v>
      </c>
      <c r="J101" s="73">
        <f t="shared" si="235"/>
        <v>79.427353196593927</v>
      </c>
      <c r="K101" s="73" t="str">
        <f t="shared" si="235"/>
        <v/>
      </c>
      <c r="L101" s="73" t="str">
        <f t="shared" si="235"/>
        <v/>
      </c>
      <c r="M101" s="73" t="str">
        <f t="shared" si="235"/>
        <v/>
      </c>
      <c r="N101" s="73" t="str">
        <f t="shared" si="235"/>
        <v/>
      </c>
      <c r="O101" s="73" t="str">
        <f t="shared" si="235"/>
        <v/>
      </c>
      <c r="P101" s="73" t="str">
        <f t="shared" si="235"/>
        <v/>
      </c>
      <c r="Q101" s="73" t="str">
        <f t="shared" si="235"/>
        <v/>
      </c>
      <c r="R101" s="73" t="str">
        <f t="shared" si="235"/>
        <v/>
      </c>
      <c r="S101" s="73" t="str">
        <f t="shared" si="235"/>
        <v/>
      </c>
      <c r="T101" s="73" t="str">
        <f t="shared" si="235"/>
        <v/>
      </c>
      <c r="U101" s="73" t="str">
        <f t="shared" si="235"/>
        <v/>
      </c>
      <c r="V101" s="73" t="str">
        <f t="shared" si="235"/>
        <v/>
      </c>
      <c r="W101" s="73" t="str">
        <f t="shared" si="235"/>
        <v/>
      </c>
      <c r="X101" s="73" t="str">
        <f t="shared" si="235"/>
        <v/>
      </c>
      <c r="Y101" s="73" t="str">
        <f t="shared" si="235"/>
        <v/>
      </c>
      <c r="Z101" s="73" t="str">
        <f t="shared" si="235"/>
        <v/>
      </c>
      <c r="AA101" s="73" t="str">
        <f t="shared" si="235"/>
        <v/>
      </c>
      <c r="AB101" s="73" t="str">
        <f t="shared" si="235"/>
        <v/>
      </c>
      <c r="AC101" s="73" t="str">
        <f t="shared" si="235"/>
        <v/>
      </c>
      <c r="AD101" s="73" t="str">
        <f t="shared" si="235"/>
        <v/>
      </c>
      <c r="AE101" s="73" t="str">
        <f t="shared" si="235"/>
        <v/>
      </c>
      <c r="AF101" s="73" t="str">
        <f t="shared" si="235"/>
        <v/>
      </c>
      <c r="AG101" s="73" t="str">
        <f t="shared" si="235"/>
        <v/>
      </c>
      <c r="AH101" s="73" t="str">
        <f t="shared" si="235"/>
        <v/>
      </c>
      <c r="AI101" s="73" t="str">
        <f t="shared" si="235"/>
        <v/>
      </c>
      <c r="AJ101" s="73" t="str">
        <f t="shared" si="235"/>
        <v/>
      </c>
      <c r="AK101" s="73" t="str">
        <f t="shared" si="235"/>
        <v/>
      </c>
      <c r="AL101" s="73" t="str">
        <f t="shared" si="235"/>
        <v/>
      </c>
      <c r="AM101" s="73" t="str">
        <f t="shared" ref="AM101:BR101" si="236">IF(AM74="","",AM47/(1+ INDEX($C$3:$C$6,MATCH($A101,$B$3:$B$6,0))/100)^AM74)</f>
        <v/>
      </c>
      <c r="AN101" s="73" t="str">
        <f t="shared" si="236"/>
        <v/>
      </c>
      <c r="AO101" s="73" t="str">
        <f t="shared" si="236"/>
        <v/>
      </c>
      <c r="AP101" s="73" t="str">
        <f t="shared" si="236"/>
        <v/>
      </c>
      <c r="AQ101" s="73" t="str">
        <f t="shared" si="236"/>
        <v/>
      </c>
      <c r="AR101" s="73" t="str">
        <f t="shared" si="236"/>
        <v/>
      </c>
      <c r="AS101" s="73" t="str">
        <f t="shared" si="236"/>
        <v/>
      </c>
      <c r="AT101" s="73" t="str">
        <f t="shared" si="236"/>
        <v/>
      </c>
      <c r="AU101" s="73" t="str">
        <f t="shared" si="236"/>
        <v/>
      </c>
      <c r="AV101" s="73" t="str">
        <f t="shared" si="236"/>
        <v/>
      </c>
      <c r="AW101" s="73" t="str">
        <f t="shared" si="236"/>
        <v/>
      </c>
      <c r="AX101" s="73" t="str">
        <f t="shared" si="236"/>
        <v/>
      </c>
      <c r="AY101" s="73" t="str">
        <f t="shared" si="236"/>
        <v/>
      </c>
      <c r="AZ101" s="73" t="str">
        <f t="shared" si="236"/>
        <v/>
      </c>
      <c r="BA101" s="73" t="str">
        <f t="shared" si="236"/>
        <v/>
      </c>
      <c r="BB101" s="73" t="str">
        <f t="shared" si="236"/>
        <v/>
      </c>
      <c r="BC101" s="73" t="str">
        <f t="shared" si="236"/>
        <v/>
      </c>
      <c r="BD101" s="73" t="str">
        <f t="shared" si="236"/>
        <v/>
      </c>
      <c r="BE101" s="73" t="str">
        <f t="shared" si="236"/>
        <v/>
      </c>
      <c r="BF101" s="73" t="str">
        <f t="shared" si="236"/>
        <v/>
      </c>
      <c r="BG101" s="73" t="str">
        <f t="shared" si="236"/>
        <v/>
      </c>
      <c r="BH101" s="73" t="str">
        <f t="shared" si="236"/>
        <v/>
      </c>
      <c r="BI101" s="73" t="str">
        <f t="shared" si="236"/>
        <v/>
      </c>
      <c r="BJ101" s="73" t="str">
        <f t="shared" si="236"/>
        <v/>
      </c>
      <c r="BK101" s="73" t="str">
        <f t="shared" si="236"/>
        <v/>
      </c>
      <c r="BL101" s="73" t="str">
        <f t="shared" si="236"/>
        <v/>
      </c>
      <c r="BM101" s="73" t="str">
        <f t="shared" si="236"/>
        <v/>
      </c>
      <c r="BN101" s="73" t="str">
        <f t="shared" si="236"/>
        <v/>
      </c>
      <c r="BO101" s="73" t="str">
        <f t="shared" si="236"/>
        <v/>
      </c>
      <c r="BP101" s="73" t="str">
        <f t="shared" si="236"/>
        <v/>
      </c>
      <c r="BQ101" s="73" t="str">
        <f t="shared" si="236"/>
        <v/>
      </c>
      <c r="BR101" s="73" t="str">
        <f t="shared" si="236"/>
        <v/>
      </c>
      <c r="BS101" s="73" t="str">
        <f t="shared" ref="BS101:CX101" si="237">IF(BS74="","",BS47/(1+ INDEX($C$3:$C$6,MATCH($A101,$B$3:$B$6,0))/100)^BS74)</f>
        <v/>
      </c>
      <c r="BT101" s="73" t="str">
        <f t="shared" si="237"/>
        <v/>
      </c>
      <c r="BU101" s="73" t="str">
        <f t="shared" si="237"/>
        <v/>
      </c>
      <c r="BV101" s="73" t="str">
        <f t="shared" si="237"/>
        <v/>
      </c>
      <c r="BW101" s="73" t="str">
        <f t="shared" si="237"/>
        <v/>
      </c>
      <c r="BX101" s="73" t="str">
        <f t="shared" si="237"/>
        <v/>
      </c>
      <c r="BY101" s="73" t="str">
        <f t="shared" si="237"/>
        <v/>
      </c>
      <c r="BZ101" s="73" t="str">
        <f t="shared" si="237"/>
        <v/>
      </c>
      <c r="CA101" s="73" t="str">
        <f t="shared" si="237"/>
        <v/>
      </c>
      <c r="CB101" s="73" t="str">
        <f t="shared" si="237"/>
        <v/>
      </c>
      <c r="CC101" s="73" t="str">
        <f t="shared" si="237"/>
        <v/>
      </c>
      <c r="CD101" s="73" t="str">
        <f t="shared" si="237"/>
        <v/>
      </c>
      <c r="CE101" s="73" t="str">
        <f t="shared" si="237"/>
        <v/>
      </c>
      <c r="CF101" s="73" t="str">
        <f t="shared" si="237"/>
        <v/>
      </c>
      <c r="CG101" s="73" t="str">
        <f t="shared" si="237"/>
        <v/>
      </c>
      <c r="CH101" s="73" t="str">
        <f t="shared" si="237"/>
        <v/>
      </c>
      <c r="CI101" s="73" t="str">
        <f t="shared" si="237"/>
        <v/>
      </c>
      <c r="CJ101" s="73" t="str">
        <f t="shared" si="237"/>
        <v/>
      </c>
      <c r="CK101" s="73" t="str">
        <f t="shared" si="237"/>
        <v/>
      </c>
      <c r="CL101" s="73" t="str">
        <f t="shared" si="237"/>
        <v/>
      </c>
      <c r="CM101" s="73" t="str">
        <f t="shared" si="237"/>
        <v/>
      </c>
      <c r="CN101" s="73" t="str">
        <f t="shared" si="237"/>
        <v/>
      </c>
      <c r="CO101" s="73" t="str">
        <f t="shared" si="237"/>
        <v/>
      </c>
      <c r="CP101" s="73" t="str">
        <f t="shared" si="237"/>
        <v/>
      </c>
      <c r="CQ101" s="73" t="str">
        <f t="shared" si="237"/>
        <v/>
      </c>
      <c r="CR101" s="73" t="str">
        <f t="shared" si="237"/>
        <v/>
      </c>
      <c r="CS101" s="73" t="str">
        <f t="shared" si="237"/>
        <v/>
      </c>
      <c r="CT101" s="73" t="str">
        <f t="shared" si="237"/>
        <v/>
      </c>
      <c r="CU101" s="73" t="str">
        <f t="shared" si="237"/>
        <v/>
      </c>
      <c r="CV101" s="73" t="str">
        <f t="shared" si="237"/>
        <v/>
      </c>
      <c r="CW101" s="73" t="str">
        <f t="shared" si="237"/>
        <v/>
      </c>
      <c r="CX101" s="73" t="str">
        <f t="shared" si="237"/>
        <v/>
      </c>
      <c r="CY101" s="73" t="str">
        <f t="shared" ref="CY101:ED101" si="238">IF(CY74="","",CY47/(1+ INDEX($C$3:$C$6,MATCH($A101,$B$3:$B$6,0))/100)^CY74)</f>
        <v/>
      </c>
      <c r="CZ101" s="73" t="str">
        <f t="shared" si="238"/>
        <v/>
      </c>
      <c r="DA101" s="73" t="str">
        <f t="shared" si="238"/>
        <v/>
      </c>
      <c r="DB101" s="73" t="str">
        <f t="shared" si="238"/>
        <v/>
      </c>
      <c r="DC101" s="73" t="str">
        <f t="shared" si="238"/>
        <v/>
      </c>
      <c r="DD101" s="73" t="str">
        <f t="shared" si="238"/>
        <v/>
      </c>
      <c r="DE101" s="73" t="str">
        <f t="shared" si="238"/>
        <v/>
      </c>
      <c r="DF101" s="73" t="str">
        <f t="shared" si="238"/>
        <v/>
      </c>
      <c r="DG101" s="73" t="str">
        <f t="shared" si="238"/>
        <v/>
      </c>
      <c r="DH101" s="73" t="str">
        <f t="shared" si="238"/>
        <v/>
      </c>
      <c r="DI101" s="73" t="str">
        <f t="shared" si="238"/>
        <v/>
      </c>
      <c r="DJ101" s="73" t="str">
        <f t="shared" si="238"/>
        <v/>
      </c>
      <c r="DK101" s="73" t="str">
        <f t="shared" si="238"/>
        <v/>
      </c>
      <c r="DL101" s="73" t="str">
        <f t="shared" si="238"/>
        <v/>
      </c>
      <c r="DM101" s="73" t="str">
        <f t="shared" si="238"/>
        <v/>
      </c>
      <c r="DN101" s="73" t="str">
        <f t="shared" si="238"/>
        <v/>
      </c>
      <c r="DO101" s="73" t="str">
        <f t="shared" si="238"/>
        <v/>
      </c>
      <c r="DP101" s="73" t="str">
        <f t="shared" si="238"/>
        <v/>
      </c>
      <c r="DQ101" s="73" t="str">
        <f t="shared" si="238"/>
        <v/>
      </c>
      <c r="DR101" s="73" t="str">
        <f t="shared" si="238"/>
        <v/>
      </c>
      <c r="DS101" s="73" t="str">
        <f t="shared" si="238"/>
        <v/>
      </c>
      <c r="DT101" s="73" t="str">
        <f t="shared" si="238"/>
        <v/>
      </c>
      <c r="DU101" s="73" t="str">
        <f t="shared" si="238"/>
        <v/>
      </c>
      <c r="DV101" s="73" t="str">
        <f t="shared" si="238"/>
        <v/>
      </c>
      <c r="DW101" s="73" t="str">
        <f t="shared" si="238"/>
        <v/>
      </c>
      <c r="DX101" s="73" t="str">
        <f t="shared" si="238"/>
        <v/>
      </c>
      <c r="DY101" s="73" t="str">
        <f t="shared" si="238"/>
        <v/>
      </c>
      <c r="DZ101" s="73" t="str">
        <f t="shared" si="238"/>
        <v/>
      </c>
      <c r="EA101" s="73" t="str">
        <f t="shared" si="238"/>
        <v/>
      </c>
      <c r="EB101" s="73" t="str">
        <f t="shared" si="238"/>
        <v/>
      </c>
      <c r="EC101" s="73" t="str">
        <f t="shared" si="238"/>
        <v/>
      </c>
      <c r="ED101" s="73" t="str">
        <f t="shared" si="238"/>
        <v/>
      </c>
      <c r="EE101" s="73" t="str">
        <f t="shared" ref="EE101:FJ101" si="239">IF(EE74="","",EE47/(1+ INDEX($C$3:$C$6,MATCH($A101,$B$3:$B$6,0))/100)^EE74)</f>
        <v/>
      </c>
      <c r="EF101" s="73" t="str">
        <f t="shared" si="239"/>
        <v/>
      </c>
      <c r="EG101" s="73" t="str">
        <f t="shared" si="239"/>
        <v/>
      </c>
      <c r="EH101" s="73" t="str">
        <f t="shared" si="239"/>
        <v/>
      </c>
      <c r="EI101" s="73" t="str">
        <f t="shared" si="239"/>
        <v/>
      </c>
      <c r="EJ101" s="73" t="str">
        <f t="shared" si="239"/>
        <v/>
      </c>
      <c r="EK101" s="73" t="str">
        <f t="shared" si="239"/>
        <v/>
      </c>
      <c r="EL101" s="73" t="str">
        <f t="shared" si="239"/>
        <v/>
      </c>
      <c r="EM101" s="73" t="str">
        <f t="shared" si="239"/>
        <v/>
      </c>
      <c r="EN101" s="73" t="str">
        <f t="shared" si="239"/>
        <v/>
      </c>
      <c r="EO101" s="73" t="str">
        <f t="shared" si="239"/>
        <v/>
      </c>
      <c r="EP101" s="73" t="str">
        <f t="shared" si="239"/>
        <v/>
      </c>
      <c r="EQ101" s="73" t="str">
        <f t="shared" si="239"/>
        <v/>
      </c>
      <c r="ER101" s="73" t="str">
        <f t="shared" si="239"/>
        <v/>
      </c>
      <c r="ES101" s="73" t="str">
        <f t="shared" si="239"/>
        <v/>
      </c>
      <c r="ET101" s="73" t="str">
        <f t="shared" si="239"/>
        <v/>
      </c>
      <c r="EU101" s="73" t="str">
        <f t="shared" si="239"/>
        <v/>
      </c>
      <c r="EV101" s="73" t="str">
        <f t="shared" si="239"/>
        <v/>
      </c>
      <c r="EW101" s="73" t="str">
        <f t="shared" si="239"/>
        <v/>
      </c>
      <c r="EX101" s="73" t="str">
        <f t="shared" si="239"/>
        <v/>
      </c>
      <c r="EY101" s="73" t="str">
        <f t="shared" si="239"/>
        <v/>
      </c>
      <c r="EZ101" s="73" t="str">
        <f t="shared" si="239"/>
        <v/>
      </c>
      <c r="FA101" s="73" t="str">
        <f t="shared" si="239"/>
        <v/>
      </c>
      <c r="FB101" s="73" t="str">
        <f t="shared" si="239"/>
        <v/>
      </c>
      <c r="FC101" s="73" t="str">
        <f t="shared" si="239"/>
        <v/>
      </c>
      <c r="FD101" s="73" t="str">
        <f t="shared" si="239"/>
        <v/>
      </c>
      <c r="FE101" s="73" t="str">
        <f t="shared" si="239"/>
        <v/>
      </c>
      <c r="FF101" s="73" t="str">
        <f t="shared" si="239"/>
        <v/>
      </c>
      <c r="FG101" s="73" t="str">
        <f t="shared" si="239"/>
        <v/>
      </c>
      <c r="FH101" s="73" t="str">
        <f t="shared" si="239"/>
        <v/>
      </c>
      <c r="FI101" s="73" t="str">
        <f t="shared" si="239"/>
        <v/>
      </c>
      <c r="FJ101" s="73" t="str">
        <f t="shared" si="239"/>
        <v/>
      </c>
      <c r="FK101" s="73" t="str">
        <f t="shared" ref="FK101:GQ101" si="240">IF(FK74="","",FK47/(1+ INDEX($C$3:$C$6,MATCH($A101,$B$3:$B$6,0))/100)^FK74)</f>
        <v/>
      </c>
      <c r="FL101" s="73" t="str">
        <f t="shared" si="240"/>
        <v/>
      </c>
      <c r="FM101" s="73" t="str">
        <f t="shared" si="240"/>
        <v/>
      </c>
      <c r="FN101" s="73" t="str">
        <f t="shared" si="240"/>
        <v/>
      </c>
      <c r="FO101" s="73" t="str">
        <f t="shared" si="240"/>
        <v/>
      </c>
      <c r="FP101" s="73" t="str">
        <f t="shared" si="240"/>
        <v/>
      </c>
      <c r="FQ101" s="73" t="str">
        <f t="shared" si="240"/>
        <v/>
      </c>
      <c r="FR101" s="73" t="str">
        <f t="shared" si="240"/>
        <v/>
      </c>
      <c r="FS101" s="73" t="str">
        <f t="shared" si="240"/>
        <v/>
      </c>
      <c r="FT101" s="73" t="str">
        <f t="shared" si="240"/>
        <v/>
      </c>
      <c r="FU101" s="73" t="str">
        <f t="shared" si="240"/>
        <v/>
      </c>
      <c r="FV101" s="73" t="str">
        <f t="shared" si="240"/>
        <v/>
      </c>
      <c r="FW101" s="73" t="str">
        <f t="shared" si="240"/>
        <v/>
      </c>
      <c r="FX101" s="73" t="str">
        <f t="shared" si="240"/>
        <v/>
      </c>
      <c r="FY101" s="73" t="str">
        <f t="shared" si="240"/>
        <v/>
      </c>
      <c r="FZ101" s="73" t="str">
        <f t="shared" si="240"/>
        <v/>
      </c>
      <c r="GA101" s="73" t="str">
        <f t="shared" si="240"/>
        <v/>
      </c>
      <c r="GB101" s="73" t="str">
        <f t="shared" si="240"/>
        <v/>
      </c>
      <c r="GC101" s="73" t="str">
        <f t="shared" si="240"/>
        <v/>
      </c>
      <c r="GD101" s="73" t="str">
        <f t="shared" si="240"/>
        <v/>
      </c>
      <c r="GE101" s="73" t="str">
        <f t="shared" si="240"/>
        <v/>
      </c>
      <c r="GF101" s="73" t="str">
        <f t="shared" si="240"/>
        <v/>
      </c>
      <c r="GG101" s="73" t="str">
        <f t="shared" si="240"/>
        <v/>
      </c>
      <c r="GH101" s="73" t="str">
        <f t="shared" si="240"/>
        <v/>
      </c>
      <c r="GI101" s="73" t="str">
        <f t="shared" si="240"/>
        <v/>
      </c>
      <c r="GJ101" s="73" t="str">
        <f t="shared" si="240"/>
        <v/>
      </c>
      <c r="GK101" s="73" t="str">
        <f t="shared" si="240"/>
        <v/>
      </c>
      <c r="GL101" s="73" t="str">
        <f t="shared" si="240"/>
        <v/>
      </c>
      <c r="GM101" s="73" t="str">
        <f t="shared" si="240"/>
        <v/>
      </c>
      <c r="GN101" s="73" t="str">
        <f t="shared" si="240"/>
        <v/>
      </c>
      <c r="GO101" s="73" t="str">
        <f t="shared" si="240"/>
        <v/>
      </c>
      <c r="GP101" s="73" t="str">
        <f t="shared" si="240"/>
        <v/>
      </c>
      <c r="GQ101" s="73" t="str">
        <f t="shared" si="240"/>
        <v/>
      </c>
    </row>
    <row r="102" spans="1:199" x14ac:dyDescent="0.2">
      <c r="A102" t="s">
        <v>221</v>
      </c>
      <c r="B102" t="str">
        <f t="shared" si="222"/>
        <v>US040114GX20</v>
      </c>
      <c r="C102" t="str">
        <f t="shared" si="179"/>
        <v>USD 2026</v>
      </c>
      <c r="E102" s="73" t="str">
        <f t="shared" si="171"/>
        <v/>
      </c>
      <c r="F102" s="103">
        <f t="shared" si="172"/>
        <v>0.75192132311318505</v>
      </c>
      <c r="G102" s="73">
        <f t="shared" ref="G102:AL102" si="241">IF(G75="","",G48/(1+ INDEX($C$3:$C$6,MATCH($A102,$B$3:$B$6,0))/100)^G75)</f>
        <v>3.5126423979359536</v>
      </c>
      <c r="H102" s="73">
        <f t="shared" si="241"/>
        <v>3.3258653637103905</v>
      </c>
      <c r="I102" s="73">
        <f t="shared" si="241"/>
        <v>3.1499601369832257</v>
      </c>
      <c r="J102" s="73">
        <f t="shared" si="241"/>
        <v>2.9824679343439287</v>
      </c>
      <c r="K102" s="73">
        <f t="shared" si="241"/>
        <v>2.824725019094954</v>
      </c>
      <c r="L102" s="73">
        <f t="shared" si="241"/>
        <v>2.6745264785662286</v>
      </c>
      <c r="M102" s="73">
        <f t="shared" si="241"/>
        <v>2.5323144151014501</v>
      </c>
      <c r="N102" s="73">
        <f t="shared" si="241"/>
        <v>2.3976641653472437</v>
      </c>
      <c r="O102" s="73">
        <f t="shared" si="241"/>
        <v>2.2708515579509898</v>
      </c>
      <c r="P102" s="73">
        <f t="shared" si="241"/>
        <v>2.1501040205956889</v>
      </c>
      <c r="Q102" s="73">
        <f t="shared" si="241"/>
        <v>56.339981810338408</v>
      </c>
      <c r="R102" s="73" t="str">
        <f t="shared" si="241"/>
        <v/>
      </c>
      <c r="S102" s="73" t="str">
        <f t="shared" si="241"/>
        <v/>
      </c>
      <c r="T102" s="73" t="str">
        <f t="shared" si="241"/>
        <v/>
      </c>
      <c r="U102" s="73" t="str">
        <f t="shared" si="241"/>
        <v/>
      </c>
      <c r="V102" s="73" t="str">
        <f t="shared" si="241"/>
        <v/>
      </c>
      <c r="W102" s="73" t="str">
        <f t="shared" si="241"/>
        <v/>
      </c>
      <c r="X102" s="73" t="str">
        <f t="shared" si="241"/>
        <v/>
      </c>
      <c r="Y102" s="73" t="str">
        <f t="shared" si="241"/>
        <v/>
      </c>
      <c r="Z102" s="73" t="str">
        <f t="shared" si="241"/>
        <v/>
      </c>
      <c r="AA102" s="73" t="str">
        <f t="shared" si="241"/>
        <v/>
      </c>
      <c r="AB102" s="73" t="str">
        <f t="shared" si="241"/>
        <v/>
      </c>
      <c r="AC102" s="73" t="str">
        <f t="shared" si="241"/>
        <v/>
      </c>
      <c r="AD102" s="73" t="str">
        <f t="shared" si="241"/>
        <v/>
      </c>
      <c r="AE102" s="73" t="str">
        <f t="shared" si="241"/>
        <v/>
      </c>
      <c r="AF102" s="73" t="str">
        <f t="shared" si="241"/>
        <v/>
      </c>
      <c r="AG102" s="73" t="str">
        <f t="shared" si="241"/>
        <v/>
      </c>
      <c r="AH102" s="73" t="str">
        <f t="shared" si="241"/>
        <v/>
      </c>
      <c r="AI102" s="73" t="str">
        <f t="shared" si="241"/>
        <v/>
      </c>
      <c r="AJ102" s="73" t="str">
        <f t="shared" si="241"/>
        <v/>
      </c>
      <c r="AK102" s="73" t="str">
        <f t="shared" si="241"/>
        <v/>
      </c>
      <c r="AL102" s="73" t="str">
        <f t="shared" si="241"/>
        <v/>
      </c>
      <c r="AM102" s="73" t="str">
        <f t="shared" ref="AM102:BR102" si="242">IF(AM75="","",AM48/(1+ INDEX($C$3:$C$6,MATCH($A102,$B$3:$B$6,0))/100)^AM75)</f>
        <v/>
      </c>
      <c r="AN102" s="73" t="str">
        <f t="shared" si="242"/>
        <v/>
      </c>
      <c r="AO102" s="73" t="str">
        <f t="shared" si="242"/>
        <v/>
      </c>
      <c r="AP102" s="73" t="str">
        <f t="shared" si="242"/>
        <v/>
      </c>
      <c r="AQ102" s="73" t="str">
        <f t="shared" si="242"/>
        <v/>
      </c>
      <c r="AR102" s="73" t="str">
        <f t="shared" si="242"/>
        <v/>
      </c>
      <c r="AS102" s="73" t="str">
        <f t="shared" si="242"/>
        <v/>
      </c>
      <c r="AT102" s="73" t="str">
        <f t="shared" si="242"/>
        <v/>
      </c>
      <c r="AU102" s="73" t="str">
        <f t="shared" si="242"/>
        <v/>
      </c>
      <c r="AV102" s="73" t="str">
        <f t="shared" si="242"/>
        <v/>
      </c>
      <c r="AW102" s="73" t="str">
        <f t="shared" si="242"/>
        <v/>
      </c>
      <c r="AX102" s="73" t="str">
        <f t="shared" si="242"/>
        <v/>
      </c>
      <c r="AY102" s="73" t="str">
        <f t="shared" si="242"/>
        <v/>
      </c>
      <c r="AZ102" s="73" t="str">
        <f t="shared" si="242"/>
        <v/>
      </c>
      <c r="BA102" s="73" t="str">
        <f t="shared" si="242"/>
        <v/>
      </c>
      <c r="BB102" s="73" t="str">
        <f t="shared" si="242"/>
        <v/>
      </c>
      <c r="BC102" s="73" t="str">
        <f t="shared" si="242"/>
        <v/>
      </c>
      <c r="BD102" s="73" t="str">
        <f t="shared" si="242"/>
        <v/>
      </c>
      <c r="BE102" s="73" t="str">
        <f t="shared" si="242"/>
        <v/>
      </c>
      <c r="BF102" s="73" t="str">
        <f t="shared" si="242"/>
        <v/>
      </c>
      <c r="BG102" s="73" t="str">
        <f t="shared" si="242"/>
        <v/>
      </c>
      <c r="BH102" s="73" t="str">
        <f t="shared" si="242"/>
        <v/>
      </c>
      <c r="BI102" s="73" t="str">
        <f t="shared" si="242"/>
        <v/>
      </c>
      <c r="BJ102" s="73" t="str">
        <f t="shared" si="242"/>
        <v/>
      </c>
      <c r="BK102" s="73" t="str">
        <f t="shared" si="242"/>
        <v/>
      </c>
      <c r="BL102" s="73" t="str">
        <f t="shared" si="242"/>
        <v/>
      </c>
      <c r="BM102" s="73" t="str">
        <f t="shared" si="242"/>
        <v/>
      </c>
      <c r="BN102" s="73" t="str">
        <f t="shared" si="242"/>
        <v/>
      </c>
      <c r="BO102" s="73" t="str">
        <f t="shared" si="242"/>
        <v/>
      </c>
      <c r="BP102" s="73" t="str">
        <f t="shared" si="242"/>
        <v/>
      </c>
      <c r="BQ102" s="73" t="str">
        <f t="shared" si="242"/>
        <v/>
      </c>
      <c r="BR102" s="73" t="str">
        <f t="shared" si="242"/>
        <v/>
      </c>
      <c r="BS102" s="73" t="str">
        <f t="shared" ref="BS102:CX102" si="243">IF(BS75="","",BS48/(1+ INDEX($C$3:$C$6,MATCH($A102,$B$3:$B$6,0))/100)^BS75)</f>
        <v/>
      </c>
      <c r="BT102" s="73" t="str">
        <f t="shared" si="243"/>
        <v/>
      </c>
      <c r="BU102" s="73" t="str">
        <f t="shared" si="243"/>
        <v/>
      </c>
      <c r="BV102" s="73" t="str">
        <f t="shared" si="243"/>
        <v/>
      </c>
      <c r="BW102" s="73" t="str">
        <f t="shared" si="243"/>
        <v/>
      </c>
      <c r="BX102" s="73" t="str">
        <f t="shared" si="243"/>
        <v/>
      </c>
      <c r="BY102" s="73" t="str">
        <f t="shared" si="243"/>
        <v/>
      </c>
      <c r="BZ102" s="73" t="str">
        <f t="shared" si="243"/>
        <v/>
      </c>
      <c r="CA102" s="73" t="str">
        <f t="shared" si="243"/>
        <v/>
      </c>
      <c r="CB102" s="73" t="str">
        <f t="shared" si="243"/>
        <v/>
      </c>
      <c r="CC102" s="73" t="str">
        <f t="shared" si="243"/>
        <v/>
      </c>
      <c r="CD102" s="73" t="str">
        <f t="shared" si="243"/>
        <v/>
      </c>
      <c r="CE102" s="73" t="str">
        <f t="shared" si="243"/>
        <v/>
      </c>
      <c r="CF102" s="73" t="str">
        <f t="shared" si="243"/>
        <v/>
      </c>
      <c r="CG102" s="73" t="str">
        <f t="shared" si="243"/>
        <v/>
      </c>
      <c r="CH102" s="73" t="str">
        <f t="shared" si="243"/>
        <v/>
      </c>
      <c r="CI102" s="73" t="str">
        <f t="shared" si="243"/>
        <v/>
      </c>
      <c r="CJ102" s="73" t="str">
        <f t="shared" si="243"/>
        <v/>
      </c>
      <c r="CK102" s="73" t="str">
        <f t="shared" si="243"/>
        <v/>
      </c>
      <c r="CL102" s="73" t="str">
        <f t="shared" si="243"/>
        <v/>
      </c>
      <c r="CM102" s="73" t="str">
        <f t="shared" si="243"/>
        <v/>
      </c>
      <c r="CN102" s="73" t="str">
        <f t="shared" si="243"/>
        <v/>
      </c>
      <c r="CO102" s="73" t="str">
        <f t="shared" si="243"/>
        <v/>
      </c>
      <c r="CP102" s="73" t="str">
        <f t="shared" si="243"/>
        <v/>
      </c>
      <c r="CQ102" s="73" t="str">
        <f t="shared" si="243"/>
        <v/>
      </c>
      <c r="CR102" s="73" t="str">
        <f t="shared" si="243"/>
        <v/>
      </c>
      <c r="CS102" s="73" t="str">
        <f t="shared" si="243"/>
        <v/>
      </c>
      <c r="CT102" s="73" t="str">
        <f t="shared" si="243"/>
        <v/>
      </c>
      <c r="CU102" s="73" t="str">
        <f t="shared" si="243"/>
        <v/>
      </c>
      <c r="CV102" s="73" t="str">
        <f t="shared" si="243"/>
        <v/>
      </c>
      <c r="CW102" s="73" t="str">
        <f t="shared" si="243"/>
        <v/>
      </c>
      <c r="CX102" s="73" t="str">
        <f t="shared" si="243"/>
        <v/>
      </c>
      <c r="CY102" s="73" t="str">
        <f t="shared" ref="CY102:ED102" si="244">IF(CY75="","",CY48/(1+ INDEX($C$3:$C$6,MATCH($A102,$B$3:$B$6,0))/100)^CY75)</f>
        <v/>
      </c>
      <c r="CZ102" s="73" t="str">
        <f t="shared" si="244"/>
        <v/>
      </c>
      <c r="DA102" s="73" t="str">
        <f t="shared" si="244"/>
        <v/>
      </c>
      <c r="DB102" s="73" t="str">
        <f t="shared" si="244"/>
        <v/>
      </c>
      <c r="DC102" s="73" t="str">
        <f t="shared" si="244"/>
        <v/>
      </c>
      <c r="DD102" s="73" t="str">
        <f t="shared" si="244"/>
        <v/>
      </c>
      <c r="DE102" s="73" t="str">
        <f t="shared" si="244"/>
        <v/>
      </c>
      <c r="DF102" s="73" t="str">
        <f t="shared" si="244"/>
        <v/>
      </c>
      <c r="DG102" s="73" t="str">
        <f t="shared" si="244"/>
        <v/>
      </c>
      <c r="DH102" s="73" t="str">
        <f t="shared" si="244"/>
        <v/>
      </c>
      <c r="DI102" s="73" t="str">
        <f t="shared" si="244"/>
        <v/>
      </c>
      <c r="DJ102" s="73" t="str">
        <f t="shared" si="244"/>
        <v/>
      </c>
      <c r="DK102" s="73" t="str">
        <f t="shared" si="244"/>
        <v/>
      </c>
      <c r="DL102" s="73" t="str">
        <f t="shared" si="244"/>
        <v/>
      </c>
      <c r="DM102" s="73" t="str">
        <f t="shared" si="244"/>
        <v/>
      </c>
      <c r="DN102" s="73" t="str">
        <f t="shared" si="244"/>
        <v/>
      </c>
      <c r="DO102" s="73" t="str">
        <f t="shared" si="244"/>
        <v/>
      </c>
      <c r="DP102" s="73" t="str">
        <f t="shared" si="244"/>
        <v/>
      </c>
      <c r="DQ102" s="73" t="str">
        <f t="shared" si="244"/>
        <v/>
      </c>
      <c r="DR102" s="73" t="str">
        <f t="shared" si="244"/>
        <v/>
      </c>
      <c r="DS102" s="73" t="str">
        <f t="shared" si="244"/>
        <v/>
      </c>
      <c r="DT102" s="73" t="str">
        <f t="shared" si="244"/>
        <v/>
      </c>
      <c r="DU102" s="73" t="str">
        <f t="shared" si="244"/>
        <v/>
      </c>
      <c r="DV102" s="73" t="str">
        <f t="shared" si="244"/>
        <v/>
      </c>
      <c r="DW102" s="73" t="str">
        <f t="shared" si="244"/>
        <v/>
      </c>
      <c r="DX102" s="73" t="str">
        <f t="shared" si="244"/>
        <v/>
      </c>
      <c r="DY102" s="73" t="str">
        <f t="shared" si="244"/>
        <v/>
      </c>
      <c r="DZ102" s="73" t="str">
        <f t="shared" si="244"/>
        <v/>
      </c>
      <c r="EA102" s="73" t="str">
        <f t="shared" si="244"/>
        <v/>
      </c>
      <c r="EB102" s="73" t="str">
        <f t="shared" si="244"/>
        <v/>
      </c>
      <c r="EC102" s="73" t="str">
        <f t="shared" si="244"/>
        <v/>
      </c>
      <c r="ED102" s="73" t="str">
        <f t="shared" si="244"/>
        <v/>
      </c>
      <c r="EE102" s="73" t="str">
        <f t="shared" ref="EE102:FJ102" si="245">IF(EE75="","",EE48/(1+ INDEX($C$3:$C$6,MATCH($A102,$B$3:$B$6,0))/100)^EE75)</f>
        <v/>
      </c>
      <c r="EF102" s="73" t="str">
        <f t="shared" si="245"/>
        <v/>
      </c>
      <c r="EG102" s="73" t="str">
        <f t="shared" si="245"/>
        <v/>
      </c>
      <c r="EH102" s="73" t="str">
        <f t="shared" si="245"/>
        <v/>
      </c>
      <c r="EI102" s="73" t="str">
        <f t="shared" si="245"/>
        <v/>
      </c>
      <c r="EJ102" s="73" t="str">
        <f t="shared" si="245"/>
        <v/>
      </c>
      <c r="EK102" s="73" t="str">
        <f t="shared" si="245"/>
        <v/>
      </c>
      <c r="EL102" s="73" t="str">
        <f t="shared" si="245"/>
        <v/>
      </c>
      <c r="EM102" s="73" t="str">
        <f t="shared" si="245"/>
        <v/>
      </c>
      <c r="EN102" s="73" t="str">
        <f t="shared" si="245"/>
        <v/>
      </c>
      <c r="EO102" s="73" t="str">
        <f t="shared" si="245"/>
        <v/>
      </c>
      <c r="EP102" s="73" t="str">
        <f t="shared" si="245"/>
        <v/>
      </c>
      <c r="EQ102" s="73" t="str">
        <f t="shared" si="245"/>
        <v/>
      </c>
      <c r="ER102" s="73" t="str">
        <f t="shared" si="245"/>
        <v/>
      </c>
      <c r="ES102" s="73" t="str">
        <f t="shared" si="245"/>
        <v/>
      </c>
      <c r="ET102" s="73" t="str">
        <f t="shared" si="245"/>
        <v/>
      </c>
      <c r="EU102" s="73" t="str">
        <f t="shared" si="245"/>
        <v/>
      </c>
      <c r="EV102" s="73" t="str">
        <f t="shared" si="245"/>
        <v/>
      </c>
      <c r="EW102" s="73" t="str">
        <f t="shared" si="245"/>
        <v/>
      </c>
      <c r="EX102" s="73" t="str">
        <f t="shared" si="245"/>
        <v/>
      </c>
      <c r="EY102" s="73" t="str">
        <f t="shared" si="245"/>
        <v/>
      </c>
      <c r="EZ102" s="73" t="str">
        <f t="shared" si="245"/>
        <v/>
      </c>
      <c r="FA102" s="73" t="str">
        <f t="shared" si="245"/>
        <v/>
      </c>
      <c r="FB102" s="73" t="str">
        <f t="shared" si="245"/>
        <v/>
      </c>
      <c r="FC102" s="73" t="str">
        <f t="shared" si="245"/>
        <v/>
      </c>
      <c r="FD102" s="73" t="str">
        <f t="shared" si="245"/>
        <v/>
      </c>
      <c r="FE102" s="73" t="str">
        <f t="shared" si="245"/>
        <v/>
      </c>
      <c r="FF102" s="73" t="str">
        <f t="shared" si="245"/>
        <v/>
      </c>
      <c r="FG102" s="73" t="str">
        <f t="shared" si="245"/>
        <v/>
      </c>
      <c r="FH102" s="73" t="str">
        <f t="shared" si="245"/>
        <v/>
      </c>
      <c r="FI102" s="73" t="str">
        <f t="shared" si="245"/>
        <v/>
      </c>
      <c r="FJ102" s="73" t="str">
        <f t="shared" si="245"/>
        <v/>
      </c>
      <c r="FK102" s="73" t="str">
        <f t="shared" ref="FK102:GQ102" si="246">IF(FK75="","",FK48/(1+ INDEX($C$3:$C$6,MATCH($A102,$B$3:$B$6,0))/100)^FK75)</f>
        <v/>
      </c>
      <c r="FL102" s="73" t="str">
        <f t="shared" si="246"/>
        <v/>
      </c>
      <c r="FM102" s="73" t="str">
        <f t="shared" si="246"/>
        <v/>
      </c>
      <c r="FN102" s="73" t="str">
        <f t="shared" si="246"/>
        <v/>
      </c>
      <c r="FO102" s="73" t="str">
        <f t="shared" si="246"/>
        <v/>
      </c>
      <c r="FP102" s="73" t="str">
        <f t="shared" si="246"/>
        <v/>
      </c>
      <c r="FQ102" s="73" t="str">
        <f t="shared" si="246"/>
        <v/>
      </c>
      <c r="FR102" s="73" t="str">
        <f t="shared" si="246"/>
        <v/>
      </c>
      <c r="FS102" s="73" t="str">
        <f t="shared" si="246"/>
        <v/>
      </c>
      <c r="FT102" s="73" t="str">
        <f t="shared" si="246"/>
        <v/>
      </c>
      <c r="FU102" s="73" t="str">
        <f t="shared" si="246"/>
        <v/>
      </c>
      <c r="FV102" s="73" t="str">
        <f t="shared" si="246"/>
        <v/>
      </c>
      <c r="FW102" s="73" t="str">
        <f t="shared" si="246"/>
        <v/>
      </c>
      <c r="FX102" s="73" t="str">
        <f t="shared" si="246"/>
        <v/>
      </c>
      <c r="FY102" s="73" t="str">
        <f t="shared" si="246"/>
        <v/>
      </c>
      <c r="FZ102" s="73" t="str">
        <f t="shared" si="246"/>
        <v/>
      </c>
      <c r="GA102" s="73" t="str">
        <f t="shared" si="246"/>
        <v/>
      </c>
      <c r="GB102" s="73" t="str">
        <f t="shared" si="246"/>
        <v/>
      </c>
      <c r="GC102" s="73" t="str">
        <f t="shared" si="246"/>
        <v/>
      </c>
      <c r="GD102" s="73" t="str">
        <f t="shared" si="246"/>
        <v/>
      </c>
      <c r="GE102" s="73" t="str">
        <f t="shared" si="246"/>
        <v/>
      </c>
      <c r="GF102" s="73" t="str">
        <f t="shared" si="246"/>
        <v/>
      </c>
      <c r="GG102" s="73" t="str">
        <f t="shared" si="246"/>
        <v/>
      </c>
      <c r="GH102" s="73" t="str">
        <f t="shared" si="246"/>
        <v/>
      </c>
      <c r="GI102" s="73" t="str">
        <f t="shared" si="246"/>
        <v/>
      </c>
      <c r="GJ102" s="73" t="str">
        <f t="shared" si="246"/>
        <v/>
      </c>
      <c r="GK102" s="73" t="str">
        <f t="shared" si="246"/>
        <v/>
      </c>
      <c r="GL102" s="73" t="str">
        <f t="shared" si="246"/>
        <v/>
      </c>
      <c r="GM102" s="73" t="str">
        <f t="shared" si="246"/>
        <v/>
      </c>
      <c r="GN102" s="73" t="str">
        <f t="shared" si="246"/>
        <v/>
      </c>
      <c r="GO102" s="73" t="str">
        <f t="shared" si="246"/>
        <v/>
      </c>
      <c r="GP102" s="73" t="str">
        <f t="shared" si="246"/>
        <v/>
      </c>
      <c r="GQ102" s="73" t="str">
        <f t="shared" si="246"/>
        <v/>
      </c>
    </row>
    <row r="103" spans="1:199" x14ac:dyDescent="0.2">
      <c r="A103" t="s">
        <v>221</v>
      </c>
      <c r="B103" t="str">
        <f t="shared" si="222"/>
        <v>US040114HL72</v>
      </c>
      <c r="C103" t="str">
        <f t="shared" si="179"/>
        <v>USD 2027</v>
      </c>
      <c r="E103" s="73" t="str">
        <f t="shared" si="171"/>
        <v/>
      </c>
      <c r="F103" s="103">
        <f t="shared" si="172"/>
        <v>2.407607085173979</v>
      </c>
      <c r="G103" s="73">
        <f t="shared" ref="G103:AL103" si="247">IF(G76="","",G49/(1+ INDEX($C$3:$C$6,MATCH($A103,$B$3:$B$6,0))/100)^G76)</f>
        <v>3.1298743442451586</v>
      </c>
      <c r="H103" s="73">
        <f t="shared" si="247"/>
        <v>2.9625654883246764</v>
      </c>
      <c r="I103" s="73">
        <f t="shared" si="247"/>
        <v>2.8067130955123556</v>
      </c>
      <c r="J103" s="73">
        <f t="shared" si="247"/>
        <v>2.6566789710528131</v>
      </c>
      <c r="K103" s="73">
        <f t="shared" si="247"/>
        <v>2.5169184235798525</v>
      </c>
      <c r="L103" s="73">
        <f t="shared" si="247"/>
        <v>2.3823754050498587</v>
      </c>
      <c r="M103" s="73">
        <f t="shared" si="247"/>
        <v>2.2563714211402419</v>
      </c>
      <c r="N103" s="73">
        <f t="shared" si="247"/>
        <v>2.1357560610709889</v>
      </c>
      <c r="O103" s="73">
        <f t="shared" si="247"/>
        <v>2.0233998299958862</v>
      </c>
      <c r="P103" s="73">
        <f t="shared" si="247"/>
        <v>1.9152380722407343</v>
      </c>
      <c r="Q103" s="73">
        <f t="shared" si="247"/>
        <v>1.8144826838652446</v>
      </c>
      <c r="R103" s="73">
        <f t="shared" si="247"/>
        <v>51.680795949116899</v>
      </c>
      <c r="S103" s="73" t="str">
        <f t="shared" si="247"/>
        <v/>
      </c>
      <c r="T103" s="73" t="str">
        <f t="shared" si="247"/>
        <v/>
      </c>
      <c r="U103" s="73" t="str">
        <f t="shared" si="247"/>
        <v/>
      </c>
      <c r="V103" s="73" t="str">
        <f t="shared" si="247"/>
        <v/>
      </c>
      <c r="W103" s="73" t="str">
        <f t="shared" si="247"/>
        <v/>
      </c>
      <c r="X103" s="73" t="str">
        <f t="shared" si="247"/>
        <v/>
      </c>
      <c r="Y103" s="73" t="str">
        <f t="shared" si="247"/>
        <v/>
      </c>
      <c r="Z103" s="73" t="str">
        <f t="shared" si="247"/>
        <v/>
      </c>
      <c r="AA103" s="73" t="str">
        <f t="shared" si="247"/>
        <v/>
      </c>
      <c r="AB103" s="73" t="str">
        <f t="shared" si="247"/>
        <v/>
      </c>
      <c r="AC103" s="73" t="str">
        <f t="shared" si="247"/>
        <v/>
      </c>
      <c r="AD103" s="73" t="str">
        <f t="shared" si="247"/>
        <v/>
      </c>
      <c r="AE103" s="73" t="str">
        <f t="shared" si="247"/>
        <v/>
      </c>
      <c r="AF103" s="73" t="str">
        <f t="shared" si="247"/>
        <v/>
      </c>
      <c r="AG103" s="73" t="str">
        <f t="shared" si="247"/>
        <v/>
      </c>
      <c r="AH103" s="73" t="str">
        <f t="shared" si="247"/>
        <v/>
      </c>
      <c r="AI103" s="73" t="str">
        <f t="shared" si="247"/>
        <v/>
      </c>
      <c r="AJ103" s="73" t="str">
        <f t="shared" si="247"/>
        <v/>
      </c>
      <c r="AK103" s="73" t="str">
        <f t="shared" si="247"/>
        <v/>
      </c>
      <c r="AL103" s="73" t="str">
        <f t="shared" si="247"/>
        <v/>
      </c>
      <c r="AM103" s="73" t="str">
        <f t="shared" ref="AM103:BR103" si="248">IF(AM76="","",AM49/(1+ INDEX($C$3:$C$6,MATCH($A103,$B$3:$B$6,0))/100)^AM76)</f>
        <v/>
      </c>
      <c r="AN103" s="73" t="str">
        <f t="shared" si="248"/>
        <v/>
      </c>
      <c r="AO103" s="73" t="str">
        <f t="shared" si="248"/>
        <v/>
      </c>
      <c r="AP103" s="73" t="str">
        <f t="shared" si="248"/>
        <v/>
      </c>
      <c r="AQ103" s="73" t="str">
        <f t="shared" si="248"/>
        <v/>
      </c>
      <c r="AR103" s="73" t="str">
        <f t="shared" si="248"/>
        <v/>
      </c>
      <c r="AS103" s="73" t="str">
        <f t="shared" si="248"/>
        <v/>
      </c>
      <c r="AT103" s="73" t="str">
        <f t="shared" si="248"/>
        <v/>
      </c>
      <c r="AU103" s="73" t="str">
        <f t="shared" si="248"/>
        <v/>
      </c>
      <c r="AV103" s="73" t="str">
        <f t="shared" si="248"/>
        <v/>
      </c>
      <c r="AW103" s="73" t="str">
        <f t="shared" si="248"/>
        <v/>
      </c>
      <c r="AX103" s="73" t="str">
        <f t="shared" si="248"/>
        <v/>
      </c>
      <c r="AY103" s="73" t="str">
        <f t="shared" si="248"/>
        <v/>
      </c>
      <c r="AZ103" s="73" t="str">
        <f t="shared" si="248"/>
        <v/>
      </c>
      <c r="BA103" s="73" t="str">
        <f t="shared" si="248"/>
        <v/>
      </c>
      <c r="BB103" s="73" t="str">
        <f t="shared" si="248"/>
        <v/>
      </c>
      <c r="BC103" s="73" t="str">
        <f t="shared" si="248"/>
        <v/>
      </c>
      <c r="BD103" s="73" t="str">
        <f t="shared" si="248"/>
        <v/>
      </c>
      <c r="BE103" s="73" t="str">
        <f t="shared" si="248"/>
        <v/>
      </c>
      <c r="BF103" s="73" t="str">
        <f t="shared" si="248"/>
        <v/>
      </c>
      <c r="BG103" s="73" t="str">
        <f t="shared" si="248"/>
        <v/>
      </c>
      <c r="BH103" s="73" t="str">
        <f t="shared" si="248"/>
        <v/>
      </c>
      <c r="BI103" s="73" t="str">
        <f t="shared" si="248"/>
        <v/>
      </c>
      <c r="BJ103" s="73" t="str">
        <f t="shared" si="248"/>
        <v/>
      </c>
      <c r="BK103" s="73" t="str">
        <f t="shared" si="248"/>
        <v/>
      </c>
      <c r="BL103" s="73" t="str">
        <f t="shared" si="248"/>
        <v/>
      </c>
      <c r="BM103" s="73" t="str">
        <f t="shared" si="248"/>
        <v/>
      </c>
      <c r="BN103" s="73" t="str">
        <f t="shared" si="248"/>
        <v/>
      </c>
      <c r="BO103" s="73" t="str">
        <f t="shared" si="248"/>
        <v/>
      </c>
      <c r="BP103" s="73" t="str">
        <f t="shared" si="248"/>
        <v/>
      </c>
      <c r="BQ103" s="73" t="str">
        <f t="shared" si="248"/>
        <v/>
      </c>
      <c r="BR103" s="73" t="str">
        <f t="shared" si="248"/>
        <v/>
      </c>
      <c r="BS103" s="73" t="str">
        <f t="shared" ref="BS103:CX103" si="249">IF(BS76="","",BS49/(1+ INDEX($C$3:$C$6,MATCH($A103,$B$3:$B$6,0))/100)^BS76)</f>
        <v/>
      </c>
      <c r="BT103" s="73" t="str">
        <f t="shared" si="249"/>
        <v/>
      </c>
      <c r="BU103" s="73" t="str">
        <f t="shared" si="249"/>
        <v/>
      </c>
      <c r="BV103" s="73" t="str">
        <f t="shared" si="249"/>
        <v/>
      </c>
      <c r="BW103" s="73" t="str">
        <f t="shared" si="249"/>
        <v/>
      </c>
      <c r="BX103" s="73" t="str">
        <f t="shared" si="249"/>
        <v/>
      </c>
      <c r="BY103" s="73" t="str">
        <f t="shared" si="249"/>
        <v/>
      </c>
      <c r="BZ103" s="73" t="str">
        <f t="shared" si="249"/>
        <v/>
      </c>
      <c r="CA103" s="73" t="str">
        <f t="shared" si="249"/>
        <v/>
      </c>
      <c r="CB103" s="73" t="str">
        <f t="shared" si="249"/>
        <v/>
      </c>
      <c r="CC103" s="73" t="str">
        <f t="shared" si="249"/>
        <v/>
      </c>
      <c r="CD103" s="73" t="str">
        <f t="shared" si="249"/>
        <v/>
      </c>
      <c r="CE103" s="73" t="str">
        <f t="shared" si="249"/>
        <v/>
      </c>
      <c r="CF103" s="73" t="str">
        <f t="shared" si="249"/>
        <v/>
      </c>
      <c r="CG103" s="73" t="str">
        <f t="shared" si="249"/>
        <v/>
      </c>
      <c r="CH103" s="73" t="str">
        <f t="shared" si="249"/>
        <v/>
      </c>
      <c r="CI103" s="73" t="str">
        <f t="shared" si="249"/>
        <v/>
      </c>
      <c r="CJ103" s="73" t="str">
        <f t="shared" si="249"/>
        <v/>
      </c>
      <c r="CK103" s="73" t="str">
        <f t="shared" si="249"/>
        <v/>
      </c>
      <c r="CL103" s="73" t="str">
        <f t="shared" si="249"/>
        <v/>
      </c>
      <c r="CM103" s="73" t="str">
        <f t="shared" si="249"/>
        <v/>
      </c>
      <c r="CN103" s="73" t="str">
        <f t="shared" si="249"/>
        <v/>
      </c>
      <c r="CO103" s="73" t="str">
        <f t="shared" si="249"/>
        <v/>
      </c>
      <c r="CP103" s="73" t="str">
        <f t="shared" si="249"/>
        <v/>
      </c>
      <c r="CQ103" s="73" t="str">
        <f t="shared" si="249"/>
        <v/>
      </c>
      <c r="CR103" s="73" t="str">
        <f t="shared" si="249"/>
        <v/>
      </c>
      <c r="CS103" s="73" t="str">
        <f t="shared" si="249"/>
        <v/>
      </c>
      <c r="CT103" s="73" t="str">
        <f t="shared" si="249"/>
        <v/>
      </c>
      <c r="CU103" s="73" t="str">
        <f t="shared" si="249"/>
        <v/>
      </c>
      <c r="CV103" s="73" t="str">
        <f t="shared" si="249"/>
        <v/>
      </c>
      <c r="CW103" s="73" t="str">
        <f t="shared" si="249"/>
        <v/>
      </c>
      <c r="CX103" s="73" t="str">
        <f t="shared" si="249"/>
        <v/>
      </c>
      <c r="CY103" s="73" t="str">
        <f t="shared" ref="CY103:ED103" si="250">IF(CY76="","",CY49/(1+ INDEX($C$3:$C$6,MATCH($A103,$B$3:$B$6,0))/100)^CY76)</f>
        <v/>
      </c>
      <c r="CZ103" s="73" t="str">
        <f t="shared" si="250"/>
        <v/>
      </c>
      <c r="DA103" s="73" t="str">
        <f t="shared" si="250"/>
        <v/>
      </c>
      <c r="DB103" s="73" t="str">
        <f t="shared" si="250"/>
        <v/>
      </c>
      <c r="DC103" s="73" t="str">
        <f t="shared" si="250"/>
        <v/>
      </c>
      <c r="DD103" s="73" t="str">
        <f t="shared" si="250"/>
        <v/>
      </c>
      <c r="DE103" s="73" t="str">
        <f t="shared" si="250"/>
        <v/>
      </c>
      <c r="DF103" s="73" t="str">
        <f t="shared" si="250"/>
        <v/>
      </c>
      <c r="DG103" s="73" t="str">
        <f t="shared" si="250"/>
        <v/>
      </c>
      <c r="DH103" s="73" t="str">
        <f t="shared" si="250"/>
        <v/>
      </c>
      <c r="DI103" s="73" t="str">
        <f t="shared" si="250"/>
        <v/>
      </c>
      <c r="DJ103" s="73" t="str">
        <f t="shared" si="250"/>
        <v/>
      </c>
      <c r="DK103" s="73" t="str">
        <f t="shared" si="250"/>
        <v/>
      </c>
      <c r="DL103" s="73" t="str">
        <f t="shared" si="250"/>
        <v/>
      </c>
      <c r="DM103" s="73" t="str">
        <f t="shared" si="250"/>
        <v/>
      </c>
      <c r="DN103" s="73" t="str">
        <f t="shared" si="250"/>
        <v/>
      </c>
      <c r="DO103" s="73" t="str">
        <f t="shared" si="250"/>
        <v/>
      </c>
      <c r="DP103" s="73" t="str">
        <f t="shared" si="250"/>
        <v/>
      </c>
      <c r="DQ103" s="73" t="str">
        <f t="shared" si="250"/>
        <v/>
      </c>
      <c r="DR103" s="73" t="str">
        <f t="shared" si="250"/>
        <v/>
      </c>
      <c r="DS103" s="73" t="str">
        <f t="shared" si="250"/>
        <v/>
      </c>
      <c r="DT103" s="73" t="str">
        <f t="shared" si="250"/>
        <v/>
      </c>
      <c r="DU103" s="73" t="str">
        <f t="shared" si="250"/>
        <v/>
      </c>
      <c r="DV103" s="73" t="str">
        <f t="shared" si="250"/>
        <v/>
      </c>
      <c r="DW103" s="73" t="str">
        <f t="shared" si="250"/>
        <v/>
      </c>
      <c r="DX103" s="73" t="str">
        <f t="shared" si="250"/>
        <v/>
      </c>
      <c r="DY103" s="73" t="str">
        <f t="shared" si="250"/>
        <v/>
      </c>
      <c r="DZ103" s="73" t="str">
        <f t="shared" si="250"/>
        <v/>
      </c>
      <c r="EA103" s="73" t="str">
        <f t="shared" si="250"/>
        <v/>
      </c>
      <c r="EB103" s="73" t="str">
        <f t="shared" si="250"/>
        <v/>
      </c>
      <c r="EC103" s="73" t="str">
        <f t="shared" si="250"/>
        <v/>
      </c>
      <c r="ED103" s="73" t="str">
        <f t="shared" si="250"/>
        <v/>
      </c>
      <c r="EE103" s="73" t="str">
        <f t="shared" ref="EE103:FJ103" si="251">IF(EE76="","",EE49/(1+ INDEX($C$3:$C$6,MATCH($A103,$B$3:$B$6,0))/100)^EE76)</f>
        <v/>
      </c>
      <c r="EF103" s="73" t="str">
        <f t="shared" si="251"/>
        <v/>
      </c>
      <c r="EG103" s="73" t="str">
        <f t="shared" si="251"/>
        <v/>
      </c>
      <c r="EH103" s="73" t="str">
        <f t="shared" si="251"/>
        <v/>
      </c>
      <c r="EI103" s="73" t="str">
        <f t="shared" si="251"/>
        <v/>
      </c>
      <c r="EJ103" s="73" t="str">
        <f t="shared" si="251"/>
        <v/>
      </c>
      <c r="EK103" s="73" t="str">
        <f t="shared" si="251"/>
        <v/>
      </c>
      <c r="EL103" s="73" t="str">
        <f t="shared" si="251"/>
        <v/>
      </c>
      <c r="EM103" s="73" t="str">
        <f t="shared" si="251"/>
        <v/>
      </c>
      <c r="EN103" s="73" t="str">
        <f t="shared" si="251"/>
        <v/>
      </c>
      <c r="EO103" s="73" t="str">
        <f t="shared" si="251"/>
        <v/>
      </c>
      <c r="EP103" s="73" t="str">
        <f t="shared" si="251"/>
        <v/>
      </c>
      <c r="EQ103" s="73" t="str">
        <f t="shared" si="251"/>
        <v/>
      </c>
      <c r="ER103" s="73" t="str">
        <f t="shared" si="251"/>
        <v/>
      </c>
      <c r="ES103" s="73" t="str">
        <f t="shared" si="251"/>
        <v/>
      </c>
      <c r="ET103" s="73" t="str">
        <f t="shared" si="251"/>
        <v/>
      </c>
      <c r="EU103" s="73" t="str">
        <f t="shared" si="251"/>
        <v/>
      </c>
      <c r="EV103" s="73" t="str">
        <f t="shared" si="251"/>
        <v/>
      </c>
      <c r="EW103" s="73" t="str">
        <f t="shared" si="251"/>
        <v/>
      </c>
      <c r="EX103" s="73" t="str">
        <f t="shared" si="251"/>
        <v/>
      </c>
      <c r="EY103" s="73" t="str">
        <f t="shared" si="251"/>
        <v/>
      </c>
      <c r="EZ103" s="73" t="str">
        <f t="shared" si="251"/>
        <v/>
      </c>
      <c r="FA103" s="73" t="str">
        <f t="shared" si="251"/>
        <v/>
      </c>
      <c r="FB103" s="73" t="str">
        <f t="shared" si="251"/>
        <v/>
      </c>
      <c r="FC103" s="73" t="str">
        <f t="shared" si="251"/>
        <v/>
      </c>
      <c r="FD103" s="73" t="str">
        <f t="shared" si="251"/>
        <v/>
      </c>
      <c r="FE103" s="73" t="str">
        <f t="shared" si="251"/>
        <v/>
      </c>
      <c r="FF103" s="73" t="str">
        <f t="shared" si="251"/>
        <v/>
      </c>
      <c r="FG103" s="73" t="str">
        <f t="shared" si="251"/>
        <v/>
      </c>
      <c r="FH103" s="73" t="str">
        <f t="shared" si="251"/>
        <v/>
      </c>
      <c r="FI103" s="73" t="str">
        <f t="shared" si="251"/>
        <v/>
      </c>
      <c r="FJ103" s="73" t="str">
        <f t="shared" si="251"/>
        <v/>
      </c>
      <c r="FK103" s="73" t="str">
        <f t="shared" ref="FK103:GQ103" si="252">IF(FK76="","",FK49/(1+ INDEX($C$3:$C$6,MATCH($A103,$B$3:$B$6,0))/100)^FK76)</f>
        <v/>
      </c>
      <c r="FL103" s="73" t="str">
        <f t="shared" si="252"/>
        <v/>
      </c>
      <c r="FM103" s="73" t="str">
        <f t="shared" si="252"/>
        <v/>
      </c>
      <c r="FN103" s="73" t="str">
        <f t="shared" si="252"/>
        <v/>
      </c>
      <c r="FO103" s="73" t="str">
        <f t="shared" si="252"/>
        <v/>
      </c>
      <c r="FP103" s="73" t="str">
        <f t="shared" si="252"/>
        <v/>
      </c>
      <c r="FQ103" s="73" t="str">
        <f t="shared" si="252"/>
        <v/>
      </c>
      <c r="FR103" s="73" t="str">
        <f t="shared" si="252"/>
        <v/>
      </c>
      <c r="FS103" s="73" t="str">
        <f t="shared" si="252"/>
        <v/>
      </c>
      <c r="FT103" s="73" t="str">
        <f t="shared" si="252"/>
        <v/>
      </c>
      <c r="FU103" s="73" t="str">
        <f t="shared" si="252"/>
        <v/>
      </c>
      <c r="FV103" s="73" t="str">
        <f t="shared" si="252"/>
        <v/>
      </c>
      <c r="FW103" s="73" t="str">
        <f t="shared" si="252"/>
        <v/>
      </c>
      <c r="FX103" s="73" t="str">
        <f t="shared" si="252"/>
        <v/>
      </c>
      <c r="FY103" s="73" t="str">
        <f t="shared" si="252"/>
        <v/>
      </c>
      <c r="FZ103" s="73" t="str">
        <f t="shared" si="252"/>
        <v/>
      </c>
      <c r="GA103" s="73" t="str">
        <f t="shared" si="252"/>
        <v/>
      </c>
      <c r="GB103" s="73" t="str">
        <f t="shared" si="252"/>
        <v/>
      </c>
      <c r="GC103" s="73" t="str">
        <f t="shared" si="252"/>
        <v/>
      </c>
      <c r="GD103" s="73" t="str">
        <f t="shared" si="252"/>
        <v/>
      </c>
      <c r="GE103" s="73" t="str">
        <f t="shared" si="252"/>
        <v/>
      </c>
      <c r="GF103" s="73" t="str">
        <f t="shared" si="252"/>
        <v/>
      </c>
      <c r="GG103" s="73" t="str">
        <f t="shared" si="252"/>
        <v/>
      </c>
      <c r="GH103" s="73" t="str">
        <f t="shared" si="252"/>
        <v/>
      </c>
      <c r="GI103" s="73" t="str">
        <f t="shared" si="252"/>
        <v/>
      </c>
      <c r="GJ103" s="73" t="str">
        <f t="shared" si="252"/>
        <v/>
      </c>
      <c r="GK103" s="73" t="str">
        <f t="shared" si="252"/>
        <v/>
      </c>
      <c r="GL103" s="73" t="str">
        <f t="shared" si="252"/>
        <v/>
      </c>
      <c r="GM103" s="73" t="str">
        <f t="shared" si="252"/>
        <v/>
      </c>
      <c r="GN103" s="73" t="str">
        <f t="shared" si="252"/>
        <v/>
      </c>
      <c r="GO103" s="73" t="str">
        <f t="shared" si="252"/>
        <v/>
      </c>
      <c r="GP103" s="73" t="str">
        <f t="shared" si="252"/>
        <v/>
      </c>
      <c r="GQ103" s="73" t="str">
        <f t="shared" si="252"/>
        <v/>
      </c>
    </row>
    <row r="104" spans="1:199" x14ac:dyDescent="0.2">
      <c r="A104" t="s">
        <v>221</v>
      </c>
      <c r="B104" t="str">
        <f t="shared" si="222"/>
        <v>US040114HQ69</v>
      </c>
      <c r="C104" t="str">
        <f t="shared" si="179"/>
        <v>USD 5.875% 2028</v>
      </c>
      <c r="E104" s="73" t="str">
        <f t="shared" si="171"/>
        <v/>
      </c>
      <c r="F104" s="103">
        <f t="shared" si="172"/>
        <v>1.8335644075235102</v>
      </c>
      <c r="G104" s="73">
        <f t="shared" ref="G104:AL104" si="253">IF(G77="","",G50/(1+ INDEX($C$3:$C$6,MATCH($A104,$B$3:$B$6,0))/100)^G77)</f>
        <v>2.6866252563569066</v>
      </c>
      <c r="H104" s="73">
        <f t="shared" si="253"/>
        <v>2.5430104819316561</v>
      </c>
      <c r="I104" s="73">
        <f t="shared" si="253"/>
        <v>2.4092297199138053</v>
      </c>
      <c r="J104" s="73">
        <f t="shared" si="253"/>
        <v>2.280443249993839</v>
      </c>
      <c r="K104" s="73">
        <f t="shared" si="253"/>
        <v>2.1604754252875469</v>
      </c>
      <c r="L104" s="73">
        <f t="shared" si="253"/>
        <v>2.044986229271164</v>
      </c>
      <c r="M104" s="73">
        <f t="shared" si="253"/>
        <v>1.9368267799323731</v>
      </c>
      <c r="N104" s="73">
        <f t="shared" si="253"/>
        <v>1.8332928239246955</v>
      </c>
      <c r="O104" s="73">
        <f t="shared" si="253"/>
        <v>1.7368483488707798</v>
      </c>
      <c r="P104" s="73">
        <f t="shared" si="253"/>
        <v>1.6440043308062042</v>
      </c>
      <c r="Q104" s="73">
        <f t="shared" si="253"/>
        <v>1.5575178008848496</v>
      </c>
      <c r="R104" s="73">
        <f t="shared" si="253"/>
        <v>1.4742599787869863</v>
      </c>
      <c r="S104" s="73">
        <f t="shared" si="253"/>
        <v>1.3967032306823814</v>
      </c>
      <c r="T104" s="73">
        <f t="shared" si="253"/>
        <v>46.327720957865822</v>
      </c>
      <c r="U104" s="73" t="str">
        <f t="shared" si="253"/>
        <v/>
      </c>
      <c r="V104" s="73" t="str">
        <f t="shared" si="253"/>
        <v/>
      </c>
      <c r="W104" s="73" t="str">
        <f t="shared" si="253"/>
        <v/>
      </c>
      <c r="X104" s="73" t="str">
        <f t="shared" si="253"/>
        <v/>
      </c>
      <c r="Y104" s="73" t="str">
        <f t="shared" si="253"/>
        <v/>
      </c>
      <c r="Z104" s="73" t="str">
        <f t="shared" si="253"/>
        <v/>
      </c>
      <c r="AA104" s="73" t="str">
        <f t="shared" si="253"/>
        <v/>
      </c>
      <c r="AB104" s="73" t="str">
        <f t="shared" si="253"/>
        <v/>
      </c>
      <c r="AC104" s="73" t="str">
        <f t="shared" si="253"/>
        <v/>
      </c>
      <c r="AD104" s="73" t="str">
        <f t="shared" si="253"/>
        <v/>
      </c>
      <c r="AE104" s="73" t="str">
        <f t="shared" si="253"/>
        <v/>
      </c>
      <c r="AF104" s="73" t="str">
        <f t="shared" si="253"/>
        <v/>
      </c>
      <c r="AG104" s="73" t="str">
        <f t="shared" si="253"/>
        <v/>
      </c>
      <c r="AH104" s="73" t="str">
        <f t="shared" si="253"/>
        <v/>
      </c>
      <c r="AI104" s="73" t="str">
        <f t="shared" si="253"/>
        <v/>
      </c>
      <c r="AJ104" s="73" t="str">
        <f t="shared" si="253"/>
        <v/>
      </c>
      <c r="AK104" s="73" t="str">
        <f t="shared" si="253"/>
        <v/>
      </c>
      <c r="AL104" s="73" t="str">
        <f t="shared" si="253"/>
        <v/>
      </c>
      <c r="AM104" s="73" t="str">
        <f t="shared" ref="AM104:BR104" si="254">IF(AM77="","",AM50/(1+ INDEX($C$3:$C$6,MATCH($A104,$B$3:$B$6,0))/100)^AM77)</f>
        <v/>
      </c>
      <c r="AN104" s="73" t="str">
        <f t="shared" si="254"/>
        <v/>
      </c>
      <c r="AO104" s="73" t="str">
        <f t="shared" si="254"/>
        <v/>
      </c>
      <c r="AP104" s="73" t="str">
        <f t="shared" si="254"/>
        <v/>
      </c>
      <c r="AQ104" s="73" t="str">
        <f t="shared" si="254"/>
        <v/>
      </c>
      <c r="AR104" s="73" t="str">
        <f t="shared" si="254"/>
        <v/>
      </c>
      <c r="AS104" s="73" t="str">
        <f t="shared" si="254"/>
        <v/>
      </c>
      <c r="AT104" s="73" t="str">
        <f t="shared" si="254"/>
        <v/>
      </c>
      <c r="AU104" s="73" t="str">
        <f t="shared" si="254"/>
        <v/>
      </c>
      <c r="AV104" s="73" t="str">
        <f t="shared" si="254"/>
        <v/>
      </c>
      <c r="AW104" s="73" t="str">
        <f t="shared" si="254"/>
        <v/>
      </c>
      <c r="AX104" s="73" t="str">
        <f t="shared" si="254"/>
        <v/>
      </c>
      <c r="AY104" s="73" t="str">
        <f t="shared" si="254"/>
        <v/>
      </c>
      <c r="AZ104" s="73" t="str">
        <f t="shared" si="254"/>
        <v/>
      </c>
      <c r="BA104" s="73" t="str">
        <f t="shared" si="254"/>
        <v/>
      </c>
      <c r="BB104" s="73" t="str">
        <f t="shared" si="254"/>
        <v/>
      </c>
      <c r="BC104" s="73" t="str">
        <f t="shared" si="254"/>
        <v/>
      </c>
      <c r="BD104" s="73" t="str">
        <f t="shared" si="254"/>
        <v/>
      </c>
      <c r="BE104" s="73" t="str">
        <f t="shared" si="254"/>
        <v/>
      </c>
      <c r="BF104" s="73" t="str">
        <f t="shared" si="254"/>
        <v/>
      </c>
      <c r="BG104" s="73" t="str">
        <f t="shared" si="254"/>
        <v/>
      </c>
      <c r="BH104" s="73" t="str">
        <f t="shared" si="254"/>
        <v/>
      </c>
      <c r="BI104" s="73" t="str">
        <f t="shared" si="254"/>
        <v/>
      </c>
      <c r="BJ104" s="73" t="str">
        <f t="shared" si="254"/>
        <v/>
      </c>
      <c r="BK104" s="73" t="str">
        <f t="shared" si="254"/>
        <v/>
      </c>
      <c r="BL104" s="73" t="str">
        <f t="shared" si="254"/>
        <v/>
      </c>
      <c r="BM104" s="73" t="str">
        <f t="shared" si="254"/>
        <v/>
      </c>
      <c r="BN104" s="73" t="str">
        <f t="shared" si="254"/>
        <v/>
      </c>
      <c r="BO104" s="73" t="str">
        <f t="shared" si="254"/>
        <v/>
      </c>
      <c r="BP104" s="73" t="str">
        <f t="shared" si="254"/>
        <v/>
      </c>
      <c r="BQ104" s="73" t="str">
        <f t="shared" si="254"/>
        <v/>
      </c>
      <c r="BR104" s="73" t="str">
        <f t="shared" si="254"/>
        <v/>
      </c>
      <c r="BS104" s="73" t="str">
        <f t="shared" ref="BS104:CX104" si="255">IF(BS77="","",BS50/(1+ INDEX($C$3:$C$6,MATCH($A104,$B$3:$B$6,0))/100)^BS77)</f>
        <v/>
      </c>
      <c r="BT104" s="73" t="str">
        <f t="shared" si="255"/>
        <v/>
      </c>
      <c r="BU104" s="73" t="str">
        <f t="shared" si="255"/>
        <v/>
      </c>
      <c r="BV104" s="73" t="str">
        <f t="shared" si="255"/>
        <v/>
      </c>
      <c r="BW104" s="73" t="str">
        <f t="shared" si="255"/>
        <v/>
      </c>
      <c r="BX104" s="73" t="str">
        <f t="shared" si="255"/>
        <v/>
      </c>
      <c r="BY104" s="73" t="str">
        <f t="shared" si="255"/>
        <v/>
      </c>
      <c r="BZ104" s="73" t="str">
        <f t="shared" si="255"/>
        <v/>
      </c>
      <c r="CA104" s="73" t="str">
        <f t="shared" si="255"/>
        <v/>
      </c>
      <c r="CB104" s="73" t="str">
        <f t="shared" si="255"/>
        <v/>
      </c>
      <c r="CC104" s="73" t="str">
        <f t="shared" si="255"/>
        <v/>
      </c>
      <c r="CD104" s="73" t="str">
        <f t="shared" si="255"/>
        <v/>
      </c>
      <c r="CE104" s="73" t="str">
        <f t="shared" si="255"/>
        <v/>
      </c>
      <c r="CF104" s="73" t="str">
        <f t="shared" si="255"/>
        <v/>
      </c>
      <c r="CG104" s="73" t="str">
        <f t="shared" si="255"/>
        <v/>
      </c>
      <c r="CH104" s="73" t="str">
        <f t="shared" si="255"/>
        <v/>
      </c>
      <c r="CI104" s="73" t="str">
        <f t="shared" si="255"/>
        <v/>
      </c>
      <c r="CJ104" s="73" t="str">
        <f t="shared" si="255"/>
        <v/>
      </c>
      <c r="CK104" s="73" t="str">
        <f t="shared" si="255"/>
        <v/>
      </c>
      <c r="CL104" s="73" t="str">
        <f t="shared" si="255"/>
        <v/>
      </c>
      <c r="CM104" s="73" t="str">
        <f t="shared" si="255"/>
        <v/>
      </c>
      <c r="CN104" s="73" t="str">
        <f t="shared" si="255"/>
        <v/>
      </c>
      <c r="CO104" s="73" t="str">
        <f t="shared" si="255"/>
        <v/>
      </c>
      <c r="CP104" s="73" t="str">
        <f t="shared" si="255"/>
        <v/>
      </c>
      <c r="CQ104" s="73" t="str">
        <f t="shared" si="255"/>
        <v/>
      </c>
      <c r="CR104" s="73" t="str">
        <f t="shared" si="255"/>
        <v/>
      </c>
      <c r="CS104" s="73" t="str">
        <f t="shared" si="255"/>
        <v/>
      </c>
      <c r="CT104" s="73" t="str">
        <f t="shared" si="255"/>
        <v/>
      </c>
      <c r="CU104" s="73" t="str">
        <f t="shared" si="255"/>
        <v/>
      </c>
      <c r="CV104" s="73" t="str">
        <f t="shared" si="255"/>
        <v/>
      </c>
      <c r="CW104" s="73" t="str">
        <f t="shared" si="255"/>
        <v/>
      </c>
      <c r="CX104" s="73" t="str">
        <f t="shared" si="255"/>
        <v/>
      </c>
      <c r="CY104" s="73" t="str">
        <f t="shared" ref="CY104:ED104" si="256">IF(CY77="","",CY50/(1+ INDEX($C$3:$C$6,MATCH($A104,$B$3:$B$6,0))/100)^CY77)</f>
        <v/>
      </c>
      <c r="CZ104" s="73" t="str">
        <f t="shared" si="256"/>
        <v/>
      </c>
      <c r="DA104" s="73" t="str">
        <f t="shared" si="256"/>
        <v/>
      </c>
      <c r="DB104" s="73" t="str">
        <f t="shared" si="256"/>
        <v/>
      </c>
      <c r="DC104" s="73" t="str">
        <f t="shared" si="256"/>
        <v/>
      </c>
      <c r="DD104" s="73" t="str">
        <f t="shared" si="256"/>
        <v/>
      </c>
      <c r="DE104" s="73" t="str">
        <f t="shared" si="256"/>
        <v/>
      </c>
      <c r="DF104" s="73" t="str">
        <f t="shared" si="256"/>
        <v/>
      </c>
      <c r="DG104" s="73" t="str">
        <f t="shared" si="256"/>
        <v/>
      </c>
      <c r="DH104" s="73" t="str">
        <f t="shared" si="256"/>
        <v/>
      </c>
      <c r="DI104" s="73" t="str">
        <f t="shared" si="256"/>
        <v/>
      </c>
      <c r="DJ104" s="73" t="str">
        <f t="shared" si="256"/>
        <v/>
      </c>
      <c r="DK104" s="73" t="str">
        <f t="shared" si="256"/>
        <v/>
      </c>
      <c r="DL104" s="73" t="str">
        <f t="shared" si="256"/>
        <v/>
      </c>
      <c r="DM104" s="73" t="str">
        <f t="shared" si="256"/>
        <v/>
      </c>
      <c r="DN104" s="73" t="str">
        <f t="shared" si="256"/>
        <v/>
      </c>
      <c r="DO104" s="73" t="str">
        <f t="shared" si="256"/>
        <v/>
      </c>
      <c r="DP104" s="73" t="str">
        <f t="shared" si="256"/>
        <v/>
      </c>
      <c r="DQ104" s="73" t="str">
        <f t="shared" si="256"/>
        <v/>
      </c>
      <c r="DR104" s="73" t="str">
        <f t="shared" si="256"/>
        <v/>
      </c>
      <c r="DS104" s="73" t="str">
        <f t="shared" si="256"/>
        <v/>
      </c>
      <c r="DT104" s="73" t="str">
        <f t="shared" si="256"/>
        <v/>
      </c>
      <c r="DU104" s="73" t="str">
        <f t="shared" si="256"/>
        <v/>
      </c>
      <c r="DV104" s="73" t="str">
        <f t="shared" si="256"/>
        <v/>
      </c>
      <c r="DW104" s="73" t="str">
        <f t="shared" si="256"/>
        <v/>
      </c>
      <c r="DX104" s="73" t="str">
        <f t="shared" si="256"/>
        <v/>
      </c>
      <c r="DY104" s="73" t="str">
        <f t="shared" si="256"/>
        <v/>
      </c>
      <c r="DZ104" s="73" t="str">
        <f t="shared" si="256"/>
        <v/>
      </c>
      <c r="EA104" s="73" t="str">
        <f t="shared" si="256"/>
        <v/>
      </c>
      <c r="EB104" s="73" t="str">
        <f t="shared" si="256"/>
        <v/>
      </c>
      <c r="EC104" s="73" t="str">
        <f t="shared" si="256"/>
        <v/>
      </c>
      <c r="ED104" s="73" t="str">
        <f t="shared" si="256"/>
        <v/>
      </c>
      <c r="EE104" s="73" t="str">
        <f t="shared" ref="EE104:FJ104" si="257">IF(EE77="","",EE50/(1+ INDEX($C$3:$C$6,MATCH($A104,$B$3:$B$6,0))/100)^EE77)</f>
        <v/>
      </c>
      <c r="EF104" s="73" t="str">
        <f t="shared" si="257"/>
        <v/>
      </c>
      <c r="EG104" s="73" t="str">
        <f t="shared" si="257"/>
        <v/>
      </c>
      <c r="EH104" s="73" t="str">
        <f t="shared" si="257"/>
        <v/>
      </c>
      <c r="EI104" s="73" t="str">
        <f t="shared" si="257"/>
        <v/>
      </c>
      <c r="EJ104" s="73" t="str">
        <f t="shared" si="257"/>
        <v/>
      </c>
      <c r="EK104" s="73" t="str">
        <f t="shared" si="257"/>
        <v/>
      </c>
      <c r="EL104" s="73" t="str">
        <f t="shared" si="257"/>
        <v/>
      </c>
      <c r="EM104" s="73" t="str">
        <f t="shared" si="257"/>
        <v/>
      </c>
      <c r="EN104" s="73" t="str">
        <f t="shared" si="257"/>
        <v/>
      </c>
      <c r="EO104" s="73" t="str">
        <f t="shared" si="257"/>
        <v/>
      </c>
      <c r="EP104" s="73" t="str">
        <f t="shared" si="257"/>
        <v/>
      </c>
      <c r="EQ104" s="73" t="str">
        <f t="shared" si="257"/>
        <v/>
      </c>
      <c r="ER104" s="73" t="str">
        <f t="shared" si="257"/>
        <v/>
      </c>
      <c r="ES104" s="73" t="str">
        <f t="shared" si="257"/>
        <v/>
      </c>
      <c r="ET104" s="73" t="str">
        <f t="shared" si="257"/>
        <v/>
      </c>
      <c r="EU104" s="73" t="str">
        <f t="shared" si="257"/>
        <v/>
      </c>
      <c r="EV104" s="73" t="str">
        <f t="shared" si="257"/>
        <v/>
      </c>
      <c r="EW104" s="73" t="str">
        <f t="shared" si="257"/>
        <v/>
      </c>
      <c r="EX104" s="73" t="str">
        <f t="shared" si="257"/>
        <v/>
      </c>
      <c r="EY104" s="73" t="str">
        <f t="shared" si="257"/>
        <v/>
      </c>
      <c r="EZ104" s="73" t="str">
        <f t="shared" si="257"/>
        <v/>
      </c>
      <c r="FA104" s="73" t="str">
        <f t="shared" si="257"/>
        <v/>
      </c>
      <c r="FB104" s="73" t="str">
        <f t="shared" si="257"/>
        <v/>
      </c>
      <c r="FC104" s="73" t="str">
        <f t="shared" si="257"/>
        <v/>
      </c>
      <c r="FD104" s="73" t="str">
        <f t="shared" si="257"/>
        <v/>
      </c>
      <c r="FE104" s="73" t="str">
        <f t="shared" si="257"/>
        <v/>
      </c>
      <c r="FF104" s="73" t="str">
        <f t="shared" si="257"/>
        <v/>
      </c>
      <c r="FG104" s="73" t="str">
        <f t="shared" si="257"/>
        <v/>
      </c>
      <c r="FH104" s="73" t="str">
        <f t="shared" si="257"/>
        <v/>
      </c>
      <c r="FI104" s="73" t="str">
        <f t="shared" si="257"/>
        <v/>
      </c>
      <c r="FJ104" s="73" t="str">
        <f t="shared" si="257"/>
        <v/>
      </c>
      <c r="FK104" s="73" t="str">
        <f t="shared" ref="FK104:GQ104" si="258">IF(FK77="","",FK50/(1+ INDEX($C$3:$C$6,MATCH($A104,$B$3:$B$6,0))/100)^FK77)</f>
        <v/>
      </c>
      <c r="FL104" s="73" t="str">
        <f t="shared" si="258"/>
        <v/>
      </c>
      <c r="FM104" s="73" t="str">
        <f t="shared" si="258"/>
        <v/>
      </c>
      <c r="FN104" s="73" t="str">
        <f t="shared" si="258"/>
        <v/>
      </c>
      <c r="FO104" s="73" t="str">
        <f t="shared" si="258"/>
        <v/>
      </c>
      <c r="FP104" s="73" t="str">
        <f t="shared" si="258"/>
        <v/>
      </c>
      <c r="FQ104" s="73" t="str">
        <f t="shared" si="258"/>
        <v/>
      </c>
      <c r="FR104" s="73" t="str">
        <f t="shared" si="258"/>
        <v/>
      </c>
      <c r="FS104" s="73" t="str">
        <f t="shared" si="258"/>
        <v/>
      </c>
      <c r="FT104" s="73" t="str">
        <f t="shared" si="258"/>
        <v/>
      </c>
      <c r="FU104" s="73" t="str">
        <f t="shared" si="258"/>
        <v/>
      </c>
      <c r="FV104" s="73" t="str">
        <f t="shared" si="258"/>
        <v/>
      </c>
      <c r="FW104" s="73" t="str">
        <f t="shared" si="258"/>
        <v/>
      </c>
      <c r="FX104" s="73" t="str">
        <f t="shared" si="258"/>
        <v/>
      </c>
      <c r="FY104" s="73" t="str">
        <f t="shared" si="258"/>
        <v/>
      </c>
      <c r="FZ104" s="73" t="str">
        <f t="shared" si="258"/>
        <v/>
      </c>
      <c r="GA104" s="73" t="str">
        <f t="shared" si="258"/>
        <v/>
      </c>
      <c r="GB104" s="73" t="str">
        <f t="shared" si="258"/>
        <v/>
      </c>
      <c r="GC104" s="73" t="str">
        <f t="shared" si="258"/>
        <v/>
      </c>
      <c r="GD104" s="73" t="str">
        <f t="shared" si="258"/>
        <v/>
      </c>
      <c r="GE104" s="73" t="str">
        <f t="shared" si="258"/>
        <v/>
      </c>
      <c r="GF104" s="73" t="str">
        <f t="shared" si="258"/>
        <v/>
      </c>
      <c r="GG104" s="73" t="str">
        <f t="shared" si="258"/>
        <v/>
      </c>
      <c r="GH104" s="73" t="str">
        <f t="shared" si="258"/>
        <v/>
      </c>
      <c r="GI104" s="73" t="str">
        <f t="shared" si="258"/>
        <v/>
      </c>
      <c r="GJ104" s="73" t="str">
        <f t="shared" si="258"/>
        <v/>
      </c>
      <c r="GK104" s="73" t="str">
        <f t="shared" si="258"/>
        <v/>
      </c>
      <c r="GL104" s="73" t="str">
        <f t="shared" si="258"/>
        <v/>
      </c>
      <c r="GM104" s="73" t="str">
        <f t="shared" si="258"/>
        <v/>
      </c>
      <c r="GN104" s="73" t="str">
        <f t="shared" si="258"/>
        <v/>
      </c>
      <c r="GO104" s="73" t="str">
        <f t="shared" si="258"/>
        <v/>
      </c>
      <c r="GP104" s="73" t="str">
        <f t="shared" si="258"/>
        <v/>
      </c>
      <c r="GQ104" s="73" t="str">
        <f t="shared" si="258"/>
        <v/>
      </c>
    </row>
    <row r="105" spans="1:199" x14ac:dyDescent="0.2">
      <c r="A105" t="s">
        <v>221</v>
      </c>
      <c r="B105" t="str">
        <f t="shared" si="222"/>
        <v>US040114HF05</v>
      </c>
      <c r="C105" t="str">
        <f t="shared" si="179"/>
        <v>USD 6.625% 2028</v>
      </c>
      <c r="E105" s="73" t="str">
        <f t="shared" si="171"/>
        <v/>
      </c>
      <c r="F105" s="103">
        <f t="shared" si="172"/>
        <v>1.982982852272513</v>
      </c>
      <c r="G105" s="73">
        <f t="shared" ref="G105:AL105" si="259">IF(G78="","",G51/(1+ INDEX($C$3:$C$6,MATCH($A105,$B$3:$B$6,0))/100)^G78)</f>
        <v>3.0341248375013401</v>
      </c>
      <c r="H105" s="73">
        <f t="shared" si="259"/>
        <v>2.8719343149918184</v>
      </c>
      <c r="I105" s="73">
        <f t="shared" si="259"/>
        <v>2.7208497780405683</v>
      </c>
      <c r="J105" s="73">
        <f t="shared" si="259"/>
        <v>2.575405516250163</v>
      </c>
      <c r="K105" s="73">
        <f t="shared" si="259"/>
        <v>2.43992054089638</v>
      </c>
      <c r="L105" s="73">
        <f t="shared" si="259"/>
        <v>2.3094934791886645</v>
      </c>
      <c r="M105" s="73">
        <f t="shared" si="259"/>
        <v>2.1873442248880126</v>
      </c>
      <c r="N105" s="73">
        <f t="shared" si="259"/>
        <v>2.0704187449743623</v>
      </c>
      <c r="O105" s="73">
        <f t="shared" si="259"/>
        <v>1.9614997297494157</v>
      </c>
      <c r="P105" s="73">
        <f t="shared" si="259"/>
        <v>1.8566468699928822</v>
      </c>
      <c r="Q105" s="73">
        <f t="shared" si="259"/>
        <v>1.7589738030391688</v>
      </c>
      <c r="R105" s="73">
        <f t="shared" si="259"/>
        <v>1.6649470587637343</v>
      </c>
      <c r="S105" s="73">
        <f t="shared" si="259"/>
        <v>1.5773587897324555</v>
      </c>
      <c r="T105" s="73">
        <f t="shared" si="259"/>
        <v>1.4930403585559791</v>
      </c>
      <c r="U105" s="73">
        <f t="shared" si="259"/>
        <v>44.10308047861735</v>
      </c>
      <c r="V105" s="73" t="str">
        <f t="shared" si="259"/>
        <v/>
      </c>
      <c r="W105" s="73" t="str">
        <f t="shared" si="259"/>
        <v/>
      </c>
      <c r="X105" s="73" t="str">
        <f t="shared" si="259"/>
        <v/>
      </c>
      <c r="Y105" s="73" t="str">
        <f t="shared" si="259"/>
        <v/>
      </c>
      <c r="Z105" s="73" t="str">
        <f t="shared" si="259"/>
        <v/>
      </c>
      <c r="AA105" s="73" t="str">
        <f t="shared" si="259"/>
        <v/>
      </c>
      <c r="AB105" s="73" t="str">
        <f t="shared" si="259"/>
        <v/>
      </c>
      <c r="AC105" s="73" t="str">
        <f t="shared" si="259"/>
        <v/>
      </c>
      <c r="AD105" s="73" t="str">
        <f t="shared" si="259"/>
        <v/>
      </c>
      <c r="AE105" s="73" t="str">
        <f t="shared" si="259"/>
        <v/>
      </c>
      <c r="AF105" s="73" t="str">
        <f t="shared" si="259"/>
        <v/>
      </c>
      <c r="AG105" s="73" t="str">
        <f t="shared" si="259"/>
        <v/>
      </c>
      <c r="AH105" s="73" t="str">
        <f t="shared" si="259"/>
        <v/>
      </c>
      <c r="AI105" s="73" t="str">
        <f t="shared" si="259"/>
        <v/>
      </c>
      <c r="AJ105" s="73" t="str">
        <f t="shared" si="259"/>
        <v/>
      </c>
      <c r="AK105" s="73" t="str">
        <f t="shared" si="259"/>
        <v/>
      </c>
      <c r="AL105" s="73" t="str">
        <f t="shared" si="259"/>
        <v/>
      </c>
      <c r="AM105" s="73" t="str">
        <f t="shared" ref="AM105:BR105" si="260">IF(AM78="","",AM51/(1+ INDEX($C$3:$C$6,MATCH($A105,$B$3:$B$6,0))/100)^AM78)</f>
        <v/>
      </c>
      <c r="AN105" s="73" t="str">
        <f t="shared" si="260"/>
        <v/>
      </c>
      <c r="AO105" s="73" t="str">
        <f t="shared" si="260"/>
        <v/>
      </c>
      <c r="AP105" s="73" t="str">
        <f t="shared" si="260"/>
        <v/>
      </c>
      <c r="AQ105" s="73" t="str">
        <f t="shared" si="260"/>
        <v/>
      </c>
      <c r="AR105" s="73" t="str">
        <f t="shared" si="260"/>
        <v/>
      </c>
      <c r="AS105" s="73" t="str">
        <f t="shared" si="260"/>
        <v/>
      </c>
      <c r="AT105" s="73" t="str">
        <f t="shared" si="260"/>
        <v/>
      </c>
      <c r="AU105" s="73" t="str">
        <f t="shared" si="260"/>
        <v/>
      </c>
      <c r="AV105" s="73" t="str">
        <f t="shared" si="260"/>
        <v/>
      </c>
      <c r="AW105" s="73" t="str">
        <f t="shared" si="260"/>
        <v/>
      </c>
      <c r="AX105" s="73" t="str">
        <f t="shared" si="260"/>
        <v/>
      </c>
      <c r="AY105" s="73" t="str">
        <f t="shared" si="260"/>
        <v/>
      </c>
      <c r="AZ105" s="73" t="str">
        <f t="shared" si="260"/>
        <v/>
      </c>
      <c r="BA105" s="73" t="str">
        <f t="shared" si="260"/>
        <v/>
      </c>
      <c r="BB105" s="73" t="str">
        <f t="shared" si="260"/>
        <v/>
      </c>
      <c r="BC105" s="73" t="str">
        <f t="shared" si="260"/>
        <v/>
      </c>
      <c r="BD105" s="73" t="str">
        <f t="shared" si="260"/>
        <v/>
      </c>
      <c r="BE105" s="73" t="str">
        <f t="shared" si="260"/>
        <v/>
      </c>
      <c r="BF105" s="73" t="str">
        <f t="shared" si="260"/>
        <v/>
      </c>
      <c r="BG105" s="73" t="str">
        <f t="shared" si="260"/>
        <v/>
      </c>
      <c r="BH105" s="73" t="str">
        <f t="shared" si="260"/>
        <v/>
      </c>
      <c r="BI105" s="73" t="str">
        <f t="shared" si="260"/>
        <v/>
      </c>
      <c r="BJ105" s="73" t="str">
        <f t="shared" si="260"/>
        <v/>
      </c>
      <c r="BK105" s="73" t="str">
        <f t="shared" si="260"/>
        <v/>
      </c>
      <c r="BL105" s="73" t="str">
        <f t="shared" si="260"/>
        <v/>
      </c>
      <c r="BM105" s="73" t="str">
        <f t="shared" si="260"/>
        <v/>
      </c>
      <c r="BN105" s="73" t="str">
        <f t="shared" si="260"/>
        <v/>
      </c>
      <c r="BO105" s="73" t="str">
        <f t="shared" si="260"/>
        <v/>
      </c>
      <c r="BP105" s="73" t="str">
        <f t="shared" si="260"/>
        <v/>
      </c>
      <c r="BQ105" s="73" t="str">
        <f t="shared" si="260"/>
        <v/>
      </c>
      <c r="BR105" s="73" t="str">
        <f t="shared" si="260"/>
        <v/>
      </c>
      <c r="BS105" s="73" t="str">
        <f t="shared" ref="BS105:CX105" si="261">IF(BS78="","",BS51/(1+ INDEX($C$3:$C$6,MATCH($A105,$B$3:$B$6,0))/100)^BS78)</f>
        <v/>
      </c>
      <c r="BT105" s="73" t="str">
        <f t="shared" si="261"/>
        <v/>
      </c>
      <c r="BU105" s="73" t="str">
        <f t="shared" si="261"/>
        <v/>
      </c>
      <c r="BV105" s="73" t="str">
        <f t="shared" si="261"/>
        <v/>
      </c>
      <c r="BW105" s="73" t="str">
        <f t="shared" si="261"/>
        <v/>
      </c>
      <c r="BX105" s="73" t="str">
        <f t="shared" si="261"/>
        <v/>
      </c>
      <c r="BY105" s="73" t="str">
        <f t="shared" si="261"/>
        <v/>
      </c>
      <c r="BZ105" s="73" t="str">
        <f t="shared" si="261"/>
        <v/>
      </c>
      <c r="CA105" s="73" t="str">
        <f t="shared" si="261"/>
        <v/>
      </c>
      <c r="CB105" s="73" t="str">
        <f t="shared" si="261"/>
        <v/>
      </c>
      <c r="CC105" s="73" t="str">
        <f t="shared" si="261"/>
        <v/>
      </c>
      <c r="CD105" s="73" t="str">
        <f t="shared" si="261"/>
        <v/>
      </c>
      <c r="CE105" s="73" t="str">
        <f t="shared" si="261"/>
        <v/>
      </c>
      <c r="CF105" s="73" t="str">
        <f t="shared" si="261"/>
        <v/>
      </c>
      <c r="CG105" s="73" t="str">
        <f t="shared" si="261"/>
        <v/>
      </c>
      <c r="CH105" s="73" t="str">
        <f t="shared" si="261"/>
        <v/>
      </c>
      <c r="CI105" s="73" t="str">
        <f t="shared" si="261"/>
        <v/>
      </c>
      <c r="CJ105" s="73" t="str">
        <f t="shared" si="261"/>
        <v/>
      </c>
      <c r="CK105" s="73" t="str">
        <f t="shared" si="261"/>
        <v/>
      </c>
      <c r="CL105" s="73" t="str">
        <f t="shared" si="261"/>
        <v/>
      </c>
      <c r="CM105" s="73" t="str">
        <f t="shared" si="261"/>
        <v/>
      </c>
      <c r="CN105" s="73" t="str">
        <f t="shared" si="261"/>
        <v/>
      </c>
      <c r="CO105" s="73" t="str">
        <f t="shared" si="261"/>
        <v/>
      </c>
      <c r="CP105" s="73" t="str">
        <f t="shared" si="261"/>
        <v/>
      </c>
      <c r="CQ105" s="73" t="str">
        <f t="shared" si="261"/>
        <v/>
      </c>
      <c r="CR105" s="73" t="str">
        <f t="shared" si="261"/>
        <v/>
      </c>
      <c r="CS105" s="73" t="str">
        <f t="shared" si="261"/>
        <v/>
      </c>
      <c r="CT105" s="73" t="str">
        <f t="shared" si="261"/>
        <v/>
      </c>
      <c r="CU105" s="73" t="str">
        <f t="shared" si="261"/>
        <v/>
      </c>
      <c r="CV105" s="73" t="str">
        <f t="shared" si="261"/>
        <v/>
      </c>
      <c r="CW105" s="73" t="str">
        <f t="shared" si="261"/>
        <v/>
      </c>
      <c r="CX105" s="73" t="str">
        <f t="shared" si="261"/>
        <v/>
      </c>
      <c r="CY105" s="73" t="str">
        <f t="shared" ref="CY105:ED105" si="262">IF(CY78="","",CY51/(1+ INDEX($C$3:$C$6,MATCH($A105,$B$3:$B$6,0))/100)^CY78)</f>
        <v/>
      </c>
      <c r="CZ105" s="73" t="str">
        <f t="shared" si="262"/>
        <v/>
      </c>
      <c r="DA105" s="73" t="str">
        <f t="shared" si="262"/>
        <v/>
      </c>
      <c r="DB105" s="73" t="str">
        <f t="shared" si="262"/>
        <v/>
      </c>
      <c r="DC105" s="73" t="str">
        <f t="shared" si="262"/>
        <v/>
      </c>
      <c r="DD105" s="73" t="str">
        <f t="shared" si="262"/>
        <v/>
      </c>
      <c r="DE105" s="73" t="str">
        <f t="shared" si="262"/>
        <v/>
      </c>
      <c r="DF105" s="73" t="str">
        <f t="shared" si="262"/>
        <v/>
      </c>
      <c r="DG105" s="73" t="str">
        <f t="shared" si="262"/>
        <v/>
      </c>
      <c r="DH105" s="73" t="str">
        <f t="shared" si="262"/>
        <v/>
      </c>
      <c r="DI105" s="73" t="str">
        <f t="shared" si="262"/>
        <v/>
      </c>
      <c r="DJ105" s="73" t="str">
        <f t="shared" si="262"/>
        <v/>
      </c>
      <c r="DK105" s="73" t="str">
        <f t="shared" si="262"/>
        <v/>
      </c>
      <c r="DL105" s="73" t="str">
        <f t="shared" si="262"/>
        <v/>
      </c>
      <c r="DM105" s="73" t="str">
        <f t="shared" si="262"/>
        <v/>
      </c>
      <c r="DN105" s="73" t="str">
        <f t="shared" si="262"/>
        <v/>
      </c>
      <c r="DO105" s="73" t="str">
        <f t="shared" si="262"/>
        <v/>
      </c>
      <c r="DP105" s="73" t="str">
        <f t="shared" si="262"/>
        <v/>
      </c>
      <c r="DQ105" s="73" t="str">
        <f t="shared" si="262"/>
        <v/>
      </c>
      <c r="DR105" s="73" t="str">
        <f t="shared" si="262"/>
        <v/>
      </c>
      <c r="DS105" s="73" t="str">
        <f t="shared" si="262"/>
        <v/>
      </c>
      <c r="DT105" s="73" t="str">
        <f t="shared" si="262"/>
        <v/>
      </c>
      <c r="DU105" s="73" t="str">
        <f t="shared" si="262"/>
        <v/>
      </c>
      <c r="DV105" s="73" t="str">
        <f t="shared" si="262"/>
        <v/>
      </c>
      <c r="DW105" s="73" t="str">
        <f t="shared" si="262"/>
        <v/>
      </c>
      <c r="DX105" s="73" t="str">
        <f t="shared" si="262"/>
        <v/>
      </c>
      <c r="DY105" s="73" t="str">
        <f t="shared" si="262"/>
        <v/>
      </c>
      <c r="DZ105" s="73" t="str">
        <f t="shared" si="262"/>
        <v/>
      </c>
      <c r="EA105" s="73" t="str">
        <f t="shared" si="262"/>
        <v/>
      </c>
      <c r="EB105" s="73" t="str">
        <f t="shared" si="262"/>
        <v/>
      </c>
      <c r="EC105" s="73" t="str">
        <f t="shared" si="262"/>
        <v/>
      </c>
      <c r="ED105" s="73" t="str">
        <f t="shared" si="262"/>
        <v/>
      </c>
      <c r="EE105" s="73" t="str">
        <f t="shared" ref="EE105:FJ105" si="263">IF(EE78="","",EE51/(1+ INDEX($C$3:$C$6,MATCH($A105,$B$3:$B$6,0))/100)^EE78)</f>
        <v/>
      </c>
      <c r="EF105" s="73" t="str">
        <f t="shared" si="263"/>
        <v/>
      </c>
      <c r="EG105" s="73" t="str">
        <f t="shared" si="263"/>
        <v/>
      </c>
      <c r="EH105" s="73" t="str">
        <f t="shared" si="263"/>
        <v/>
      </c>
      <c r="EI105" s="73" t="str">
        <f t="shared" si="263"/>
        <v/>
      </c>
      <c r="EJ105" s="73" t="str">
        <f t="shared" si="263"/>
        <v/>
      </c>
      <c r="EK105" s="73" t="str">
        <f t="shared" si="263"/>
        <v/>
      </c>
      <c r="EL105" s="73" t="str">
        <f t="shared" si="263"/>
        <v/>
      </c>
      <c r="EM105" s="73" t="str">
        <f t="shared" si="263"/>
        <v/>
      </c>
      <c r="EN105" s="73" t="str">
        <f t="shared" si="263"/>
        <v/>
      </c>
      <c r="EO105" s="73" t="str">
        <f t="shared" si="263"/>
        <v/>
      </c>
      <c r="EP105" s="73" t="str">
        <f t="shared" si="263"/>
        <v/>
      </c>
      <c r="EQ105" s="73" t="str">
        <f t="shared" si="263"/>
        <v/>
      </c>
      <c r="ER105" s="73" t="str">
        <f t="shared" si="263"/>
        <v/>
      </c>
      <c r="ES105" s="73" t="str">
        <f t="shared" si="263"/>
        <v/>
      </c>
      <c r="ET105" s="73" t="str">
        <f t="shared" si="263"/>
        <v/>
      </c>
      <c r="EU105" s="73" t="str">
        <f t="shared" si="263"/>
        <v/>
      </c>
      <c r="EV105" s="73" t="str">
        <f t="shared" si="263"/>
        <v/>
      </c>
      <c r="EW105" s="73" t="str">
        <f t="shared" si="263"/>
        <v/>
      </c>
      <c r="EX105" s="73" t="str">
        <f t="shared" si="263"/>
        <v/>
      </c>
      <c r="EY105" s="73" t="str">
        <f t="shared" si="263"/>
        <v/>
      </c>
      <c r="EZ105" s="73" t="str">
        <f t="shared" si="263"/>
        <v/>
      </c>
      <c r="FA105" s="73" t="str">
        <f t="shared" si="263"/>
        <v/>
      </c>
      <c r="FB105" s="73" t="str">
        <f t="shared" si="263"/>
        <v/>
      </c>
      <c r="FC105" s="73" t="str">
        <f t="shared" si="263"/>
        <v/>
      </c>
      <c r="FD105" s="73" t="str">
        <f t="shared" si="263"/>
        <v/>
      </c>
      <c r="FE105" s="73" t="str">
        <f t="shared" si="263"/>
        <v/>
      </c>
      <c r="FF105" s="73" t="str">
        <f t="shared" si="263"/>
        <v/>
      </c>
      <c r="FG105" s="73" t="str">
        <f t="shared" si="263"/>
        <v/>
      </c>
      <c r="FH105" s="73" t="str">
        <f t="shared" si="263"/>
        <v/>
      </c>
      <c r="FI105" s="73" t="str">
        <f t="shared" si="263"/>
        <v/>
      </c>
      <c r="FJ105" s="73" t="str">
        <f t="shared" si="263"/>
        <v/>
      </c>
      <c r="FK105" s="73" t="str">
        <f t="shared" ref="FK105:GQ105" si="264">IF(FK78="","",FK51/(1+ INDEX($C$3:$C$6,MATCH($A105,$B$3:$B$6,0))/100)^FK78)</f>
        <v/>
      </c>
      <c r="FL105" s="73" t="str">
        <f t="shared" si="264"/>
        <v/>
      </c>
      <c r="FM105" s="73" t="str">
        <f t="shared" si="264"/>
        <v/>
      </c>
      <c r="FN105" s="73" t="str">
        <f t="shared" si="264"/>
        <v/>
      </c>
      <c r="FO105" s="73" t="str">
        <f t="shared" si="264"/>
        <v/>
      </c>
      <c r="FP105" s="73" t="str">
        <f t="shared" si="264"/>
        <v/>
      </c>
      <c r="FQ105" s="73" t="str">
        <f t="shared" si="264"/>
        <v/>
      </c>
      <c r="FR105" s="73" t="str">
        <f t="shared" si="264"/>
        <v/>
      </c>
      <c r="FS105" s="73" t="str">
        <f t="shared" si="264"/>
        <v/>
      </c>
      <c r="FT105" s="73" t="str">
        <f t="shared" si="264"/>
        <v/>
      </c>
      <c r="FU105" s="73" t="str">
        <f t="shared" si="264"/>
        <v/>
      </c>
      <c r="FV105" s="73" t="str">
        <f t="shared" si="264"/>
        <v/>
      </c>
      <c r="FW105" s="73" t="str">
        <f t="shared" si="264"/>
        <v/>
      </c>
      <c r="FX105" s="73" t="str">
        <f t="shared" si="264"/>
        <v/>
      </c>
      <c r="FY105" s="73" t="str">
        <f t="shared" si="264"/>
        <v/>
      </c>
      <c r="FZ105" s="73" t="str">
        <f t="shared" si="264"/>
        <v/>
      </c>
      <c r="GA105" s="73" t="str">
        <f t="shared" si="264"/>
        <v/>
      </c>
      <c r="GB105" s="73" t="str">
        <f t="shared" si="264"/>
        <v/>
      </c>
      <c r="GC105" s="73" t="str">
        <f t="shared" si="264"/>
        <v/>
      </c>
      <c r="GD105" s="73" t="str">
        <f t="shared" si="264"/>
        <v/>
      </c>
      <c r="GE105" s="73" t="str">
        <f t="shared" si="264"/>
        <v/>
      </c>
      <c r="GF105" s="73" t="str">
        <f t="shared" si="264"/>
        <v/>
      </c>
      <c r="GG105" s="73" t="str">
        <f t="shared" si="264"/>
        <v/>
      </c>
      <c r="GH105" s="73" t="str">
        <f t="shared" si="264"/>
        <v/>
      </c>
      <c r="GI105" s="73" t="str">
        <f t="shared" si="264"/>
        <v/>
      </c>
      <c r="GJ105" s="73" t="str">
        <f t="shared" si="264"/>
        <v/>
      </c>
      <c r="GK105" s="73" t="str">
        <f t="shared" si="264"/>
        <v/>
      </c>
      <c r="GL105" s="73" t="str">
        <f t="shared" si="264"/>
        <v/>
      </c>
      <c r="GM105" s="73" t="str">
        <f t="shared" si="264"/>
        <v/>
      </c>
      <c r="GN105" s="73" t="str">
        <f t="shared" si="264"/>
        <v/>
      </c>
      <c r="GO105" s="73" t="str">
        <f t="shared" si="264"/>
        <v/>
      </c>
      <c r="GP105" s="73" t="str">
        <f t="shared" si="264"/>
        <v/>
      </c>
      <c r="GQ105" s="73" t="str">
        <f t="shared" si="264"/>
        <v/>
      </c>
    </row>
    <row r="106" spans="1:199" x14ac:dyDescent="0.2">
      <c r="A106" t="s">
        <v>221</v>
      </c>
      <c r="B106" t="str">
        <f t="shared" si="222"/>
        <v>US040114HG87</v>
      </c>
      <c r="C106" t="str">
        <f t="shared" si="179"/>
        <v>USD 2036</v>
      </c>
      <c r="E106" s="73" t="str">
        <f t="shared" si="171"/>
        <v/>
      </c>
      <c r="F106" s="103">
        <f t="shared" si="172"/>
        <v>2.1326419354628912</v>
      </c>
      <c r="G106" s="73">
        <f t="shared" ref="G106:AL106" si="265">IF(G79="","",G52/(1+ INDEX($C$3:$C$6,MATCH($A106,$B$3:$B$6,0))/100)^G79)</f>
        <v>3.2631153912750257</v>
      </c>
      <c r="H106" s="73">
        <f t="shared" si="265"/>
        <v>3.0886840746138424</v>
      </c>
      <c r="I106" s="73">
        <f t="shared" si="265"/>
        <v>2.9261969311002334</v>
      </c>
      <c r="J106" s="73">
        <f t="shared" si="265"/>
        <v>2.7697757438916843</v>
      </c>
      <c r="K106" s="73">
        <f t="shared" si="265"/>
        <v>2.6240654873791249</v>
      </c>
      <c r="L106" s="73">
        <f t="shared" si="265"/>
        <v>2.4837948738444124</v>
      </c>
      <c r="M106" s="73">
        <f t="shared" si="265"/>
        <v>2.3524268078984285</v>
      </c>
      <c r="N106" s="73">
        <f t="shared" si="265"/>
        <v>2.2266767634629931</v>
      </c>
      <c r="O106" s="73">
        <f t="shared" si="265"/>
        <v>2.1095374452022018</v>
      </c>
      <c r="P106" s="73">
        <f t="shared" si="265"/>
        <v>1.9967711620678166</v>
      </c>
      <c r="Q106" s="73">
        <f t="shared" si="265"/>
        <v>1.8917265428911814</v>
      </c>
      <c r="R106" s="73">
        <f t="shared" si="265"/>
        <v>1.7906034405572233</v>
      </c>
      <c r="S106" s="73">
        <f t="shared" si="265"/>
        <v>1.6964047361273575</v>
      </c>
      <c r="T106" s="73">
        <f t="shared" si="265"/>
        <v>1.605722649767751</v>
      </c>
      <c r="U106" s="73">
        <f t="shared" si="265"/>
        <v>1.520795878573012</v>
      </c>
      <c r="V106" s="73">
        <f t="shared" si="265"/>
        <v>1.4395010435262077</v>
      </c>
      <c r="W106" s="73">
        <f t="shared" si="265"/>
        <v>1.3637728670610652</v>
      </c>
      <c r="X106" s="73">
        <f t="shared" si="265"/>
        <v>1.2908717684776931</v>
      </c>
      <c r="Y106" s="73">
        <f t="shared" si="265"/>
        <v>1.2229625679135259</v>
      </c>
      <c r="Z106" s="73">
        <f t="shared" si="265"/>
        <v>1.1575885478838066</v>
      </c>
      <c r="AA106" s="73">
        <f t="shared" si="265"/>
        <v>1.096691009655258</v>
      </c>
      <c r="AB106" s="73">
        <f t="shared" si="265"/>
        <v>1.0380668931756067</v>
      </c>
      <c r="AC106" s="73">
        <f t="shared" si="265"/>
        <v>0.98316347038692686</v>
      </c>
      <c r="AD106" s="73">
        <f t="shared" si="265"/>
        <v>0.93060802012877319</v>
      </c>
      <c r="AE106" s="73">
        <f t="shared" si="265"/>
        <v>0.88165130093421318</v>
      </c>
      <c r="AF106" s="73">
        <f t="shared" si="265"/>
        <v>0.83452222984184543</v>
      </c>
      <c r="AG106" s="73">
        <f t="shared" si="265"/>
        <v>0.79062031885000594</v>
      </c>
      <c r="AH106" s="73">
        <f t="shared" si="265"/>
        <v>0.7483573502878661</v>
      </c>
      <c r="AI106" s="73">
        <f t="shared" si="265"/>
        <v>0.70898833576963916</v>
      </c>
      <c r="AJ106" s="73">
        <f t="shared" si="265"/>
        <v>0.67108904197316788</v>
      </c>
      <c r="AK106" s="73">
        <f t="shared" si="265"/>
        <v>18.476861083684547</v>
      </c>
      <c r="AL106" s="73" t="str">
        <f t="shared" si="265"/>
        <v/>
      </c>
      <c r="AM106" s="73" t="str">
        <f t="shared" ref="AM106:BR106" si="266">IF(AM79="","",AM52/(1+ INDEX($C$3:$C$6,MATCH($A106,$B$3:$B$6,0))/100)^AM79)</f>
        <v/>
      </c>
      <c r="AN106" s="73" t="str">
        <f t="shared" si="266"/>
        <v/>
      </c>
      <c r="AO106" s="73" t="str">
        <f t="shared" si="266"/>
        <v/>
      </c>
      <c r="AP106" s="73" t="str">
        <f t="shared" si="266"/>
        <v/>
      </c>
      <c r="AQ106" s="73" t="str">
        <f t="shared" si="266"/>
        <v/>
      </c>
      <c r="AR106" s="73" t="str">
        <f t="shared" si="266"/>
        <v/>
      </c>
      <c r="AS106" s="73" t="str">
        <f t="shared" si="266"/>
        <v/>
      </c>
      <c r="AT106" s="73" t="str">
        <f t="shared" si="266"/>
        <v/>
      </c>
      <c r="AU106" s="73" t="str">
        <f t="shared" si="266"/>
        <v/>
      </c>
      <c r="AV106" s="73" t="str">
        <f t="shared" si="266"/>
        <v/>
      </c>
      <c r="AW106" s="73" t="str">
        <f t="shared" si="266"/>
        <v/>
      </c>
      <c r="AX106" s="73" t="str">
        <f t="shared" si="266"/>
        <v/>
      </c>
      <c r="AY106" s="73" t="str">
        <f t="shared" si="266"/>
        <v/>
      </c>
      <c r="AZ106" s="73" t="str">
        <f t="shared" si="266"/>
        <v/>
      </c>
      <c r="BA106" s="73" t="str">
        <f t="shared" si="266"/>
        <v/>
      </c>
      <c r="BB106" s="73" t="str">
        <f t="shared" si="266"/>
        <v/>
      </c>
      <c r="BC106" s="73" t="str">
        <f t="shared" si="266"/>
        <v/>
      </c>
      <c r="BD106" s="73" t="str">
        <f t="shared" si="266"/>
        <v/>
      </c>
      <c r="BE106" s="73" t="str">
        <f t="shared" si="266"/>
        <v/>
      </c>
      <c r="BF106" s="73" t="str">
        <f t="shared" si="266"/>
        <v/>
      </c>
      <c r="BG106" s="73" t="str">
        <f t="shared" si="266"/>
        <v/>
      </c>
      <c r="BH106" s="73" t="str">
        <f t="shared" si="266"/>
        <v/>
      </c>
      <c r="BI106" s="73" t="str">
        <f t="shared" si="266"/>
        <v/>
      </c>
      <c r="BJ106" s="73" t="str">
        <f t="shared" si="266"/>
        <v/>
      </c>
      <c r="BK106" s="73" t="str">
        <f t="shared" si="266"/>
        <v/>
      </c>
      <c r="BL106" s="73" t="str">
        <f t="shared" si="266"/>
        <v/>
      </c>
      <c r="BM106" s="73" t="str">
        <f t="shared" si="266"/>
        <v/>
      </c>
      <c r="BN106" s="73" t="str">
        <f t="shared" si="266"/>
        <v/>
      </c>
      <c r="BO106" s="73" t="str">
        <f t="shared" si="266"/>
        <v/>
      </c>
      <c r="BP106" s="73" t="str">
        <f t="shared" si="266"/>
        <v/>
      </c>
      <c r="BQ106" s="73" t="str">
        <f t="shared" si="266"/>
        <v/>
      </c>
      <c r="BR106" s="73" t="str">
        <f t="shared" si="266"/>
        <v/>
      </c>
      <c r="BS106" s="73" t="str">
        <f t="shared" ref="BS106:CX106" si="267">IF(BS79="","",BS52/(1+ INDEX($C$3:$C$6,MATCH($A106,$B$3:$B$6,0))/100)^BS79)</f>
        <v/>
      </c>
      <c r="BT106" s="73" t="str">
        <f t="shared" si="267"/>
        <v/>
      </c>
      <c r="BU106" s="73" t="str">
        <f t="shared" si="267"/>
        <v/>
      </c>
      <c r="BV106" s="73" t="str">
        <f t="shared" si="267"/>
        <v/>
      </c>
      <c r="BW106" s="73" t="str">
        <f t="shared" si="267"/>
        <v/>
      </c>
      <c r="BX106" s="73" t="str">
        <f t="shared" si="267"/>
        <v/>
      </c>
      <c r="BY106" s="73" t="str">
        <f t="shared" si="267"/>
        <v/>
      </c>
      <c r="BZ106" s="73" t="str">
        <f t="shared" si="267"/>
        <v/>
      </c>
      <c r="CA106" s="73" t="str">
        <f t="shared" si="267"/>
        <v/>
      </c>
      <c r="CB106" s="73" t="str">
        <f t="shared" si="267"/>
        <v/>
      </c>
      <c r="CC106" s="73" t="str">
        <f t="shared" si="267"/>
        <v/>
      </c>
      <c r="CD106" s="73" t="str">
        <f t="shared" si="267"/>
        <v/>
      </c>
      <c r="CE106" s="73" t="str">
        <f t="shared" si="267"/>
        <v/>
      </c>
      <c r="CF106" s="73" t="str">
        <f t="shared" si="267"/>
        <v/>
      </c>
      <c r="CG106" s="73" t="str">
        <f t="shared" si="267"/>
        <v/>
      </c>
      <c r="CH106" s="73" t="str">
        <f t="shared" si="267"/>
        <v/>
      </c>
      <c r="CI106" s="73" t="str">
        <f t="shared" si="267"/>
        <v/>
      </c>
      <c r="CJ106" s="73" t="str">
        <f t="shared" si="267"/>
        <v/>
      </c>
      <c r="CK106" s="73" t="str">
        <f t="shared" si="267"/>
        <v/>
      </c>
      <c r="CL106" s="73" t="str">
        <f t="shared" si="267"/>
        <v/>
      </c>
      <c r="CM106" s="73" t="str">
        <f t="shared" si="267"/>
        <v/>
      </c>
      <c r="CN106" s="73" t="str">
        <f t="shared" si="267"/>
        <v/>
      </c>
      <c r="CO106" s="73" t="str">
        <f t="shared" si="267"/>
        <v/>
      </c>
      <c r="CP106" s="73" t="str">
        <f t="shared" si="267"/>
        <v/>
      </c>
      <c r="CQ106" s="73" t="str">
        <f t="shared" si="267"/>
        <v/>
      </c>
      <c r="CR106" s="73" t="str">
        <f t="shared" si="267"/>
        <v/>
      </c>
      <c r="CS106" s="73" t="str">
        <f t="shared" si="267"/>
        <v/>
      </c>
      <c r="CT106" s="73" t="str">
        <f t="shared" si="267"/>
        <v/>
      </c>
      <c r="CU106" s="73" t="str">
        <f t="shared" si="267"/>
        <v/>
      </c>
      <c r="CV106" s="73" t="str">
        <f t="shared" si="267"/>
        <v/>
      </c>
      <c r="CW106" s="73" t="str">
        <f t="shared" si="267"/>
        <v/>
      </c>
      <c r="CX106" s="73" t="str">
        <f t="shared" si="267"/>
        <v/>
      </c>
      <c r="CY106" s="73" t="str">
        <f t="shared" ref="CY106:ED106" si="268">IF(CY79="","",CY52/(1+ INDEX($C$3:$C$6,MATCH($A106,$B$3:$B$6,0))/100)^CY79)</f>
        <v/>
      </c>
      <c r="CZ106" s="73" t="str">
        <f t="shared" si="268"/>
        <v/>
      </c>
      <c r="DA106" s="73" t="str">
        <f t="shared" si="268"/>
        <v/>
      </c>
      <c r="DB106" s="73" t="str">
        <f t="shared" si="268"/>
        <v/>
      </c>
      <c r="DC106" s="73" t="str">
        <f t="shared" si="268"/>
        <v/>
      </c>
      <c r="DD106" s="73" t="str">
        <f t="shared" si="268"/>
        <v/>
      </c>
      <c r="DE106" s="73" t="str">
        <f t="shared" si="268"/>
        <v/>
      </c>
      <c r="DF106" s="73" t="str">
        <f t="shared" si="268"/>
        <v/>
      </c>
      <c r="DG106" s="73" t="str">
        <f t="shared" si="268"/>
        <v/>
      </c>
      <c r="DH106" s="73" t="str">
        <f t="shared" si="268"/>
        <v/>
      </c>
      <c r="DI106" s="73" t="str">
        <f t="shared" si="268"/>
        <v/>
      </c>
      <c r="DJ106" s="73" t="str">
        <f t="shared" si="268"/>
        <v/>
      </c>
      <c r="DK106" s="73" t="str">
        <f t="shared" si="268"/>
        <v/>
      </c>
      <c r="DL106" s="73" t="str">
        <f t="shared" si="268"/>
        <v/>
      </c>
      <c r="DM106" s="73" t="str">
        <f t="shared" si="268"/>
        <v/>
      </c>
      <c r="DN106" s="73" t="str">
        <f t="shared" si="268"/>
        <v/>
      </c>
      <c r="DO106" s="73" t="str">
        <f t="shared" si="268"/>
        <v/>
      </c>
      <c r="DP106" s="73" t="str">
        <f t="shared" si="268"/>
        <v/>
      </c>
      <c r="DQ106" s="73" t="str">
        <f t="shared" si="268"/>
        <v/>
      </c>
      <c r="DR106" s="73" t="str">
        <f t="shared" si="268"/>
        <v/>
      </c>
      <c r="DS106" s="73" t="str">
        <f t="shared" si="268"/>
        <v/>
      </c>
      <c r="DT106" s="73" t="str">
        <f t="shared" si="268"/>
        <v/>
      </c>
      <c r="DU106" s="73" t="str">
        <f t="shared" si="268"/>
        <v/>
      </c>
      <c r="DV106" s="73" t="str">
        <f t="shared" si="268"/>
        <v/>
      </c>
      <c r="DW106" s="73" t="str">
        <f t="shared" si="268"/>
        <v/>
      </c>
      <c r="DX106" s="73" t="str">
        <f t="shared" si="268"/>
        <v/>
      </c>
      <c r="DY106" s="73" t="str">
        <f t="shared" si="268"/>
        <v/>
      </c>
      <c r="DZ106" s="73" t="str">
        <f t="shared" si="268"/>
        <v/>
      </c>
      <c r="EA106" s="73" t="str">
        <f t="shared" si="268"/>
        <v/>
      </c>
      <c r="EB106" s="73" t="str">
        <f t="shared" si="268"/>
        <v/>
      </c>
      <c r="EC106" s="73" t="str">
        <f t="shared" si="268"/>
        <v/>
      </c>
      <c r="ED106" s="73" t="str">
        <f t="shared" si="268"/>
        <v/>
      </c>
      <c r="EE106" s="73" t="str">
        <f t="shared" ref="EE106:FJ106" si="269">IF(EE79="","",EE52/(1+ INDEX($C$3:$C$6,MATCH($A106,$B$3:$B$6,0))/100)^EE79)</f>
        <v/>
      </c>
      <c r="EF106" s="73" t="str">
        <f t="shared" si="269"/>
        <v/>
      </c>
      <c r="EG106" s="73" t="str">
        <f t="shared" si="269"/>
        <v/>
      </c>
      <c r="EH106" s="73" t="str">
        <f t="shared" si="269"/>
        <v/>
      </c>
      <c r="EI106" s="73" t="str">
        <f t="shared" si="269"/>
        <v/>
      </c>
      <c r="EJ106" s="73" t="str">
        <f t="shared" si="269"/>
        <v/>
      </c>
      <c r="EK106" s="73" t="str">
        <f t="shared" si="269"/>
        <v/>
      </c>
      <c r="EL106" s="73" t="str">
        <f t="shared" si="269"/>
        <v/>
      </c>
      <c r="EM106" s="73" t="str">
        <f t="shared" si="269"/>
        <v/>
      </c>
      <c r="EN106" s="73" t="str">
        <f t="shared" si="269"/>
        <v/>
      </c>
      <c r="EO106" s="73" t="str">
        <f t="shared" si="269"/>
        <v/>
      </c>
      <c r="EP106" s="73" t="str">
        <f t="shared" si="269"/>
        <v/>
      </c>
      <c r="EQ106" s="73" t="str">
        <f t="shared" si="269"/>
        <v/>
      </c>
      <c r="ER106" s="73" t="str">
        <f t="shared" si="269"/>
        <v/>
      </c>
      <c r="ES106" s="73" t="str">
        <f t="shared" si="269"/>
        <v/>
      </c>
      <c r="ET106" s="73" t="str">
        <f t="shared" si="269"/>
        <v/>
      </c>
      <c r="EU106" s="73" t="str">
        <f t="shared" si="269"/>
        <v/>
      </c>
      <c r="EV106" s="73" t="str">
        <f t="shared" si="269"/>
        <v/>
      </c>
      <c r="EW106" s="73" t="str">
        <f t="shared" si="269"/>
        <v/>
      </c>
      <c r="EX106" s="73" t="str">
        <f t="shared" si="269"/>
        <v/>
      </c>
      <c r="EY106" s="73" t="str">
        <f t="shared" si="269"/>
        <v/>
      </c>
      <c r="EZ106" s="73" t="str">
        <f t="shared" si="269"/>
        <v/>
      </c>
      <c r="FA106" s="73" t="str">
        <f t="shared" si="269"/>
        <v/>
      </c>
      <c r="FB106" s="73" t="str">
        <f t="shared" si="269"/>
        <v/>
      </c>
      <c r="FC106" s="73" t="str">
        <f t="shared" si="269"/>
        <v/>
      </c>
      <c r="FD106" s="73" t="str">
        <f t="shared" si="269"/>
        <v/>
      </c>
      <c r="FE106" s="73" t="str">
        <f t="shared" si="269"/>
        <v/>
      </c>
      <c r="FF106" s="73" t="str">
        <f t="shared" si="269"/>
        <v/>
      </c>
      <c r="FG106" s="73" t="str">
        <f t="shared" si="269"/>
        <v/>
      </c>
      <c r="FH106" s="73" t="str">
        <f t="shared" si="269"/>
        <v/>
      </c>
      <c r="FI106" s="73" t="str">
        <f t="shared" si="269"/>
        <v/>
      </c>
      <c r="FJ106" s="73" t="str">
        <f t="shared" si="269"/>
        <v/>
      </c>
      <c r="FK106" s="73" t="str">
        <f t="shared" ref="FK106:GQ106" si="270">IF(FK79="","",FK52/(1+ INDEX($C$3:$C$6,MATCH($A106,$B$3:$B$6,0))/100)^FK79)</f>
        <v/>
      </c>
      <c r="FL106" s="73" t="str">
        <f t="shared" si="270"/>
        <v/>
      </c>
      <c r="FM106" s="73" t="str">
        <f t="shared" si="270"/>
        <v/>
      </c>
      <c r="FN106" s="73" t="str">
        <f t="shared" si="270"/>
        <v/>
      </c>
      <c r="FO106" s="73" t="str">
        <f t="shared" si="270"/>
        <v/>
      </c>
      <c r="FP106" s="73" t="str">
        <f t="shared" si="270"/>
        <v/>
      </c>
      <c r="FQ106" s="73" t="str">
        <f t="shared" si="270"/>
        <v/>
      </c>
      <c r="FR106" s="73" t="str">
        <f t="shared" si="270"/>
        <v/>
      </c>
      <c r="FS106" s="73" t="str">
        <f t="shared" si="270"/>
        <v/>
      </c>
      <c r="FT106" s="73" t="str">
        <f t="shared" si="270"/>
        <v/>
      </c>
      <c r="FU106" s="73" t="str">
        <f t="shared" si="270"/>
        <v/>
      </c>
      <c r="FV106" s="73" t="str">
        <f t="shared" si="270"/>
        <v/>
      </c>
      <c r="FW106" s="73" t="str">
        <f t="shared" si="270"/>
        <v/>
      </c>
      <c r="FX106" s="73" t="str">
        <f t="shared" si="270"/>
        <v/>
      </c>
      <c r="FY106" s="73" t="str">
        <f t="shared" si="270"/>
        <v/>
      </c>
      <c r="FZ106" s="73" t="str">
        <f t="shared" si="270"/>
        <v/>
      </c>
      <c r="GA106" s="73" t="str">
        <f t="shared" si="270"/>
        <v/>
      </c>
      <c r="GB106" s="73" t="str">
        <f t="shared" si="270"/>
        <v/>
      </c>
      <c r="GC106" s="73" t="str">
        <f t="shared" si="270"/>
        <v/>
      </c>
      <c r="GD106" s="73" t="str">
        <f t="shared" si="270"/>
        <v/>
      </c>
      <c r="GE106" s="73" t="str">
        <f t="shared" si="270"/>
        <v/>
      </c>
      <c r="GF106" s="73" t="str">
        <f t="shared" si="270"/>
        <v/>
      </c>
      <c r="GG106" s="73" t="str">
        <f t="shared" si="270"/>
        <v/>
      </c>
      <c r="GH106" s="73" t="str">
        <f t="shared" si="270"/>
        <v/>
      </c>
      <c r="GI106" s="73" t="str">
        <f t="shared" si="270"/>
        <v/>
      </c>
      <c r="GJ106" s="73" t="str">
        <f t="shared" si="270"/>
        <v/>
      </c>
      <c r="GK106" s="73" t="str">
        <f t="shared" si="270"/>
        <v/>
      </c>
      <c r="GL106" s="73" t="str">
        <f t="shared" si="270"/>
        <v/>
      </c>
      <c r="GM106" s="73" t="str">
        <f t="shared" si="270"/>
        <v/>
      </c>
      <c r="GN106" s="73" t="str">
        <f t="shared" si="270"/>
        <v/>
      </c>
      <c r="GO106" s="73" t="str">
        <f t="shared" si="270"/>
        <v/>
      </c>
      <c r="GP106" s="73" t="str">
        <f t="shared" si="270"/>
        <v/>
      </c>
      <c r="GQ106" s="73" t="str">
        <f t="shared" si="270"/>
        <v/>
      </c>
    </row>
    <row r="107" spans="1:199" x14ac:dyDescent="0.2">
      <c r="A107" t="s">
        <v>221</v>
      </c>
      <c r="B107" t="str">
        <f t="shared" si="222"/>
        <v>US040114GY03</v>
      </c>
      <c r="C107" t="str">
        <f t="shared" si="179"/>
        <v>USD 2046</v>
      </c>
      <c r="E107" s="73" t="str">
        <f t="shared" si="171"/>
        <v/>
      </c>
      <c r="F107" s="103">
        <f t="shared" si="172"/>
        <v>0.76445334516507146</v>
      </c>
      <c r="G107" s="73">
        <f t="shared" ref="G107:AL107" si="271">IF(G80="","",G53/(1+ INDEX($C$3:$C$6,MATCH($A107,$B$3:$B$6,0))/100)^G80)</f>
        <v>3.5711864379015528</v>
      </c>
      <c r="H107" s="73">
        <f t="shared" si="271"/>
        <v>3.3812964531055636</v>
      </c>
      <c r="I107" s="73">
        <f t="shared" si="271"/>
        <v>3.2024594725996129</v>
      </c>
      <c r="J107" s="73">
        <f t="shared" si="271"/>
        <v>3.0321757332496606</v>
      </c>
      <c r="K107" s="73">
        <f t="shared" si="271"/>
        <v>2.8718037694132033</v>
      </c>
      <c r="L107" s="73">
        <f t="shared" si="271"/>
        <v>2.7191019198756656</v>
      </c>
      <c r="M107" s="73">
        <f t="shared" si="271"/>
        <v>2.5745196553531406</v>
      </c>
      <c r="N107" s="73">
        <f t="shared" si="271"/>
        <v>2.4376252347696976</v>
      </c>
      <c r="O107" s="73">
        <f t="shared" si="271"/>
        <v>2.3086990839168395</v>
      </c>
      <c r="P107" s="73">
        <f t="shared" si="271"/>
        <v>2.1859390876056168</v>
      </c>
      <c r="Q107" s="73">
        <f t="shared" si="271"/>
        <v>2.0703246327895437</v>
      </c>
      <c r="R107" s="73">
        <f t="shared" si="271"/>
        <v>1.9602396736648176</v>
      </c>
      <c r="S107" s="73">
        <f t="shared" si="271"/>
        <v>1.8565624749429457</v>
      </c>
      <c r="T107" s="73">
        <f t="shared" si="271"/>
        <v>1.7578438484388428</v>
      </c>
      <c r="U107" s="73">
        <f t="shared" si="271"/>
        <v>1.6643743677891809</v>
      </c>
      <c r="V107" s="73">
        <f t="shared" si="271"/>
        <v>1.5758749212074916</v>
      </c>
      <c r="W107" s="73">
        <f t="shared" si="271"/>
        <v>1.4925267982397588</v>
      </c>
      <c r="X107" s="73">
        <f t="shared" si="271"/>
        <v>1.4131649682279126</v>
      </c>
      <c r="Y107" s="73">
        <f t="shared" si="271"/>
        <v>1.3384225848315823</v>
      </c>
      <c r="Z107" s="73">
        <f t="shared" si="271"/>
        <v>1.2672549074493789</v>
      </c>
      <c r="AA107" s="73">
        <f t="shared" si="271"/>
        <v>1.2002297162770865</v>
      </c>
      <c r="AB107" s="73">
        <f t="shared" si="271"/>
        <v>1.1364101407554363</v>
      </c>
      <c r="AC107" s="73">
        <f t="shared" si="271"/>
        <v>1.0759840308050248</v>
      </c>
      <c r="AD107" s="73">
        <f t="shared" si="271"/>
        <v>1.0187709463572825</v>
      </c>
      <c r="AE107" s="73">
        <f t="shared" si="271"/>
        <v>0.96488808740050869</v>
      </c>
      <c r="AF107" s="73">
        <f t="shared" si="271"/>
        <v>0.9135822854121991</v>
      </c>
      <c r="AG107" s="73">
        <f t="shared" si="271"/>
        <v>0.86526286129995245</v>
      </c>
      <c r="AH107" s="73">
        <f t="shared" si="271"/>
        <v>0.81925441160575818</v>
      </c>
      <c r="AI107" s="73">
        <f t="shared" si="271"/>
        <v>0.77592399462821471</v>
      </c>
      <c r="AJ107" s="73">
        <f t="shared" si="271"/>
        <v>0.73466594268809438</v>
      </c>
      <c r="AK107" s="73">
        <f t="shared" si="271"/>
        <v>0.6956016969218759</v>
      </c>
      <c r="AL107" s="73">
        <f t="shared" si="271"/>
        <v>0.65861460651105574</v>
      </c>
      <c r="AM107" s="73">
        <f t="shared" ref="AM107:BR107" si="272">IF(AM80="","",AM53/(1+ INDEX($C$3:$C$6,MATCH($A107,$B$3:$B$6,0))/100)^AM80)</f>
        <v>0.62378043885404011</v>
      </c>
      <c r="AN107" s="73">
        <f t="shared" si="272"/>
        <v>0.59061228588591008</v>
      </c>
      <c r="AO107" s="73">
        <f t="shared" si="272"/>
        <v>0.55937476521228124</v>
      </c>
      <c r="AP107" s="73">
        <f t="shared" si="272"/>
        <v>0.52963124229393255</v>
      </c>
      <c r="AQ107" s="73">
        <f t="shared" si="272"/>
        <v>0.50161901282305354</v>
      </c>
      <c r="AR107" s="73">
        <f t="shared" si="272"/>
        <v>0.4749465250169228</v>
      </c>
      <c r="AS107" s="73">
        <f t="shared" si="272"/>
        <v>0.44969228808961009</v>
      </c>
      <c r="AT107" s="73">
        <f t="shared" si="272"/>
        <v>0.42578088966976568</v>
      </c>
      <c r="AU107" s="73">
        <f t="shared" si="272"/>
        <v>0.40326131183276676</v>
      </c>
      <c r="AV107" s="73">
        <f t="shared" si="272"/>
        <v>0.38181877846065576</v>
      </c>
      <c r="AW107" s="73">
        <f t="shared" si="272"/>
        <v>0.36162435943015064</v>
      </c>
      <c r="AX107" s="73">
        <f t="shared" si="272"/>
        <v>0.34239577943072608</v>
      </c>
      <c r="AY107" s="73">
        <f t="shared" si="272"/>
        <v>0.32428644528017159</v>
      </c>
      <c r="AZ107" s="73">
        <f t="shared" si="272"/>
        <v>0.30704322674913886</v>
      </c>
      <c r="BA107" s="73">
        <f t="shared" si="272"/>
        <v>0.29071687844082555</v>
      </c>
      <c r="BB107" s="73">
        <f t="shared" si="272"/>
        <v>0.27525864779759313</v>
      </c>
      <c r="BC107" s="73">
        <f t="shared" si="272"/>
        <v>0.26070020073062256</v>
      </c>
      <c r="BD107" s="73">
        <f t="shared" si="272"/>
        <v>0.24683804090954684</v>
      </c>
      <c r="BE107" s="73">
        <f t="shared" si="272"/>
        <v>6.3657896209314062</v>
      </c>
      <c r="BF107" s="73" t="str">
        <f t="shared" si="272"/>
        <v/>
      </c>
      <c r="BG107" s="73" t="str">
        <f t="shared" si="272"/>
        <v/>
      </c>
      <c r="BH107" s="73" t="str">
        <f t="shared" si="272"/>
        <v/>
      </c>
      <c r="BI107" s="73" t="str">
        <f t="shared" si="272"/>
        <v/>
      </c>
      <c r="BJ107" s="73" t="str">
        <f t="shared" si="272"/>
        <v/>
      </c>
      <c r="BK107" s="73" t="str">
        <f t="shared" si="272"/>
        <v/>
      </c>
      <c r="BL107" s="73" t="str">
        <f t="shared" si="272"/>
        <v/>
      </c>
      <c r="BM107" s="73" t="str">
        <f t="shared" si="272"/>
        <v/>
      </c>
      <c r="BN107" s="73" t="str">
        <f t="shared" si="272"/>
        <v/>
      </c>
      <c r="BO107" s="73" t="str">
        <f t="shared" si="272"/>
        <v/>
      </c>
      <c r="BP107" s="73" t="str">
        <f t="shared" si="272"/>
        <v/>
      </c>
      <c r="BQ107" s="73" t="str">
        <f t="shared" si="272"/>
        <v/>
      </c>
      <c r="BR107" s="73" t="str">
        <f t="shared" si="272"/>
        <v/>
      </c>
      <c r="BS107" s="73" t="str">
        <f t="shared" ref="BS107:CX107" si="273">IF(BS80="","",BS53/(1+ INDEX($C$3:$C$6,MATCH($A107,$B$3:$B$6,0))/100)^BS80)</f>
        <v/>
      </c>
      <c r="BT107" s="73" t="str">
        <f t="shared" si="273"/>
        <v/>
      </c>
      <c r="BU107" s="73" t="str">
        <f t="shared" si="273"/>
        <v/>
      </c>
      <c r="BV107" s="73" t="str">
        <f t="shared" si="273"/>
        <v/>
      </c>
      <c r="BW107" s="73" t="str">
        <f t="shared" si="273"/>
        <v/>
      </c>
      <c r="BX107" s="73" t="str">
        <f t="shared" si="273"/>
        <v/>
      </c>
      <c r="BY107" s="73" t="str">
        <f t="shared" si="273"/>
        <v/>
      </c>
      <c r="BZ107" s="73" t="str">
        <f t="shared" si="273"/>
        <v/>
      </c>
      <c r="CA107" s="73" t="str">
        <f t="shared" si="273"/>
        <v/>
      </c>
      <c r="CB107" s="73" t="str">
        <f t="shared" si="273"/>
        <v/>
      </c>
      <c r="CC107" s="73" t="str">
        <f t="shared" si="273"/>
        <v/>
      </c>
      <c r="CD107" s="73" t="str">
        <f t="shared" si="273"/>
        <v/>
      </c>
      <c r="CE107" s="73" t="str">
        <f t="shared" si="273"/>
        <v/>
      </c>
      <c r="CF107" s="73" t="str">
        <f t="shared" si="273"/>
        <v/>
      </c>
      <c r="CG107" s="73" t="str">
        <f t="shared" si="273"/>
        <v/>
      </c>
      <c r="CH107" s="73" t="str">
        <f t="shared" si="273"/>
        <v/>
      </c>
      <c r="CI107" s="73" t="str">
        <f t="shared" si="273"/>
        <v/>
      </c>
      <c r="CJ107" s="73" t="str">
        <f t="shared" si="273"/>
        <v/>
      </c>
      <c r="CK107" s="73" t="str">
        <f t="shared" si="273"/>
        <v/>
      </c>
      <c r="CL107" s="73" t="str">
        <f t="shared" si="273"/>
        <v/>
      </c>
      <c r="CM107" s="73" t="str">
        <f t="shared" si="273"/>
        <v/>
      </c>
      <c r="CN107" s="73" t="str">
        <f t="shared" si="273"/>
        <v/>
      </c>
      <c r="CO107" s="73" t="str">
        <f t="shared" si="273"/>
        <v/>
      </c>
      <c r="CP107" s="73" t="str">
        <f t="shared" si="273"/>
        <v/>
      </c>
      <c r="CQ107" s="73" t="str">
        <f t="shared" si="273"/>
        <v/>
      </c>
      <c r="CR107" s="73" t="str">
        <f t="shared" si="273"/>
        <v/>
      </c>
      <c r="CS107" s="73" t="str">
        <f t="shared" si="273"/>
        <v/>
      </c>
      <c r="CT107" s="73" t="str">
        <f t="shared" si="273"/>
        <v/>
      </c>
      <c r="CU107" s="73" t="str">
        <f t="shared" si="273"/>
        <v/>
      </c>
      <c r="CV107" s="73" t="str">
        <f t="shared" si="273"/>
        <v/>
      </c>
      <c r="CW107" s="73" t="str">
        <f t="shared" si="273"/>
        <v/>
      </c>
      <c r="CX107" s="73" t="str">
        <f t="shared" si="273"/>
        <v/>
      </c>
      <c r="CY107" s="73" t="str">
        <f t="shared" ref="CY107:ED107" si="274">IF(CY80="","",CY53/(1+ INDEX($C$3:$C$6,MATCH($A107,$B$3:$B$6,0))/100)^CY80)</f>
        <v/>
      </c>
      <c r="CZ107" s="73" t="str">
        <f t="shared" si="274"/>
        <v/>
      </c>
      <c r="DA107" s="73" t="str">
        <f t="shared" si="274"/>
        <v/>
      </c>
      <c r="DB107" s="73" t="str">
        <f t="shared" si="274"/>
        <v/>
      </c>
      <c r="DC107" s="73" t="str">
        <f t="shared" si="274"/>
        <v/>
      </c>
      <c r="DD107" s="73" t="str">
        <f t="shared" si="274"/>
        <v/>
      </c>
      <c r="DE107" s="73" t="str">
        <f t="shared" si="274"/>
        <v/>
      </c>
      <c r="DF107" s="73" t="str">
        <f t="shared" si="274"/>
        <v/>
      </c>
      <c r="DG107" s="73" t="str">
        <f t="shared" si="274"/>
        <v/>
      </c>
      <c r="DH107" s="73" t="str">
        <f t="shared" si="274"/>
        <v/>
      </c>
      <c r="DI107" s="73" t="str">
        <f t="shared" si="274"/>
        <v/>
      </c>
      <c r="DJ107" s="73" t="str">
        <f t="shared" si="274"/>
        <v/>
      </c>
      <c r="DK107" s="73" t="str">
        <f t="shared" si="274"/>
        <v/>
      </c>
      <c r="DL107" s="73" t="str">
        <f t="shared" si="274"/>
        <v/>
      </c>
      <c r="DM107" s="73" t="str">
        <f t="shared" si="274"/>
        <v/>
      </c>
      <c r="DN107" s="73" t="str">
        <f t="shared" si="274"/>
        <v/>
      </c>
      <c r="DO107" s="73" t="str">
        <f t="shared" si="274"/>
        <v/>
      </c>
      <c r="DP107" s="73" t="str">
        <f t="shared" si="274"/>
        <v/>
      </c>
      <c r="DQ107" s="73" t="str">
        <f t="shared" si="274"/>
        <v/>
      </c>
      <c r="DR107" s="73" t="str">
        <f t="shared" si="274"/>
        <v/>
      </c>
      <c r="DS107" s="73" t="str">
        <f t="shared" si="274"/>
        <v/>
      </c>
      <c r="DT107" s="73" t="str">
        <f t="shared" si="274"/>
        <v/>
      </c>
      <c r="DU107" s="73" t="str">
        <f t="shared" si="274"/>
        <v/>
      </c>
      <c r="DV107" s="73" t="str">
        <f t="shared" si="274"/>
        <v/>
      </c>
      <c r="DW107" s="73" t="str">
        <f t="shared" si="274"/>
        <v/>
      </c>
      <c r="DX107" s="73" t="str">
        <f t="shared" si="274"/>
        <v/>
      </c>
      <c r="DY107" s="73" t="str">
        <f t="shared" si="274"/>
        <v/>
      </c>
      <c r="DZ107" s="73" t="str">
        <f t="shared" si="274"/>
        <v/>
      </c>
      <c r="EA107" s="73" t="str">
        <f t="shared" si="274"/>
        <v/>
      </c>
      <c r="EB107" s="73" t="str">
        <f t="shared" si="274"/>
        <v/>
      </c>
      <c r="EC107" s="73" t="str">
        <f t="shared" si="274"/>
        <v/>
      </c>
      <c r="ED107" s="73" t="str">
        <f t="shared" si="274"/>
        <v/>
      </c>
      <c r="EE107" s="73" t="str">
        <f t="shared" ref="EE107:FJ107" si="275">IF(EE80="","",EE53/(1+ INDEX($C$3:$C$6,MATCH($A107,$B$3:$B$6,0))/100)^EE80)</f>
        <v/>
      </c>
      <c r="EF107" s="73" t="str">
        <f t="shared" si="275"/>
        <v/>
      </c>
      <c r="EG107" s="73" t="str">
        <f t="shared" si="275"/>
        <v/>
      </c>
      <c r="EH107" s="73" t="str">
        <f t="shared" si="275"/>
        <v/>
      </c>
      <c r="EI107" s="73" t="str">
        <f t="shared" si="275"/>
        <v/>
      </c>
      <c r="EJ107" s="73" t="str">
        <f t="shared" si="275"/>
        <v/>
      </c>
      <c r="EK107" s="73" t="str">
        <f t="shared" si="275"/>
        <v/>
      </c>
      <c r="EL107" s="73" t="str">
        <f t="shared" si="275"/>
        <v/>
      </c>
      <c r="EM107" s="73" t="str">
        <f t="shared" si="275"/>
        <v/>
      </c>
      <c r="EN107" s="73" t="str">
        <f t="shared" si="275"/>
        <v/>
      </c>
      <c r="EO107" s="73" t="str">
        <f t="shared" si="275"/>
        <v/>
      </c>
      <c r="EP107" s="73" t="str">
        <f t="shared" si="275"/>
        <v/>
      </c>
      <c r="EQ107" s="73" t="str">
        <f t="shared" si="275"/>
        <v/>
      </c>
      <c r="ER107" s="73" t="str">
        <f t="shared" si="275"/>
        <v/>
      </c>
      <c r="ES107" s="73" t="str">
        <f t="shared" si="275"/>
        <v/>
      </c>
      <c r="ET107" s="73" t="str">
        <f t="shared" si="275"/>
        <v/>
      </c>
      <c r="EU107" s="73" t="str">
        <f t="shared" si="275"/>
        <v/>
      </c>
      <c r="EV107" s="73" t="str">
        <f t="shared" si="275"/>
        <v/>
      </c>
      <c r="EW107" s="73" t="str">
        <f t="shared" si="275"/>
        <v/>
      </c>
      <c r="EX107" s="73" t="str">
        <f t="shared" si="275"/>
        <v/>
      </c>
      <c r="EY107" s="73" t="str">
        <f t="shared" si="275"/>
        <v/>
      </c>
      <c r="EZ107" s="73" t="str">
        <f t="shared" si="275"/>
        <v/>
      </c>
      <c r="FA107" s="73" t="str">
        <f t="shared" si="275"/>
        <v/>
      </c>
      <c r="FB107" s="73" t="str">
        <f t="shared" si="275"/>
        <v/>
      </c>
      <c r="FC107" s="73" t="str">
        <f t="shared" si="275"/>
        <v/>
      </c>
      <c r="FD107" s="73" t="str">
        <f t="shared" si="275"/>
        <v/>
      </c>
      <c r="FE107" s="73" t="str">
        <f t="shared" si="275"/>
        <v/>
      </c>
      <c r="FF107" s="73" t="str">
        <f t="shared" si="275"/>
        <v/>
      </c>
      <c r="FG107" s="73" t="str">
        <f t="shared" si="275"/>
        <v/>
      </c>
      <c r="FH107" s="73" t="str">
        <f t="shared" si="275"/>
        <v/>
      </c>
      <c r="FI107" s="73" t="str">
        <f t="shared" si="275"/>
        <v/>
      </c>
      <c r="FJ107" s="73" t="str">
        <f t="shared" si="275"/>
        <v/>
      </c>
      <c r="FK107" s="73" t="str">
        <f t="shared" ref="FK107:GQ107" si="276">IF(FK80="","",FK53/(1+ INDEX($C$3:$C$6,MATCH($A107,$B$3:$B$6,0))/100)^FK80)</f>
        <v/>
      </c>
      <c r="FL107" s="73" t="str">
        <f t="shared" si="276"/>
        <v/>
      </c>
      <c r="FM107" s="73" t="str">
        <f t="shared" si="276"/>
        <v/>
      </c>
      <c r="FN107" s="73" t="str">
        <f t="shared" si="276"/>
        <v/>
      </c>
      <c r="FO107" s="73" t="str">
        <f t="shared" si="276"/>
        <v/>
      </c>
      <c r="FP107" s="73" t="str">
        <f t="shared" si="276"/>
        <v/>
      </c>
      <c r="FQ107" s="73" t="str">
        <f t="shared" si="276"/>
        <v/>
      </c>
      <c r="FR107" s="73" t="str">
        <f t="shared" si="276"/>
        <v/>
      </c>
      <c r="FS107" s="73" t="str">
        <f t="shared" si="276"/>
        <v/>
      </c>
      <c r="FT107" s="73" t="str">
        <f t="shared" si="276"/>
        <v/>
      </c>
      <c r="FU107" s="73" t="str">
        <f t="shared" si="276"/>
        <v/>
      </c>
      <c r="FV107" s="73" t="str">
        <f t="shared" si="276"/>
        <v/>
      </c>
      <c r="FW107" s="73" t="str">
        <f t="shared" si="276"/>
        <v/>
      </c>
      <c r="FX107" s="73" t="str">
        <f t="shared" si="276"/>
        <v/>
      </c>
      <c r="FY107" s="73" t="str">
        <f t="shared" si="276"/>
        <v/>
      </c>
      <c r="FZ107" s="73" t="str">
        <f t="shared" si="276"/>
        <v/>
      </c>
      <c r="GA107" s="73" t="str">
        <f t="shared" si="276"/>
        <v/>
      </c>
      <c r="GB107" s="73" t="str">
        <f t="shared" si="276"/>
        <v/>
      </c>
      <c r="GC107" s="73" t="str">
        <f t="shared" si="276"/>
        <v/>
      </c>
      <c r="GD107" s="73" t="str">
        <f t="shared" si="276"/>
        <v/>
      </c>
      <c r="GE107" s="73" t="str">
        <f t="shared" si="276"/>
        <v/>
      </c>
      <c r="GF107" s="73" t="str">
        <f t="shared" si="276"/>
        <v/>
      </c>
      <c r="GG107" s="73" t="str">
        <f t="shared" si="276"/>
        <v/>
      </c>
      <c r="GH107" s="73" t="str">
        <f t="shared" si="276"/>
        <v/>
      </c>
      <c r="GI107" s="73" t="str">
        <f t="shared" si="276"/>
        <v/>
      </c>
      <c r="GJ107" s="73" t="str">
        <f t="shared" si="276"/>
        <v/>
      </c>
      <c r="GK107" s="73" t="str">
        <f t="shared" si="276"/>
        <v/>
      </c>
      <c r="GL107" s="73" t="str">
        <f t="shared" si="276"/>
        <v/>
      </c>
      <c r="GM107" s="73" t="str">
        <f t="shared" si="276"/>
        <v/>
      </c>
      <c r="GN107" s="73" t="str">
        <f t="shared" si="276"/>
        <v/>
      </c>
      <c r="GO107" s="73" t="str">
        <f t="shared" si="276"/>
        <v/>
      </c>
      <c r="GP107" s="73" t="str">
        <f t="shared" si="276"/>
        <v/>
      </c>
      <c r="GQ107" s="73" t="str">
        <f t="shared" si="276"/>
        <v/>
      </c>
    </row>
    <row r="108" spans="1:199" x14ac:dyDescent="0.2">
      <c r="A108" t="s">
        <v>221</v>
      </c>
      <c r="B108" t="str">
        <f t="shared" si="222"/>
        <v>US040114HR43</v>
      </c>
      <c r="C108" t="str">
        <f t="shared" si="179"/>
        <v>USD 2048</v>
      </c>
      <c r="E108" s="73" t="str">
        <f t="shared" si="171"/>
        <v/>
      </c>
      <c r="F108" s="103">
        <f t="shared" si="172"/>
        <v>2.1456604768892142</v>
      </c>
      <c r="G108" s="73">
        <f t="shared" ref="G108:AL108" si="277">IF(G81="","",G54/(1+ INDEX($C$3:$C$6,MATCH($A108,$B$3:$B$6,0))/100)^G81)</f>
        <v>3.1439231723325505</v>
      </c>
      <c r="H108" s="73">
        <f t="shared" si="277"/>
        <v>2.9758633299200232</v>
      </c>
      <c r="I108" s="73">
        <f t="shared" si="277"/>
        <v>2.8193113743672193</v>
      </c>
      <c r="J108" s="73">
        <f t="shared" si="277"/>
        <v>2.66860380318428</v>
      </c>
      <c r="K108" s="73">
        <f t="shared" si="277"/>
        <v>2.5282159232088319</v>
      </c>
      <c r="L108" s="73">
        <f t="shared" si="277"/>
        <v>2.3930689917002987</v>
      </c>
      <c r="M108" s="73">
        <f t="shared" si="277"/>
        <v>2.2664994233251177</v>
      </c>
      <c r="N108" s="73">
        <f t="shared" si="277"/>
        <v>2.1453426662948565</v>
      </c>
      <c r="O108" s="73">
        <f t="shared" si="277"/>
        <v>2.0324821103807</v>
      </c>
      <c r="P108" s="73">
        <f t="shared" si="277"/>
        <v>1.9238348551987499</v>
      </c>
      <c r="Q108" s="73">
        <f t="shared" si="277"/>
        <v>1.8226272138014201</v>
      </c>
      <c r="R108" s="73">
        <f t="shared" si="277"/>
        <v>1.7251978475166863</v>
      </c>
      <c r="S108" s="73">
        <f t="shared" si="277"/>
        <v>1.6344399507985317</v>
      </c>
      <c r="T108" s="73">
        <f t="shared" si="277"/>
        <v>1.5470702202080271</v>
      </c>
      <c r="U108" s="73">
        <f t="shared" si="277"/>
        <v>1.4652455796744919</v>
      </c>
      <c r="V108" s="73">
        <f t="shared" si="277"/>
        <v>1.3869202111086154</v>
      </c>
      <c r="W108" s="73">
        <f t="shared" si="277"/>
        <v>1.3139581670988194</v>
      </c>
      <c r="X108" s="73">
        <f t="shared" si="277"/>
        <v>1.2437199359478195</v>
      </c>
      <c r="Y108" s="73">
        <f t="shared" si="277"/>
        <v>1.1782912631404989</v>
      </c>
      <c r="Z108" s="73">
        <f t="shared" si="277"/>
        <v>1.1153051680151111</v>
      </c>
      <c r="AA108" s="73">
        <f t="shared" si="277"/>
        <v>1.056632041687227</v>
      </c>
      <c r="AB108" s="73">
        <f t="shared" si="277"/>
        <v>1.0001492955512163</v>
      </c>
      <c r="AC108" s="73">
        <f t="shared" si="277"/>
        <v>0.94725133686816276</v>
      </c>
      <c r="AD108" s="73">
        <f t="shared" si="277"/>
        <v>0.89661558603300218</v>
      </c>
      <c r="AE108" s="73">
        <f t="shared" si="277"/>
        <v>0.84944711496737613</v>
      </c>
      <c r="AF108" s="73">
        <f t="shared" si="277"/>
        <v>0.80403953327597077</v>
      </c>
      <c r="AG108" s="73">
        <f t="shared" si="277"/>
        <v>0.76174123280949713</v>
      </c>
      <c r="AH108" s="73">
        <f t="shared" si="277"/>
        <v>0.72102200892015889</v>
      </c>
      <c r="AI108" s="73">
        <f t="shared" si="277"/>
        <v>0.68309103125792325</v>
      </c>
      <c r="AJ108" s="73">
        <f t="shared" si="277"/>
        <v>0.64657608964710656</v>
      </c>
      <c r="AK108" s="73">
        <f t="shared" si="277"/>
        <v>0.61237863989861407</v>
      </c>
      <c r="AL108" s="73">
        <f t="shared" si="277"/>
        <v>0.57964366131394252</v>
      </c>
      <c r="AM108" s="73">
        <f t="shared" ref="AM108:BR108" si="278">IF(AM81="","",AM54/(1+ INDEX($C$3:$C$6,MATCH($A108,$B$3:$B$6,0))/100)^AM81)</f>
        <v>0.54915020827457739</v>
      </c>
      <c r="AN108" s="73">
        <f t="shared" si="278"/>
        <v>0.51979513424617496</v>
      </c>
      <c r="AO108" s="73">
        <f t="shared" si="278"/>
        <v>0.49245014701678558</v>
      </c>
      <c r="AP108" s="73">
        <f t="shared" si="278"/>
        <v>0.46612600053891085</v>
      </c>
      <c r="AQ108" s="73">
        <f t="shared" si="278"/>
        <v>0.44160439829169512</v>
      </c>
      <c r="AR108" s="73">
        <f t="shared" si="278"/>
        <v>0.41799823442652689</v>
      </c>
      <c r="AS108" s="73">
        <f t="shared" si="278"/>
        <v>0.39589028171123025</v>
      </c>
      <c r="AT108" s="73">
        <f t="shared" si="278"/>
        <v>0.37472778672962498</v>
      </c>
      <c r="AU108" s="73">
        <f t="shared" si="278"/>
        <v>0.35501439222569336</v>
      </c>
      <c r="AV108" s="73">
        <f t="shared" si="278"/>
        <v>0.33603693649882094</v>
      </c>
      <c r="AW108" s="73">
        <f t="shared" si="278"/>
        <v>0.31835896082771453</v>
      </c>
      <c r="AX108" s="73">
        <f t="shared" si="278"/>
        <v>0.30134093784987376</v>
      </c>
      <c r="AY108" s="73">
        <f t="shared" si="278"/>
        <v>0.28548822289680448</v>
      </c>
      <c r="AZ108" s="73">
        <f t="shared" si="278"/>
        <v>0.27022732015818168</v>
      </c>
      <c r="BA108" s="73">
        <f t="shared" si="278"/>
        <v>0.25593498032417555</v>
      </c>
      <c r="BB108" s="73">
        <f t="shared" si="278"/>
        <v>0.24225385960225213</v>
      </c>
      <c r="BC108" s="73">
        <f t="shared" si="278"/>
        <v>0.2295095527385474</v>
      </c>
      <c r="BD108" s="73">
        <f t="shared" si="278"/>
        <v>0.2172410152612804</v>
      </c>
      <c r="BE108" s="73">
        <f t="shared" si="278"/>
        <v>0.20581256509574675</v>
      </c>
      <c r="BF108" s="73">
        <f t="shared" si="278"/>
        <v>0.19481076086563678</v>
      </c>
      <c r="BG108" s="73">
        <f t="shared" si="278"/>
        <v>0.18456230446993774</v>
      </c>
      <c r="BH108" s="73">
        <f t="shared" si="278"/>
        <v>5.25677477224027</v>
      </c>
      <c r="BI108" s="73" t="str">
        <f t="shared" si="278"/>
        <v/>
      </c>
      <c r="BJ108" s="73" t="str">
        <f t="shared" si="278"/>
        <v/>
      </c>
      <c r="BK108" s="73" t="str">
        <f t="shared" si="278"/>
        <v/>
      </c>
      <c r="BL108" s="73" t="str">
        <f t="shared" si="278"/>
        <v/>
      </c>
      <c r="BM108" s="73" t="str">
        <f t="shared" si="278"/>
        <v/>
      </c>
      <c r="BN108" s="73" t="str">
        <f t="shared" si="278"/>
        <v/>
      </c>
      <c r="BO108" s="73" t="str">
        <f t="shared" si="278"/>
        <v/>
      </c>
      <c r="BP108" s="73" t="str">
        <f t="shared" si="278"/>
        <v/>
      </c>
      <c r="BQ108" s="73" t="str">
        <f t="shared" si="278"/>
        <v/>
      </c>
      <c r="BR108" s="73" t="str">
        <f t="shared" si="278"/>
        <v/>
      </c>
      <c r="BS108" s="73" t="str">
        <f t="shared" ref="BS108:CX108" si="279">IF(BS81="","",BS54/(1+ INDEX($C$3:$C$6,MATCH($A108,$B$3:$B$6,0))/100)^BS81)</f>
        <v/>
      </c>
      <c r="BT108" s="73" t="str">
        <f t="shared" si="279"/>
        <v/>
      </c>
      <c r="BU108" s="73" t="str">
        <f t="shared" si="279"/>
        <v/>
      </c>
      <c r="BV108" s="73" t="str">
        <f t="shared" si="279"/>
        <v/>
      </c>
      <c r="BW108" s="73" t="str">
        <f t="shared" si="279"/>
        <v/>
      </c>
      <c r="BX108" s="73" t="str">
        <f t="shared" si="279"/>
        <v/>
      </c>
      <c r="BY108" s="73" t="str">
        <f t="shared" si="279"/>
        <v/>
      </c>
      <c r="BZ108" s="73" t="str">
        <f t="shared" si="279"/>
        <v/>
      </c>
      <c r="CA108" s="73" t="str">
        <f t="shared" si="279"/>
        <v/>
      </c>
      <c r="CB108" s="73" t="str">
        <f t="shared" si="279"/>
        <v/>
      </c>
      <c r="CC108" s="73" t="str">
        <f t="shared" si="279"/>
        <v/>
      </c>
      <c r="CD108" s="73" t="str">
        <f t="shared" si="279"/>
        <v/>
      </c>
      <c r="CE108" s="73" t="str">
        <f t="shared" si="279"/>
        <v/>
      </c>
      <c r="CF108" s="73" t="str">
        <f t="shared" si="279"/>
        <v/>
      </c>
      <c r="CG108" s="73" t="str">
        <f t="shared" si="279"/>
        <v/>
      </c>
      <c r="CH108" s="73" t="str">
        <f t="shared" si="279"/>
        <v/>
      </c>
      <c r="CI108" s="73" t="str">
        <f t="shared" si="279"/>
        <v/>
      </c>
      <c r="CJ108" s="73" t="str">
        <f t="shared" si="279"/>
        <v/>
      </c>
      <c r="CK108" s="73" t="str">
        <f t="shared" si="279"/>
        <v/>
      </c>
      <c r="CL108" s="73" t="str">
        <f t="shared" si="279"/>
        <v/>
      </c>
      <c r="CM108" s="73" t="str">
        <f t="shared" si="279"/>
        <v/>
      </c>
      <c r="CN108" s="73" t="str">
        <f t="shared" si="279"/>
        <v/>
      </c>
      <c r="CO108" s="73" t="str">
        <f t="shared" si="279"/>
        <v/>
      </c>
      <c r="CP108" s="73" t="str">
        <f t="shared" si="279"/>
        <v/>
      </c>
      <c r="CQ108" s="73" t="str">
        <f t="shared" si="279"/>
        <v/>
      </c>
      <c r="CR108" s="73" t="str">
        <f t="shared" si="279"/>
        <v/>
      </c>
      <c r="CS108" s="73" t="str">
        <f t="shared" si="279"/>
        <v/>
      </c>
      <c r="CT108" s="73" t="str">
        <f t="shared" si="279"/>
        <v/>
      </c>
      <c r="CU108" s="73" t="str">
        <f t="shared" si="279"/>
        <v/>
      </c>
      <c r="CV108" s="73" t="str">
        <f t="shared" si="279"/>
        <v/>
      </c>
      <c r="CW108" s="73" t="str">
        <f t="shared" si="279"/>
        <v/>
      </c>
      <c r="CX108" s="73" t="str">
        <f t="shared" si="279"/>
        <v/>
      </c>
      <c r="CY108" s="73" t="str">
        <f t="shared" ref="CY108:ED108" si="280">IF(CY81="","",CY54/(1+ INDEX($C$3:$C$6,MATCH($A108,$B$3:$B$6,0))/100)^CY81)</f>
        <v/>
      </c>
      <c r="CZ108" s="73" t="str">
        <f t="shared" si="280"/>
        <v/>
      </c>
      <c r="DA108" s="73" t="str">
        <f t="shared" si="280"/>
        <v/>
      </c>
      <c r="DB108" s="73" t="str">
        <f t="shared" si="280"/>
        <v/>
      </c>
      <c r="DC108" s="73" t="str">
        <f t="shared" si="280"/>
        <v/>
      </c>
      <c r="DD108" s="73" t="str">
        <f t="shared" si="280"/>
        <v/>
      </c>
      <c r="DE108" s="73" t="str">
        <f t="shared" si="280"/>
        <v/>
      </c>
      <c r="DF108" s="73" t="str">
        <f t="shared" si="280"/>
        <v/>
      </c>
      <c r="DG108" s="73" t="str">
        <f t="shared" si="280"/>
        <v/>
      </c>
      <c r="DH108" s="73" t="str">
        <f t="shared" si="280"/>
        <v/>
      </c>
      <c r="DI108" s="73" t="str">
        <f t="shared" si="280"/>
        <v/>
      </c>
      <c r="DJ108" s="73" t="str">
        <f t="shared" si="280"/>
        <v/>
      </c>
      <c r="DK108" s="73" t="str">
        <f t="shared" si="280"/>
        <v/>
      </c>
      <c r="DL108" s="73" t="str">
        <f t="shared" si="280"/>
        <v/>
      </c>
      <c r="DM108" s="73" t="str">
        <f t="shared" si="280"/>
        <v/>
      </c>
      <c r="DN108" s="73" t="str">
        <f t="shared" si="280"/>
        <v/>
      </c>
      <c r="DO108" s="73" t="str">
        <f t="shared" si="280"/>
        <v/>
      </c>
      <c r="DP108" s="73" t="str">
        <f t="shared" si="280"/>
        <v/>
      </c>
      <c r="DQ108" s="73" t="str">
        <f t="shared" si="280"/>
        <v/>
      </c>
      <c r="DR108" s="73" t="str">
        <f t="shared" si="280"/>
        <v/>
      </c>
      <c r="DS108" s="73" t="str">
        <f t="shared" si="280"/>
        <v/>
      </c>
      <c r="DT108" s="73" t="str">
        <f t="shared" si="280"/>
        <v/>
      </c>
      <c r="DU108" s="73" t="str">
        <f t="shared" si="280"/>
        <v/>
      </c>
      <c r="DV108" s="73" t="str">
        <f t="shared" si="280"/>
        <v/>
      </c>
      <c r="DW108" s="73" t="str">
        <f t="shared" si="280"/>
        <v/>
      </c>
      <c r="DX108" s="73" t="str">
        <f t="shared" si="280"/>
        <v/>
      </c>
      <c r="DY108" s="73" t="str">
        <f t="shared" si="280"/>
        <v/>
      </c>
      <c r="DZ108" s="73" t="str">
        <f t="shared" si="280"/>
        <v/>
      </c>
      <c r="EA108" s="73" t="str">
        <f t="shared" si="280"/>
        <v/>
      </c>
      <c r="EB108" s="73" t="str">
        <f t="shared" si="280"/>
        <v/>
      </c>
      <c r="EC108" s="73" t="str">
        <f t="shared" si="280"/>
        <v/>
      </c>
      <c r="ED108" s="73" t="str">
        <f t="shared" si="280"/>
        <v/>
      </c>
      <c r="EE108" s="73" t="str">
        <f t="shared" ref="EE108:FJ108" si="281">IF(EE81="","",EE54/(1+ INDEX($C$3:$C$6,MATCH($A108,$B$3:$B$6,0))/100)^EE81)</f>
        <v/>
      </c>
      <c r="EF108" s="73" t="str">
        <f t="shared" si="281"/>
        <v/>
      </c>
      <c r="EG108" s="73" t="str">
        <f t="shared" si="281"/>
        <v/>
      </c>
      <c r="EH108" s="73" t="str">
        <f t="shared" si="281"/>
        <v/>
      </c>
      <c r="EI108" s="73" t="str">
        <f t="shared" si="281"/>
        <v/>
      </c>
      <c r="EJ108" s="73" t="str">
        <f t="shared" si="281"/>
        <v/>
      </c>
      <c r="EK108" s="73" t="str">
        <f t="shared" si="281"/>
        <v/>
      </c>
      <c r="EL108" s="73" t="str">
        <f t="shared" si="281"/>
        <v/>
      </c>
      <c r="EM108" s="73" t="str">
        <f t="shared" si="281"/>
        <v/>
      </c>
      <c r="EN108" s="73" t="str">
        <f t="shared" si="281"/>
        <v/>
      </c>
      <c r="EO108" s="73" t="str">
        <f t="shared" si="281"/>
        <v/>
      </c>
      <c r="EP108" s="73" t="str">
        <f t="shared" si="281"/>
        <v/>
      </c>
      <c r="EQ108" s="73" t="str">
        <f t="shared" si="281"/>
        <v/>
      </c>
      <c r="ER108" s="73" t="str">
        <f t="shared" si="281"/>
        <v/>
      </c>
      <c r="ES108" s="73" t="str">
        <f t="shared" si="281"/>
        <v/>
      </c>
      <c r="ET108" s="73" t="str">
        <f t="shared" si="281"/>
        <v/>
      </c>
      <c r="EU108" s="73" t="str">
        <f t="shared" si="281"/>
        <v/>
      </c>
      <c r="EV108" s="73" t="str">
        <f t="shared" si="281"/>
        <v/>
      </c>
      <c r="EW108" s="73" t="str">
        <f t="shared" si="281"/>
        <v/>
      </c>
      <c r="EX108" s="73" t="str">
        <f t="shared" si="281"/>
        <v/>
      </c>
      <c r="EY108" s="73" t="str">
        <f t="shared" si="281"/>
        <v/>
      </c>
      <c r="EZ108" s="73" t="str">
        <f t="shared" si="281"/>
        <v/>
      </c>
      <c r="FA108" s="73" t="str">
        <f t="shared" si="281"/>
        <v/>
      </c>
      <c r="FB108" s="73" t="str">
        <f t="shared" si="281"/>
        <v/>
      </c>
      <c r="FC108" s="73" t="str">
        <f t="shared" si="281"/>
        <v/>
      </c>
      <c r="FD108" s="73" t="str">
        <f t="shared" si="281"/>
        <v/>
      </c>
      <c r="FE108" s="73" t="str">
        <f t="shared" si="281"/>
        <v/>
      </c>
      <c r="FF108" s="73" t="str">
        <f t="shared" si="281"/>
        <v/>
      </c>
      <c r="FG108" s="73" t="str">
        <f t="shared" si="281"/>
        <v/>
      </c>
      <c r="FH108" s="73" t="str">
        <f t="shared" si="281"/>
        <v/>
      </c>
      <c r="FI108" s="73" t="str">
        <f t="shared" si="281"/>
        <v/>
      </c>
      <c r="FJ108" s="73" t="str">
        <f t="shared" si="281"/>
        <v/>
      </c>
      <c r="FK108" s="73" t="str">
        <f t="shared" ref="FK108:GQ108" si="282">IF(FK81="","",FK54/(1+ INDEX($C$3:$C$6,MATCH($A108,$B$3:$B$6,0))/100)^FK81)</f>
        <v/>
      </c>
      <c r="FL108" s="73" t="str">
        <f t="shared" si="282"/>
        <v/>
      </c>
      <c r="FM108" s="73" t="str">
        <f t="shared" si="282"/>
        <v/>
      </c>
      <c r="FN108" s="73" t="str">
        <f t="shared" si="282"/>
        <v/>
      </c>
      <c r="FO108" s="73" t="str">
        <f t="shared" si="282"/>
        <v/>
      </c>
      <c r="FP108" s="73" t="str">
        <f t="shared" si="282"/>
        <v/>
      </c>
      <c r="FQ108" s="73" t="str">
        <f t="shared" si="282"/>
        <v/>
      </c>
      <c r="FR108" s="73" t="str">
        <f t="shared" si="282"/>
        <v/>
      </c>
      <c r="FS108" s="73" t="str">
        <f t="shared" si="282"/>
        <v/>
      </c>
      <c r="FT108" s="73" t="str">
        <f t="shared" si="282"/>
        <v/>
      </c>
      <c r="FU108" s="73" t="str">
        <f t="shared" si="282"/>
        <v/>
      </c>
      <c r="FV108" s="73" t="str">
        <f t="shared" si="282"/>
        <v/>
      </c>
      <c r="FW108" s="73" t="str">
        <f t="shared" si="282"/>
        <v/>
      </c>
      <c r="FX108" s="73" t="str">
        <f t="shared" si="282"/>
        <v/>
      </c>
      <c r="FY108" s="73" t="str">
        <f t="shared" si="282"/>
        <v/>
      </c>
      <c r="FZ108" s="73" t="str">
        <f t="shared" si="282"/>
        <v/>
      </c>
      <c r="GA108" s="73" t="str">
        <f t="shared" si="282"/>
        <v/>
      </c>
      <c r="GB108" s="73" t="str">
        <f t="shared" si="282"/>
        <v/>
      </c>
      <c r="GC108" s="73" t="str">
        <f t="shared" si="282"/>
        <v/>
      </c>
      <c r="GD108" s="73" t="str">
        <f t="shared" si="282"/>
        <v/>
      </c>
      <c r="GE108" s="73" t="str">
        <f t="shared" si="282"/>
        <v/>
      </c>
      <c r="GF108" s="73" t="str">
        <f t="shared" si="282"/>
        <v/>
      </c>
      <c r="GG108" s="73" t="str">
        <f t="shared" si="282"/>
        <v/>
      </c>
      <c r="GH108" s="73" t="str">
        <f t="shared" si="282"/>
        <v/>
      </c>
      <c r="GI108" s="73" t="str">
        <f t="shared" si="282"/>
        <v/>
      </c>
      <c r="GJ108" s="73" t="str">
        <f t="shared" si="282"/>
        <v/>
      </c>
      <c r="GK108" s="73" t="str">
        <f t="shared" si="282"/>
        <v/>
      </c>
      <c r="GL108" s="73" t="str">
        <f t="shared" si="282"/>
        <v/>
      </c>
      <c r="GM108" s="73" t="str">
        <f t="shared" si="282"/>
        <v/>
      </c>
      <c r="GN108" s="73" t="str">
        <f t="shared" si="282"/>
        <v/>
      </c>
      <c r="GO108" s="73" t="str">
        <f t="shared" si="282"/>
        <v/>
      </c>
      <c r="GP108" s="73" t="str">
        <f t="shared" si="282"/>
        <v/>
      </c>
      <c r="GQ108" s="73" t="str">
        <f t="shared" si="282"/>
        <v/>
      </c>
    </row>
    <row r="109" spans="1:199" x14ac:dyDescent="0.2">
      <c r="A109" t="s">
        <v>221</v>
      </c>
      <c r="B109" t="str">
        <f t="shared" si="222"/>
        <v>USP04808AN44</v>
      </c>
      <c r="C109" t="str">
        <f t="shared" si="179"/>
        <v>USD 2117</v>
      </c>
      <c r="E109" s="73" t="str">
        <f t="shared" si="171"/>
        <v/>
      </c>
      <c r="F109" s="103">
        <f t="shared" si="172"/>
        <v>1.9680668858309229</v>
      </c>
      <c r="G109" s="73">
        <f t="shared" ref="G109:AL109" si="283">IF(G82="","",G55/(1+ INDEX($C$3:$C$6,MATCH($A109,$B$3:$B$6,0))/100)^G82)</f>
        <v>3.270918906056032</v>
      </c>
      <c r="H109" s="73">
        <f t="shared" si="283"/>
        <v>3.0969949868935078</v>
      </c>
      <c r="I109" s="73">
        <f t="shared" si="283"/>
        <v>2.93319472868503</v>
      </c>
      <c r="J109" s="73">
        <f t="shared" si="283"/>
        <v>2.7772285499041307</v>
      </c>
      <c r="K109" s="73">
        <f t="shared" si="283"/>
        <v>2.6303407585116885</v>
      </c>
      <c r="L109" s="73">
        <f t="shared" si="283"/>
        <v>2.4904781735340333</v>
      </c>
      <c r="M109" s="73">
        <f t="shared" si="283"/>
        <v>2.3580524739155591</v>
      </c>
      <c r="N109" s="73">
        <f t="shared" si="283"/>
        <v>2.2326682196330849</v>
      </c>
      <c r="O109" s="73">
        <f t="shared" si="283"/>
        <v>2.1145822581066844</v>
      </c>
      <c r="P109" s="73">
        <f t="shared" si="283"/>
        <v>2.0021439970906361</v>
      </c>
      <c r="Q109" s="73">
        <f t="shared" si="283"/>
        <v>1.8962504760866006</v>
      </c>
      <c r="R109" s="73">
        <f t="shared" si="283"/>
        <v>1.7954215274067171</v>
      </c>
      <c r="S109" s="73">
        <f t="shared" si="283"/>
        <v>1.7004615707303672</v>
      </c>
      <c r="T109" s="73">
        <f t="shared" si="283"/>
        <v>1.6100432664981492</v>
      </c>
      <c r="U109" s="73">
        <f t="shared" si="283"/>
        <v>1.5244327567382983</v>
      </c>
      <c r="V109" s="73">
        <f t="shared" si="283"/>
        <v>1.4433743975534332</v>
      </c>
      <c r="W109" s="73">
        <f t="shared" si="283"/>
        <v>1.3670342355540401</v>
      </c>
      <c r="X109" s="73">
        <f t="shared" si="283"/>
        <v>1.2943451965697053</v>
      </c>
      <c r="Y109" s="73">
        <f t="shared" si="283"/>
        <v>1.2258871983145372</v>
      </c>
      <c r="Z109" s="73">
        <f t="shared" si="283"/>
        <v>1.1607033426135365</v>
      </c>
      <c r="AA109" s="73">
        <f t="shared" si="283"/>
        <v>1.099313670357642</v>
      </c>
      <c r="AB109" s="73">
        <f t="shared" si="283"/>
        <v>1.0408600836351023</v>
      </c>
      <c r="AC109" s="73">
        <f t="shared" si="283"/>
        <v>0.98551463783072113</v>
      </c>
      <c r="AD109" s="73">
        <f t="shared" si="283"/>
        <v>0.93311206438684779</v>
      </c>
      <c r="AE109" s="73">
        <f t="shared" si="283"/>
        <v>0.88375970904534817</v>
      </c>
      <c r="AF109" s="73">
        <f t="shared" si="283"/>
        <v>0.83676773015204242</v>
      </c>
      <c r="AG109" s="73">
        <f t="shared" si="283"/>
        <v>0.792511032663194</v>
      </c>
      <c r="AH109" s="73">
        <f t="shared" si="283"/>
        <v>0.75037100145510727</v>
      </c>
      <c r="AI109" s="73">
        <f t="shared" si="283"/>
        <v>0.71068383234096266</v>
      </c>
      <c r="AJ109" s="73">
        <f t="shared" si="283"/>
        <v>0.67289478254907353</v>
      </c>
      <c r="AK109" s="73">
        <f t="shared" si="283"/>
        <v>0.63711508237116121</v>
      </c>
      <c r="AL109" s="73">
        <f t="shared" si="283"/>
        <v>0.60323788906062525</v>
      </c>
      <c r="AM109" s="73">
        <f t="shared" ref="AM109:BR109" si="284">IF(AM82="","",AM55/(1+ INDEX($C$3:$C$6,MATCH($A109,$B$3:$B$6,0))/100)^AM82)</f>
        <v>0.57133259944684367</v>
      </c>
      <c r="AN109" s="73">
        <f t="shared" si="284"/>
        <v>0.5409532449916995</v>
      </c>
      <c r="AO109" s="73">
        <f t="shared" si="284"/>
        <v>0.51234219409128023</v>
      </c>
      <c r="AP109" s="73">
        <f t="shared" si="284"/>
        <v>0.48509952470449097</v>
      </c>
      <c r="AQ109" s="73">
        <f t="shared" si="284"/>
        <v>0.45944258055712295</v>
      </c>
      <c r="AR109" s="73">
        <f t="shared" si="284"/>
        <v>0.43501273177894295</v>
      </c>
      <c r="AS109" s="73">
        <f t="shared" si="284"/>
        <v>0.41188188648146129</v>
      </c>
      <c r="AT109" s="73">
        <f t="shared" si="284"/>
        <v>0.38998097301146467</v>
      </c>
      <c r="AU109" s="73">
        <f t="shared" si="284"/>
        <v>0.36935485500158471</v>
      </c>
      <c r="AV109" s="73">
        <f t="shared" si="284"/>
        <v>0.34971522290167456</v>
      </c>
      <c r="AW109" s="73">
        <f t="shared" si="284"/>
        <v>0.33121876292897401</v>
      </c>
      <c r="AX109" s="73">
        <f t="shared" si="284"/>
        <v>0.31360693365307479</v>
      </c>
      <c r="AY109" s="73">
        <f t="shared" si="284"/>
        <v>0.29702024335304644</v>
      </c>
      <c r="AZ109" s="73">
        <f t="shared" si="284"/>
        <v>0.28122684514347202</v>
      </c>
      <c r="BA109" s="73">
        <f t="shared" si="284"/>
        <v>0.26627322614958454</v>
      </c>
      <c r="BB109" s="73">
        <f t="shared" si="284"/>
        <v>0.25211473295849984</v>
      </c>
      <c r="BC109" s="73">
        <f t="shared" si="284"/>
        <v>0.23878036899229035</v>
      </c>
      <c r="BD109" s="73">
        <f t="shared" si="284"/>
        <v>0.22608374801604988</v>
      </c>
      <c r="BE109" s="73">
        <f t="shared" si="284"/>
        <v>0.21412616446861391</v>
      </c>
      <c r="BF109" s="73">
        <f t="shared" si="284"/>
        <v>0.20274047659641742</v>
      </c>
      <c r="BG109" s="73">
        <f t="shared" si="284"/>
        <v>0.19201752013173348</v>
      </c>
      <c r="BH109" s="73">
        <f t="shared" si="284"/>
        <v>0.18180741079904811</v>
      </c>
      <c r="BI109" s="73">
        <f t="shared" si="284"/>
        <v>0.17214020157523743</v>
      </c>
      <c r="BJ109" s="73">
        <f t="shared" si="284"/>
        <v>0.16298702494100159</v>
      </c>
      <c r="BK109" s="73">
        <f t="shared" si="284"/>
        <v>0.15436663101626136</v>
      </c>
      <c r="BL109" s="73">
        <f t="shared" si="284"/>
        <v>0.14615852490743825</v>
      </c>
      <c r="BM109" s="73">
        <f t="shared" si="284"/>
        <v>0.13842819140011065</v>
      </c>
      <c r="BN109" s="73">
        <f t="shared" si="284"/>
        <v>0.13106757676478256</v>
      </c>
      <c r="BO109" s="73">
        <f t="shared" si="284"/>
        <v>0.12413540444687846</v>
      </c>
      <c r="BP109" s="73">
        <f t="shared" si="284"/>
        <v>0.11753477732394595</v>
      </c>
      <c r="BQ109" s="73">
        <f t="shared" si="284"/>
        <v>0.11128512403164725</v>
      </c>
      <c r="BR109" s="73">
        <f t="shared" si="284"/>
        <v>0.10536778230842811</v>
      </c>
      <c r="BS109" s="73">
        <f t="shared" ref="BS109:CX109" si="285">IF(BS82="","",BS55/(1+ INDEX($C$3:$C$6,MATCH($A109,$B$3:$B$6,0))/100)^BS82)</f>
        <v>9.9794873723810879E-2</v>
      </c>
      <c r="BT109" s="73">
        <f t="shared" si="285"/>
        <v>9.4488500790431584E-2</v>
      </c>
      <c r="BU109" s="73">
        <f t="shared" si="285"/>
        <v>8.9490998084516812E-2</v>
      </c>
      <c r="BV109" s="73">
        <f t="shared" si="285"/>
        <v>8.473251107714791E-2</v>
      </c>
      <c r="BW109" s="73">
        <f t="shared" si="285"/>
        <v>8.0251003276254937E-2</v>
      </c>
      <c r="BX109" s="73">
        <f t="shared" si="285"/>
        <v>7.5983832671478208E-2</v>
      </c>
      <c r="BY109" s="73">
        <f t="shared" si="285"/>
        <v>7.1943559478906863E-2</v>
      </c>
      <c r="BZ109" s="73">
        <f t="shared" si="285"/>
        <v>6.8118118927657872E-2</v>
      </c>
      <c r="CA109" s="73">
        <f t="shared" si="285"/>
        <v>6.4515347364821715E-2</v>
      </c>
      <c r="CB109" s="73">
        <f t="shared" si="285"/>
        <v>6.1084885656019799E-2</v>
      </c>
      <c r="CC109" s="73">
        <f t="shared" si="285"/>
        <v>5.7854102240019564E-2</v>
      </c>
      <c r="CD109" s="73">
        <f t="shared" si="285"/>
        <v>5.4777837590784861E-2</v>
      </c>
      <c r="CE109" s="73">
        <f t="shared" si="285"/>
        <v>5.1880634340716714E-2</v>
      </c>
      <c r="CF109" s="73">
        <f t="shared" si="285"/>
        <v>4.9121995709698094E-2</v>
      </c>
      <c r="CG109" s="73">
        <f t="shared" si="285"/>
        <v>4.6510041620864723E-2</v>
      </c>
      <c r="CH109" s="73">
        <f t="shared" si="285"/>
        <v>4.4036972446286307E-2</v>
      </c>
      <c r="CI109" s="73">
        <f t="shared" si="285"/>
        <v>4.1707854224284684E-2</v>
      </c>
      <c r="CJ109" s="73">
        <f t="shared" si="285"/>
        <v>3.949013080316402E-2</v>
      </c>
      <c r="CK109" s="73">
        <f t="shared" si="285"/>
        <v>3.7401495319535717E-2</v>
      </c>
      <c r="CL109" s="73">
        <f t="shared" si="285"/>
        <v>3.5412753062285411E-2</v>
      </c>
      <c r="CM109" s="73">
        <f t="shared" si="285"/>
        <v>3.353977034193114E-2</v>
      </c>
      <c r="CN109" s="73">
        <f t="shared" si="285"/>
        <v>3.1756366817349918E-2</v>
      </c>
      <c r="CO109" s="73">
        <f t="shared" si="285"/>
        <v>3.0067791852984343E-2</v>
      </c>
      <c r="CP109" s="73">
        <f t="shared" si="285"/>
        <v>2.8469003148699514E-2</v>
      </c>
      <c r="CQ109" s="73">
        <f t="shared" si="285"/>
        <v>2.6963275794787196E-2</v>
      </c>
      <c r="CR109" s="73">
        <f t="shared" si="285"/>
        <v>2.552956290419647E-2</v>
      </c>
      <c r="CS109" s="73">
        <f t="shared" si="285"/>
        <v>2.417930272833111E-2</v>
      </c>
      <c r="CT109" s="73">
        <f t="shared" si="285"/>
        <v>2.2893621482812505E-2</v>
      </c>
      <c r="CU109" s="73">
        <f t="shared" si="285"/>
        <v>2.1682776413291312E-2</v>
      </c>
      <c r="CV109" s="73">
        <f t="shared" si="285"/>
        <v>2.0529842464014195E-2</v>
      </c>
      <c r="CW109" s="73">
        <f t="shared" si="285"/>
        <v>1.9438213241865142E-2</v>
      </c>
      <c r="CX109" s="73">
        <f t="shared" si="285"/>
        <v>1.8404629002805394E-2</v>
      </c>
      <c r="CY109" s="73">
        <f t="shared" ref="CY109:ED109" si="286">IF(CY82="","",CY55/(1+ INDEX($C$3:$C$6,MATCH($A109,$B$3:$B$6,0))/100)^CY82)</f>
        <v>1.7431207025808686E-2</v>
      </c>
      <c r="CZ109" s="73">
        <f t="shared" si="286"/>
        <v>1.6504340928318817E-2</v>
      </c>
      <c r="DA109" s="73">
        <f t="shared" si="286"/>
        <v>1.5631425306220543E-2</v>
      </c>
      <c r="DB109" s="73">
        <f t="shared" si="286"/>
        <v>1.4800258643445575E-2</v>
      </c>
      <c r="DC109" s="73">
        <f t="shared" si="286"/>
        <v>1.4017472039783574E-2</v>
      </c>
      <c r="DD109" s="73">
        <f t="shared" si="286"/>
        <v>1.3272123792416017E-2</v>
      </c>
      <c r="DE109" s="73">
        <f t="shared" si="286"/>
        <v>1.2566407798872629E-2</v>
      </c>
      <c r="DF109" s="73">
        <f t="shared" si="286"/>
        <v>1.1898216701218739E-2</v>
      </c>
      <c r="DG109" s="73">
        <f t="shared" si="286"/>
        <v>1.1268919277061468E-2</v>
      </c>
      <c r="DH109" s="73">
        <f t="shared" si="286"/>
        <v>1.0669719278014153E-2</v>
      </c>
      <c r="DI109" s="73">
        <f t="shared" si="286"/>
        <v>1.0105397159267752E-2</v>
      </c>
      <c r="DJ109" s="73">
        <f t="shared" si="286"/>
        <v>9.5680648899230235E-3</v>
      </c>
      <c r="DK109" s="73">
        <f t="shared" si="286"/>
        <v>9.0620093405412838E-3</v>
      </c>
      <c r="DL109" s="73">
        <f t="shared" si="286"/>
        <v>8.5801569237552201E-3</v>
      </c>
      <c r="DM109" s="73">
        <f t="shared" si="286"/>
        <v>8.123925949503296E-3</v>
      </c>
      <c r="DN109" s="73">
        <f t="shared" si="286"/>
        <v>7.6919540539274961E-3</v>
      </c>
      <c r="DO109" s="73">
        <f t="shared" si="286"/>
        <v>7.2851261237909734E-3</v>
      </c>
      <c r="DP109" s="73">
        <f t="shared" si="286"/>
        <v>6.8977555641916224E-3</v>
      </c>
      <c r="DQ109" s="73">
        <f t="shared" si="286"/>
        <v>6.5329328417606533E-3</v>
      </c>
      <c r="DR109" s="73">
        <f t="shared" si="286"/>
        <v>6.1855585056495152E-3</v>
      </c>
      <c r="DS109" s="73">
        <f t="shared" si="286"/>
        <v>5.8584039301087503E-3</v>
      </c>
      <c r="DT109" s="73">
        <f t="shared" si="286"/>
        <v>5.5468961853966598E-3</v>
      </c>
      <c r="DU109" s="73">
        <f t="shared" si="286"/>
        <v>5.2519521799168373E-3</v>
      </c>
      <c r="DV109" s="73">
        <f t="shared" si="286"/>
        <v>4.9726911732639045E-3</v>
      </c>
      <c r="DW109" s="73">
        <f t="shared" si="286"/>
        <v>4.7096852266547817E-3</v>
      </c>
      <c r="DX109" s="73">
        <f t="shared" si="286"/>
        <v>4.4592580726446202E-3</v>
      </c>
      <c r="DY109" s="73">
        <f t="shared" si="286"/>
        <v>4.2234076347819165E-3</v>
      </c>
      <c r="DZ109" s="73">
        <f t="shared" si="286"/>
        <v>3.9988372222589429E-3</v>
      </c>
      <c r="EA109" s="73">
        <f t="shared" si="286"/>
        <v>3.7873384719181455E-3</v>
      </c>
      <c r="EB109" s="73">
        <f t="shared" si="286"/>
        <v>3.5859550780922007E-3</v>
      </c>
      <c r="EC109" s="73">
        <f t="shared" si="286"/>
        <v>3.3952798033344508E-3</v>
      </c>
      <c r="ED109" s="73">
        <f t="shared" si="286"/>
        <v>3.2147432669635979E-3</v>
      </c>
      <c r="EE109" s="73">
        <f t="shared" ref="EE109:FJ109" si="287">IF(EE82="","",EE55/(1+ INDEX($C$3:$C$6,MATCH($A109,$B$3:$B$6,0))/100)^EE82)</f>
        <v>3.0447152948709514E-3</v>
      </c>
      <c r="EF109" s="73">
        <f t="shared" si="287"/>
        <v>2.8828192552480801E-3</v>
      </c>
      <c r="EG109" s="73">
        <f t="shared" si="287"/>
        <v>2.7303467648577564E-3</v>
      </c>
      <c r="EH109" s="73">
        <f t="shared" si="287"/>
        <v>2.5851665804338705E-3</v>
      </c>
      <c r="EI109" s="73">
        <f t="shared" si="287"/>
        <v>2.4484369585975325E-3</v>
      </c>
      <c r="EJ109" s="73">
        <f t="shared" si="287"/>
        <v>2.3182467081228953E-3</v>
      </c>
      <c r="EK109" s="73">
        <f t="shared" si="287"/>
        <v>2.1949790378924181E-3</v>
      </c>
      <c r="EL109" s="73">
        <f t="shared" si="287"/>
        <v>2.0782658549263044E-3</v>
      </c>
      <c r="EM109" s="73">
        <f t="shared" si="287"/>
        <v>1.9683462441088982E-3</v>
      </c>
      <c r="EN109" s="73">
        <f t="shared" si="287"/>
        <v>1.8636837615232215E-3</v>
      </c>
      <c r="EO109" s="73">
        <f t="shared" si="287"/>
        <v>1.7651134110226981E-3</v>
      </c>
      <c r="EP109" s="73">
        <f t="shared" si="287"/>
        <v>1.6712573873704454E-3</v>
      </c>
      <c r="EQ109" s="73">
        <f t="shared" si="287"/>
        <v>1.5828644798124318E-3</v>
      </c>
      <c r="ER109" s="73">
        <f t="shared" si="287"/>
        <v>1.4986991422608288E-3</v>
      </c>
      <c r="ES109" s="73">
        <f t="shared" si="287"/>
        <v>1.4190091114303746E-3</v>
      </c>
      <c r="ET109" s="73">
        <f t="shared" si="287"/>
        <v>1.3435564227286293E-3</v>
      </c>
      <c r="EU109" s="73">
        <f t="shared" si="287"/>
        <v>1.2724956396495575E-3</v>
      </c>
      <c r="EV109" s="73">
        <f t="shared" si="287"/>
        <v>1.2048334825855878E-3</v>
      </c>
      <c r="EW109" s="73">
        <f t="shared" si="287"/>
        <v>1.1411097644714373E-3</v>
      </c>
      <c r="EX109" s="73">
        <f t="shared" si="287"/>
        <v>1.0804337623657163E-3</v>
      </c>
      <c r="EY109" s="73">
        <f t="shared" si="287"/>
        <v>1.0232895532205208E-3</v>
      </c>
      <c r="EZ109" s="73">
        <f t="shared" si="287"/>
        <v>9.6887838172841792E-4</v>
      </c>
      <c r="FA109" s="73">
        <f t="shared" si="287"/>
        <v>9.1736040461499503E-4</v>
      </c>
      <c r="FB109" s="73">
        <f t="shared" si="287"/>
        <v>8.6858178263211764E-4</v>
      </c>
      <c r="FC109" s="73">
        <f t="shared" si="287"/>
        <v>8.2264243792138118E-4</v>
      </c>
      <c r="FD109" s="73">
        <f t="shared" si="287"/>
        <v>7.7890023550609164E-4</v>
      </c>
      <c r="FE109" s="73">
        <f t="shared" si="287"/>
        <v>7.3770415342185296E-4</v>
      </c>
      <c r="FF109" s="73">
        <f t="shared" si="287"/>
        <v>6.984783574817432E-4</v>
      </c>
      <c r="FG109" s="73">
        <f t="shared" si="287"/>
        <v>6.6153579354711212E-4</v>
      </c>
      <c r="FH109" s="73">
        <f t="shared" si="287"/>
        <v>6.2636008262778131E-4</v>
      </c>
      <c r="FI109" s="73">
        <f t="shared" si="287"/>
        <v>5.9323185875266658E-4</v>
      </c>
      <c r="FJ109" s="73">
        <f t="shared" si="287"/>
        <v>5.6168805934654164E-4</v>
      </c>
      <c r="FK109" s="73">
        <f t="shared" ref="FK109:GQ109" si="288">IF(FK82="","",FK55/(1+ INDEX($C$3:$C$6,MATCH($A109,$B$3:$B$6,0))/100)^FK82)</f>
        <v>5.3198034282037738E-4</v>
      </c>
      <c r="FL109" s="73">
        <f t="shared" si="288"/>
        <v>5.0369345806471001E-4</v>
      </c>
      <c r="FM109" s="73">
        <f t="shared" si="288"/>
        <v>4.7705307962106252E-4</v>
      </c>
      <c r="FN109" s="73">
        <f t="shared" si="288"/>
        <v>4.5168683128557848E-4</v>
      </c>
      <c r="FO109" s="73">
        <f t="shared" si="288"/>
        <v>4.2779708657915931E-4</v>
      </c>
      <c r="FP109" s="73">
        <f t="shared" si="288"/>
        <v>4.0504991734595098E-4</v>
      </c>
      <c r="FQ109" s="73">
        <f t="shared" si="288"/>
        <v>3.8351227880932082E-4</v>
      </c>
      <c r="FR109" s="73">
        <f t="shared" si="288"/>
        <v>3.6311985683457515E-4</v>
      </c>
      <c r="FS109" s="73">
        <f t="shared" si="288"/>
        <v>3.4391442493628534E-4</v>
      </c>
      <c r="FT109" s="73">
        <f t="shared" si="288"/>
        <v>3.2562753175446462E-4</v>
      </c>
      <c r="FU109" s="73">
        <f t="shared" si="288"/>
        <v>3.0840507127038379E-4</v>
      </c>
      <c r="FV109" s="73">
        <f t="shared" si="288"/>
        <v>2.9200630987473035E-4</v>
      </c>
      <c r="FW109" s="73">
        <f t="shared" si="288"/>
        <v>2.7656207791490966E-4</v>
      </c>
      <c r="FX109" s="73">
        <f t="shared" si="288"/>
        <v>2.6185649765927109E-4</v>
      </c>
      <c r="FY109" s="73">
        <f t="shared" si="288"/>
        <v>2.4793285429203541E-4</v>
      </c>
      <c r="FZ109" s="73">
        <f t="shared" si="288"/>
        <v>2.3474957003886005E-4</v>
      </c>
      <c r="GA109" s="73">
        <f t="shared" si="288"/>
        <v>2.2233365062361297E-4</v>
      </c>
      <c r="GB109" s="73">
        <f t="shared" si="288"/>
        <v>2.1051154772568526E-4</v>
      </c>
      <c r="GC109" s="73">
        <f t="shared" si="288"/>
        <v>1.9937757882381094E-4</v>
      </c>
      <c r="GD109" s="73">
        <f t="shared" si="288"/>
        <v>1.8877611455700517E-4</v>
      </c>
      <c r="GE109" s="73">
        <f t="shared" si="288"/>
        <v>1.787917340724095E-4</v>
      </c>
      <c r="GF109" s="73">
        <f t="shared" si="288"/>
        <v>1.6928487682621985E-4</v>
      </c>
      <c r="GG109" s="73">
        <f t="shared" si="288"/>
        <v>1.6028352580585401E-4</v>
      </c>
      <c r="GH109" s="73">
        <f t="shared" si="288"/>
        <v>1.5176080182950356E-4</v>
      </c>
      <c r="GI109" s="73">
        <f t="shared" si="288"/>
        <v>1.4373416354600645E-4</v>
      </c>
      <c r="GJ109" s="73">
        <f t="shared" si="288"/>
        <v>1.3609141551113954E-4</v>
      </c>
      <c r="GK109" s="73">
        <f t="shared" si="288"/>
        <v>1.2889353204829208E-4</v>
      </c>
      <c r="GL109" s="71">
        <f t="shared" si="288"/>
        <v>1.2203990195461015E-4</v>
      </c>
      <c r="GM109" s="71">
        <f t="shared" si="288"/>
        <v>1.1558520392103204E-4</v>
      </c>
      <c r="GN109" s="71">
        <f t="shared" si="288"/>
        <v>1.0943921490677515E-4</v>
      </c>
      <c r="GO109" s="71">
        <f t="shared" si="288"/>
        <v>1.0362002534159976E-4</v>
      </c>
      <c r="GP109" s="71">
        <f t="shared" si="288"/>
        <v>9.8110258383524504E-5</v>
      </c>
      <c r="GQ109" s="71">
        <f t="shared" si="288"/>
        <v>2.7012356060930245E-3</v>
      </c>
    </row>
    <row r="110" spans="1:199" x14ac:dyDescent="0.2">
      <c r="A110" t="s">
        <v>222</v>
      </c>
      <c r="B110" t="s">
        <v>34</v>
      </c>
      <c r="C110" t="str">
        <f t="shared" si="179"/>
        <v>Euro 2022</v>
      </c>
      <c r="E110" s="73" t="str">
        <f t="shared" si="171"/>
        <v/>
      </c>
      <c r="F110" s="104">
        <f>IF(F83="","",F56*MIN(F83/1,1)/(1+ INDEX($C$3:$C$6,MATCH($A110,$B$3:$B$6,0))/100)^F83)</f>
        <v>1.2391558047762055</v>
      </c>
      <c r="G110" s="73">
        <f t="shared" ref="G110:AL110" si="289">IF(G83="","",G56/(1+ INDEX($C$3:$C$6,MATCH($A110,$B$3:$B$6,0))/100)^G83)</f>
        <v>87.059764652452216</v>
      </c>
      <c r="H110" s="73" t="str">
        <f t="shared" si="289"/>
        <v/>
      </c>
      <c r="I110" s="73" t="str">
        <f t="shared" si="289"/>
        <v/>
      </c>
      <c r="J110" s="73" t="str">
        <f t="shared" si="289"/>
        <v/>
      </c>
      <c r="K110" s="73" t="str">
        <f t="shared" si="289"/>
        <v/>
      </c>
      <c r="L110" s="73" t="str">
        <f t="shared" si="289"/>
        <v/>
      </c>
      <c r="M110" s="73" t="str">
        <f t="shared" si="289"/>
        <v/>
      </c>
      <c r="N110" s="73" t="str">
        <f t="shared" si="289"/>
        <v/>
      </c>
      <c r="O110" s="73" t="str">
        <f t="shared" si="289"/>
        <v/>
      </c>
      <c r="P110" s="73" t="str">
        <f t="shared" si="289"/>
        <v/>
      </c>
      <c r="Q110" s="73" t="str">
        <f t="shared" si="289"/>
        <v/>
      </c>
      <c r="R110" s="73" t="str">
        <f t="shared" si="289"/>
        <v/>
      </c>
      <c r="S110" s="73" t="str">
        <f t="shared" si="289"/>
        <v/>
      </c>
      <c r="T110" s="73" t="str">
        <f t="shared" si="289"/>
        <v/>
      </c>
      <c r="U110" s="73" t="str">
        <f t="shared" si="289"/>
        <v/>
      </c>
      <c r="V110" s="73" t="str">
        <f t="shared" si="289"/>
        <v/>
      </c>
      <c r="W110" s="73" t="str">
        <f t="shared" si="289"/>
        <v/>
      </c>
      <c r="X110" s="73" t="str">
        <f t="shared" si="289"/>
        <v/>
      </c>
      <c r="Y110" s="73" t="str">
        <f t="shared" si="289"/>
        <v/>
      </c>
      <c r="Z110" s="73" t="str">
        <f t="shared" si="289"/>
        <v/>
      </c>
      <c r="AA110" s="73" t="str">
        <f t="shared" si="289"/>
        <v/>
      </c>
      <c r="AB110" s="73" t="str">
        <f t="shared" si="289"/>
        <v/>
      </c>
      <c r="AC110" s="73" t="str">
        <f t="shared" si="289"/>
        <v/>
      </c>
      <c r="AD110" s="73" t="str">
        <f t="shared" si="289"/>
        <v/>
      </c>
      <c r="AE110" s="73" t="str">
        <f t="shared" si="289"/>
        <v/>
      </c>
      <c r="AF110" s="73" t="str">
        <f t="shared" si="289"/>
        <v/>
      </c>
      <c r="AG110" s="73" t="str">
        <f t="shared" si="289"/>
        <v/>
      </c>
      <c r="AH110" s="73" t="str">
        <f t="shared" si="289"/>
        <v/>
      </c>
      <c r="AI110" s="73" t="str">
        <f t="shared" si="289"/>
        <v/>
      </c>
      <c r="AJ110" s="73" t="str">
        <f t="shared" si="289"/>
        <v/>
      </c>
      <c r="AK110" s="73" t="str">
        <f t="shared" si="289"/>
        <v/>
      </c>
      <c r="AL110" s="73" t="str">
        <f t="shared" si="289"/>
        <v/>
      </c>
      <c r="AM110" s="73" t="str">
        <f t="shared" ref="AM110:BR110" si="290">IF(AM83="","",AM56/(1+ INDEX($C$3:$C$6,MATCH($A110,$B$3:$B$6,0))/100)^AM83)</f>
        <v/>
      </c>
      <c r="AN110" s="73" t="str">
        <f t="shared" si="290"/>
        <v/>
      </c>
      <c r="AO110" s="73" t="str">
        <f t="shared" si="290"/>
        <v/>
      </c>
      <c r="AP110" s="73" t="str">
        <f t="shared" si="290"/>
        <v/>
      </c>
      <c r="AQ110" s="73" t="str">
        <f t="shared" si="290"/>
        <v/>
      </c>
      <c r="AR110" s="73" t="str">
        <f t="shared" si="290"/>
        <v/>
      </c>
      <c r="AS110" s="73" t="str">
        <f t="shared" si="290"/>
        <v/>
      </c>
      <c r="AT110" s="73" t="str">
        <f t="shared" si="290"/>
        <v/>
      </c>
      <c r="AU110" s="73" t="str">
        <f t="shared" si="290"/>
        <v/>
      </c>
      <c r="AV110" s="73" t="str">
        <f t="shared" si="290"/>
        <v/>
      </c>
      <c r="AW110" s="73" t="str">
        <f t="shared" si="290"/>
        <v/>
      </c>
      <c r="AX110" s="73" t="str">
        <f t="shared" si="290"/>
        <v/>
      </c>
      <c r="AY110" s="73" t="str">
        <f t="shared" si="290"/>
        <v/>
      </c>
      <c r="AZ110" s="73" t="str">
        <f t="shared" si="290"/>
        <v/>
      </c>
      <c r="BA110" s="73" t="str">
        <f t="shared" si="290"/>
        <v/>
      </c>
      <c r="BB110" s="73" t="str">
        <f t="shared" si="290"/>
        <v/>
      </c>
      <c r="BC110" s="73" t="str">
        <f t="shared" si="290"/>
        <v/>
      </c>
      <c r="BD110" s="73" t="str">
        <f t="shared" si="290"/>
        <v/>
      </c>
      <c r="BE110" s="73" t="str">
        <f t="shared" si="290"/>
        <v/>
      </c>
      <c r="BF110" s="73" t="str">
        <f t="shared" si="290"/>
        <v/>
      </c>
      <c r="BG110" s="73" t="str">
        <f t="shared" si="290"/>
        <v/>
      </c>
      <c r="BH110" s="73" t="str">
        <f t="shared" si="290"/>
        <v/>
      </c>
      <c r="BI110" s="73" t="str">
        <f t="shared" si="290"/>
        <v/>
      </c>
      <c r="BJ110" s="73" t="str">
        <f t="shared" si="290"/>
        <v/>
      </c>
      <c r="BK110" s="73" t="str">
        <f t="shared" si="290"/>
        <v/>
      </c>
      <c r="BL110" s="73" t="str">
        <f t="shared" si="290"/>
        <v/>
      </c>
      <c r="BM110" s="73" t="str">
        <f t="shared" si="290"/>
        <v/>
      </c>
      <c r="BN110" s="73" t="str">
        <f t="shared" si="290"/>
        <v/>
      </c>
      <c r="BO110" s="73" t="str">
        <f t="shared" si="290"/>
        <v/>
      </c>
      <c r="BP110" s="73" t="str">
        <f t="shared" si="290"/>
        <v/>
      </c>
      <c r="BQ110" s="73" t="str">
        <f t="shared" si="290"/>
        <v/>
      </c>
      <c r="BR110" s="73" t="str">
        <f t="shared" si="290"/>
        <v/>
      </c>
      <c r="BS110" s="73" t="str">
        <f t="shared" ref="BS110:CX110" si="291">IF(BS83="","",BS56/(1+ INDEX($C$3:$C$6,MATCH($A110,$B$3:$B$6,0))/100)^BS83)</f>
        <v/>
      </c>
      <c r="BT110" s="73" t="str">
        <f t="shared" si="291"/>
        <v/>
      </c>
      <c r="BU110" s="73" t="str">
        <f t="shared" si="291"/>
        <v/>
      </c>
      <c r="BV110" s="73" t="str">
        <f t="shared" si="291"/>
        <v/>
      </c>
      <c r="BW110" s="73" t="str">
        <f t="shared" si="291"/>
        <v/>
      </c>
      <c r="BX110" s="73" t="str">
        <f t="shared" si="291"/>
        <v/>
      </c>
      <c r="BY110" s="73" t="str">
        <f t="shared" si="291"/>
        <v/>
      </c>
      <c r="BZ110" s="73" t="str">
        <f t="shared" si="291"/>
        <v/>
      </c>
      <c r="CA110" s="73" t="str">
        <f t="shared" si="291"/>
        <v/>
      </c>
      <c r="CB110" s="73" t="str">
        <f t="shared" si="291"/>
        <v/>
      </c>
      <c r="CC110" s="73" t="str">
        <f t="shared" si="291"/>
        <v/>
      </c>
      <c r="CD110" s="73" t="str">
        <f t="shared" si="291"/>
        <v/>
      </c>
      <c r="CE110" s="73" t="str">
        <f t="shared" si="291"/>
        <v/>
      </c>
      <c r="CF110" s="73" t="str">
        <f t="shared" si="291"/>
        <v/>
      </c>
      <c r="CG110" s="73" t="str">
        <f t="shared" si="291"/>
        <v/>
      </c>
      <c r="CH110" s="73" t="str">
        <f t="shared" si="291"/>
        <v/>
      </c>
      <c r="CI110" s="73" t="str">
        <f t="shared" si="291"/>
        <v/>
      </c>
      <c r="CJ110" s="73" t="str">
        <f t="shared" si="291"/>
        <v/>
      </c>
      <c r="CK110" s="73" t="str">
        <f t="shared" si="291"/>
        <v/>
      </c>
      <c r="CL110" s="73" t="str">
        <f t="shared" si="291"/>
        <v/>
      </c>
      <c r="CM110" s="73" t="str">
        <f t="shared" si="291"/>
        <v/>
      </c>
      <c r="CN110" s="73" t="str">
        <f t="shared" si="291"/>
        <v/>
      </c>
      <c r="CO110" s="73" t="str">
        <f t="shared" si="291"/>
        <v/>
      </c>
      <c r="CP110" s="73" t="str">
        <f t="shared" si="291"/>
        <v/>
      </c>
      <c r="CQ110" s="73" t="str">
        <f t="shared" si="291"/>
        <v/>
      </c>
      <c r="CR110" s="73" t="str">
        <f t="shared" si="291"/>
        <v/>
      </c>
      <c r="CS110" s="73" t="str">
        <f t="shared" si="291"/>
        <v/>
      </c>
      <c r="CT110" s="73" t="str">
        <f t="shared" si="291"/>
        <v/>
      </c>
      <c r="CU110" s="73" t="str">
        <f t="shared" si="291"/>
        <v/>
      </c>
      <c r="CV110" s="73" t="str">
        <f t="shared" si="291"/>
        <v/>
      </c>
      <c r="CW110" s="73" t="str">
        <f t="shared" si="291"/>
        <v/>
      </c>
      <c r="CX110" s="73" t="str">
        <f t="shared" si="291"/>
        <v/>
      </c>
      <c r="CY110" s="73" t="str">
        <f t="shared" ref="CY110:ED110" si="292">IF(CY83="","",CY56/(1+ INDEX($C$3:$C$6,MATCH($A110,$B$3:$B$6,0))/100)^CY83)</f>
        <v/>
      </c>
      <c r="CZ110" s="73" t="str">
        <f t="shared" si="292"/>
        <v/>
      </c>
      <c r="DA110" s="73" t="str">
        <f t="shared" si="292"/>
        <v/>
      </c>
      <c r="DB110" s="73" t="str">
        <f t="shared" si="292"/>
        <v/>
      </c>
      <c r="DC110" s="73" t="str">
        <f t="shared" si="292"/>
        <v/>
      </c>
      <c r="DD110" s="73" t="str">
        <f t="shared" si="292"/>
        <v/>
      </c>
      <c r="DE110" s="73" t="str">
        <f t="shared" si="292"/>
        <v/>
      </c>
      <c r="DF110" s="73" t="str">
        <f t="shared" si="292"/>
        <v/>
      </c>
      <c r="DG110" s="73" t="str">
        <f t="shared" si="292"/>
        <v/>
      </c>
      <c r="DH110" s="73" t="str">
        <f t="shared" si="292"/>
        <v/>
      </c>
      <c r="DI110" s="73" t="str">
        <f t="shared" si="292"/>
        <v/>
      </c>
      <c r="DJ110" s="73" t="str">
        <f t="shared" si="292"/>
        <v/>
      </c>
      <c r="DK110" s="73" t="str">
        <f t="shared" si="292"/>
        <v/>
      </c>
      <c r="DL110" s="73" t="str">
        <f t="shared" si="292"/>
        <v/>
      </c>
      <c r="DM110" s="73" t="str">
        <f t="shared" si="292"/>
        <v/>
      </c>
      <c r="DN110" s="73" t="str">
        <f t="shared" si="292"/>
        <v/>
      </c>
      <c r="DO110" s="73" t="str">
        <f t="shared" si="292"/>
        <v/>
      </c>
      <c r="DP110" s="73" t="str">
        <f t="shared" si="292"/>
        <v/>
      </c>
      <c r="DQ110" s="73" t="str">
        <f t="shared" si="292"/>
        <v/>
      </c>
      <c r="DR110" s="73" t="str">
        <f t="shared" si="292"/>
        <v/>
      </c>
      <c r="DS110" s="73" t="str">
        <f t="shared" si="292"/>
        <v/>
      </c>
      <c r="DT110" s="73" t="str">
        <f t="shared" si="292"/>
        <v/>
      </c>
      <c r="DU110" s="73" t="str">
        <f t="shared" si="292"/>
        <v/>
      </c>
      <c r="DV110" s="73" t="str">
        <f t="shared" si="292"/>
        <v/>
      </c>
      <c r="DW110" s="73" t="str">
        <f t="shared" si="292"/>
        <v/>
      </c>
      <c r="DX110" s="73" t="str">
        <f t="shared" si="292"/>
        <v/>
      </c>
      <c r="DY110" s="73" t="str">
        <f t="shared" si="292"/>
        <v/>
      </c>
      <c r="DZ110" s="73" t="str">
        <f t="shared" si="292"/>
        <v/>
      </c>
      <c r="EA110" s="73" t="str">
        <f t="shared" si="292"/>
        <v/>
      </c>
      <c r="EB110" s="73" t="str">
        <f t="shared" si="292"/>
        <v/>
      </c>
      <c r="EC110" s="73" t="str">
        <f t="shared" si="292"/>
        <v/>
      </c>
      <c r="ED110" s="73" t="str">
        <f t="shared" si="292"/>
        <v/>
      </c>
      <c r="EE110" s="73" t="str">
        <f t="shared" ref="EE110:FJ110" si="293">IF(EE83="","",EE56/(1+ INDEX($C$3:$C$6,MATCH($A110,$B$3:$B$6,0))/100)^EE83)</f>
        <v/>
      </c>
      <c r="EF110" s="73" t="str">
        <f t="shared" si="293"/>
        <v/>
      </c>
      <c r="EG110" s="73" t="str">
        <f t="shared" si="293"/>
        <v/>
      </c>
      <c r="EH110" s="73" t="str">
        <f t="shared" si="293"/>
        <v/>
      </c>
      <c r="EI110" s="73" t="str">
        <f t="shared" si="293"/>
        <v/>
      </c>
      <c r="EJ110" s="73" t="str">
        <f t="shared" si="293"/>
        <v/>
      </c>
      <c r="EK110" s="73" t="str">
        <f t="shared" si="293"/>
        <v/>
      </c>
      <c r="EL110" s="73" t="str">
        <f t="shared" si="293"/>
        <v/>
      </c>
      <c r="EM110" s="73" t="str">
        <f t="shared" si="293"/>
        <v/>
      </c>
      <c r="EN110" s="73" t="str">
        <f t="shared" si="293"/>
        <v/>
      </c>
      <c r="EO110" s="73" t="str">
        <f t="shared" si="293"/>
        <v/>
      </c>
      <c r="EP110" s="73" t="str">
        <f t="shared" si="293"/>
        <v/>
      </c>
      <c r="EQ110" s="73" t="str">
        <f t="shared" si="293"/>
        <v/>
      </c>
      <c r="ER110" s="73" t="str">
        <f t="shared" si="293"/>
        <v/>
      </c>
      <c r="ES110" s="73" t="str">
        <f t="shared" si="293"/>
        <v/>
      </c>
      <c r="ET110" s="73" t="str">
        <f t="shared" si="293"/>
        <v/>
      </c>
      <c r="EU110" s="73" t="str">
        <f t="shared" si="293"/>
        <v/>
      </c>
      <c r="EV110" s="73" t="str">
        <f t="shared" si="293"/>
        <v/>
      </c>
      <c r="EW110" s="73" t="str">
        <f t="shared" si="293"/>
        <v/>
      </c>
      <c r="EX110" s="73" t="str">
        <f t="shared" si="293"/>
        <v/>
      </c>
      <c r="EY110" s="73" t="str">
        <f t="shared" si="293"/>
        <v/>
      </c>
      <c r="EZ110" s="73" t="str">
        <f t="shared" si="293"/>
        <v/>
      </c>
      <c r="FA110" s="73" t="str">
        <f t="shared" si="293"/>
        <v/>
      </c>
      <c r="FB110" s="73" t="str">
        <f t="shared" si="293"/>
        <v/>
      </c>
      <c r="FC110" s="73" t="str">
        <f t="shared" si="293"/>
        <v/>
      </c>
      <c r="FD110" s="73" t="str">
        <f t="shared" si="293"/>
        <v/>
      </c>
      <c r="FE110" s="73" t="str">
        <f t="shared" si="293"/>
        <v/>
      </c>
      <c r="FF110" s="73" t="str">
        <f t="shared" si="293"/>
        <v/>
      </c>
      <c r="FG110" s="73" t="str">
        <f t="shared" si="293"/>
        <v/>
      </c>
      <c r="FH110" s="73" t="str">
        <f t="shared" si="293"/>
        <v/>
      </c>
      <c r="FI110" s="73" t="str">
        <f t="shared" si="293"/>
        <v/>
      </c>
      <c r="FJ110" s="73" t="str">
        <f t="shared" si="293"/>
        <v/>
      </c>
      <c r="FK110" s="73" t="str">
        <f t="shared" ref="FK110:GQ110" si="294">IF(FK83="","",FK56/(1+ INDEX($C$3:$C$6,MATCH($A110,$B$3:$B$6,0))/100)^FK83)</f>
        <v/>
      </c>
      <c r="FL110" s="73" t="str">
        <f t="shared" si="294"/>
        <v/>
      </c>
      <c r="FM110" s="73" t="str">
        <f t="shared" si="294"/>
        <v/>
      </c>
      <c r="FN110" s="73" t="str">
        <f t="shared" si="294"/>
        <v/>
      </c>
      <c r="FO110" s="73" t="str">
        <f t="shared" si="294"/>
        <v/>
      </c>
      <c r="FP110" s="73" t="str">
        <f t="shared" si="294"/>
        <v/>
      </c>
      <c r="FQ110" s="73" t="str">
        <f t="shared" si="294"/>
        <v/>
      </c>
      <c r="FR110" s="73" t="str">
        <f t="shared" si="294"/>
        <v/>
      </c>
      <c r="FS110" s="73" t="str">
        <f t="shared" si="294"/>
        <v/>
      </c>
      <c r="FT110" s="73" t="str">
        <f t="shared" si="294"/>
        <v/>
      </c>
      <c r="FU110" s="73" t="str">
        <f t="shared" si="294"/>
        <v/>
      </c>
      <c r="FV110" s="73" t="str">
        <f t="shared" si="294"/>
        <v/>
      </c>
      <c r="FW110" s="73" t="str">
        <f t="shared" si="294"/>
        <v/>
      </c>
      <c r="FX110" s="73" t="str">
        <f t="shared" si="294"/>
        <v/>
      </c>
      <c r="FY110" s="73" t="str">
        <f t="shared" si="294"/>
        <v/>
      </c>
      <c r="FZ110" s="73" t="str">
        <f t="shared" si="294"/>
        <v/>
      </c>
      <c r="GA110" s="73" t="str">
        <f t="shared" si="294"/>
        <v/>
      </c>
      <c r="GB110" s="73" t="str">
        <f t="shared" si="294"/>
        <v/>
      </c>
      <c r="GC110" s="73" t="str">
        <f t="shared" si="294"/>
        <v/>
      </c>
      <c r="GD110" s="73" t="str">
        <f t="shared" si="294"/>
        <v/>
      </c>
      <c r="GE110" s="73" t="str">
        <f t="shared" si="294"/>
        <v/>
      </c>
      <c r="GF110" s="73" t="str">
        <f t="shared" si="294"/>
        <v/>
      </c>
      <c r="GG110" s="73" t="str">
        <f t="shared" si="294"/>
        <v/>
      </c>
      <c r="GH110" s="73" t="str">
        <f t="shared" si="294"/>
        <v/>
      </c>
      <c r="GI110" s="73" t="str">
        <f t="shared" si="294"/>
        <v/>
      </c>
      <c r="GJ110" s="73" t="str">
        <f t="shared" si="294"/>
        <v/>
      </c>
      <c r="GK110" s="73" t="str">
        <f t="shared" si="294"/>
        <v/>
      </c>
      <c r="GL110" s="73" t="str">
        <f t="shared" si="294"/>
        <v/>
      </c>
      <c r="GM110" s="73" t="str">
        <f t="shared" si="294"/>
        <v/>
      </c>
      <c r="GN110" s="73" t="str">
        <f t="shared" si="294"/>
        <v/>
      </c>
      <c r="GO110" s="73" t="str">
        <f t="shared" si="294"/>
        <v/>
      </c>
      <c r="GP110" s="73" t="str">
        <f t="shared" si="294"/>
        <v/>
      </c>
      <c r="GQ110" s="73" t="str">
        <f t="shared" si="294"/>
        <v/>
      </c>
    </row>
    <row r="111" spans="1:199" x14ac:dyDescent="0.2">
      <c r="A111" t="s">
        <v>222</v>
      </c>
      <c r="B111" t="s">
        <v>36</v>
      </c>
      <c r="C111" t="str">
        <f t="shared" si="179"/>
        <v>Euro 2023</v>
      </c>
      <c r="E111" s="73" t="str">
        <f t="shared" si="171"/>
        <v/>
      </c>
      <c r="F111" s="104">
        <f>IF(F84="","",F57*MIN(F84/1,1)/(1+ INDEX($C$3:$C$6,MATCH($A111,$B$3:$B$6,0))/100)^F84)</f>
        <v>1.079264733192179</v>
      </c>
      <c r="G111" s="73">
        <f t="shared" ref="G111:AL111" si="295">IF(G84="","",G57/(1+ INDEX($C$3:$C$6,MATCH($A111,$B$3:$B$6,0))/100)^G84)</f>
        <v>2.8286566132565705</v>
      </c>
      <c r="H111" s="73">
        <f t="shared" si="295"/>
        <v>75.899896553117216</v>
      </c>
      <c r="I111" s="73" t="str">
        <f t="shared" si="295"/>
        <v/>
      </c>
      <c r="J111" s="73" t="str">
        <f t="shared" si="295"/>
        <v/>
      </c>
      <c r="K111" s="73" t="str">
        <f t="shared" si="295"/>
        <v/>
      </c>
      <c r="L111" s="73" t="str">
        <f t="shared" si="295"/>
        <v/>
      </c>
      <c r="M111" s="73" t="str">
        <f t="shared" si="295"/>
        <v/>
      </c>
      <c r="N111" s="73" t="str">
        <f t="shared" si="295"/>
        <v/>
      </c>
      <c r="O111" s="73" t="str">
        <f t="shared" si="295"/>
        <v/>
      </c>
      <c r="P111" s="73" t="str">
        <f t="shared" si="295"/>
        <v/>
      </c>
      <c r="Q111" s="73" t="str">
        <f t="shared" si="295"/>
        <v/>
      </c>
      <c r="R111" s="73" t="str">
        <f t="shared" si="295"/>
        <v/>
      </c>
      <c r="S111" s="73" t="str">
        <f t="shared" si="295"/>
        <v/>
      </c>
      <c r="T111" s="73" t="str">
        <f t="shared" si="295"/>
        <v/>
      </c>
      <c r="U111" s="73" t="str">
        <f t="shared" si="295"/>
        <v/>
      </c>
      <c r="V111" s="73" t="str">
        <f t="shared" si="295"/>
        <v/>
      </c>
      <c r="W111" s="73" t="str">
        <f t="shared" si="295"/>
        <v/>
      </c>
      <c r="X111" s="73" t="str">
        <f t="shared" si="295"/>
        <v/>
      </c>
      <c r="Y111" s="73" t="str">
        <f t="shared" si="295"/>
        <v/>
      </c>
      <c r="Z111" s="73" t="str">
        <f t="shared" si="295"/>
        <v/>
      </c>
      <c r="AA111" s="73" t="str">
        <f t="shared" si="295"/>
        <v/>
      </c>
      <c r="AB111" s="73" t="str">
        <f t="shared" si="295"/>
        <v/>
      </c>
      <c r="AC111" s="73" t="str">
        <f t="shared" si="295"/>
        <v/>
      </c>
      <c r="AD111" s="73" t="str">
        <f t="shared" si="295"/>
        <v/>
      </c>
      <c r="AE111" s="73" t="str">
        <f t="shared" si="295"/>
        <v/>
      </c>
      <c r="AF111" s="73" t="str">
        <f t="shared" si="295"/>
        <v/>
      </c>
      <c r="AG111" s="73" t="str">
        <f t="shared" si="295"/>
        <v/>
      </c>
      <c r="AH111" s="73" t="str">
        <f t="shared" si="295"/>
        <v/>
      </c>
      <c r="AI111" s="73" t="str">
        <f t="shared" si="295"/>
        <v/>
      </c>
      <c r="AJ111" s="73" t="str">
        <f t="shared" si="295"/>
        <v/>
      </c>
      <c r="AK111" s="73" t="str">
        <f t="shared" si="295"/>
        <v/>
      </c>
      <c r="AL111" s="73" t="str">
        <f t="shared" si="295"/>
        <v/>
      </c>
      <c r="AM111" s="73" t="str">
        <f t="shared" ref="AM111:BR111" si="296">IF(AM84="","",AM57/(1+ INDEX($C$3:$C$6,MATCH($A111,$B$3:$B$6,0))/100)^AM84)</f>
        <v/>
      </c>
      <c r="AN111" s="73" t="str">
        <f t="shared" si="296"/>
        <v/>
      </c>
      <c r="AO111" s="73" t="str">
        <f t="shared" si="296"/>
        <v/>
      </c>
      <c r="AP111" s="73" t="str">
        <f t="shared" si="296"/>
        <v/>
      </c>
      <c r="AQ111" s="73" t="str">
        <f t="shared" si="296"/>
        <v/>
      </c>
      <c r="AR111" s="73" t="str">
        <f t="shared" si="296"/>
        <v/>
      </c>
      <c r="AS111" s="73" t="str">
        <f t="shared" si="296"/>
        <v/>
      </c>
      <c r="AT111" s="73" t="str">
        <f t="shared" si="296"/>
        <v/>
      </c>
      <c r="AU111" s="73" t="str">
        <f t="shared" si="296"/>
        <v/>
      </c>
      <c r="AV111" s="73" t="str">
        <f t="shared" si="296"/>
        <v/>
      </c>
      <c r="AW111" s="73" t="str">
        <f t="shared" si="296"/>
        <v/>
      </c>
      <c r="AX111" s="73" t="str">
        <f t="shared" si="296"/>
        <v/>
      </c>
      <c r="AY111" s="73" t="str">
        <f t="shared" si="296"/>
        <v/>
      </c>
      <c r="AZ111" s="73" t="str">
        <f t="shared" si="296"/>
        <v/>
      </c>
      <c r="BA111" s="73" t="str">
        <f t="shared" si="296"/>
        <v/>
      </c>
      <c r="BB111" s="73" t="str">
        <f t="shared" si="296"/>
        <v/>
      </c>
      <c r="BC111" s="73" t="str">
        <f t="shared" si="296"/>
        <v/>
      </c>
      <c r="BD111" s="73" t="str">
        <f t="shared" si="296"/>
        <v/>
      </c>
      <c r="BE111" s="73" t="str">
        <f t="shared" si="296"/>
        <v/>
      </c>
      <c r="BF111" s="73" t="str">
        <f t="shared" si="296"/>
        <v/>
      </c>
      <c r="BG111" s="73" t="str">
        <f t="shared" si="296"/>
        <v/>
      </c>
      <c r="BH111" s="73" t="str">
        <f t="shared" si="296"/>
        <v/>
      </c>
      <c r="BI111" s="73" t="str">
        <f t="shared" si="296"/>
        <v/>
      </c>
      <c r="BJ111" s="73" t="str">
        <f t="shared" si="296"/>
        <v/>
      </c>
      <c r="BK111" s="73" t="str">
        <f t="shared" si="296"/>
        <v/>
      </c>
      <c r="BL111" s="73" t="str">
        <f t="shared" si="296"/>
        <v/>
      </c>
      <c r="BM111" s="73" t="str">
        <f t="shared" si="296"/>
        <v/>
      </c>
      <c r="BN111" s="73" t="str">
        <f t="shared" si="296"/>
        <v/>
      </c>
      <c r="BO111" s="73" t="str">
        <f t="shared" si="296"/>
        <v/>
      </c>
      <c r="BP111" s="73" t="str">
        <f t="shared" si="296"/>
        <v/>
      </c>
      <c r="BQ111" s="73" t="str">
        <f t="shared" si="296"/>
        <v/>
      </c>
      <c r="BR111" s="73" t="str">
        <f t="shared" si="296"/>
        <v/>
      </c>
      <c r="BS111" s="73" t="str">
        <f t="shared" ref="BS111:CX111" si="297">IF(BS84="","",BS57/(1+ INDEX($C$3:$C$6,MATCH($A111,$B$3:$B$6,0))/100)^BS84)</f>
        <v/>
      </c>
      <c r="BT111" s="73" t="str">
        <f t="shared" si="297"/>
        <v/>
      </c>
      <c r="BU111" s="73" t="str">
        <f t="shared" si="297"/>
        <v/>
      </c>
      <c r="BV111" s="73" t="str">
        <f t="shared" si="297"/>
        <v/>
      </c>
      <c r="BW111" s="73" t="str">
        <f t="shared" si="297"/>
        <v/>
      </c>
      <c r="BX111" s="73" t="str">
        <f t="shared" si="297"/>
        <v/>
      </c>
      <c r="BY111" s="73" t="str">
        <f t="shared" si="297"/>
        <v/>
      </c>
      <c r="BZ111" s="73" t="str">
        <f t="shared" si="297"/>
        <v/>
      </c>
      <c r="CA111" s="73" t="str">
        <f t="shared" si="297"/>
        <v/>
      </c>
      <c r="CB111" s="73" t="str">
        <f t="shared" si="297"/>
        <v/>
      </c>
      <c r="CC111" s="73" t="str">
        <f t="shared" si="297"/>
        <v/>
      </c>
      <c r="CD111" s="73" t="str">
        <f t="shared" si="297"/>
        <v/>
      </c>
      <c r="CE111" s="73" t="str">
        <f t="shared" si="297"/>
        <v/>
      </c>
      <c r="CF111" s="73" t="str">
        <f t="shared" si="297"/>
        <v/>
      </c>
      <c r="CG111" s="73" t="str">
        <f t="shared" si="297"/>
        <v/>
      </c>
      <c r="CH111" s="73" t="str">
        <f t="shared" si="297"/>
        <v/>
      </c>
      <c r="CI111" s="73" t="str">
        <f t="shared" si="297"/>
        <v/>
      </c>
      <c r="CJ111" s="73" t="str">
        <f t="shared" si="297"/>
        <v/>
      </c>
      <c r="CK111" s="73" t="str">
        <f t="shared" si="297"/>
        <v/>
      </c>
      <c r="CL111" s="73" t="str">
        <f t="shared" si="297"/>
        <v/>
      </c>
      <c r="CM111" s="73" t="str">
        <f t="shared" si="297"/>
        <v/>
      </c>
      <c r="CN111" s="73" t="str">
        <f t="shared" si="297"/>
        <v/>
      </c>
      <c r="CO111" s="73" t="str">
        <f t="shared" si="297"/>
        <v/>
      </c>
      <c r="CP111" s="73" t="str">
        <f t="shared" si="297"/>
        <v/>
      </c>
      <c r="CQ111" s="73" t="str">
        <f t="shared" si="297"/>
        <v/>
      </c>
      <c r="CR111" s="73" t="str">
        <f t="shared" si="297"/>
        <v/>
      </c>
      <c r="CS111" s="73" t="str">
        <f t="shared" si="297"/>
        <v/>
      </c>
      <c r="CT111" s="73" t="str">
        <f t="shared" si="297"/>
        <v/>
      </c>
      <c r="CU111" s="73" t="str">
        <f t="shared" si="297"/>
        <v/>
      </c>
      <c r="CV111" s="73" t="str">
        <f t="shared" si="297"/>
        <v/>
      </c>
      <c r="CW111" s="73" t="str">
        <f t="shared" si="297"/>
        <v/>
      </c>
      <c r="CX111" s="73" t="str">
        <f t="shared" si="297"/>
        <v/>
      </c>
      <c r="CY111" s="73" t="str">
        <f t="shared" ref="CY111:ED111" si="298">IF(CY84="","",CY57/(1+ INDEX($C$3:$C$6,MATCH($A111,$B$3:$B$6,0))/100)^CY84)</f>
        <v/>
      </c>
      <c r="CZ111" s="73" t="str">
        <f t="shared" si="298"/>
        <v/>
      </c>
      <c r="DA111" s="73" t="str">
        <f t="shared" si="298"/>
        <v/>
      </c>
      <c r="DB111" s="73" t="str">
        <f t="shared" si="298"/>
        <v/>
      </c>
      <c r="DC111" s="73" t="str">
        <f t="shared" si="298"/>
        <v/>
      </c>
      <c r="DD111" s="73" t="str">
        <f t="shared" si="298"/>
        <v/>
      </c>
      <c r="DE111" s="73" t="str">
        <f t="shared" si="298"/>
        <v/>
      </c>
      <c r="DF111" s="73" t="str">
        <f t="shared" si="298"/>
        <v/>
      </c>
      <c r="DG111" s="73" t="str">
        <f t="shared" si="298"/>
        <v/>
      </c>
      <c r="DH111" s="73" t="str">
        <f t="shared" si="298"/>
        <v/>
      </c>
      <c r="DI111" s="73" t="str">
        <f t="shared" si="298"/>
        <v/>
      </c>
      <c r="DJ111" s="73" t="str">
        <f t="shared" si="298"/>
        <v/>
      </c>
      <c r="DK111" s="73" t="str">
        <f t="shared" si="298"/>
        <v/>
      </c>
      <c r="DL111" s="73" t="str">
        <f t="shared" si="298"/>
        <v/>
      </c>
      <c r="DM111" s="73" t="str">
        <f t="shared" si="298"/>
        <v/>
      </c>
      <c r="DN111" s="73" t="str">
        <f t="shared" si="298"/>
        <v/>
      </c>
      <c r="DO111" s="73" t="str">
        <f t="shared" si="298"/>
        <v/>
      </c>
      <c r="DP111" s="73" t="str">
        <f t="shared" si="298"/>
        <v/>
      </c>
      <c r="DQ111" s="73" t="str">
        <f t="shared" si="298"/>
        <v/>
      </c>
      <c r="DR111" s="73" t="str">
        <f t="shared" si="298"/>
        <v/>
      </c>
      <c r="DS111" s="73" t="str">
        <f t="shared" si="298"/>
        <v/>
      </c>
      <c r="DT111" s="73" t="str">
        <f t="shared" si="298"/>
        <v/>
      </c>
      <c r="DU111" s="73" t="str">
        <f t="shared" si="298"/>
        <v/>
      </c>
      <c r="DV111" s="73" t="str">
        <f t="shared" si="298"/>
        <v/>
      </c>
      <c r="DW111" s="73" t="str">
        <f t="shared" si="298"/>
        <v/>
      </c>
      <c r="DX111" s="73" t="str">
        <f t="shared" si="298"/>
        <v/>
      </c>
      <c r="DY111" s="73" t="str">
        <f t="shared" si="298"/>
        <v/>
      </c>
      <c r="DZ111" s="73" t="str">
        <f t="shared" si="298"/>
        <v/>
      </c>
      <c r="EA111" s="73" t="str">
        <f t="shared" si="298"/>
        <v/>
      </c>
      <c r="EB111" s="73" t="str">
        <f t="shared" si="298"/>
        <v/>
      </c>
      <c r="EC111" s="73" t="str">
        <f t="shared" si="298"/>
        <v/>
      </c>
      <c r="ED111" s="73" t="str">
        <f t="shared" si="298"/>
        <v/>
      </c>
      <c r="EE111" s="73" t="str">
        <f t="shared" ref="EE111:FJ111" si="299">IF(EE84="","",EE57/(1+ INDEX($C$3:$C$6,MATCH($A111,$B$3:$B$6,0))/100)^EE84)</f>
        <v/>
      </c>
      <c r="EF111" s="73" t="str">
        <f t="shared" si="299"/>
        <v/>
      </c>
      <c r="EG111" s="73" t="str">
        <f t="shared" si="299"/>
        <v/>
      </c>
      <c r="EH111" s="73" t="str">
        <f t="shared" si="299"/>
        <v/>
      </c>
      <c r="EI111" s="73" t="str">
        <f t="shared" si="299"/>
        <v/>
      </c>
      <c r="EJ111" s="73" t="str">
        <f t="shared" si="299"/>
        <v/>
      </c>
      <c r="EK111" s="73" t="str">
        <f t="shared" si="299"/>
        <v/>
      </c>
      <c r="EL111" s="73" t="str">
        <f t="shared" si="299"/>
        <v/>
      </c>
      <c r="EM111" s="73" t="str">
        <f t="shared" si="299"/>
        <v/>
      </c>
      <c r="EN111" s="73" t="str">
        <f t="shared" si="299"/>
        <v/>
      </c>
      <c r="EO111" s="73" t="str">
        <f t="shared" si="299"/>
        <v/>
      </c>
      <c r="EP111" s="73" t="str">
        <f t="shared" si="299"/>
        <v/>
      </c>
      <c r="EQ111" s="73" t="str">
        <f t="shared" si="299"/>
        <v/>
      </c>
      <c r="ER111" s="73" t="str">
        <f t="shared" si="299"/>
        <v/>
      </c>
      <c r="ES111" s="73" t="str">
        <f t="shared" si="299"/>
        <v/>
      </c>
      <c r="ET111" s="73" t="str">
        <f t="shared" si="299"/>
        <v/>
      </c>
      <c r="EU111" s="73" t="str">
        <f t="shared" si="299"/>
        <v/>
      </c>
      <c r="EV111" s="73" t="str">
        <f t="shared" si="299"/>
        <v/>
      </c>
      <c r="EW111" s="73" t="str">
        <f t="shared" si="299"/>
        <v/>
      </c>
      <c r="EX111" s="73" t="str">
        <f t="shared" si="299"/>
        <v/>
      </c>
      <c r="EY111" s="73" t="str">
        <f t="shared" si="299"/>
        <v/>
      </c>
      <c r="EZ111" s="73" t="str">
        <f t="shared" si="299"/>
        <v/>
      </c>
      <c r="FA111" s="73" t="str">
        <f t="shared" si="299"/>
        <v/>
      </c>
      <c r="FB111" s="73" t="str">
        <f t="shared" si="299"/>
        <v/>
      </c>
      <c r="FC111" s="73" t="str">
        <f t="shared" si="299"/>
        <v/>
      </c>
      <c r="FD111" s="73" t="str">
        <f t="shared" si="299"/>
        <v/>
      </c>
      <c r="FE111" s="73" t="str">
        <f t="shared" si="299"/>
        <v/>
      </c>
      <c r="FF111" s="73" t="str">
        <f t="shared" si="299"/>
        <v/>
      </c>
      <c r="FG111" s="73" t="str">
        <f t="shared" si="299"/>
        <v/>
      </c>
      <c r="FH111" s="73" t="str">
        <f t="shared" si="299"/>
        <v/>
      </c>
      <c r="FI111" s="73" t="str">
        <f t="shared" si="299"/>
        <v/>
      </c>
      <c r="FJ111" s="73" t="str">
        <f t="shared" si="299"/>
        <v/>
      </c>
      <c r="FK111" s="73" t="str">
        <f t="shared" ref="FK111:GQ111" si="300">IF(FK84="","",FK57/(1+ INDEX($C$3:$C$6,MATCH($A111,$B$3:$B$6,0))/100)^FK84)</f>
        <v/>
      </c>
      <c r="FL111" s="73" t="str">
        <f t="shared" si="300"/>
        <v/>
      </c>
      <c r="FM111" s="73" t="str">
        <f t="shared" si="300"/>
        <v/>
      </c>
      <c r="FN111" s="73" t="str">
        <f t="shared" si="300"/>
        <v/>
      </c>
      <c r="FO111" s="73" t="str">
        <f t="shared" si="300"/>
        <v/>
      </c>
      <c r="FP111" s="73" t="str">
        <f t="shared" si="300"/>
        <v/>
      </c>
      <c r="FQ111" s="73" t="str">
        <f t="shared" si="300"/>
        <v/>
      </c>
      <c r="FR111" s="73" t="str">
        <f t="shared" si="300"/>
        <v/>
      </c>
      <c r="FS111" s="73" t="str">
        <f t="shared" si="300"/>
        <v/>
      </c>
      <c r="FT111" s="73" t="str">
        <f t="shared" si="300"/>
        <v/>
      </c>
      <c r="FU111" s="73" t="str">
        <f t="shared" si="300"/>
        <v/>
      </c>
      <c r="FV111" s="73" t="str">
        <f t="shared" si="300"/>
        <v/>
      </c>
      <c r="FW111" s="73" t="str">
        <f t="shared" si="300"/>
        <v/>
      </c>
      <c r="FX111" s="73" t="str">
        <f t="shared" si="300"/>
        <v/>
      </c>
      <c r="FY111" s="73" t="str">
        <f t="shared" si="300"/>
        <v/>
      </c>
      <c r="FZ111" s="73" t="str">
        <f t="shared" si="300"/>
        <v/>
      </c>
      <c r="GA111" s="73" t="str">
        <f t="shared" si="300"/>
        <v/>
      </c>
      <c r="GB111" s="73" t="str">
        <f t="shared" si="300"/>
        <v/>
      </c>
      <c r="GC111" s="73" t="str">
        <f t="shared" si="300"/>
        <v/>
      </c>
      <c r="GD111" s="73" t="str">
        <f t="shared" si="300"/>
        <v/>
      </c>
      <c r="GE111" s="73" t="str">
        <f t="shared" si="300"/>
        <v/>
      </c>
      <c r="GF111" s="73" t="str">
        <f t="shared" si="300"/>
        <v/>
      </c>
      <c r="GG111" s="73" t="str">
        <f t="shared" si="300"/>
        <v/>
      </c>
      <c r="GH111" s="73" t="str">
        <f t="shared" si="300"/>
        <v/>
      </c>
      <c r="GI111" s="73" t="str">
        <f t="shared" si="300"/>
        <v/>
      </c>
      <c r="GJ111" s="73" t="str">
        <f t="shared" si="300"/>
        <v/>
      </c>
      <c r="GK111" s="73" t="str">
        <f t="shared" si="300"/>
        <v/>
      </c>
      <c r="GL111" s="73" t="str">
        <f t="shared" si="300"/>
        <v/>
      </c>
      <c r="GM111" s="73" t="str">
        <f t="shared" si="300"/>
        <v/>
      </c>
      <c r="GN111" s="73" t="str">
        <f t="shared" si="300"/>
        <v/>
      </c>
      <c r="GO111" s="73" t="str">
        <f t="shared" si="300"/>
        <v/>
      </c>
      <c r="GP111" s="73" t="str">
        <f t="shared" si="300"/>
        <v/>
      </c>
      <c r="GQ111" s="73" t="str">
        <f t="shared" si="300"/>
        <v/>
      </c>
    </row>
    <row r="112" spans="1:199" x14ac:dyDescent="0.2">
      <c r="A112" t="s">
        <v>222</v>
      </c>
      <c r="B112" t="s">
        <v>47</v>
      </c>
      <c r="C112" t="str">
        <f t="shared" si="179"/>
        <v>Euro 2027</v>
      </c>
      <c r="E112" s="73" t="str">
        <f t="shared" si="171"/>
        <v/>
      </c>
      <c r="F112" s="104">
        <f>IF(F85="","",F58*MIN(F85/1,1)/(1+ INDEX($C$3:$C$6,MATCH($A112,$B$3:$B$6,0))/100)^F85)</f>
        <v>1.5989107158402651</v>
      </c>
      <c r="G112" s="73">
        <f t="shared" ref="G112:AL112" si="301">IF(G85="","",G58/(1+ INDEX($C$3:$C$6,MATCH($A112,$B$3:$B$6,0))/100)^G85)</f>
        <v>4.190602390009734</v>
      </c>
      <c r="H112" s="73">
        <f t="shared" si="301"/>
        <v>3.6710953592801552</v>
      </c>
      <c r="I112" s="73">
        <f t="shared" si="301"/>
        <v>3.2159913737120243</v>
      </c>
      <c r="J112" s="73">
        <f t="shared" si="301"/>
        <v>2.8162850058515057</v>
      </c>
      <c r="K112" s="73">
        <f t="shared" si="301"/>
        <v>2.4671514625294084</v>
      </c>
      <c r="L112" s="73">
        <f t="shared" si="301"/>
        <v>45.387296688615301</v>
      </c>
      <c r="M112" s="73" t="str">
        <f t="shared" si="301"/>
        <v/>
      </c>
      <c r="N112" s="73" t="str">
        <f t="shared" si="301"/>
        <v/>
      </c>
      <c r="O112" s="73" t="str">
        <f t="shared" si="301"/>
        <v/>
      </c>
      <c r="P112" s="73" t="str">
        <f t="shared" si="301"/>
        <v/>
      </c>
      <c r="Q112" s="73" t="str">
        <f t="shared" si="301"/>
        <v/>
      </c>
      <c r="R112" s="73" t="str">
        <f t="shared" si="301"/>
        <v/>
      </c>
      <c r="S112" s="73" t="str">
        <f t="shared" si="301"/>
        <v/>
      </c>
      <c r="T112" s="73" t="str">
        <f t="shared" si="301"/>
        <v/>
      </c>
      <c r="U112" s="73" t="str">
        <f t="shared" si="301"/>
        <v/>
      </c>
      <c r="V112" s="73" t="str">
        <f t="shared" si="301"/>
        <v/>
      </c>
      <c r="W112" s="73" t="str">
        <f t="shared" si="301"/>
        <v/>
      </c>
      <c r="X112" s="73" t="str">
        <f t="shared" si="301"/>
        <v/>
      </c>
      <c r="Y112" s="73" t="str">
        <f t="shared" si="301"/>
        <v/>
      </c>
      <c r="Z112" s="73" t="str">
        <f t="shared" si="301"/>
        <v/>
      </c>
      <c r="AA112" s="73" t="str">
        <f t="shared" si="301"/>
        <v/>
      </c>
      <c r="AB112" s="73" t="str">
        <f t="shared" si="301"/>
        <v/>
      </c>
      <c r="AC112" s="73" t="str">
        <f t="shared" si="301"/>
        <v/>
      </c>
      <c r="AD112" s="73" t="str">
        <f t="shared" si="301"/>
        <v/>
      </c>
      <c r="AE112" s="73" t="str">
        <f t="shared" si="301"/>
        <v/>
      </c>
      <c r="AF112" s="73" t="str">
        <f t="shared" si="301"/>
        <v/>
      </c>
      <c r="AG112" s="73" t="str">
        <f t="shared" si="301"/>
        <v/>
      </c>
      <c r="AH112" s="73" t="str">
        <f t="shared" si="301"/>
        <v/>
      </c>
      <c r="AI112" s="73" t="str">
        <f t="shared" si="301"/>
        <v/>
      </c>
      <c r="AJ112" s="73" t="str">
        <f t="shared" si="301"/>
        <v/>
      </c>
      <c r="AK112" s="73" t="str">
        <f t="shared" si="301"/>
        <v/>
      </c>
      <c r="AL112" s="73" t="str">
        <f t="shared" si="301"/>
        <v/>
      </c>
      <c r="AM112" s="73" t="str">
        <f t="shared" ref="AM112:BR112" si="302">IF(AM85="","",AM58/(1+ INDEX($C$3:$C$6,MATCH($A112,$B$3:$B$6,0))/100)^AM85)</f>
        <v/>
      </c>
      <c r="AN112" s="73" t="str">
        <f t="shared" si="302"/>
        <v/>
      </c>
      <c r="AO112" s="73" t="str">
        <f t="shared" si="302"/>
        <v/>
      </c>
      <c r="AP112" s="73" t="str">
        <f t="shared" si="302"/>
        <v/>
      </c>
      <c r="AQ112" s="73" t="str">
        <f t="shared" si="302"/>
        <v/>
      </c>
      <c r="AR112" s="73" t="str">
        <f t="shared" si="302"/>
        <v/>
      </c>
      <c r="AS112" s="73" t="str">
        <f t="shared" si="302"/>
        <v/>
      </c>
      <c r="AT112" s="73" t="str">
        <f t="shared" si="302"/>
        <v/>
      </c>
      <c r="AU112" s="73" t="str">
        <f t="shared" si="302"/>
        <v/>
      </c>
      <c r="AV112" s="73" t="str">
        <f t="shared" si="302"/>
        <v/>
      </c>
      <c r="AW112" s="73" t="str">
        <f t="shared" si="302"/>
        <v/>
      </c>
      <c r="AX112" s="73" t="str">
        <f t="shared" si="302"/>
        <v/>
      </c>
      <c r="AY112" s="73" t="str">
        <f t="shared" si="302"/>
        <v/>
      </c>
      <c r="AZ112" s="73" t="str">
        <f t="shared" si="302"/>
        <v/>
      </c>
      <c r="BA112" s="73" t="str">
        <f t="shared" si="302"/>
        <v/>
      </c>
      <c r="BB112" s="73" t="str">
        <f t="shared" si="302"/>
        <v/>
      </c>
      <c r="BC112" s="73" t="str">
        <f t="shared" si="302"/>
        <v/>
      </c>
      <c r="BD112" s="73" t="str">
        <f t="shared" si="302"/>
        <v/>
      </c>
      <c r="BE112" s="73" t="str">
        <f t="shared" si="302"/>
        <v/>
      </c>
      <c r="BF112" s="73" t="str">
        <f t="shared" si="302"/>
        <v/>
      </c>
      <c r="BG112" s="73" t="str">
        <f t="shared" si="302"/>
        <v/>
      </c>
      <c r="BH112" s="73" t="str">
        <f t="shared" si="302"/>
        <v/>
      </c>
      <c r="BI112" s="73" t="str">
        <f t="shared" si="302"/>
        <v/>
      </c>
      <c r="BJ112" s="73" t="str">
        <f t="shared" si="302"/>
        <v/>
      </c>
      <c r="BK112" s="73" t="str">
        <f t="shared" si="302"/>
        <v/>
      </c>
      <c r="BL112" s="73" t="str">
        <f t="shared" si="302"/>
        <v/>
      </c>
      <c r="BM112" s="73" t="str">
        <f t="shared" si="302"/>
        <v/>
      </c>
      <c r="BN112" s="73" t="str">
        <f t="shared" si="302"/>
        <v/>
      </c>
      <c r="BO112" s="73" t="str">
        <f t="shared" si="302"/>
        <v/>
      </c>
      <c r="BP112" s="73" t="str">
        <f t="shared" si="302"/>
        <v/>
      </c>
      <c r="BQ112" s="73" t="str">
        <f t="shared" si="302"/>
        <v/>
      </c>
      <c r="BR112" s="73" t="str">
        <f t="shared" si="302"/>
        <v/>
      </c>
      <c r="BS112" s="73" t="str">
        <f t="shared" ref="BS112:CX112" si="303">IF(BS85="","",BS58/(1+ INDEX($C$3:$C$6,MATCH($A112,$B$3:$B$6,0))/100)^BS85)</f>
        <v/>
      </c>
      <c r="BT112" s="73" t="str">
        <f t="shared" si="303"/>
        <v/>
      </c>
      <c r="BU112" s="73" t="str">
        <f t="shared" si="303"/>
        <v/>
      </c>
      <c r="BV112" s="73" t="str">
        <f t="shared" si="303"/>
        <v/>
      </c>
      <c r="BW112" s="73" t="str">
        <f t="shared" si="303"/>
        <v/>
      </c>
      <c r="BX112" s="73" t="str">
        <f t="shared" si="303"/>
        <v/>
      </c>
      <c r="BY112" s="73" t="str">
        <f t="shared" si="303"/>
        <v/>
      </c>
      <c r="BZ112" s="73" t="str">
        <f t="shared" si="303"/>
        <v/>
      </c>
      <c r="CA112" s="73" t="str">
        <f t="shared" si="303"/>
        <v/>
      </c>
      <c r="CB112" s="73" t="str">
        <f t="shared" si="303"/>
        <v/>
      </c>
      <c r="CC112" s="73" t="str">
        <f t="shared" si="303"/>
        <v/>
      </c>
      <c r="CD112" s="73" t="str">
        <f t="shared" si="303"/>
        <v/>
      </c>
      <c r="CE112" s="73" t="str">
        <f t="shared" si="303"/>
        <v/>
      </c>
      <c r="CF112" s="73" t="str">
        <f t="shared" si="303"/>
        <v/>
      </c>
      <c r="CG112" s="73" t="str">
        <f t="shared" si="303"/>
        <v/>
      </c>
      <c r="CH112" s="73" t="str">
        <f t="shared" si="303"/>
        <v/>
      </c>
      <c r="CI112" s="73" t="str">
        <f t="shared" si="303"/>
        <v/>
      </c>
      <c r="CJ112" s="73" t="str">
        <f t="shared" si="303"/>
        <v/>
      </c>
      <c r="CK112" s="73" t="str">
        <f t="shared" si="303"/>
        <v/>
      </c>
      <c r="CL112" s="73" t="str">
        <f t="shared" si="303"/>
        <v/>
      </c>
      <c r="CM112" s="73" t="str">
        <f t="shared" si="303"/>
        <v/>
      </c>
      <c r="CN112" s="73" t="str">
        <f t="shared" si="303"/>
        <v/>
      </c>
      <c r="CO112" s="73" t="str">
        <f t="shared" si="303"/>
        <v/>
      </c>
      <c r="CP112" s="73" t="str">
        <f t="shared" si="303"/>
        <v/>
      </c>
      <c r="CQ112" s="73" t="str">
        <f t="shared" si="303"/>
        <v/>
      </c>
      <c r="CR112" s="73" t="str">
        <f t="shared" si="303"/>
        <v/>
      </c>
      <c r="CS112" s="73" t="str">
        <f t="shared" si="303"/>
        <v/>
      </c>
      <c r="CT112" s="73" t="str">
        <f t="shared" si="303"/>
        <v/>
      </c>
      <c r="CU112" s="73" t="str">
        <f t="shared" si="303"/>
        <v/>
      </c>
      <c r="CV112" s="73" t="str">
        <f t="shared" si="303"/>
        <v/>
      </c>
      <c r="CW112" s="73" t="str">
        <f t="shared" si="303"/>
        <v/>
      </c>
      <c r="CX112" s="73" t="str">
        <f t="shared" si="303"/>
        <v/>
      </c>
      <c r="CY112" s="73" t="str">
        <f t="shared" ref="CY112:ED112" si="304">IF(CY85="","",CY58/(1+ INDEX($C$3:$C$6,MATCH($A112,$B$3:$B$6,0))/100)^CY85)</f>
        <v/>
      </c>
      <c r="CZ112" s="73" t="str">
        <f t="shared" si="304"/>
        <v/>
      </c>
      <c r="DA112" s="73" t="str">
        <f t="shared" si="304"/>
        <v/>
      </c>
      <c r="DB112" s="73" t="str">
        <f t="shared" si="304"/>
        <v/>
      </c>
      <c r="DC112" s="73" t="str">
        <f t="shared" si="304"/>
        <v/>
      </c>
      <c r="DD112" s="73" t="str">
        <f t="shared" si="304"/>
        <v/>
      </c>
      <c r="DE112" s="73" t="str">
        <f t="shared" si="304"/>
        <v/>
      </c>
      <c r="DF112" s="73" t="str">
        <f t="shared" si="304"/>
        <v/>
      </c>
      <c r="DG112" s="73" t="str">
        <f t="shared" si="304"/>
        <v/>
      </c>
      <c r="DH112" s="73" t="str">
        <f t="shared" si="304"/>
        <v/>
      </c>
      <c r="DI112" s="73" t="str">
        <f t="shared" si="304"/>
        <v/>
      </c>
      <c r="DJ112" s="73" t="str">
        <f t="shared" si="304"/>
        <v/>
      </c>
      <c r="DK112" s="73" t="str">
        <f t="shared" si="304"/>
        <v/>
      </c>
      <c r="DL112" s="73" t="str">
        <f t="shared" si="304"/>
        <v/>
      </c>
      <c r="DM112" s="73" t="str">
        <f t="shared" si="304"/>
        <v/>
      </c>
      <c r="DN112" s="73" t="str">
        <f t="shared" si="304"/>
        <v/>
      </c>
      <c r="DO112" s="73" t="str">
        <f t="shared" si="304"/>
        <v/>
      </c>
      <c r="DP112" s="73" t="str">
        <f t="shared" si="304"/>
        <v/>
      </c>
      <c r="DQ112" s="73" t="str">
        <f t="shared" si="304"/>
        <v/>
      </c>
      <c r="DR112" s="73" t="str">
        <f t="shared" si="304"/>
        <v/>
      </c>
      <c r="DS112" s="73" t="str">
        <f t="shared" si="304"/>
        <v/>
      </c>
      <c r="DT112" s="73" t="str">
        <f t="shared" si="304"/>
        <v/>
      </c>
      <c r="DU112" s="73" t="str">
        <f t="shared" si="304"/>
        <v/>
      </c>
      <c r="DV112" s="73" t="str">
        <f t="shared" si="304"/>
        <v/>
      </c>
      <c r="DW112" s="73" t="str">
        <f t="shared" si="304"/>
        <v/>
      </c>
      <c r="DX112" s="73" t="str">
        <f t="shared" si="304"/>
        <v/>
      </c>
      <c r="DY112" s="73" t="str">
        <f t="shared" si="304"/>
        <v/>
      </c>
      <c r="DZ112" s="73" t="str">
        <f t="shared" si="304"/>
        <v/>
      </c>
      <c r="EA112" s="73" t="str">
        <f t="shared" si="304"/>
        <v/>
      </c>
      <c r="EB112" s="73" t="str">
        <f t="shared" si="304"/>
        <v/>
      </c>
      <c r="EC112" s="73" t="str">
        <f t="shared" si="304"/>
        <v/>
      </c>
      <c r="ED112" s="73" t="str">
        <f t="shared" si="304"/>
        <v/>
      </c>
      <c r="EE112" s="73" t="str">
        <f t="shared" ref="EE112:FJ112" si="305">IF(EE85="","",EE58/(1+ INDEX($C$3:$C$6,MATCH($A112,$B$3:$B$6,0))/100)^EE85)</f>
        <v/>
      </c>
      <c r="EF112" s="73" t="str">
        <f t="shared" si="305"/>
        <v/>
      </c>
      <c r="EG112" s="73" t="str">
        <f t="shared" si="305"/>
        <v/>
      </c>
      <c r="EH112" s="73" t="str">
        <f t="shared" si="305"/>
        <v/>
      </c>
      <c r="EI112" s="73" t="str">
        <f t="shared" si="305"/>
        <v/>
      </c>
      <c r="EJ112" s="73" t="str">
        <f t="shared" si="305"/>
        <v/>
      </c>
      <c r="EK112" s="73" t="str">
        <f t="shared" si="305"/>
        <v/>
      </c>
      <c r="EL112" s="73" t="str">
        <f t="shared" si="305"/>
        <v/>
      </c>
      <c r="EM112" s="73" t="str">
        <f t="shared" si="305"/>
        <v/>
      </c>
      <c r="EN112" s="73" t="str">
        <f t="shared" si="305"/>
        <v/>
      </c>
      <c r="EO112" s="73" t="str">
        <f t="shared" si="305"/>
        <v/>
      </c>
      <c r="EP112" s="73" t="str">
        <f t="shared" si="305"/>
        <v/>
      </c>
      <c r="EQ112" s="73" t="str">
        <f t="shared" si="305"/>
        <v/>
      </c>
      <c r="ER112" s="73" t="str">
        <f t="shared" si="305"/>
        <v/>
      </c>
      <c r="ES112" s="73" t="str">
        <f t="shared" si="305"/>
        <v/>
      </c>
      <c r="ET112" s="73" t="str">
        <f t="shared" si="305"/>
        <v/>
      </c>
      <c r="EU112" s="73" t="str">
        <f t="shared" si="305"/>
        <v/>
      </c>
      <c r="EV112" s="73" t="str">
        <f t="shared" si="305"/>
        <v/>
      </c>
      <c r="EW112" s="73" t="str">
        <f t="shared" si="305"/>
        <v/>
      </c>
      <c r="EX112" s="73" t="str">
        <f t="shared" si="305"/>
        <v/>
      </c>
      <c r="EY112" s="73" t="str">
        <f t="shared" si="305"/>
        <v/>
      </c>
      <c r="EZ112" s="73" t="str">
        <f t="shared" si="305"/>
        <v/>
      </c>
      <c r="FA112" s="73" t="str">
        <f t="shared" si="305"/>
        <v/>
      </c>
      <c r="FB112" s="73" t="str">
        <f t="shared" si="305"/>
        <v/>
      </c>
      <c r="FC112" s="73" t="str">
        <f t="shared" si="305"/>
        <v/>
      </c>
      <c r="FD112" s="73" t="str">
        <f t="shared" si="305"/>
        <v/>
      </c>
      <c r="FE112" s="73" t="str">
        <f t="shared" si="305"/>
        <v/>
      </c>
      <c r="FF112" s="73" t="str">
        <f t="shared" si="305"/>
        <v/>
      </c>
      <c r="FG112" s="73" t="str">
        <f t="shared" si="305"/>
        <v/>
      </c>
      <c r="FH112" s="73" t="str">
        <f t="shared" si="305"/>
        <v/>
      </c>
      <c r="FI112" s="73" t="str">
        <f t="shared" si="305"/>
        <v/>
      </c>
      <c r="FJ112" s="73" t="str">
        <f t="shared" si="305"/>
        <v/>
      </c>
      <c r="FK112" s="73" t="str">
        <f t="shared" ref="FK112:GQ112" si="306">IF(FK85="","",FK58/(1+ INDEX($C$3:$C$6,MATCH($A112,$B$3:$B$6,0))/100)^FK85)</f>
        <v/>
      </c>
      <c r="FL112" s="73" t="str">
        <f t="shared" si="306"/>
        <v/>
      </c>
      <c r="FM112" s="73" t="str">
        <f t="shared" si="306"/>
        <v/>
      </c>
      <c r="FN112" s="73" t="str">
        <f t="shared" si="306"/>
        <v/>
      </c>
      <c r="FO112" s="73" t="str">
        <f t="shared" si="306"/>
        <v/>
      </c>
      <c r="FP112" s="73" t="str">
        <f t="shared" si="306"/>
        <v/>
      </c>
      <c r="FQ112" s="73" t="str">
        <f t="shared" si="306"/>
        <v/>
      </c>
      <c r="FR112" s="73" t="str">
        <f t="shared" si="306"/>
        <v/>
      </c>
      <c r="FS112" s="73" t="str">
        <f t="shared" si="306"/>
        <v/>
      </c>
      <c r="FT112" s="73" t="str">
        <f t="shared" si="306"/>
        <v/>
      </c>
      <c r="FU112" s="73" t="str">
        <f t="shared" si="306"/>
        <v/>
      </c>
      <c r="FV112" s="73" t="str">
        <f t="shared" si="306"/>
        <v/>
      </c>
      <c r="FW112" s="73" t="str">
        <f t="shared" si="306"/>
        <v/>
      </c>
      <c r="FX112" s="73" t="str">
        <f t="shared" si="306"/>
        <v/>
      </c>
      <c r="FY112" s="73" t="str">
        <f t="shared" si="306"/>
        <v/>
      </c>
      <c r="FZ112" s="73" t="str">
        <f t="shared" si="306"/>
        <v/>
      </c>
      <c r="GA112" s="73" t="str">
        <f t="shared" si="306"/>
        <v/>
      </c>
      <c r="GB112" s="73" t="str">
        <f t="shared" si="306"/>
        <v/>
      </c>
      <c r="GC112" s="73" t="str">
        <f t="shared" si="306"/>
        <v/>
      </c>
      <c r="GD112" s="73" t="str">
        <f t="shared" si="306"/>
        <v/>
      </c>
      <c r="GE112" s="73" t="str">
        <f t="shared" si="306"/>
        <v/>
      </c>
      <c r="GF112" s="73" t="str">
        <f t="shared" si="306"/>
        <v/>
      </c>
      <c r="GG112" s="73" t="str">
        <f t="shared" si="306"/>
        <v/>
      </c>
      <c r="GH112" s="73" t="str">
        <f t="shared" si="306"/>
        <v/>
      </c>
      <c r="GI112" s="73" t="str">
        <f t="shared" si="306"/>
        <v/>
      </c>
      <c r="GJ112" s="73" t="str">
        <f t="shared" si="306"/>
        <v/>
      </c>
      <c r="GK112" s="73" t="str">
        <f t="shared" si="306"/>
        <v/>
      </c>
      <c r="GL112" s="73" t="str">
        <f t="shared" si="306"/>
        <v/>
      </c>
      <c r="GM112" s="73" t="str">
        <f t="shared" si="306"/>
        <v/>
      </c>
      <c r="GN112" s="73" t="str">
        <f t="shared" si="306"/>
        <v/>
      </c>
      <c r="GO112" s="73" t="str">
        <f t="shared" si="306"/>
        <v/>
      </c>
      <c r="GP112" s="73" t="str">
        <f t="shared" si="306"/>
        <v/>
      </c>
      <c r="GQ112" s="73" t="str">
        <f t="shared" si="306"/>
        <v/>
      </c>
    </row>
    <row r="113" spans="1:199" x14ac:dyDescent="0.2">
      <c r="A113" t="s">
        <v>222</v>
      </c>
      <c r="B113" t="s">
        <v>49</v>
      </c>
      <c r="C113" t="str">
        <f t="shared" si="179"/>
        <v>Euro 2028</v>
      </c>
      <c r="E113" s="73" t="str">
        <f t="shared" si="171"/>
        <v/>
      </c>
      <c r="F113" s="104">
        <f>IF(F86="","",F59*MIN(F86/1,1)/(1+ INDEX($C$3:$C$6,MATCH($A113,$B$3:$B$6,0))/100)^F86)</f>
        <v>1.6788562516322785</v>
      </c>
      <c r="G113" s="73">
        <f t="shared" ref="G113:AL113" si="307">IF(G86="","",G59/(1+ INDEX($C$3:$C$6,MATCH($A113,$B$3:$B$6,0))/100)^G86)</f>
        <v>4.4001325095102208</v>
      </c>
      <c r="H113" s="73">
        <f t="shared" si="307"/>
        <v>3.8546501272441631</v>
      </c>
      <c r="I113" s="73">
        <f t="shared" si="307"/>
        <v>3.3767909423976255</v>
      </c>
      <c r="J113" s="73">
        <f t="shared" si="307"/>
        <v>2.957099256144081</v>
      </c>
      <c r="K113" s="73">
        <f t="shared" si="307"/>
        <v>2.5905090356558791</v>
      </c>
      <c r="L113" s="73">
        <f t="shared" si="307"/>
        <v>2.2693648344307653</v>
      </c>
      <c r="M113" s="73">
        <f t="shared" si="307"/>
        <v>39.855322836895553</v>
      </c>
      <c r="N113" s="73" t="str">
        <f t="shared" si="307"/>
        <v/>
      </c>
      <c r="O113" s="73" t="str">
        <f t="shared" si="307"/>
        <v/>
      </c>
      <c r="P113" s="73" t="str">
        <f t="shared" si="307"/>
        <v/>
      </c>
      <c r="Q113" s="73" t="str">
        <f t="shared" si="307"/>
        <v/>
      </c>
      <c r="R113" s="73" t="str">
        <f t="shared" si="307"/>
        <v/>
      </c>
      <c r="S113" s="73" t="str">
        <f t="shared" si="307"/>
        <v/>
      </c>
      <c r="T113" s="73" t="str">
        <f t="shared" si="307"/>
        <v/>
      </c>
      <c r="U113" s="73" t="str">
        <f t="shared" si="307"/>
        <v/>
      </c>
      <c r="V113" s="73" t="str">
        <f t="shared" si="307"/>
        <v/>
      </c>
      <c r="W113" s="73" t="str">
        <f t="shared" si="307"/>
        <v/>
      </c>
      <c r="X113" s="73" t="str">
        <f t="shared" si="307"/>
        <v/>
      </c>
      <c r="Y113" s="73" t="str">
        <f t="shared" si="307"/>
        <v/>
      </c>
      <c r="Z113" s="73" t="str">
        <f t="shared" si="307"/>
        <v/>
      </c>
      <c r="AA113" s="73" t="str">
        <f t="shared" si="307"/>
        <v/>
      </c>
      <c r="AB113" s="73" t="str">
        <f t="shared" si="307"/>
        <v/>
      </c>
      <c r="AC113" s="73" t="str">
        <f t="shared" si="307"/>
        <v/>
      </c>
      <c r="AD113" s="73" t="str">
        <f t="shared" si="307"/>
        <v/>
      </c>
      <c r="AE113" s="73" t="str">
        <f t="shared" si="307"/>
        <v/>
      </c>
      <c r="AF113" s="73" t="str">
        <f t="shared" si="307"/>
        <v/>
      </c>
      <c r="AG113" s="73" t="str">
        <f t="shared" si="307"/>
        <v/>
      </c>
      <c r="AH113" s="73" t="str">
        <f t="shared" si="307"/>
        <v/>
      </c>
      <c r="AI113" s="73" t="str">
        <f t="shared" si="307"/>
        <v/>
      </c>
      <c r="AJ113" s="73" t="str">
        <f t="shared" si="307"/>
        <v/>
      </c>
      <c r="AK113" s="73" t="str">
        <f t="shared" si="307"/>
        <v/>
      </c>
      <c r="AL113" s="73" t="str">
        <f t="shared" si="307"/>
        <v/>
      </c>
      <c r="AM113" s="73" t="str">
        <f t="shared" ref="AM113:BR113" si="308">IF(AM86="","",AM59/(1+ INDEX($C$3:$C$6,MATCH($A113,$B$3:$B$6,0))/100)^AM86)</f>
        <v/>
      </c>
      <c r="AN113" s="73" t="str">
        <f t="shared" si="308"/>
        <v/>
      </c>
      <c r="AO113" s="73" t="str">
        <f t="shared" si="308"/>
        <v/>
      </c>
      <c r="AP113" s="73" t="str">
        <f t="shared" si="308"/>
        <v/>
      </c>
      <c r="AQ113" s="73" t="str">
        <f t="shared" si="308"/>
        <v/>
      </c>
      <c r="AR113" s="73" t="str">
        <f t="shared" si="308"/>
        <v/>
      </c>
      <c r="AS113" s="73" t="str">
        <f t="shared" si="308"/>
        <v/>
      </c>
      <c r="AT113" s="73" t="str">
        <f t="shared" si="308"/>
        <v/>
      </c>
      <c r="AU113" s="73" t="str">
        <f t="shared" si="308"/>
        <v/>
      </c>
      <c r="AV113" s="73" t="str">
        <f t="shared" si="308"/>
        <v/>
      </c>
      <c r="AW113" s="73" t="str">
        <f t="shared" si="308"/>
        <v/>
      </c>
      <c r="AX113" s="73" t="str">
        <f t="shared" si="308"/>
        <v/>
      </c>
      <c r="AY113" s="73" t="str">
        <f t="shared" si="308"/>
        <v/>
      </c>
      <c r="AZ113" s="73" t="str">
        <f t="shared" si="308"/>
        <v/>
      </c>
      <c r="BA113" s="73" t="str">
        <f t="shared" si="308"/>
        <v/>
      </c>
      <c r="BB113" s="73" t="str">
        <f t="shared" si="308"/>
        <v/>
      </c>
      <c r="BC113" s="73" t="str">
        <f t="shared" si="308"/>
        <v/>
      </c>
      <c r="BD113" s="73" t="str">
        <f t="shared" si="308"/>
        <v/>
      </c>
      <c r="BE113" s="73" t="str">
        <f t="shared" si="308"/>
        <v/>
      </c>
      <c r="BF113" s="73" t="str">
        <f t="shared" si="308"/>
        <v/>
      </c>
      <c r="BG113" s="73" t="str">
        <f t="shared" si="308"/>
        <v/>
      </c>
      <c r="BH113" s="73" t="str">
        <f t="shared" si="308"/>
        <v/>
      </c>
      <c r="BI113" s="73" t="str">
        <f t="shared" si="308"/>
        <v/>
      </c>
      <c r="BJ113" s="73" t="str">
        <f t="shared" si="308"/>
        <v/>
      </c>
      <c r="BK113" s="73" t="str">
        <f t="shared" si="308"/>
        <v/>
      </c>
      <c r="BL113" s="73" t="str">
        <f t="shared" si="308"/>
        <v/>
      </c>
      <c r="BM113" s="73" t="str">
        <f t="shared" si="308"/>
        <v/>
      </c>
      <c r="BN113" s="73" t="str">
        <f t="shared" si="308"/>
        <v/>
      </c>
      <c r="BO113" s="73" t="str">
        <f t="shared" si="308"/>
        <v/>
      </c>
      <c r="BP113" s="73" t="str">
        <f t="shared" si="308"/>
        <v/>
      </c>
      <c r="BQ113" s="73" t="str">
        <f t="shared" si="308"/>
        <v/>
      </c>
      <c r="BR113" s="73" t="str">
        <f t="shared" si="308"/>
        <v/>
      </c>
      <c r="BS113" s="73" t="str">
        <f t="shared" ref="BS113:CX113" si="309">IF(BS86="","",BS59/(1+ INDEX($C$3:$C$6,MATCH($A113,$B$3:$B$6,0))/100)^BS86)</f>
        <v/>
      </c>
      <c r="BT113" s="73" t="str">
        <f t="shared" si="309"/>
        <v/>
      </c>
      <c r="BU113" s="73" t="str">
        <f t="shared" si="309"/>
        <v/>
      </c>
      <c r="BV113" s="73" t="str">
        <f t="shared" si="309"/>
        <v/>
      </c>
      <c r="BW113" s="73" t="str">
        <f t="shared" si="309"/>
        <v/>
      </c>
      <c r="BX113" s="73" t="str">
        <f t="shared" si="309"/>
        <v/>
      </c>
      <c r="BY113" s="73" t="str">
        <f t="shared" si="309"/>
        <v/>
      </c>
      <c r="BZ113" s="73" t="str">
        <f t="shared" si="309"/>
        <v/>
      </c>
      <c r="CA113" s="73" t="str">
        <f t="shared" si="309"/>
        <v/>
      </c>
      <c r="CB113" s="73" t="str">
        <f t="shared" si="309"/>
        <v/>
      </c>
      <c r="CC113" s="73" t="str">
        <f t="shared" si="309"/>
        <v/>
      </c>
      <c r="CD113" s="73" t="str">
        <f t="shared" si="309"/>
        <v/>
      </c>
      <c r="CE113" s="73" t="str">
        <f t="shared" si="309"/>
        <v/>
      </c>
      <c r="CF113" s="73" t="str">
        <f t="shared" si="309"/>
        <v/>
      </c>
      <c r="CG113" s="73" t="str">
        <f t="shared" si="309"/>
        <v/>
      </c>
      <c r="CH113" s="73" t="str">
        <f t="shared" si="309"/>
        <v/>
      </c>
      <c r="CI113" s="73" t="str">
        <f t="shared" si="309"/>
        <v/>
      </c>
      <c r="CJ113" s="73" t="str">
        <f t="shared" si="309"/>
        <v/>
      </c>
      <c r="CK113" s="73" t="str">
        <f t="shared" si="309"/>
        <v/>
      </c>
      <c r="CL113" s="73" t="str">
        <f t="shared" si="309"/>
        <v/>
      </c>
      <c r="CM113" s="73" t="str">
        <f t="shared" si="309"/>
        <v/>
      </c>
      <c r="CN113" s="73" t="str">
        <f t="shared" si="309"/>
        <v/>
      </c>
      <c r="CO113" s="73" t="str">
        <f t="shared" si="309"/>
        <v/>
      </c>
      <c r="CP113" s="73" t="str">
        <f t="shared" si="309"/>
        <v/>
      </c>
      <c r="CQ113" s="73" t="str">
        <f t="shared" si="309"/>
        <v/>
      </c>
      <c r="CR113" s="73" t="str">
        <f t="shared" si="309"/>
        <v/>
      </c>
      <c r="CS113" s="73" t="str">
        <f t="shared" si="309"/>
        <v/>
      </c>
      <c r="CT113" s="73" t="str">
        <f t="shared" si="309"/>
        <v/>
      </c>
      <c r="CU113" s="73" t="str">
        <f t="shared" si="309"/>
        <v/>
      </c>
      <c r="CV113" s="73" t="str">
        <f t="shared" si="309"/>
        <v/>
      </c>
      <c r="CW113" s="73" t="str">
        <f t="shared" si="309"/>
        <v/>
      </c>
      <c r="CX113" s="73" t="str">
        <f t="shared" si="309"/>
        <v/>
      </c>
      <c r="CY113" s="73" t="str">
        <f t="shared" ref="CY113:ED113" si="310">IF(CY86="","",CY59/(1+ INDEX($C$3:$C$6,MATCH($A113,$B$3:$B$6,0))/100)^CY86)</f>
        <v/>
      </c>
      <c r="CZ113" s="73" t="str">
        <f t="shared" si="310"/>
        <v/>
      </c>
      <c r="DA113" s="73" t="str">
        <f t="shared" si="310"/>
        <v/>
      </c>
      <c r="DB113" s="73" t="str">
        <f t="shared" si="310"/>
        <v/>
      </c>
      <c r="DC113" s="73" t="str">
        <f t="shared" si="310"/>
        <v/>
      </c>
      <c r="DD113" s="73" t="str">
        <f t="shared" si="310"/>
        <v/>
      </c>
      <c r="DE113" s="73" t="str">
        <f t="shared" si="310"/>
        <v/>
      </c>
      <c r="DF113" s="73" t="str">
        <f t="shared" si="310"/>
        <v/>
      </c>
      <c r="DG113" s="73" t="str">
        <f t="shared" si="310"/>
        <v/>
      </c>
      <c r="DH113" s="73" t="str">
        <f t="shared" si="310"/>
        <v/>
      </c>
      <c r="DI113" s="73" t="str">
        <f t="shared" si="310"/>
        <v/>
      </c>
      <c r="DJ113" s="73" t="str">
        <f t="shared" si="310"/>
        <v/>
      </c>
      <c r="DK113" s="73" t="str">
        <f t="shared" si="310"/>
        <v/>
      </c>
      <c r="DL113" s="73" t="str">
        <f t="shared" si="310"/>
        <v/>
      </c>
      <c r="DM113" s="73" t="str">
        <f t="shared" si="310"/>
        <v/>
      </c>
      <c r="DN113" s="73" t="str">
        <f t="shared" si="310"/>
        <v/>
      </c>
      <c r="DO113" s="73" t="str">
        <f t="shared" si="310"/>
        <v/>
      </c>
      <c r="DP113" s="73" t="str">
        <f t="shared" si="310"/>
        <v/>
      </c>
      <c r="DQ113" s="73" t="str">
        <f t="shared" si="310"/>
        <v/>
      </c>
      <c r="DR113" s="73" t="str">
        <f t="shared" si="310"/>
        <v/>
      </c>
      <c r="DS113" s="73" t="str">
        <f t="shared" si="310"/>
        <v/>
      </c>
      <c r="DT113" s="73" t="str">
        <f t="shared" si="310"/>
        <v/>
      </c>
      <c r="DU113" s="73" t="str">
        <f t="shared" si="310"/>
        <v/>
      </c>
      <c r="DV113" s="73" t="str">
        <f t="shared" si="310"/>
        <v/>
      </c>
      <c r="DW113" s="73" t="str">
        <f t="shared" si="310"/>
        <v/>
      </c>
      <c r="DX113" s="73" t="str">
        <f t="shared" si="310"/>
        <v/>
      </c>
      <c r="DY113" s="73" t="str">
        <f t="shared" si="310"/>
        <v/>
      </c>
      <c r="DZ113" s="73" t="str">
        <f t="shared" si="310"/>
        <v/>
      </c>
      <c r="EA113" s="73" t="str">
        <f t="shared" si="310"/>
        <v/>
      </c>
      <c r="EB113" s="73" t="str">
        <f t="shared" si="310"/>
        <v/>
      </c>
      <c r="EC113" s="73" t="str">
        <f t="shared" si="310"/>
        <v/>
      </c>
      <c r="ED113" s="73" t="str">
        <f t="shared" si="310"/>
        <v/>
      </c>
      <c r="EE113" s="73" t="str">
        <f t="shared" ref="EE113:FJ113" si="311">IF(EE86="","",EE59/(1+ INDEX($C$3:$C$6,MATCH($A113,$B$3:$B$6,0))/100)^EE86)</f>
        <v/>
      </c>
      <c r="EF113" s="73" t="str">
        <f t="shared" si="311"/>
        <v/>
      </c>
      <c r="EG113" s="73" t="str">
        <f t="shared" si="311"/>
        <v/>
      </c>
      <c r="EH113" s="73" t="str">
        <f t="shared" si="311"/>
        <v/>
      </c>
      <c r="EI113" s="73" t="str">
        <f t="shared" si="311"/>
        <v/>
      </c>
      <c r="EJ113" s="73" t="str">
        <f t="shared" si="311"/>
        <v/>
      </c>
      <c r="EK113" s="73" t="str">
        <f t="shared" si="311"/>
        <v/>
      </c>
      <c r="EL113" s="73" t="str">
        <f t="shared" si="311"/>
        <v/>
      </c>
      <c r="EM113" s="73" t="str">
        <f t="shared" si="311"/>
        <v/>
      </c>
      <c r="EN113" s="73" t="str">
        <f t="shared" si="311"/>
        <v/>
      </c>
      <c r="EO113" s="73" t="str">
        <f t="shared" si="311"/>
        <v/>
      </c>
      <c r="EP113" s="73" t="str">
        <f t="shared" si="311"/>
        <v/>
      </c>
      <c r="EQ113" s="73" t="str">
        <f t="shared" si="311"/>
        <v/>
      </c>
      <c r="ER113" s="73" t="str">
        <f t="shared" si="311"/>
        <v/>
      </c>
      <c r="ES113" s="73" t="str">
        <f t="shared" si="311"/>
        <v/>
      </c>
      <c r="ET113" s="73" t="str">
        <f t="shared" si="311"/>
        <v/>
      </c>
      <c r="EU113" s="73" t="str">
        <f t="shared" si="311"/>
        <v/>
      </c>
      <c r="EV113" s="73" t="str">
        <f t="shared" si="311"/>
        <v/>
      </c>
      <c r="EW113" s="73" t="str">
        <f t="shared" si="311"/>
        <v/>
      </c>
      <c r="EX113" s="73" t="str">
        <f t="shared" si="311"/>
        <v/>
      </c>
      <c r="EY113" s="73" t="str">
        <f t="shared" si="311"/>
        <v/>
      </c>
      <c r="EZ113" s="73" t="str">
        <f t="shared" si="311"/>
        <v/>
      </c>
      <c r="FA113" s="73" t="str">
        <f t="shared" si="311"/>
        <v/>
      </c>
      <c r="FB113" s="73" t="str">
        <f t="shared" si="311"/>
        <v/>
      </c>
      <c r="FC113" s="73" t="str">
        <f t="shared" si="311"/>
        <v/>
      </c>
      <c r="FD113" s="73" t="str">
        <f t="shared" si="311"/>
        <v/>
      </c>
      <c r="FE113" s="73" t="str">
        <f t="shared" si="311"/>
        <v/>
      </c>
      <c r="FF113" s="73" t="str">
        <f t="shared" si="311"/>
        <v/>
      </c>
      <c r="FG113" s="73" t="str">
        <f t="shared" si="311"/>
        <v/>
      </c>
      <c r="FH113" s="73" t="str">
        <f t="shared" si="311"/>
        <v/>
      </c>
      <c r="FI113" s="73" t="str">
        <f t="shared" si="311"/>
        <v/>
      </c>
      <c r="FJ113" s="73" t="str">
        <f t="shared" si="311"/>
        <v/>
      </c>
      <c r="FK113" s="73" t="str">
        <f t="shared" ref="FK113:GQ113" si="312">IF(FK86="","",FK59/(1+ INDEX($C$3:$C$6,MATCH($A113,$B$3:$B$6,0))/100)^FK86)</f>
        <v/>
      </c>
      <c r="FL113" s="73" t="str">
        <f t="shared" si="312"/>
        <v/>
      </c>
      <c r="FM113" s="73" t="str">
        <f t="shared" si="312"/>
        <v/>
      </c>
      <c r="FN113" s="73" t="str">
        <f t="shared" si="312"/>
        <v/>
      </c>
      <c r="FO113" s="73" t="str">
        <f t="shared" si="312"/>
        <v/>
      </c>
      <c r="FP113" s="73" t="str">
        <f t="shared" si="312"/>
        <v/>
      </c>
      <c r="FQ113" s="73" t="str">
        <f t="shared" si="312"/>
        <v/>
      </c>
      <c r="FR113" s="73" t="str">
        <f t="shared" si="312"/>
        <v/>
      </c>
      <c r="FS113" s="73" t="str">
        <f t="shared" si="312"/>
        <v/>
      </c>
      <c r="FT113" s="73" t="str">
        <f t="shared" si="312"/>
        <v/>
      </c>
      <c r="FU113" s="73" t="str">
        <f t="shared" si="312"/>
        <v/>
      </c>
      <c r="FV113" s="73" t="str">
        <f t="shared" si="312"/>
        <v/>
      </c>
      <c r="FW113" s="73" t="str">
        <f t="shared" si="312"/>
        <v/>
      </c>
      <c r="FX113" s="73" t="str">
        <f t="shared" si="312"/>
        <v/>
      </c>
      <c r="FY113" s="73" t="str">
        <f t="shared" si="312"/>
        <v/>
      </c>
      <c r="FZ113" s="73" t="str">
        <f t="shared" si="312"/>
        <v/>
      </c>
      <c r="GA113" s="73" t="str">
        <f t="shared" si="312"/>
        <v/>
      </c>
      <c r="GB113" s="73" t="str">
        <f t="shared" si="312"/>
        <v/>
      </c>
      <c r="GC113" s="73" t="str">
        <f t="shared" si="312"/>
        <v/>
      </c>
      <c r="GD113" s="73" t="str">
        <f t="shared" si="312"/>
        <v/>
      </c>
      <c r="GE113" s="73" t="str">
        <f t="shared" si="312"/>
        <v/>
      </c>
      <c r="GF113" s="73" t="str">
        <f t="shared" si="312"/>
        <v/>
      </c>
      <c r="GG113" s="73" t="str">
        <f t="shared" si="312"/>
        <v/>
      </c>
      <c r="GH113" s="73" t="str">
        <f t="shared" si="312"/>
        <v/>
      </c>
      <c r="GI113" s="73" t="str">
        <f t="shared" si="312"/>
        <v/>
      </c>
      <c r="GJ113" s="73" t="str">
        <f t="shared" si="312"/>
        <v/>
      </c>
      <c r="GK113" s="73" t="str">
        <f t="shared" si="312"/>
        <v/>
      </c>
      <c r="GL113" s="73" t="str">
        <f t="shared" si="312"/>
        <v/>
      </c>
      <c r="GM113" s="73" t="str">
        <f t="shared" si="312"/>
        <v/>
      </c>
      <c r="GN113" s="73" t="str">
        <f t="shared" si="312"/>
        <v/>
      </c>
      <c r="GO113" s="73" t="str">
        <f t="shared" si="312"/>
        <v/>
      </c>
      <c r="GP113" s="73" t="str">
        <f t="shared" si="312"/>
        <v/>
      </c>
      <c r="GQ113" s="73" t="str">
        <f t="shared" si="312"/>
        <v/>
      </c>
    </row>
    <row r="114" spans="1:199" x14ac:dyDescent="0.2">
      <c r="A114" t="s">
        <v>222</v>
      </c>
      <c r="B114" t="s">
        <v>55</v>
      </c>
      <c r="C114" t="str">
        <f t="shared" si="179"/>
        <v>Euro 2047</v>
      </c>
      <c r="E114" s="73" t="str">
        <f t="shared" si="171"/>
        <v/>
      </c>
      <c r="F114" s="104">
        <f>IF(F87="","",F60*MIN(F87/1,1)/(1+ INDEX($C$3:$C$6,MATCH($A114,$B$3:$B$6,0))/100)^F87)</f>
        <v>0.92318417943103837</v>
      </c>
      <c r="G114" s="73">
        <f t="shared" ref="G114:AL114" si="313">IF(G87="","",G60/(1+ INDEX($C$3:$C$6,MATCH($A114,$B$3:$B$6,0))/100)^G87)</f>
        <v>5.3670759090805005</v>
      </c>
      <c r="H114" s="73">
        <f t="shared" si="313"/>
        <v>4.7017220029514615</v>
      </c>
      <c r="I114" s="73">
        <f t="shared" si="313"/>
        <v>4.1188517113455898</v>
      </c>
      <c r="J114" s="73">
        <f t="shared" si="313"/>
        <v>3.6069314149308118</v>
      </c>
      <c r="K114" s="73">
        <f t="shared" si="313"/>
        <v>3.1597818037238206</v>
      </c>
      <c r="L114" s="73">
        <f t="shared" si="313"/>
        <v>2.768065122007783</v>
      </c>
      <c r="M114" s="73">
        <f t="shared" si="313"/>
        <v>2.4249093752758601</v>
      </c>
      <c r="N114" s="73">
        <f t="shared" si="313"/>
        <v>2.1235243259547594</v>
      </c>
      <c r="O114" s="73">
        <f t="shared" si="313"/>
        <v>1.8602720021626604</v>
      </c>
      <c r="P114" s="73">
        <f t="shared" si="313"/>
        <v>1.6296549466059662</v>
      </c>
      <c r="Q114" s="73">
        <f t="shared" si="313"/>
        <v>1.4276273802485988</v>
      </c>
      <c r="R114" s="73">
        <f t="shared" si="313"/>
        <v>1.2501916571674296</v>
      </c>
      <c r="S114" s="73">
        <f t="shared" si="313"/>
        <v>1.095205978448234</v>
      </c>
      <c r="T114" s="73">
        <f t="shared" si="313"/>
        <v>0.9594338022910962</v>
      </c>
      <c r="U114" s="73">
        <f t="shared" si="313"/>
        <v>0.84049323971277012</v>
      </c>
      <c r="V114" s="73">
        <f t="shared" si="313"/>
        <v>0.73603073934569219</v>
      </c>
      <c r="W114" s="73">
        <f t="shared" si="313"/>
        <v>0.64478535065533538</v>
      </c>
      <c r="X114" s="73">
        <f t="shared" si="313"/>
        <v>0.56485161039511833</v>
      </c>
      <c r="Y114" s="73">
        <f t="shared" si="313"/>
        <v>0.49482721876618435</v>
      </c>
      <c r="Z114" s="73">
        <f t="shared" si="313"/>
        <v>0.43332655929667158</v>
      </c>
      <c r="AA114" s="73">
        <f t="shared" si="313"/>
        <v>0.37960726712685178</v>
      </c>
      <c r="AB114" s="73">
        <f t="shared" si="313"/>
        <v>0.33254753064157228</v>
      </c>
      <c r="AC114" s="73">
        <f t="shared" si="313"/>
        <v>0.29132176781761343</v>
      </c>
      <c r="AD114" s="73">
        <f t="shared" si="313"/>
        <v>0.25511421867898476</v>
      </c>
      <c r="AE114" s="73">
        <f t="shared" si="313"/>
        <v>0.22348782755231247</v>
      </c>
      <c r="AF114" s="73">
        <f t="shared" si="313"/>
        <v>0.1957821454354185</v>
      </c>
      <c r="AG114" s="73">
        <f t="shared" si="313"/>
        <v>2.9156891055263143</v>
      </c>
      <c r="AH114" s="73" t="str">
        <f t="shared" si="313"/>
        <v/>
      </c>
      <c r="AI114" s="73" t="str">
        <f t="shared" si="313"/>
        <v/>
      </c>
      <c r="AJ114" s="73" t="str">
        <f t="shared" si="313"/>
        <v/>
      </c>
      <c r="AK114" s="73" t="str">
        <f t="shared" si="313"/>
        <v/>
      </c>
      <c r="AL114" s="73" t="str">
        <f t="shared" si="313"/>
        <v/>
      </c>
      <c r="AM114" s="73" t="str">
        <f t="shared" ref="AM114:BR114" si="314">IF(AM87="","",AM60/(1+ INDEX($C$3:$C$6,MATCH($A114,$B$3:$B$6,0))/100)^AM87)</f>
        <v/>
      </c>
      <c r="AN114" s="73" t="str">
        <f t="shared" si="314"/>
        <v/>
      </c>
      <c r="AO114" s="73" t="str">
        <f t="shared" si="314"/>
        <v/>
      </c>
      <c r="AP114" s="73" t="str">
        <f t="shared" si="314"/>
        <v/>
      </c>
      <c r="AQ114" s="73" t="str">
        <f t="shared" si="314"/>
        <v/>
      </c>
      <c r="AR114" s="73" t="str">
        <f t="shared" si="314"/>
        <v/>
      </c>
      <c r="AS114" s="73" t="str">
        <f t="shared" si="314"/>
        <v/>
      </c>
      <c r="AT114" s="73" t="str">
        <f t="shared" si="314"/>
        <v/>
      </c>
      <c r="AU114" s="73" t="str">
        <f t="shared" si="314"/>
        <v/>
      </c>
      <c r="AV114" s="73" t="str">
        <f t="shared" si="314"/>
        <v/>
      </c>
      <c r="AW114" s="73" t="str">
        <f t="shared" si="314"/>
        <v/>
      </c>
      <c r="AX114" s="73" t="str">
        <f t="shared" si="314"/>
        <v/>
      </c>
      <c r="AY114" s="73" t="str">
        <f t="shared" si="314"/>
        <v/>
      </c>
      <c r="AZ114" s="73" t="str">
        <f t="shared" si="314"/>
        <v/>
      </c>
      <c r="BA114" s="73" t="str">
        <f t="shared" si="314"/>
        <v/>
      </c>
      <c r="BB114" s="73" t="str">
        <f t="shared" si="314"/>
        <v/>
      </c>
      <c r="BC114" s="73" t="str">
        <f t="shared" si="314"/>
        <v/>
      </c>
      <c r="BD114" s="73" t="str">
        <f t="shared" si="314"/>
        <v/>
      </c>
      <c r="BE114" s="73" t="str">
        <f t="shared" si="314"/>
        <v/>
      </c>
      <c r="BF114" s="73" t="str">
        <f t="shared" si="314"/>
        <v/>
      </c>
      <c r="BG114" s="73" t="str">
        <f t="shared" si="314"/>
        <v/>
      </c>
      <c r="BH114" s="73" t="str">
        <f t="shared" si="314"/>
        <v/>
      </c>
      <c r="BI114" s="73" t="str">
        <f t="shared" si="314"/>
        <v/>
      </c>
      <c r="BJ114" s="73" t="str">
        <f t="shared" si="314"/>
        <v/>
      </c>
      <c r="BK114" s="73" t="str">
        <f t="shared" si="314"/>
        <v/>
      </c>
      <c r="BL114" s="73" t="str">
        <f t="shared" si="314"/>
        <v/>
      </c>
      <c r="BM114" s="73" t="str">
        <f t="shared" si="314"/>
        <v/>
      </c>
      <c r="BN114" s="73" t="str">
        <f t="shared" si="314"/>
        <v/>
      </c>
      <c r="BO114" s="73" t="str">
        <f t="shared" si="314"/>
        <v/>
      </c>
      <c r="BP114" s="73" t="str">
        <f t="shared" si="314"/>
        <v/>
      </c>
      <c r="BQ114" s="73" t="str">
        <f t="shared" si="314"/>
        <v/>
      </c>
      <c r="BR114" s="73" t="str">
        <f t="shared" si="314"/>
        <v/>
      </c>
      <c r="BS114" s="73" t="str">
        <f t="shared" ref="BS114:CX114" si="315">IF(BS87="","",BS60/(1+ INDEX($C$3:$C$6,MATCH($A114,$B$3:$B$6,0))/100)^BS87)</f>
        <v/>
      </c>
      <c r="BT114" s="73" t="str">
        <f t="shared" si="315"/>
        <v/>
      </c>
      <c r="BU114" s="73" t="str">
        <f t="shared" si="315"/>
        <v/>
      </c>
      <c r="BV114" s="73" t="str">
        <f t="shared" si="315"/>
        <v/>
      </c>
      <c r="BW114" s="73" t="str">
        <f t="shared" si="315"/>
        <v/>
      </c>
      <c r="BX114" s="73" t="str">
        <f t="shared" si="315"/>
        <v/>
      </c>
      <c r="BY114" s="73" t="str">
        <f t="shared" si="315"/>
        <v/>
      </c>
      <c r="BZ114" s="73" t="str">
        <f t="shared" si="315"/>
        <v/>
      </c>
      <c r="CA114" s="73" t="str">
        <f t="shared" si="315"/>
        <v/>
      </c>
      <c r="CB114" s="73" t="str">
        <f t="shared" si="315"/>
        <v/>
      </c>
      <c r="CC114" s="73" t="str">
        <f t="shared" si="315"/>
        <v/>
      </c>
      <c r="CD114" s="73" t="str">
        <f t="shared" si="315"/>
        <v/>
      </c>
      <c r="CE114" s="73" t="str">
        <f t="shared" si="315"/>
        <v/>
      </c>
      <c r="CF114" s="73" t="str">
        <f t="shared" si="315"/>
        <v/>
      </c>
      <c r="CG114" s="73" t="str">
        <f t="shared" si="315"/>
        <v/>
      </c>
      <c r="CH114" s="73" t="str">
        <f t="shared" si="315"/>
        <v/>
      </c>
      <c r="CI114" s="73" t="str">
        <f t="shared" si="315"/>
        <v/>
      </c>
      <c r="CJ114" s="73" t="str">
        <f t="shared" si="315"/>
        <v/>
      </c>
      <c r="CK114" s="73" t="str">
        <f t="shared" si="315"/>
        <v/>
      </c>
      <c r="CL114" s="73" t="str">
        <f t="shared" si="315"/>
        <v/>
      </c>
      <c r="CM114" s="73" t="str">
        <f t="shared" si="315"/>
        <v/>
      </c>
      <c r="CN114" s="73" t="str">
        <f t="shared" si="315"/>
        <v/>
      </c>
      <c r="CO114" s="73" t="str">
        <f t="shared" si="315"/>
        <v/>
      </c>
      <c r="CP114" s="73" t="str">
        <f t="shared" si="315"/>
        <v/>
      </c>
      <c r="CQ114" s="73" t="str">
        <f t="shared" si="315"/>
        <v/>
      </c>
      <c r="CR114" s="73" t="str">
        <f t="shared" si="315"/>
        <v/>
      </c>
      <c r="CS114" s="73" t="str">
        <f t="shared" si="315"/>
        <v/>
      </c>
      <c r="CT114" s="73" t="str">
        <f t="shared" si="315"/>
        <v/>
      </c>
      <c r="CU114" s="73" t="str">
        <f t="shared" si="315"/>
        <v/>
      </c>
      <c r="CV114" s="73" t="str">
        <f t="shared" si="315"/>
        <v/>
      </c>
      <c r="CW114" s="73" t="str">
        <f t="shared" si="315"/>
        <v/>
      </c>
      <c r="CX114" s="73" t="str">
        <f t="shared" si="315"/>
        <v/>
      </c>
      <c r="CY114" s="73" t="str">
        <f t="shared" ref="CY114:ED114" si="316">IF(CY87="","",CY60/(1+ INDEX($C$3:$C$6,MATCH($A114,$B$3:$B$6,0))/100)^CY87)</f>
        <v/>
      </c>
      <c r="CZ114" s="73" t="str">
        <f t="shared" si="316"/>
        <v/>
      </c>
      <c r="DA114" s="73" t="str">
        <f t="shared" si="316"/>
        <v/>
      </c>
      <c r="DB114" s="73" t="str">
        <f t="shared" si="316"/>
        <v/>
      </c>
      <c r="DC114" s="73" t="str">
        <f t="shared" si="316"/>
        <v/>
      </c>
      <c r="DD114" s="73" t="str">
        <f t="shared" si="316"/>
        <v/>
      </c>
      <c r="DE114" s="73" t="str">
        <f t="shared" si="316"/>
        <v/>
      </c>
      <c r="DF114" s="73" t="str">
        <f t="shared" si="316"/>
        <v/>
      </c>
      <c r="DG114" s="73" t="str">
        <f t="shared" si="316"/>
        <v/>
      </c>
      <c r="DH114" s="73" t="str">
        <f t="shared" si="316"/>
        <v/>
      </c>
      <c r="DI114" s="73" t="str">
        <f t="shared" si="316"/>
        <v/>
      </c>
      <c r="DJ114" s="73" t="str">
        <f t="shared" si="316"/>
        <v/>
      </c>
      <c r="DK114" s="73" t="str">
        <f t="shared" si="316"/>
        <v/>
      </c>
      <c r="DL114" s="73" t="str">
        <f t="shared" si="316"/>
        <v/>
      </c>
      <c r="DM114" s="73" t="str">
        <f t="shared" si="316"/>
        <v/>
      </c>
      <c r="DN114" s="73" t="str">
        <f t="shared" si="316"/>
        <v/>
      </c>
      <c r="DO114" s="73" t="str">
        <f t="shared" si="316"/>
        <v/>
      </c>
      <c r="DP114" s="73" t="str">
        <f t="shared" si="316"/>
        <v/>
      </c>
      <c r="DQ114" s="73" t="str">
        <f t="shared" si="316"/>
        <v/>
      </c>
      <c r="DR114" s="73" t="str">
        <f t="shared" si="316"/>
        <v/>
      </c>
      <c r="DS114" s="73" t="str">
        <f t="shared" si="316"/>
        <v/>
      </c>
      <c r="DT114" s="73" t="str">
        <f t="shared" si="316"/>
        <v/>
      </c>
      <c r="DU114" s="73" t="str">
        <f t="shared" si="316"/>
        <v/>
      </c>
      <c r="DV114" s="73" t="str">
        <f t="shared" si="316"/>
        <v/>
      </c>
      <c r="DW114" s="73" t="str">
        <f t="shared" si="316"/>
        <v/>
      </c>
      <c r="DX114" s="73" t="str">
        <f t="shared" si="316"/>
        <v/>
      </c>
      <c r="DY114" s="73" t="str">
        <f t="shared" si="316"/>
        <v/>
      </c>
      <c r="DZ114" s="73" t="str">
        <f t="shared" si="316"/>
        <v/>
      </c>
      <c r="EA114" s="73" t="str">
        <f t="shared" si="316"/>
        <v/>
      </c>
      <c r="EB114" s="73" t="str">
        <f t="shared" si="316"/>
        <v/>
      </c>
      <c r="EC114" s="73" t="str">
        <f t="shared" si="316"/>
        <v/>
      </c>
      <c r="ED114" s="73" t="str">
        <f t="shared" si="316"/>
        <v/>
      </c>
      <c r="EE114" s="73" t="str">
        <f t="shared" ref="EE114:FJ114" si="317">IF(EE87="","",EE60/(1+ INDEX($C$3:$C$6,MATCH($A114,$B$3:$B$6,0))/100)^EE87)</f>
        <v/>
      </c>
      <c r="EF114" s="73" t="str">
        <f t="shared" si="317"/>
        <v/>
      </c>
      <c r="EG114" s="73" t="str">
        <f t="shared" si="317"/>
        <v/>
      </c>
      <c r="EH114" s="73" t="str">
        <f t="shared" si="317"/>
        <v/>
      </c>
      <c r="EI114" s="73" t="str">
        <f t="shared" si="317"/>
        <v/>
      </c>
      <c r="EJ114" s="73" t="str">
        <f t="shared" si="317"/>
        <v/>
      </c>
      <c r="EK114" s="73" t="str">
        <f t="shared" si="317"/>
        <v/>
      </c>
      <c r="EL114" s="73" t="str">
        <f t="shared" si="317"/>
        <v/>
      </c>
      <c r="EM114" s="73" t="str">
        <f t="shared" si="317"/>
        <v/>
      </c>
      <c r="EN114" s="73" t="str">
        <f t="shared" si="317"/>
        <v/>
      </c>
      <c r="EO114" s="73" t="str">
        <f t="shared" si="317"/>
        <v/>
      </c>
      <c r="EP114" s="73" t="str">
        <f t="shared" si="317"/>
        <v/>
      </c>
      <c r="EQ114" s="73" t="str">
        <f t="shared" si="317"/>
        <v/>
      </c>
      <c r="ER114" s="73" t="str">
        <f t="shared" si="317"/>
        <v/>
      </c>
      <c r="ES114" s="73" t="str">
        <f t="shared" si="317"/>
        <v/>
      </c>
      <c r="ET114" s="73" t="str">
        <f t="shared" si="317"/>
        <v/>
      </c>
      <c r="EU114" s="73" t="str">
        <f t="shared" si="317"/>
        <v/>
      </c>
      <c r="EV114" s="73" t="str">
        <f t="shared" si="317"/>
        <v/>
      </c>
      <c r="EW114" s="73" t="str">
        <f t="shared" si="317"/>
        <v/>
      </c>
      <c r="EX114" s="73" t="str">
        <f t="shared" si="317"/>
        <v/>
      </c>
      <c r="EY114" s="73" t="str">
        <f t="shared" si="317"/>
        <v/>
      </c>
      <c r="EZ114" s="73" t="str">
        <f t="shared" si="317"/>
        <v/>
      </c>
      <c r="FA114" s="73" t="str">
        <f t="shared" si="317"/>
        <v/>
      </c>
      <c r="FB114" s="73" t="str">
        <f t="shared" si="317"/>
        <v/>
      </c>
      <c r="FC114" s="73" t="str">
        <f t="shared" si="317"/>
        <v/>
      </c>
      <c r="FD114" s="73" t="str">
        <f t="shared" si="317"/>
        <v/>
      </c>
      <c r="FE114" s="73" t="str">
        <f t="shared" si="317"/>
        <v/>
      </c>
      <c r="FF114" s="73" t="str">
        <f t="shared" si="317"/>
        <v/>
      </c>
      <c r="FG114" s="73" t="str">
        <f t="shared" si="317"/>
        <v/>
      </c>
      <c r="FH114" s="73" t="str">
        <f t="shared" si="317"/>
        <v/>
      </c>
      <c r="FI114" s="73" t="str">
        <f t="shared" si="317"/>
        <v/>
      </c>
      <c r="FJ114" s="73" t="str">
        <f t="shared" si="317"/>
        <v/>
      </c>
      <c r="FK114" s="73" t="str">
        <f t="shared" ref="FK114:GQ114" si="318">IF(FK87="","",FK60/(1+ INDEX($C$3:$C$6,MATCH($A114,$B$3:$B$6,0))/100)^FK87)</f>
        <v/>
      </c>
      <c r="FL114" s="73" t="str">
        <f t="shared" si="318"/>
        <v/>
      </c>
      <c r="FM114" s="73" t="str">
        <f t="shared" si="318"/>
        <v/>
      </c>
      <c r="FN114" s="73" t="str">
        <f t="shared" si="318"/>
        <v/>
      </c>
      <c r="FO114" s="73" t="str">
        <f t="shared" si="318"/>
        <v/>
      </c>
      <c r="FP114" s="73" t="str">
        <f t="shared" si="318"/>
        <v/>
      </c>
      <c r="FQ114" s="73" t="str">
        <f t="shared" si="318"/>
        <v/>
      </c>
      <c r="FR114" s="73" t="str">
        <f t="shared" si="318"/>
        <v/>
      </c>
      <c r="FS114" s="73" t="str">
        <f t="shared" si="318"/>
        <v/>
      </c>
      <c r="FT114" s="73" t="str">
        <f t="shared" si="318"/>
        <v/>
      </c>
      <c r="FU114" s="73" t="str">
        <f t="shared" si="318"/>
        <v/>
      </c>
      <c r="FV114" s="73" t="str">
        <f t="shared" si="318"/>
        <v/>
      </c>
      <c r="FW114" s="73" t="str">
        <f t="shared" si="318"/>
        <v/>
      </c>
      <c r="FX114" s="73" t="str">
        <f t="shared" si="318"/>
        <v/>
      </c>
      <c r="FY114" s="73" t="str">
        <f t="shared" si="318"/>
        <v/>
      </c>
      <c r="FZ114" s="73" t="str">
        <f t="shared" si="318"/>
        <v/>
      </c>
      <c r="GA114" s="73" t="str">
        <f t="shared" si="318"/>
        <v/>
      </c>
      <c r="GB114" s="73" t="str">
        <f t="shared" si="318"/>
        <v/>
      </c>
      <c r="GC114" s="73" t="str">
        <f t="shared" si="318"/>
        <v/>
      </c>
      <c r="GD114" s="73" t="str">
        <f t="shared" si="318"/>
        <v/>
      </c>
      <c r="GE114" s="73" t="str">
        <f t="shared" si="318"/>
        <v/>
      </c>
      <c r="GF114" s="73" t="str">
        <f t="shared" si="318"/>
        <v/>
      </c>
      <c r="GG114" s="73" t="str">
        <f t="shared" si="318"/>
        <v/>
      </c>
      <c r="GH114" s="73" t="str">
        <f t="shared" si="318"/>
        <v/>
      </c>
      <c r="GI114" s="73" t="str">
        <f t="shared" si="318"/>
        <v/>
      </c>
      <c r="GJ114" s="73" t="str">
        <f t="shared" si="318"/>
        <v/>
      </c>
      <c r="GK114" s="73" t="str">
        <f t="shared" si="318"/>
        <v/>
      </c>
      <c r="GL114" s="73" t="str">
        <f t="shared" si="318"/>
        <v/>
      </c>
      <c r="GM114" s="73" t="str">
        <f t="shared" si="318"/>
        <v/>
      </c>
      <c r="GN114" s="73" t="str">
        <f t="shared" si="318"/>
        <v/>
      </c>
      <c r="GO114" s="73" t="str">
        <f t="shared" si="318"/>
        <v/>
      </c>
      <c r="GP114" s="73" t="str">
        <f t="shared" si="318"/>
        <v/>
      </c>
      <c r="GQ114" s="73" t="str">
        <f t="shared" si="318"/>
        <v/>
      </c>
    </row>
    <row r="115" spans="1:199" x14ac:dyDescent="0.2">
      <c r="A115" t="s">
        <v>222</v>
      </c>
      <c r="B115" t="s">
        <v>38</v>
      </c>
      <c r="C115" t="str">
        <f t="shared" si="179"/>
        <v>CHF 2020</v>
      </c>
      <c r="E115" s="73" t="str">
        <f t="shared" si="171"/>
        <v/>
      </c>
      <c r="F115" s="88">
        <f>IF(F88="","",F61/(1+ INDEX($C$3:$C$6,MATCH($A115,$B$3:$B$6,0))/100)^F88)</f>
        <v>102.36783511299582</v>
      </c>
      <c r="G115" s="73" t="str">
        <f t="shared" ref="G115:AL115" si="319">IF(G88="","",G61/(1+ INDEX($C$3:$C$6,MATCH($A115,$B$3:$B$6,0))/100)^G88)</f>
        <v/>
      </c>
      <c r="H115" s="73" t="str">
        <f t="shared" si="319"/>
        <v/>
      </c>
      <c r="I115" s="73" t="str">
        <f t="shared" si="319"/>
        <v/>
      </c>
      <c r="J115" s="73" t="str">
        <f t="shared" si="319"/>
        <v/>
      </c>
      <c r="K115" s="73" t="str">
        <f t="shared" si="319"/>
        <v/>
      </c>
      <c r="L115" s="73" t="str">
        <f t="shared" si="319"/>
        <v/>
      </c>
      <c r="M115" s="73" t="str">
        <f t="shared" si="319"/>
        <v/>
      </c>
      <c r="N115" s="73" t="str">
        <f t="shared" si="319"/>
        <v/>
      </c>
      <c r="O115" s="73" t="str">
        <f t="shared" si="319"/>
        <v/>
      </c>
      <c r="P115" s="73" t="str">
        <f t="shared" si="319"/>
        <v/>
      </c>
      <c r="Q115" s="73" t="str">
        <f t="shared" si="319"/>
        <v/>
      </c>
      <c r="R115" s="73" t="str">
        <f t="shared" si="319"/>
        <v/>
      </c>
      <c r="S115" s="73" t="str">
        <f t="shared" si="319"/>
        <v/>
      </c>
      <c r="T115" s="73" t="str">
        <f t="shared" si="319"/>
        <v/>
      </c>
      <c r="U115" s="73" t="str">
        <f t="shared" si="319"/>
        <v/>
      </c>
      <c r="V115" s="73" t="str">
        <f t="shared" si="319"/>
        <v/>
      </c>
      <c r="W115" s="73" t="str">
        <f t="shared" si="319"/>
        <v/>
      </c>
      <c r="X115" s="73" t="str">
        <f t="shared" si="319"/>
        <v/>
      </c>
      <c r="Y115" s="73" t="str">
        <f t="shared" si="319"/>
        <v/>
      </c>
      <c r="Z115" s="73" t="str">
        <f t="shared" si="319"/>
        <v/>
      </c>
      <c r="AA115" s="73" t="str">
        <f t="shared" si="319"/>
        <v/>
      </c>
      <c r="AB115" s="73" t="str">
        <f t="shared" si="319"/>
        <v/>
      </c>
      <c r="AC115" s="73" t="str">
        <f t="shared" si="319"/>
        <v/>
      </c>
      <c r="AD115" s="73" t="str">
        <f t="shared" si="319"/>
        <v/>
      </c>
      <c r="AE115" s="73" t="str">
        <f t="shared" si="319"/>
        <v/>
      </c>
      <c r="AF115" s="73" t="str">
        <f t="shared" si="319"/>
        <v/>
      </c>
      <c r="AG115" s="73" t="str">
        <f t="shared" si="319"/>
        <v/>
      </c>
      <c r="AH115" s="73" t="str">
        <f t="shared" si="319"/>
        <v/>
      </c>
      <c r="AI115" s="73" t="str">
        <f t="shared" si="319"/>
        <v/>
      </c>
      <c r="AJ115" s="73" t="str">
        <f t="shared" si="319"/>
        <v/>
      </c>
      <c r="AK115" s="73" t="str">
        <f t="shared" si="319"/>
        <v/>
      </c>
      <c r="AL115" s="73" t="str">
        <f t="shared" si="319"/>
        <v/>
      </c>
      <c r="AM115" s="73" t="str">
        <f t="shared" ref="AM115:BR115" si="320">IF(AM88="","",AM61/(1+ INDEX($C$3:$C$6,MATCH($A115,$B$3:$B$6,0))/100)^AM88)</f>
        <v/>
      </c>
      <c r="AN115" s="73" t="str">
        <f t="shared" si="320"/>
        <v/>
      </c>
      <c r="AO115" s="73" t="str">
        <f t="shared" si="320"/>
        <v/>
      </c>
      <c r="AP115" s="73" t="str">
        <f t="shared" si="320"/>
        <v/>
      </c>
      <c r="AQ115" s="73" t="str">
        <f t="shared" si="320"/>
        <v/>
      </c>
      <c r="AR115" s="73" t="str">
        <f t="shared" si="320"/>
        <v/>
      </c>
      <c r="AS115" s="73" t="str">
        <f t="shared" si="320"/>
        <v/>
      </c>
      <c r="AT115" s="73" t="str">
        <f t="shared" si="320"/>
        <v/>
      </c>
      <c r="AU115" s="73" t="str">
        <f t="shared" si="320"/>
        <v/>
      </c>
      <c r="AV115" s="73" t="str">
        <f t="shared" si="320"/>
        <v/>
      </c>
      <c r="AW115" s="73" t="str">
        <f t="shared" si="320"/>
        <v/>
      </c>
      <c r="AX115" s="73" t="str">
        <f t="shared" si="320"/>
        <v/>
      </c>
      <c r="AY115" s="73" t="str">
        <f t="shared" si="320"/>
        <v/>
      </c>
      <c r="AZ115" s="73" t="str">
        <f t="shared" si="320"/>
        <v/>
      </c>
      <c r="BA115" s="73" t="str">
        <f t="shared" si="320"/>
        <v/>
      </c>
      <c r="BB115" s="73" t="str">
        <f t="shared" si="320"/>
        <v/>
      </c>
      <c r="BC115" s="73" t="str">
        <f t="shared" si="320"/>
        <v/>
      </c>
      <c r="BD115" s="73" t="str">
        <f t="shared" si="320"/>
        <v/>
      </c>
      <c r="BE115" s="73" t="str">
        <f t="shared" si="320"/>
        <v/>
      </c>
      <c r="BF115" s="73" t="str">
        <f t="shared" si="320"/>
        <v/>
      </c>
      <c r="BG115" s="73" t="str">
        <f t="shared" si="320"/>
        <v/>
      </c>
      <c r="BH115" s="73" t="str">
        <f t="shared" si="320"/>
        <v/>
      </c>
      <c r="BI115" s="73" t="str">
        <f t="shared" si="320"/>
        <v/>
      </c>
      <c r="BJ115" s="73" t="str">
        <f t="shared" si="320"/>
        <v/>
      </c>
      <c r="BK115" s="73" t="str">
        <f t="shared" si="320"/>
        <v/>
      </c>
      <c r="BL115" s="73" t="str">
        <f t="shared" si="320"/>
        <v/>
      </c>
      <c r="BM115" s="73" t="str">
        <f t="shared" si="320"/>
        <v/>
      </c>
      <c r="BN115" s="73" t="str">
        <f t="shared" si="320"/>
        <v/>
      </c>
      <c r="BO115" s="73" t="str">
        <f t="shared" si="320"/>
        <v/>
      </c>
      <c r="BP115" s="73" t="str">
        <f t="shared" si="320"/>
        <v/>
      </c>
      <c r="BQ115" s="73" t="str">
        <f t="shared" si="320"/>
        <v/>
      </c>
      <c r="BR115" s="73" t="str">
        <f t="shared" si="320"/>
        <v/>
      </c>
      <c r="BS115" s="73" t="str">
        <f t="shared" ref="BS115:CX115" si="321">IF(BS88="","",BS61/(1+ INDEX($C$3:$C$6,MATCH($A115,$B$3:$B$6,0))/100)^BS88)</f>
        <v/>
      </c>
      <c r="BT115" s="73" t="str">
        <f t="shared" si="321"/>
        <v/>
      </c>
      <c r="BU115" s="73" t="str">
        <f t="shared" si="321"/>
        <v/>
      </c>
      <c r="BV115" s="73" t="str">
        <f t="shared" si="321"/>
        <v/>
      </c>
      <c r="BW115" s="73" t="str">
        <f t="shared" si="321"/>
        <v/>
      </c>
      <c r="BX115" s="73" t="str">
        <f t="shared" si="321"/>
        <v/>
      </c>
      <c r="BY115" s="73" t="str">
        <f t="shared" si="321"/>
        <v/>
      </c>
      <c r="BZ115" s="73" t="str">
        <f t="shared" si="321"/>
        <v/>
      </c>
      <c r="CA115" s="73" t="str">
        <f t="shared" si="321"/>
        <v/>
      </c>
      <c r="CB115" s="73" t="str">
        <f t="shared" si="321"/>
        <v/>
      </c>
      <c r="CC115" s="73" t="str">
        <f t="shared" si="321"/>
        <v/>
      </c>
      <c r="CD115" s="73" t="str">
        <f t="shared" si="321"/>
        <v/>
      </c>
      <c r="CE115" s="73" t="str">
        <f t="shared" si="321"/>
        <v/>
      </c>
      <c r="CF115" s="73" t="str">
        <f t="shared" si="321"/>
        <v/>
      </c>
      <c r="CG115" s="73" t="str">
        <f t="shared" si="321"/>
        <v/>
      </c>
      <c r="CH115" s="73" t="str">
        <f t="shared" si="321"/>
        <v/>
      </c>
      <c r="CI115" s="73" t="str">
        <f t="shared" si="321"/>
        <v/>
      </c>
      <c r="CJ115" s="73" t="str">
        <f t="shared" si="321"/>
        <v/>
      </c>
      <c r="CK115" s="73" t="str">
        <f t="shared" si="321"/>
        <v/>
      </c>
      <c r="CL115" s="73" t="str">
        <f t="shared" si="321"/>
        <v/>
      </c>
      <c r="CM115" s="73" t="str">
        <f t="shared" si="321"/>
        <v/>
      </c>
      <c r="CN115" s="73" t="str">
        <f t="shared" si="321"/>
        <v/>
      </c>
      <c r="CO115" s="73" t="str">
        <f t="shared" si="321"/>
        <v/>
      </c>
      <c r="CP115" s="73" t="str">
        <f t="shared" si="321"/>
        <v/>
      </c>
      <c r="CQ115" s="73" t="str">
        <f t="shared" si="321"/>
        <v/>
      </c>
      <c r="CR115" s="73" t="str">
        <f t="shared" si="321"/>
        <v/>
      </c>
      <c r="CS115" s="73" t="str">
        <f t="shared" si="321"/>
        <v/>
      </c>
      <c r="CT115" s="73" t="str">
        <f t="shared" si="321"/>
        <v/>
      </c>
      <c r="CU115" s="73" t="str">
        <f t="shared" si="321"/>
        <v/>
      </c>
      <c r="CV115" s="73" t="str">
        <f t="shared" si="321"/>
        <v/>
      </c>
      <c r="CW115" s="73" t="str">
        <f t="shared" si="321"/>
        <v/>
      </c>
      <c r="CX115" s="73" t="str">
        <f t="shared" si="321"/>
        <v/>
      </c>
      <c r="CY115" s="73" t="str">
        <f t="shared" ref="CY115:ED115" si="322">IF(CY88="","",CY61/(1+ INDEX($C$3:$C$6,MATCH($A115,$B$3:$B$6,0))/100)^CY88)</f>
        <v/>
      </c>
      <c r="CZ115" s="73" t="str">
        <f t="shared" si="322"/>
        <v/>
      </c>
      <c r="DA115" s="73" t="str">
        <f t="shared" si="322"/>
        <v/>
      </c>
      <c r="DB115" s="73" t="str">
        <f t="shared" si="322"/>
        <v/>
      </c>
      <c r="DC115" s="73" t="str">
        <f t="shared" si="322"/>
        <v/>
      </c>
      <c r="DD115" s="73" t="str">
        <f t="shared" si="322"/>
        <v/>
      </c>
      <c r="DE115" s="73" t="str">
        <f t="shared" si="322"/>
        <v/>
      </c>
      <c r="DF115" s="73" t="str">
        <f t="shared" si="322"/>
        <v/>
      </c>
      <c r="DG115" s="73" t="str">
        <f t="shared" si="322"/>
        <v/>
      </c>
      <c r="DH115" s="73" t="str">
        <f t="shared" si="322"/>
        <v/>
      </c>
      <c r="DI115" s="73" t="str">
        <f t="shared" si="322"/>
        <v/>
      </c>
      <c r="DJ115" s="73" t="str">
        <f t="shared" si="322"/>
        <v/>
      </c>
      <c r="DK115" s="73" t="str">
        <f t="shared" si="322"/>
        <v/>
      </c>
      <c r="DL115" s="73" t="str">
        <f t="shared" si="322"/>
        <v/>
      </c>
      <c r="DM115" s="73" t="str">
        <f t="shared" si="322"/>
        <v/>
      </c>
      <c r="DN115" s="73" t="str">
        <f t="shared" si="322"/>
        <v/>
      </c>
      <c r="DO115" s="73" t="str">
        <f t="shared" si="322"/>
        <v/>
      </c>
      <c r="DP115" s="73" t="str">
        <f t="shared" si="322"/>
        <v/>
      </c>
      <c r="DQ115" s="73" t="str">
        <f t="shared" si="322"/>
        <v/>
      </c>
      <c r="DR115" s="73" t="str">
        <f t="shared" si="322"/>
        <v/>
      </c>
      <c r="DS115" s="73" t="str">
        <f t="shared" si="322"/>
        <v/>
      </c>
      <c r="DT115" s="73" t="str">
        <f t="shared" si="322"/>
        <v/>
      </c>
      <c r="DU115" s="73" t="str">
        <f t="shared" si="322"/>
        <v/>
      </c>
      <c r="DV115" s="73" t="str">
        <f t="shared" si="322"/>
        <v/>
      </c>
      <c r="DW115" s="73" t="str">
        <f t="shared" si="322"/>
        <v/>
      </c>
      <c r="DX115" s="73" t="str">
        <f t="shared" si="322"/>
        <v/>
      </c>
      <c r="DY115" s="73" t="str">
        <f t="shared" si="322"/>
        <v/>
      </c>
      <c r="DZ115" s="73" t="str">
        <f t="shared" si="322"/>
        <v/>
      </c>
      <c r="EA115" s="73" t="str">
        <f t="shared" si="322"/>
        <v/>
      </c>
      <c r="EB115" s="73" t="str">
        <f t="shared" si="322"/>
        <v/>
      </c>
      <c r="EC115" s="73" t="str">
        <f t="shared" si="322"/>
        <v/>
      </c>
      <c r="ED115" s="73" t="str">
        <f t="shared" si="322"/>
        <v/>
      </c>
      <c r="EE115" s="73" t="str">
        <f t="shared" ref="EE115:FJ115" si="323">IF(EE88="","",EE61/(1+ INDEX($C$3:$C$6,MATCH($A115,$B$3:$B$6,0))/100)^EE88)</f>
        <v/>
      </c>
      <c r="EF115" s="73" t="str">
        <f t="shared" si="323"/>
        <v/>
      </c>
      <c r="EG115" s="73" t="str">
        <f t="shared" si="323"/>
        <v/>
      </c>
      <c r="EH115" s="73" t="str">
        <f t="shared" si="323"/>
        <v/>
      </c>
      <c r="EI115" s="73" t="str">
        <f t="shared" si="323"/>
        <v/>
      </c>
      <c r="EJ115" s="73" t="str">
        <f t="shared" si="323"/>
        <v/>
      </c>
      <c r="EK115" s="73" t="str">
        <f t="shared" si="323"/>
        <v/>
      </c>
      <c r="EL115" s="73" t="str">
        <f t="shared" si="323"/>
        <v/>
      </c>
      <c r="EM115" s="73" t="str">
        <f t="shared" si="323"/>
        <v/>
      </c>
      <c r="EN115" s="73" t="str">
        <f t="shared" si="323"/>
        <v/>
      </c>
      <c r="EO115" s="73" t="str">
        <f t="shared" si="323"/>
        <v/>
      </c>
      <c r="EP115" s="73" t="str">
        <f t="shared" si="323"/>
        <v/>
      </c>
      <c r="EQ115" s="73" t="str">
        <f t="shared" si="323"/>
        <v/>
      </c>
      <c r="ER115" s="73" t="str">
        <f t="shared" si="323"/>
        <v/>
      </c>
      <c r="ES115" s="73" t="str">
        <f t="shared" si="323"/>
        <v/>
      </c>
      <c r="ET115" s="73" t="str">
        <f t="shared" si="323"/>
        <v/>
      </c>
      <c r="EU115" s="73" t="str">
        <f t="shared" si="323"/>
        <v/>
      </c>
      <c r="EV115" s="73" t="str">
        <f t="shared" si="323"/>
        <v/>
      </c>
      <c r="EW115" s="73" t="str">
        <f t="shared" si="323"/>
        <v/>
      </c>
      <c r="EX115" s="73" t="str">
        <f t="shared" si="323"/>
        <v/>
      </c>
      <c r="EY115" s="73" t="str">
        <f t="shared" si="323"/>
        <v/>
      </c>
      <c r="EZ115" s="73" t="str">
        <f t="shared" si="323"/>
        <v/>
      </c>
      <c r="FA115" s="73" t="str">
        <f t="shared" si="323"/>
        <v/>
      </c>
      <c r="FB115" s="73" t="str">
        <f t="shared" si="323"/>
        <v/>
      </c>
      <c r="FC115" s="73" t="str">
        <f t="shared" si="323"/>
        <v/>
      </c>
      <c r="FD115" s="73" t="str">
        <f t="shared" si="323"/>
        <v/>
      </c>
      <c r="FE115" s="73" t="str">
        <f t="shared" si="323"/>
        <v/>
      </c>
      <c r="FF115" s="73" t="str">
        <f t="shared" si="323"/>
        <v/>
      </c>
      <c r="FG115" s="73" t="str">
        <f t="shared" si="323"/>
        <v/>
      </c>
      <c r="FH115" s="73" t="str">
        <f t="shared" si="323"/>
        <v/>
      </c>
      <c r="FI115" s="73" t="str">
        <f t="shared" si="323"/>
        <v/>
      </c>
      <c r="FJ115" s="73" t="str">
        <f t="shared" si="323"/>
        <v/>
      </c>
      <c r="FK115" s="73" t="str">
        <f t="shared" ref="FK115:GQ115" si="324">IF(FK88="","",FK61/(1+ INDEX($C$3:$C$6,MATCH($A115,$B$3:$B$6,0))/100)^FK88)</f>
        <v/>
      </c>
      <c r="FL115" s="73" t="str">
        <f t="shared" si="324"/>
        <v/>
      </c>
      <c r="FM115" s="73" t="str">
        <f t="shared" si="324"/>
        <v/>
      </c>
      <c r="FN115" s="73" t="str">
        <f t="shared" si="324"/>
        <v/>
      </c>
      <c r="FO115" s="73" t="str">
        <f t="shared" si="324"/>
        <v/>
      </c>
      <c r="FP115" s="73" t="str">
        <f t="shared" si="324"/>
        <v/>
      </c>
      <c r="FQ115" s="73" t="str">
        <f t="shared" si="324"/>
        <v/>
      </c>
      <c r="FR115" s="73" t="str">
        <f t="shared" si="324"/>
        <v/>
      </c>
      <c r="FS115" s="73" t="str">
        <f t="shared" si="324"/>
        <v/>
      </c>
      <c r="FT115" s="73" t="str">
        <f t="shared" si="324"/>
        <v/>
      </c>
      <c r="FU115" s="73" t="str">
        <f t="shared" si="324"/>
        <v/>
      </c>
      <c r="FV115" s="73" t="str">
        <f t="shared" si="324"/>
        <v/>
      </c>
      <c r="FW115" s="73" t="str">
        <f t="shared" si="324"/>
        <v/>
      </c>
      <c r="FX115" s="73" t="str">
        <f t="shared" si="324"/>
        <v/>
      </c>
      <c r="FY115" s="73" t="str">
        <f t="shared" si="324"/>
        <v/>
      </c>
      <c r="FZ115" s="73" t="str">
        <f t="shared" si="324"/>
        <v/>
      </c>
      <c r="GA115" s="73" t="str">
        <f t="shared" si="324"/>
        <v/>
      </c>
      <c r="GB115" s="73" t="str">
        <f t="shared" si="324"/>
        <v/>
      </c>
      <c r="GC115" s="73" t="str">
        <f t="shared" si="324"/>
        <v/>
      </c>
      <c r="GD115" s="73" t="str">
        <f t="shared" si="324"/>
        <v/>
      </c>
      <c r="GE115" s="73" t="str">
        <f t="shared" si="324"/>
        <v/>
      </c>
      <c r="GF115" s="73" t="str">
        <f t="shared" si="324"/>
        <v/>
      </c>
      <c r="GG115" s="73" t="str">
        <f t="shared" si="324"/>
        <v/>
      </c>
      <c r="GH115" s="73" t="str">
        <f t="shared" si="324"/>
        <v/>
      </c>
      <c r="GI115" s="73" t="str">
        <f t="shared" si="324"/>
        <v/>
      </c>
      <c r="GJ115" s="73" t="str">
        <f t="shared" si="324"/>
        <v/>
      </c>
      <c r="GK115" s="73" t="str">
        <f t="shared" si="324"/>
        <v/>
      </c>
      <c r="GL115" s="73" t="str">
        <f t="shared" si="324"/>
        <v/>
      </c>
      <c r="GM115" s="73" t="str">
        <f t="shared" si="324"/>
        <v/>
      </c>
      <c r="GN115" s="73" t="str">
        <f t="shared" si="324"/>
        <v/>
      </c>
      <c r="GO115" s="73" t="str">
        <f t="shared" si="324"/>
        <v/>
      </c>
      <c r="GP115" s="73" t="str">
        <f t="shared" si="324"/>
        <v/>
      </c>
      <c r="GQ115" s="73" t="str">
        <f t="shared" si="324"/>
        <v/>
      </c>
    </row>
    <row r="116" spans="1:199" x14ac:dyDescent="0.2">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c r="BL116" s="73"/>
      <c r="BM116" s="73"/>
      <c r="BN116" s="73"/>
      <c r="BO116" s="73"/>
      <c r="BP116" s="73"/>
      <c r="BQ116" s="73"/>
      <c r="BR116" s="73"/>
      <c r="BS116" s="73"/>
      <c r="BT116" s="73"/>
      <c r="BU116" s="73"/>
      <c r="BV116" s="73"/>
      <c r="BW116" s="73"/>
      <c r="BX116" s="73"/>
      <c r="BY116" s="73"/>
      <c r="BZ116" s="73"/>
      <c r="CA116" s="73"/>
      <c r="CB116" s="73"/>
      <c r="CC116" s="73"/>
      <c r="CD116" s="73"/>
      <c r="CE116" s="73"/>
      <c r="CF116" s="73"/>
      <c r="CG116" s="73"/>
      <c r="CH116" s="73"/>
      <c r="CI116" s="73"/>
      <c r="CJ116" s="73"/>
      <c r="CK116" s="73"/>
      <c r="CL116" s="73"/>
      <c r="CM116" s="73"/>
      <c r="CN116" s="73"/>
      <c r="CO116" s="73"/>
      <c r="CP116" s="73"/>
      <c r="CQ116" s="73"/>
      <c r="CR116" s="73"/>
      <c r="CS116" s="73"/>
      <c r="CT116" s="73"/>
      <c r="CU116" s="73"/>
      <c r="CV116" s="73"/>
      <c r="CW116" s="73"/>
      <c r="CX116" s="73"/>
      <c r="CY116" s="73"/>
      <c r="CZ116" s="73"/>
      <c r="DA116" s="73"/>
      <c r="DB116" s="73"/>
      <c r="DC116" s="73"/>
      <c r="DD116" s="73"/>
      <c r="DE116" s="73"/>
      <c r="DF116" s="73"/>
      <c r="DG116" s="73"/>
      <c r="DH116" s="73"/>
      <c r="DI116" s="73"/>
      <c r="DJ116" s="73"/>
      <c r="DK116" s="73"/>
      <c r="DL116" s="73"/>
      <c r="DM116" s="73"/>
      <c r="DN116" s="73"/>
      <c r="DO116" s="73"/>
      <c r="DP116" s="73"/>
      <c r="DQ116" s="73"/>
      <c r="DR116" s="73"/>
      <c r="DS116" s="73"/>
      <c r="DT116" s="73"/>
      <c r="DU116" s="73"/>
      <c r="DV116" s="73"/>
      <c r="DW116" s="73"/>
      <c r="DX116" s="73"/>
      <c r="DY116" s="73"/>
      <c r="DZ116" s="73"/>
      <c r="EA116" s="73"/>
      <c r="EB116" s="73"/>
      <c r="EC116" s="73"/>
      <c r="ED116" s="73"/>
      <c r="EE116" s="73"/>
      <c r="EF116" s="73"/>
      <c r="EG116" s="73"/>
      <c r="EH116" s="73"/>
      <c r="EI116" s="73"/>
      <c r="EJ116" s="73"/>
      <c r="EK116" s="73"/>
      <c r="EL116" s="73"/>
      <c r="EM116" s="73"/>
      <c r="EN116" s="73"/>
      <c r="EO116" s="73"/>
      <c r="EP116" s="73"/>
      <c r="EQ116" s="73"/>
      <c r="ER116" s="73"/>
      <c r="ES116" s="73"/>
      <c r="ET116" s="73"/>
      <c r="EU116" s="73"/>
      <c r="EV116" s="73"/>
      <c r="EW116" s="73"/>
      <c r="EX116" s="73"/>
      <c r="EY116" s="73"/>
      <c r="EZ116" s="73"/>
      <c r="FA116" s="73"/>
      <c r="FB116" s="73"/>
      <c r="FC116" s="73"/>
      <c r="FD116" s="73"/>
      <c r="FE116" s="73"/>
      <c r="FF116" s="73"/>
      <c r="FG116" s="73"/>
      <c r="FH116" s="73"/>
      <c r="FI116" s="73"/>
      <c r="FJ116" s="73"/>
      <c r="FK116" s="73"/>
      <c r="FL116" s="73"/>
      <c r="FM116" s="73"/>
      <c r="FN116" s="73"/>
      <c r="FO116" s="73"/>
      <c r="FP116" s="73"/>
      <c r="FQ116" s="73"/>
      <c r="FR116" s="73"/>
      <c r="FS116" s="73"/>
      <c r="FT116" s="73"/>
      <c r="FU116" s="73"/>
      <c r="FV116" s="73"/>
      <c r="FW116" s="73"/>
      <c r="FX116" s="73"/>
      <c r="FY116" s="73"/>
      <c r="FZ116" s="73"/>
      <c r="GA116" s="73"/>
      <c r="GB116" s="73"/>
      <c r="GC116" s="73"/>
      <c r="GD116" s="73"/>
      <c r="GE116" s="73"/>
      <c r="GF116" s="73"/>
      <c r="GG116" s="73"/>
      <c r="GH116" s="73"/>
      <c r="GI116" s="73"/>
      <c r="GJ116" s="73"/>
      <c r="GK116" s="73"/>
      <c r="GL116" s="73"/>
      <c r="GM116" s="73"/>
      <c r="GN116" s="73"/>
      <c r="GO116" s="73"/>
      <c r="GP116" s="73"/>
      <c r="GQ116" s="73"/>
    </row>
    <row r="117" spans="1:199" x14ac:dyDescent="0.2">
      <c r="E117" s="73"/>
      <c r="G117" s="73"/>
      <c r="H117" s="14"/>
      <c r="I117" s="14"/>
      <c r="J117" s="14"/>
      <c r="K117" s="14"/>
      <c r="L117" s="14"/>
      <c r="M117" s="14"/>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c r="BL117" s="73"/>
      <c r="BM117" s="73"/>
      <c r="BN117" s="73"/>
      <c r="BO117" s="73"/>
      <c r="BP117" s="73"/>
      <c r="BQ117" s="73"/>
      <c r="BR117" s="73"/>
      <c r="BS117" s="73"/>
      <c r="BT117" s="73"/>
      <c r="BU117" s="73"/>
      <c r="BV117" s="73"/>
      <c r="BW117" s="73"/>
      <c r="BX117" s="73"/>
      <c r="BY117" s="73"/>
      <c r="BZ117" s="73"/>
      <c r="CA117" s="73"/>
      <c r="CB117" s="73"/>
      <c r="CC117" s="73"/>
      <c r="CD117" s="73"/>
      <c r="CE117" s="73"/>
      <c r="CF117" s="73"/>
      <c r="CG117" s="73"/>
      <c r="CH117" s="73"/>
      <c r="CI117" s="73"/>
      <c r="CJ117" s="73"/>
      <c r="CK117" s="73"/>
      <c r="CL117" s="73"/>
      <c r="CM117" s="73"/>
      <c r="CN117" s="73"/>
      <c r="CO117" s="73"/>
      <c r="CP117" s="73"/>
      <c r="CQ117" s="73"/>
      <c r="CR117" s="73"/>
      <c r="CS117" s="73"/>
      <c r="CT117" s="73"/>
      <c r="CU117" s="73"/>
      <c r="CV117" s="73"/>
      <c r="CW117" s="73"/>
      <c r="CX117" s="73"/>
      <c r="CY117" s="73"/>
      <c r="CZ117" s="73"/>
      <c r="DA117" s="73"/>
      <c r="DB117" s="73"/>
      <c r="DC117" s="73"/>
      <c r="DD117" s="73"/>
      <c r="DE117" s="73"/>
      <c r="DF117" s="73"/>
      <c r="DG117" s="73"/>
      <c r="DH117" s="73"/>
      <c r="DI117" s="73"/>
      <c r="DJ117" s="73"/>
      <c r="DK117" s="73"/>
      <c r="DL117" s="73"/>
      <c r="DM117" s="73"/>
      <c r="DN117" s="73"/>
      <c r="DO117" s="73"/>
      <c r="DP117" s="73"/>
      <c r="DQ117" s="73"/>
      <c r="DR117" s="73"/>
      <c r="DS117" s="73"/>
      <c r="DT117" s="73"/>
      <c r="DU117" s="73"/>
      <c r="DV117" s="73"/>
      <c r="DW117" s="73"/>
      <c r="DX117" s="73"/>
      <c r="DY117" s="73"/>
      <c r="DZ117" s="73"/>
      <c r="EA117" s="73"/>
      <c r="EB117" s="73"/>
      <c r="EC117" s="73"/>
      <c r="ED117" s="73"/>
      <c r="EE117" s="73"/>
      <c r="EF117" s="73"/>
      <c r="EG117" s="73"/>
      <c r="EH117" s="73"/>
      <c r="EI117" s="73"/>
      <c r="EJ117" s="73"/>
      <c r="EK117" s="73"/>
      <c r="EL117" s="73"/>
      <c r="EM117" s="73"/>
      <c r="EN117" s="73"/>
      <c r="EO117" s="73"/>
      <c r="EP117" s="73"/>
      <c r="EQ117" s="73"/>
      <c r="ER117" s="73"/>
      <c r="ES117" s="73"/>
      <c r="ET117" s="73"/>
      <c r="EU117" s="73"/>
      <c r="EV117" s="73"/>
      <c r="EW117" s="73"/>
      <c r="EX117" s="73"/>
      <c r="EY117" s="73"/>
      <c r="EZ117" s="73"/>
      <c r="FA117" s="73"/>
      <c r="FB117" s="73"/>
      <c r="FC117" s="73"/>
      <c r="FD117" s="73"/>
      <c r="FE117" s="73"/>
      <c r="FF117" s="73"/>
      <c r="FG117" s="73"/>
      <c r="FH117" s="73"/>
      <c r="FI117" s="73"/>
      <c r="FJ117" s="73"/>
      <c r="FK117" s="73"/>
      <c r="FL117" s="73"/>
      <c r="FM117" s="73"/>
      <c r="FN117" s="73"/>
      <c r="FO117" s="73"/>
      <c r="FP117" s="73"/>
      <c r="FQ117" s="73"/>
      <c r="FR117" s="73"/>
      <c r="FS117" s="73"/>
      <c r="FT117" s="73"/>
      <c r="FU117" s="73"/>
      <c r="FV117" s="73"/>
      <c r="FW117" s="73"/>
      <c r="FX117" s="73"/>
      <c r="FY117" s="73"/>
      <c r="FZ117" s="73"/>
      <c r="GA117" s="73"/>
      <c r="GB117" s="73"/>
      <c r="GC117" s="73"/>
      <c r="GD117" s="73"/>
      <c r="GE117" s="73"/>
      <c r="GF117" s="73"/>
      <c r="GG117" s="73"/>
      <c r="GH117" s="73"/>
      <c r="GI117" s="73"/>
      <c r="GJ117" s="73"/>
      <c r="GK117" s="73"/>
      <c r="GL117" s="73"/>
      <c r="GM117" s="73"/>
      <c r="GN117" s="73"/>
      <c r="GO117" s="73"/>
      <c r="GP117" s="73"/>
      <c r="GQ117" s="73"/>
    </row>
    <row r="118" spans="1:199" x14ac:dyDescent="0.2">
      <c r="H118" s="7"/>
      <c r="I118" s="7"/>
      <c r="J118" s="7"/>
      <c r="K118" s="7"/>
      <c r="L118" s="7"/>
      <c r="M118" s="7"/>
    </row>
    <row r="119" spans="1:199" x14ac:dyDescent="0.2">
      <c r="H119" s="162"/>
      <c r="I119" s="162"/>
      <c r="J119" s="162"/>
      <c r="K119" s="162"/>
      <c r="L119" s="162"/>
      <c r="M119" s="162"/>
      <c r="N119" s="162"/>
    </row>
    <row r="120" spans="1:199" ht="32" x14ac:dyDescent="0.2">
      <c r="A120" t="s">
        <v>203</v>
      </c>
      <c r="B120" t="s">
        <v>8</v>
      </c>
      <c r="C120" t="s">
        <v>186</v>
      </c>
      <c r="E120" s="65" t="s">
        <v>151</v>
      </c>
      <c r="F120" s="65" t="s">
        <v>165</v>
      </c>
      <c r="G120" s="139" t="s">
        <v>362</v>
      </c>
      <c r="H120" s="65"/>
      <c r="I120" s="65"/>
      <c r="J120" s="65"/>
      <c r="K120" s="65"/>
      <c r="L120" s="65"/>
      <c r="M120" s="65"/>
      <c r="N120" s="45"/>
      <c r="P120" s="65"/>
    </row>
    <row r="121" spans="1:199" x14ac:dyDescent="0.2">
      <c r="A121" t="s">
        <v>134</v>
      </c>
      <c r="B121" t="s">
        <v>10</v>
      </c>
      <c r="C121" t="str">
        <f t="shared" ref="C121:C145" si="325">C91</f>
        <v>USD 2033 Discount I</v>
      </c>
      <c r="E121" s="17">
        <f t="shared" ref="E121:E137" si="326">SUMPRODUCT(E91:GQ91,E64:GQ64)/SUM(E91:GQ91)</f>
        <v>5.8101177503103987</v>
      </c>
      <c r="F121" s="19">
        <f t="shared" ref="F121:F145" si="327">SUM(E91:GQ91)</f>
        <v>119.87269191650721</v>
      </c>
      <c r="G121" s="17">
        <f>F121/'EBs List'!P2*100</f>
        <v>85.498638081350236</v>
      </c>
      <c r="H121" s="17"/>
      <c r="I121" s="17"/>
      <c r="J121" s="17"/>
      <c r="K121" s="17"/>
      <c r="L121" s="17"/>
      <c r="M121" s="17"/>
      <c r="N121" s="17"/>
      <c r="P121" s="23"/>
    </row>
    <row r="122" spans="1:199" x14ac:dyDescent="0.2">
      <c r="A122" t="s">
        <v>135</v>
      </c>
      <c r="B122" t="s">
        <v>12</v>
      </c>
      <c r="C122" t="str">
        <f t="shared" si="325"/>
        <v>USD 2033 Discount II and III</v>
      </c>
      <c r="E122" s="17">
        <f t="shared" si="326"/>
        <v>5.8101177503103987</v>
      </c>
      <c r="F122" s="19">
        <f t="shared" si="327"/>
        <v>119.87269191650721</v>
      </c>
      <c r="G122" s="17">
        <f>F122/'EBs List'!P3*100</f>
        <v>85.498638081350236</v>
      </c>
      <c r="H122" s="17"/>
      <c r="I122" s="17"/>
      <c r="J122" s="17"/>
      <c r="K122" s="17"/>
      <c r="L122" s="17"/>
      <c r="M122" s="17"/>
      <c r="N122" s="134"/>
      <c r="P122" s="23"/>
    </row>
    <row r="123" spans="1:199" x14ac:dyDescent="0.2">
      <c r="A123" t="s">
        <v>136</v>
      </c>
      <c r="B123" t="s">
        <v>20</v>
      </c>
      <c r="C123" t="str">
        <f t="shared" si="325"/>
        <v>USD Par 2038 I</v>
      </c>
      <c r="E123" s="17">
        <f t="shared" si="326"/>
        <v>9.1730583473985909</v>
      </c>
      <c r="F123" s="19">
        <f t="shared" si="327"/>
        <v>51.888196676393967</v>
      </c>
      <c r="G123" s="17">
        <f>F123/'EBs List'!P4*100</f>
        <v>51.888196676393974</v>
      </c>
      <c r="H123" s="17"/>
      <c r="I123" s="17"/>
      <c r="J123" s="17"/>
      <c r="K123" s="17"/>
      <c r="L123" s="17"/>
      <c r="M123" s="17"/>
      <c r="N123" s="134"/>
      <c r="P123" s="23"/>
    </row>
    <row r="124" spans="1:199" x14ac:dyDescent="0.2">
      <c r="A124" t="s">
        <v>157</v>
      </c>
      <c r="B124" t="s">
        <v>22</v>
      </c>
      <c r="C124" t="str">
        <f t="shared" si="325"/>
        <v>USD Par 2038 II and III</v>
      </c>
      <c r="E124" s="17">
        <f t="shared" si="326"/>
        <v>9.1730583473985909</v>
      </c>
      <c r="F124" s="19">
        <f t="shared" si="327"/>
        <v>51.888196676393967</v>
      </c>
      <c r="G124" s="17">
        <f>F124/'EBs List'!P5*100</f>
        <v>51.888196676393974</v>
      </c>
      <c r="H124" s="17"/>
      <c r="I124" s="17"/>
      <c r="J124" s="17"/>
      <c r="K124" s="17"/>
      <c r="L124" s="17"/>
      <c r="M124" s="17"/>
      <c r="N124" s="134"/>
      <c r="P124" s="23"/>
    </row>
    <row r="125" spans="1:199" x14ac:dyDescent="0.2">
      <c r="A125" t="s">
        <v>154</v>
      </c>
      <c r="B125" t="s">
        <v>15</v>
      </c>
      <c r="C125" t="str">
        <f t="shared" si="325"/>
        <v>Euro 2033 Discount I</v>
      </c>
      <c r="E125" s="17">
        <f t="shared" si="326"/>
        <v>5.6578029389775946</v>
      </c>
      <c r="F125" s="19">
        <f t="shared" si="327"/>
        <v>103.17033848876905</v>
      </c>
      <c r="G125" s="17">
        <f>F125/'EBs List'!P6*100</f>
        <v>74.780653802296925</v>
      </c>
      <c r="H125" s="17"/>
      <c r="I125" s="17"/>
      <c r="J125" s="17"/>
      <c r="K125" s="17"/>
      <c r="L125" s="17"/>
      <c r="M125" s="17"/>
      <c r="N125" s="134"/>
      <c r="O125" s="21"/>
      <c r="P125" s="25"/>
    </row>
    <row r="126" spans="1:199" x14ac:dyDescent="0.2">
      <c r="A126" t="s">
        <v>155</v>
      </c>
      <c r="B126" t="s">
        <v>17</v>
      </c>
      <c r="C126" t="str">
        <f t="shared" si="325"/>
        <v>Euro 2033 Discount II and III</v>
      </c>
      <c r="E126" s="17">
        <f t="shared" si="326"/>
        <v>5.6578029389775946</v>
      </c>
      <c r="F126" s="19">
        <f t="shared" si="327"/>
        <v>103.17033848876905</v>
      </c>
      <c r="G126" s="17">
        <f>F126/'EBs List'!P7*100</f>
        <v>74.780653802296925</v>
      </c>
      <c r="H126" s="17"/>
      <c r="I126" s="17"/>
      <c r="J126" s="17"/>
      <c r="K126" s="17"/>
      <c r="L126" s="17"/>
      <c r="M126" s="17"/>
      <c r="N126" s="134"/>
      <c r="O126" s="21"/>
      <c r="P126" s="25"/>
    </row>
    <row r="127" spans="1:199" x14ac:dyDescent="0.2">
      <c r="A127" t="s">
        <v>156</v>
      </c>
      <c r="B127" t="s">
        <v>25</v>
      </c>
      <c r="C127" t="str">
        <f t="shared" si="325"/>
        <v>Euro Par 2038 I</v>
      </c>
      <c r="E127" s="17">
        <f t="shared" si="326"/>
        <v>8.8975451904596117</v>
      </c>
      <c r="F127" s="19">
        <f t="shared" si="327"/>
        <v>41.589497756650715</v>
      </c>
      <c r="G127" s="17">
        <f>F127/'EBs List'!P8*100</f>
        <v>41.589497756650715</v>
      </c>
      <c r="H127" s="17"/>
      <c r="I127" s="17"/>
      <c r="J127" s="17"/>
      <c r="K127" s="17"/>
      <c r="L127" s="17"/>
      <c r="M127" s="17"/>
      <c r="N127" s="134"/>
      <c r="O127" s="21"/>
      <c r="P127" s="25"/>
    </row>
    <row r="128" spans="1:199" x14ac:dyDescent="0.2">
      <c r="A128" s="9" t="s">
        <v>158</v>
      </c>
      <c r="B128" s="9" t="s">
        <v>27</v>
      </c>
      <c r="C128" s="9" t="str">
        <f t="shared" si="325"/>
        <v>Euro Par 2038 II and III</v>
      </c>
      <c r="D128" s="9"/>
      <c r="E128" s="136">
        <f t="shared" si="326"/>
        <v>8.8975451904596117</v>
      </c>
      <c r="F128" s="231">
        <f t="shared" si="327"/>
        <v>41.589497756650715</v>
      </c>
      <c r="G128" s="136">
        <f>F128/'EBs List'!P9*100</f>
        <v>41.589497756650715</v>
      </c>
      <c r="H128" s="17"/>
      <c r="I128" s="17"/>
      <c r="J128" s="17"/>
      <c r="K128" s="17"/>
      <c r="L128" s="17"/>
      <c r="M128" s="17"/>
      <c r="N128" s="134"/>
      <c r="O128" s="21"/>
      <c r="P128" s="25"/>
    </row>
    <row r="129" spans="1:16" x14ac:dyDescent="0.2">
      <c r="A129" t="s">
        <v>117</v>
      </c>
      <c r="B129" t="str">
        <f t="shared" ref="B129:B139" si="328">B99</f>
        <v>US040114GW47</v>
      </c>
      <c r="C129" t="str">
        <f t="shared" si="325"/>
        <v>USD 2021</v>
      </c>
      <c r="E129" s="17">
        <f t="shared" si="326"/>
        <v>0.5964778883476487</v>
      </c>
      <c r="F129" s="19">
        <f t="shared" si="327"/>
        <v>97.579647355920471</v>
      </c>
      <c r="G129" s="19">
        <f>F129</f>
        <v>97.579647355920471</v>
      </c>
      <c r="H129" s="17"/>
      <c r="I129" s="17"/>
      <c r="J129" s="17"/>
      <c r="K129" s="17"/>
      <c r="L129" s="17"/>
      <c r="M129" s="17"/>
      <c r="N129" s="134"/>
      <c r="P129" s="25"/>
    </row>
    <row r="130" spans="1:16" x14ac:dyDescent="0.2">
      <c r="A130" t="s">
        <v>118</v>
      </c>
      <c r="B130" t="str">
        <f t="shared" si="328"/>
        <v>US040114HK99</v>
      </c>
      <c r="C130" t="str">
        <f t="shared" si="325"/>
        <v>USD 2022</v>
      </c>
      <c r="E130" s="17">
        <f t="shared" si="326"/>
        <v>1.32937339831947</v>
      </c>
      <c r="F130" s="19">
        <f t="shared" si="327"/>
        <v>93.138307138508239</v>
      </c>
      <c r="G130" s="19">
        <f t="shared" ref="G130:G145" si="329">F130</f>
        <v>93.138307138508239</v>
      </c>
      <c r="H130" s="17"/>
      <c r="I130" s="17"/>
      <c r="J130" s="17"/>
      <c r="K130" s="17"/>
      <c r="L130" s="17"/>
      <c r="M130" s="17"/>
      <c r="N130" s="134"/>
      <c r="P130" s="25"/>
    </row>
    <row r="131" spans="1:16" x14ac:dyDescent="0.2">
      <c r="A131" t="s">
        <v>119</v>
      </c>
      <c r="B131" t="str">
        <f t="shared" si="328"/>
        <v>US040114HP86</v>
      </c>
      <c r="C131" t="str">
        <f t="shared" si="325"/>
        <v>USD 2023</v>
      </c>
      <c r="E131" s="17">
        <f t="shared" si="326"/>
        <v>2.2194008952847302</v>
      </c>
      <c r="F131" s="19">
        <f t="shared" si="327"/>
        <v>86.884372452590895</v>
      </c>
      <c r="G131" s="19">
        <f t="shared" si="329"/>
        <v>86.884372452590895</v>
      </c>
      <c r="H131" s="17"/>
      <c r="I131" s="17"/>
      <c r="J131" s="17"/>
      <c r="K131" s="17"/>
      <c r="L131" s="17"/>
      <c r="M131" s="17"/>
      <c r="N131" s="134"/>
      <c r="P131" s="25"/>
    </row>
    <row r="132" spans="1:16" x14ac:dyDescent="0.2">
      <c r="A132" t="s">
        <v>120</v>
      </c>
      <c r="B132" t="str">
        <f t="shared" si="328"/>
        <v>US040114GX20</v>
      </c>
      <c r="C132" t="str">
        <f t="shared" si="325"/>
        <v>USD 2026</v>
      </c>
      <c r="E132" s="17">
        <f t="shared" si="326"/>
        <v>4.5792893168241182</v>
      </c>
      <c r="F132" s="19">
        <f t="shared" si="327"/>
        <v>84.91302462308164</v>
      </c>
      <c r="G132" s="19">
        <f t="shared" si="329"/>
        <v>84.91302462308164</v>
      </c>
      <c r="H132" s="17"/>
      <c r="I132" s="17"/>
      <c r="J132" s="17"/>
      <c r="K132" s="17"/>
      <c r="L132" s="17"/>
      <c r="M132" s="17"/>
      <c r="N132" s="134"/>
      <c r="P132" s="25"/>
    </row>
    <row r="133" spans="1:16" x14ac:dyDescent="0.2">
      <c r="A133" t="s">
        <v>121</v>
      </c>
      <c r="B133" t="str">
        <f t="shared" si="328"/>
        <v>US040114HL72</v>
      </c>
      <c r="C133" t="str">
        <f t="shared" si="325"/>
        <v>USD 2027</v>
      </c>
      <c r="E133" s="17">
        <f t="shared" si="326"/>
        <v>5.108366714378878</v>
      </c>
      <c r="F133" s="19">
        <f t="shared" si="327"/>
        <v>80.688776830368681</v>
      </c>
      <c r="G133" s="19">
        <f t="shared" si="329"/>
        <v>80.688776830368681</v>
      </c>
      <c r="H133" s="17"/>
      <c r="I133" s="17"/>
      <c r="J133" s="17"/>
      <c r="K133" s="17"/>
      <c r="L133" s="17"/>
      <c r="M133" s="17"/>
      <c r="N133" s="134"/>
      <c r="P133" s="25"/>
    </row>
    <row r="134" spans="1:16" x14ac:dyDescent="0.2">
      <c r="A134" t="s">
        <v>122</v>
      </c>
      <c r="B134" t="str">
        <f t="shared" si="328"/>
        <v>US040114HQ69</v>
      </c>
      <c r="C134" t="str">
        <f t="shared" si="325"/>
        <v>USD 5.875% 2028</v>
      </c>
      <c r="E134" s="17">
        <f t="shared" si="326"/>
        <v>5.8012330324291543</v>
      </c>
      <c r="F134" s="19">
        <f t="shared" si="327"/>
        <v>73.865509022032512</v>
      </c>
      <c r="G134" s="19">
        <f t="shared" si="329"/>
        <v>73.865509022032512</v>
      </c>
      <c r="H134" s="17"/>
      <c r="I134" s="17"/>
      <c r="J134" s="17"/>
      <c r="K134" s="17"/>
      <c r="L134" s="17"/>
      <c r="M134" s="17"/>
      <c r="N134" s="134"/>
      <c r="P134" s="25"/>
    </row>
    <row r="135" spans="1:16" x14ac:dyDescent="0.2">
      <c r="A135" t="s">
        <v>123</v>
      </c>
      <c r="B135" t="str">
        <f t="shared" si="328"/>
        <v>US040114HF05</v>
      </c>
      <c r="C135" t="str">
        <f t="shared" si="325"/>
        <v>USD 6.625% 2028</v>
      </c>
      <c r="E135" s="17">
        <f t="shared" si="326"/>
        <v>5.9470388906782974</v>
      </c>
      <c r="F135" s="19">
        <f t="shared" si="327"/>
        <v>76.608021377454804</v>
      </c>
      <c r="G135" s="19">
        <f t="shared" si="329"/>
        <v>76.608021377454804</v>
      </c>
      <c r="H135" s="17"/>
      <c r="I135" s="17"/>
      <c r="J135" s="17"/>
      <c r="K135" s="17"/>
      <c r="L135" s="17"/>
      <c r="M135" s="17"/>
      <c r="N135" s="134"/>
      <c r="P135" s="25"/>
    </row>
    <row r="136" spans="1:16" x14ac:dyDescent="0.2">
      <c r="A136" t="s">
        <v>124</v>
      </c>
      <c r="B136" t="str">
        <f t="shared" si="328"/>
        <v>US040114HG87</v>
      </c>
      <c r="C136" t="str">
        <f t="shared" si="325"/>
        <v>USD 2036</v>
      </c>
      <c r="E136" s="17">
        <f t="shared" si="326"/>
        <v>8.4870720408047138</v>
      </c>
      <c r="F136" s="19">
        <f t="shared" si="327"/>
        <v>70.114255713665329</v>
      </c>
      <c r="G136" s="19">
        <f t="shared" si="329"/>
        <v>70.114255713665329</v>
      </c>
      <c r="H136" s="17"/>
      <c r="I136" s="17"/>
      <c r="J136" s="17"/>
      <c r="K136" s="17"/>
      <c r="L136" s="17"/>
      <c r="M136" s="17"/>
      <c r="N136" s="134"/>
      <c r="P136" s="25"/>
    </row>
    <row r="137" spans="1:16" x14ac:dyDescent="0.2">
      <c r="A137" t="s">
        <v>125</v>
      </c>
      <c r="B137" t="str">
        <f t="shared" si="328"/>
        <v>US040114GY03</v>
      </c>
      <c r="C137" t="str">
        <f t="shared" si="325"/>
        <v>USD 2046</v>
      </c>
      <c r="E137" s="17">
        <f t="shared" si="326"/>
        <v>9.3141720403652588</v>
      </c>
      <c r="F137" s="19">
        <f t="shared" si="327"/>
        <v>70.020208829038694</v>
      </c>
      <c r="G137" s="19">
        <f t="shared" si="329"/>
        <v>70.020208829038694</v>
      </c>
      <c r="H137" s="17"/>
      <c r="I137" s="17"/>
      <c r="J137" s="17"/>
      <c r="K137" s="17"/>
      <c r="L137" s="17"/>
      <c r="M137" s="17"/>
      <c r="N137" s="134"/>
      <c r="P137" s="25"/>
    </row>
    <row r="138" spans="1:16" x14ac:dyDescent="0.2">
      <c r="A138" t="s">
        <v>126</v>
      </c>
      <c r="B138" t="str">
        <f t="shared" si="328"/>
        <v>US040114HR43</v>
      </c>
      <c r="C138" t="str">
        <f t="shared" si="325"/>
        <v>USD 2048</v>
      </c>
      <c r="E138" s="17">
        <f>SUMPRODUCT(E108:GQ108,E81:GQ81)/F138</f>
        <v>9.511067511870209</v>
      </c>
      <c r="F138" s="19">
        <f t="shared" si="327"/>
        <v>63.345278028632528</v>
      </c>
      <c r="G138" s="19">
        <f t="shared" si="329"/>
        <v>63.345278028632528</v>
      </c>
      <c r="H138" s="17"/>
      <c r="I138" s="17"/>
      <c r="J138" s="17"/>
      <c r="K138" s="17"/>
      <c r="L138" s="17"/>
      <c r="M138" s="17"/>
      <c r="N138" s="134"/>
      <c r="P138" s="25"/>
    </row>
    <row r="139" spans="1:16" x14ac:dyDescent="0.2">
      <c r="A139" t="s">
        <v>127</v>
      </c>
      <c r="B139" t="str">
        <f t="shared" si="328"/>
        <v>USP04808AN44</v>
      </c>
      <c r="C139" t="str">
        <f t="shared" si="325"/>
        <v>USD 2117</v>
      </c>
      <c r="E139" s="17">
        <f>SUMPRODUCT(E109:GQ109,E82:GQ82)/F139</f>
        <v>9.4212551336991659</v>
      </c>
      <c r="F139" s="19">
        <f t="shared" si="327"/>
        <v>63.605845778444348</v>
      </c>
      <c r="G139" s="19">
        <f t="shared" si="329"/>
        <v>63.605845778444348</v>
      </c>
      <c r="H139" s="17"/>
      <c r="I139" s="17"/>
      <c r="J139" s="17"/>
      <c r="K139" s="17"/>
      <c r="L139" s="17"/>
      <c r="M139" s="17"/>
      <c r="N139" s="134"/>
      <c r="P139" s="25"/>
    </row>
    <row r="140" spans="1:16" x14ac:dyDescent="0.2">
      <c r="A140" t="s">
        <v>128</v>
      </c>
      <c r="B140" t="s">
        <v>34</v>
      </c>
      <c r="C140" t="str">
        <f t="shared" si="325"/>
        <v>Euro 2022</v>
      </c>
      <c r="E140" s="17">
        <f t="shared" ref="E140:E145" si="330">SUMPRODUCT(E110:GQ110,E83:GQ83)/SUM(E110:GQ110)</f>
        <v>1.3202129291964018</v>
      </c>
      <c r="F140" s="19">
        <f t="shared" si="327"/>
        <v>88.298920457228419</v>
      </c>
      <c r="G140" s="19">
        <f t="shared" si="329"/>
        <v>88.298920457228419</v>
      </c>
      <c r="H140" s="17"/>
      <c r="I140" s="17"/>
      <c r="J140" s="17"/>
      <c r="K140" s="17"/>
      <c r="L140" s="17"/>
      <c r="M140" s="17"/>
      <c r="N140" s="134"/>
      <c r="O140" s="21"/>
      <c r="P140" s="25"/>
    </row>
    <row r="141" spans="1:16" x14ac:dyDescent="0.2">
      <c r="A141" t="s">
        <v>129</v>
      </c>
      <c r="B141" t="s">
        <v>36</v>
      </c>
      <c r="C141" t="str">
        <f t="shared" si="325"/>
        <v>Euro 2023</v>
      </c>
      <c r="E141" s="17">
        <f t="shared" si="330"/>
        <v>2.2717566312380293</v>
      </c>
      <c r="F141" s="19">
        <f t="shared" si="327"/>
        <v>79.807817899565961</v>
      </c>
      <c r="G141" s="19">
        <f t="shared" si="329"/>
        <v>79.807817899565961</v>
      </c>
      <c r="H141" s="17"/>
      <c r="I141" s="17"/>
      <c r="J141" s="17"/>
      <c r="K141" s="17"/>
      <c r="L141" s="17"/>
      <c r="M141" s="17"/>
      <c r="N141" s="134"/>
      <c r="O141" s="21"/>
      <c r="P141" s="25"/>
    </row>
    <row r="142" spans="1:16" x14ac:dyDescent="0.2">
      <c r="A142" t="s">
        <v>131</v>
      </c>
      <c r="B142" t="s">
        <v>47</v>
      </c>
      <c r="C142" t="str">
        <f t="shared" si="325"/>
        <v>Euro 2027</v>
      </c>
      <c r="E142" s="17">
        <f t="shared" si="330"/>
        <v>5.342259598475577</v>
      </c>
      <c r="F142" s="19">
        <f t="shared" si="327"/>
        <v>63.347332995838393</v>
      </c>
      <c r="G142" s="19">
        <f t="shared" si="329"/>
        <v>63.347332995838393</v>
      </c>
      <c r="H142" s="17"/>
      <c r="I142" s="17"/>
      <c r="J142" s="17"/>
      <c r="K142" s="17"/>
      <c r="L142" s="17"/>
      <c r="M142" s="17"/>
      <c r="N142" s="134"/>
      <c r="O142" s="21"/>
      <c r="P142" s="23"/>
    </row>
    <row r="143" spans="1:16" x14ac:dyDescent="0.2">
      <c r="A143" t="s">
        <v>132</v>
      </c>
      <c r="B143" t="s">
        <v>49</v>
      </c>
      <c r="C143" t="str">
        <f t="shared" si="325"/>
        <v>Euro 2028</v>
      </c>
      <c r="E143" s="17">
        <f t="shared" si="330"/>
        <v>5.9055751977646347</v>
      </c>
      <c r="F143" s="19">
        <f t="shared" si="327"/>
        <v>60.982725793910561</v>
      </c>
      <c r="G143" s="19">
        <f t="shared" si="329"/>
        <v>60.982725793910561</v>
      </c>
      <c r="H143" s="17"/>
      <c r="I143" s="17"/>
      <c r="J143" s="17"/>
      <c r="K143" s="17"/>
      <c r="L143" s="17"/>
      <c r="M143" s="17"/>
      <c r="N143" s="134"/>
      <c r="O143" s="21"/>
      <c r="P143" s="23"/>
    </row>
    <row r="144" spans="1:16" x14ac:dyDescent="0.2">
      <c r="A144" t="s">
        <v>133</v>
      </c>
      <c r="B144" t="s">
        <v>55</v>
      </c>
      <c r="C144" t="str">
        <f t="shared" si="325"/>
        <v>Euro 2047</v>
      </c>
      <c r="E144" s="17">
        <f t="shared" si="330"/>
        <v>8.4754356459724534</v>
      </c>
      <c r="F144" s="232">
        <f t="shared" si="327"/>
        <v>45.724296192576432</v>
      </c>
      <c r="G144" s="19">
        <f t="shared" si="329"/>
        <v>45.724296192576432</v>
      </c>
      <c r="H144" s="17"/>
      <c r="I144" s="17"/>
      <c r="J144" s="17"/>
      <c r="K144" s="17"/>
      <c r="L144" s="17"/>
      <c r="M144" s="17"/>
      <c r="N144" s="134"/>
      <c r="O144" s="21"/>
      <c r="P144" s="23"/>
    </row>
    <row r="145" spans="1:16" x14ac:dyDescent="0.2">
      <c r="A145" t="s">
        <v>130</v>
      </c>
      <c r="B145" t="s">
        <v>38</v>
      </c>
      <c r="C145" t="str">
        <f t="shared" si="325"/>
        <v>CHF 2020</v>
      </c>
      <c r="E145" s="17">
        <f t="shared" si="330"/>
        <v>7.3972602739726029E-2</v>
      </c>
      <c r="F145" s="19">
        <f t="shared" si="327"/>
        <v>102.36783511299582</v>
      </c>
      <c r="G145" s="19">
        <f t="shared" si="329"/>
        <v>102.36783511299582</v>
      </c>
      <c r="H145" s="17"/>
      <c r="I145" s="17"/>
      <c r="J145" s="17"/>
      <c r="K145" s="17"/>
      <c r="L145" s="17"/>
      <c r="M145" s="17"/>
      <c r="N145" s="134"/>
      <c r="O145" s="21"/>
      <c r="P145" s="23"/>
    </row>
    <row r="146" spans="1:16" x14ac:dyDescent="0.2">
      <c r="H146" s="1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2D0D-F410-4E88-B351-7D3060D6A6F8}">
  <dimension ref="A1:TD80"/>
  <sheetViews>
    <sheetView showGridLines="0" zoomScale="70" zoomScaleNormal="70" workbookViewId="0">
      <pane xSplit="4" ySplit="3" topLeftCell="E4" activePane="bottomRight" state="frozen"/>
      <selection pane="topRight"/>
      <selection pane="bottomLeft"/>
      <selection pane="bottomRight"/>
    </sheetView>
  </sheetViews>
  <sheetFormatPr baseColWidth="10" defaultColWidth="8.83203125" defaultRowHeight="15" x14ac:dyDescent="0.2"/>
  <cols>
    <col min="1" max="1" width="22.83203125" bestFit="1" customWidth="1"/>
    <col min="2" max="2" width="12" bestFit="1" customWidth="1"/>
    <col min="3" max="3" width="14.5" bestFit="1" customWidth="1"/>
    <col min="4" max="4" width="9.1640625" customWidth="1"/>
    <col min="5" max="5" width="11.5" bestFit="1" customWidth="1"/>
    <col min="6" max="13" width="12" bestFit="1" customWidth="1"/>
    <col min="14" max="14" width="11.5" bestFit="1" customWidth="1"/>
    <col min="15" max="15" width="11.1640625" bestFit="1" customWidth="1"/>
    <col min="16" max="23" width="11.5" bestFit="1" customWidth="1"/>
    <col min="24" max="24" width="12" bestFit="1" customWidth="1"/>
    <col min="25" max="25" width="11.5" bestFit="1" customWidth="1"/>
    <col min="26" max="34" width="12" bestFit="1" customWidth="1"/>
    <col min="35" max="35" width="11.1640625" bestFit="1" customWidth="1"/>
    <col min="36" max="43" width="11.5" bestFit="1" customWidth="1"/>
    <col min="44" max="44" width="11.1640625" bestFit="1" customWidth="1"/>
    <col min="45" max="45" width="10.6640625" bestFit="1" customWidth="1"/>
    <col min="46" max="53" width="11.1640625" bestFit="1" customWidth="1"/>
    <col min="54" max="54" width="11.5" bestFit="1" customWidth="1"/>
    <col min="55" max="55" width="11.1640625" bestFit="1" customWidth="1"/>
    <col min="56" max="64" width="11.5" bestFit="1" customWidth="1"/>
    <col min="65" max="74" width="11.1640625" bestFit="1" customWidth="1"/>
    <col min="75" max="75" width="10.6640625" bestFit="1" customWidth="1"/>
    <col min="76" max="80" width="11.1640625" bestFit="1" customWidth="1"/>
    <col min="81" max="82" width="10.6640625" bestFit="1" customWidth="1"/>
    <col min="83" max="96" width="11.1640625" bestFit="1" customWidth="1"/>
    <col min="97" max="104" width="11.5" bestFit="1" customWidth="1"/>
    <col min="105" max="114" width="11.1640625" bestFit="1" customWidth="1"/>
    <col min="115" max="115" width="11.5" bestFit="1" customWidth="1"/>
    <col min="116" max="116" width="11.1640625" bestFit="1" customWidth="1"/>
    <col min="117" max="125" width="11.5" bestFit="1" customWidth="1"/>
    <col min="126" max="126" width="11.1640625" bestFit="1" customWidth="1"/>
    <col min="127" max="127" width="11.5" bestFit="1" customWidth="1"/>
    <col min="128" max="135" width="12" bestFit="1" customWidth="1"/>
    <col min="136" max="136" width="11.5" bestFit="1" customWidth="1"/>
    <col min="137" max="137" width="11.1640625" bestFit="1" customWidth="1"/>
    <col min="138" max="145" width="11.5" bestFit="1" customWidth="1"/>
    <col min="146" max="146" width="12" bestFit="1" customWidth="1"/>
    <col min="147" max="147" width="11.5" bestFit="1" customWidth="1"/>
    <col min="148" max="156" width="12" bestFit="1" customWidth="1"/>
    <col min="157" max="157" width="11.5" bestFit="1" customWidth="1"/>
    <col min="158" max="158" width="12" bestFit="1" customWidth="1"/>
    <col min="159" max="166" width="12.5" bestFit="1" customWidth="1"/>
    <col min="167" max="167" width="12" bestFit="1" customWidth="1"/>
    <col min="168" max="168" width="11.5" bestFit="1" customWidth="1"/>
    <col min="169" max="176" width="12" bestFit="1" customWidth="1"/>
    <col min="177" max="177" width="12.5" bestFit="1" customWidth="1"/>
    <col min="178" max="178" width="12" bestFit="1" customWidth="1"/>
    <col min="179" max="186" width="12.5" bestFit="1" customWidth="1"/>
    <col min="187" max="187" width="12" bestFit="1" customWidth="1"/>
    <col min="188" max="195" width="12.5" bestFit="1" customWidth="1"/>
    <col min="196" max="196" width="12" bestFit="1" customWidth="1"/>
    <col min="197" max="197" width="11.5" bestFit="1" customWidth="1"/>
    <col min="198" max="205" width="12" bestFit="1" customWidth="1"/>
    <col min="206" max="206" width="12.5" bestFit="1" customWidth="1"/>
    <col min="207" max="207" width="12" bestFit="1" customWidth="1"/>
    <col min="208" max="216" width="12.5" bestFit="1" customWidth="1"/>
    <col min="217" max="218" width="12" bestFit="1" customWidth="1"/>
    <col min="219" max="226" width="12.5" bestFit="1" customWidth="1"/>
    <col min="227" max="227" width="12" bestFit="1" customWidth="1"/>
    <col min="228" max="228" width="11.5" bestFit="1" customWidth="1"/>
    <col min="229" max="236" width="12" bestFit="1" customWidth="1"/>
    <col min="237" max="237" width="12.5" bestFit="1" customWidth="1"/>
    <col min="238" max="238" width="12" bestFit="1" customWidth="1"/>
    <col min="239" max="247" width="12.5" bestFit="1" customWidth="1"/>
    <col min="248" max="248" width="12" bestFit="1" customWidth="1"/>
    <col min="249" max="256" width="12.5" bestFit="1" customWidth="1"/>
    <col min="257" max="257" width="12" bestFit="1" customWidth="1"/>
    <col min="258" max="258" width="11.5" bestFit="1" customWidth="1"/>
    <col min="259" max="266" width="12" bestFit="1" customWidth="1"/>
    <col min="267" max="267" width="12.5" bestFit="1" customWidth="1"/>
    <col min="268" max="268" width="12" bestFit="1" customWidth="1"/>
    <col min="269" max="277" width="12.5" bestFit="1" customWidth="1"/>
    <col min="278" max="279" width="12" bestFit="1" customWidth="1"/>
    <col min="280" max="287" width="12.5" bestFit="1" customWidth="1"/>
    <col min="288" max="288" width="12" bestFit="1" customWidth="1"/>
    <col min="289" max="289" width="11.5" bestFit="1" customWidth="1"/>
    <col min="290" max="297" width="12" bestFit="1" customWidth="1"/>
    <col min="298" max="298" width="12.5" bestFit="1" customWidth="1"/>
    <col min="299" max="299" width="12" bestFit="1" customWidth="1"/>
    <col min="300" max="308" width="12.5" bestFit="1" customWidth="1"/>
    <col min="309" max="309" width="12" bestFit="1" customWidth="1"/>
    <col min="310" max="317" width="12.5" bestFit="1" customWidth="1"/>
    <col min="318" max="318" width="12" bestFit="1" customWidth="1"/>
    <col min="319" max="319" width="11.5" bestFit="1" customWidth="1"/>
    <col min="320" max="327" width="12" bestFit="1" customWidth="1"/>
    <col min="328" max="328" width="12.5" bestFit="1" customWidth="1"/>
    <col min="329" max="329" width="12" bestFit="1" customWidth="1"/>
    <col min="330" max="338" width="12.5" bestFit="1" customWidth="1"/>
    <col min="339" max="340" width="12" bestFit="1" customWidth="1"/>
    <col min="341" max="348" width="12.5" bestFit="1" customWidth="1"/>
    <col min="349" max="349" width="12" bestFit="1" customWidth="1"/>
    <col min="350" max="350" width="11.5" bestFit="1" customWidth="1"/>
    <col min="351" max="358" width="12" bestFit="1" customWidth="1"/>
    <col min="359" max="359" width="12.5" bestFit="1" customWidth="1"/>
    <col min="360" max="360" width="12" bestFit="1" customWidth="1"/>
    <col min="361" max="369" width="12.5" bestFit="1" customWidth="1"/>
    <col min="370" max="371" width="12" bestFit="1" customWidth="1"/>
    <col min="372" max="379" width="12.5" bestFit="1" customWidth="1"/>
    <col min="380" max="380" width="12" bestFit="1" customWidth="1"/>
    <col min="381" max="381" width="11.5" bestFit="1" customWidth="1"/>
    <col min="382" max="389" width="12" bestFit="1" customWidth="1"/>
    <col min="390" max="390" width="12.5" bestFit="1" customWidth="1"/>
    <col min="391" max="391" width="12" bestFit="1" customWidth="1"/>
    <col min="392" max="400" width="12.5" bestFit="1" customWidth="1"/>
    <col min="401" max="401" width="11.5" bestFit="1" customWidth="1"/>
    <col min="402" max="409" width="12" bestFit="1" customWidth="1"/>
    <col min="410" max="410" width="11.5" bestFit="1" customWidth="1"/>
    <col min="411" max="411" width="11.1640625" bestFit="1" customWidth="1"/>
    <col min="412" max="419" width="11.5" bestFit="1" customWidth="1"/>
    <col min="420" max="420" width="12" bestFit="1" customWidth="1"/>
    <col min="421" max="421" width="11.5" bestFit="1" customWidth="1"/>
    <col min="422" max="430" width="12" bestFit="1" customWidth="1"/>
    <col min="431" max="431" width="11.5" bestFit="1" customWidth="1"/>
    <col min="432" max="432" width="11.1640625" bestFit="1" customWidth="1"/>
    <col min="433" max="440" width="11.5" bestFit="1" customWidth="1"/>
    <col min="441" max="441" width="11.1640625" bestFit="1" customWidth="1"/>
    <col min="442" max="442" width="10.6640625" bestFit="1" customWidth="1"/>
    <col min="443" max="450" width="11.1640625" bestFit="1" customWidth="1"/>
    <col min="451" max="451" width="11.5" bestFit="1" customWidth="1"/>
    <col min="452" max="452" width="11.1640625" bestFit="1" customWidth="1"/>
    <col min="453" max="457" width="11.5" bestFit="1" customWidth="1"/>
    <col min="458" max="524" width="10.6640625" bestFit="1" customWidth="1"/>
  </cols>
  <sheetData>
    <row r="1" spans="1:524" ht="48" x14ac:dyDescent="0.2">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t="s">
        <v>313</v>
      </c>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t="s">
        <v>312</v>
      </c>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t="s">
        <v>311</v>
      </c>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t="s">
        <v>310</v>
      </c>
      <c r="MF1" s="2"/>
      <c r="MG1" s="2"/>
      <c r="MH1" s="2"/>
      <c r="MI1" s="2"/>
      <c r="MJ1" s="2"/>
      <c r="MK1" s="2"/>
      <c r="ML1" s="2"/>
      <c r="MM1" s="2"/>
      <c r="MN1" s="2"/>
      <c r="MO1" s="2" t="s">
        <v>315</v>
      </c>
      <c r="MP1" s="2"/>
      <c r="MQ1" s="2"/>
      <c r="MR1" s="2"/>
      <c r="MS1" s="2"/>
      <c r="MT1" s="2"/>
      <c r="MU1" s="2"/>
      <c r="MV1" s="2"/>
      <c r="MW1" s="2"/>
      <c r="MX1" s="2"/>
      <c r="MY1" s="2"/>
      <c r="MZ1" s="2"/>
      <c r="NA1" s="2"/>
      <c r="NB1" s="2"/>
      <c r="NC1" s="2"/>
      <c r="ND1" s="2"/>
      <c r="NE1" s="2"/>
      <c r="NF1" s="2"/>
      <c r="NG1" s="2"/>
      <c r="NH1" s="2"/>
      <c r="NI1" s="2"/>
      <c r="NJ1" s="2" t="s">
        <v>309</v>
      </c>
    </row>
    <row r="2" spans="1:524" x14ac:dyDescent="0.2">
      <c r="D2" t="s">
        <v>317</v>
      </c>
    </row>
    <row r="3" spans="1:524" ht="16" x14ac:dyDescent="0.2">
      <c r="A3" s="160" t="s">
        <v>186</v>
      </c>
      <c r="B3" s="160" t="s">
        <v>142</v>
      </c>
      <c r="C3" s="160" t="s">
        <v>184</v>
      </c>
      <c r="D3" s="161" t="s">
        <v>101</v>
      </c>
      <c r="E3" s="238">
        <v>43709</v>
      </c>
      <c r="F3" s="238">
        <v>43710</v>
      </c>
      <c r="G3" s="238">
        <v>43711</v>
      </c>
      <c r="H3" s="238">
        <v>43712</v>
      </c>
      <c r="I3" s="238">
        <v>43713</v>
      </c>
      <c r="J3" s="238">
        <v>43714</v>
      </c>
      <c r="K3" s="238">
        <v>43715</v>
      </c>
      <c r="L3" s="238">
        <v>43716</v>
      </c>
      <c r="M3" s="238">
        <v>43717</v>
      </c>
      <c r="N3" s="238">
        <v>43718</v>
      </c>
      <c r="O3" s="238">
        <v>43719</v>
      </c>
      <c r="P3" s="238">
        <v>43720</v>
      </c>
      <c r="Q3" s="238">
        <v>43721</v>
      </c>
      <c r="R3" s="238">
        <v>43722</v>
      </c>
      <c r="S3" s="238">
        <v>43723</v>
      </c>
      <c r="T3" s="238">
        <v>43724</v>
      </c>
      <c r="U3" s="238">
        <v>43725</v>
      </c>
      <c r="V3" s="238">
        <v>43726</v>
      </c>
      <c r="W3" s="238">
        <v>43727</v>
      </c>
      <c r="X3" s="238">
        <v>43728</v>
      </c>
      <c r="Y3" s="238">
        <v>43729</v>
      </c>
      <c r="Z3" s="238">
        <v>43730</v>
      </c>
      <c r="AA3" s="238">
        <v>43731</v>
      </c>
      <c r="AB3" s="238">
        <v>43732</v>
      </c>
      <c r="AC3" s="238">
        <v>43733</v>
      </c>
      <c r="AD3" s="238">
        <v>43734</v>
      </c>
      <c r="AE3" s="238">
        <v>43735</v>
      </c>
      <c r="AF3" s="238">
        <v>43736</v>
      </c>
      <c r="AG3" s="238">
        <v>43737</v>
      </c>
      <c r="AH3" s="238">
        <v>43738</v>
      </c>
      <c r="AI3" s="238">
        <v>43739</v>
      </c>
      <c r="AJ3" s="238">
        <v>43740</v>
      </c>
      <c r="AK3" s="238">
        <v>43741</v>
      </c>
      <c r="AL3" s="238">
        <v>43742</v>
      </c>
      <c r="AM3" s="238">
        <v>43743</v>
      </c>
      <c r="AN3" s="238">
        <v>43744</v>
      </c>
      <c r="AO3" s="238">
        <v>43745</v>
      </c>
      <c r="AP3" s="238">
        <v>43746</v>
      </c>
      <c r="AQ3" s="238">
        <v>43747</v>
      </c>
      <c r="AR3" s="238">
        <v>43748</v>
      </c>
      <c r="AS3" s="238">
        <v>43749</v>
      </c>
      <c r="AT3" s="238">
        <v>43750</v>
      </c>
      <c r="AU3" s="238">
        <v>43751</v>
      </c>
      <c r="AV3" s="238">
        <v>43752</v>
      </c>
      <c r="AW3" s="238">
        <v>43753</v>
      </c>
      <c r="AX3" s="238">
        <v>43754</v>
      </c>
      <c r="AY3" s="238">
        <v>43755</v>
      </c>
      <c r="AZ3" s="238">
        <v>43756</v>
      </c>
      <c r="BA3" s="238">
        <v>43757</v>
      </c>
      <c r="BB3" s="238">
        <v>43758</v>
      </c>
      <c r="BC3" s="238">
        <v>43759</v>
      </c>
      <c r="BD3" s="238">
        <v>43760</v>
      </c>
      <c r="BE3" s="238">
        <v>43761</v>
      </c>
      <c r="BF3" s="238">
        <v>43762</v>
      </c>
      <c r="BG3" s="238">
        <v>43763</v>
      </c>
      <c r="BH3" s="238">
        <v>43764</v>
      </c>
      <c r="BI3" s="238">
        <v>43765</v>
      </c>
      <c r="BJ3" s="238">
        <v>43766</v>
      </c>
      <c r="BK3" s="238">
        <v>43767</v>
      </c>
      <c r="BL3" s="238">
        <v>43768</v>
      </c>
      <c r="BM3" s="238">
        <v>43769</v>
      </c>
      <c r="BN3" s="238">
        <v>43770</v>
      </c>
      <c r="BO3" s="238">
        <v>43771</v>
      </c>
      <c r="BP3" s="238">
        <v>43772</v>
      </c>
      <c r="BQ3" s="238">
        <v>43773</v>
      </c>
      <c r="BR3" s="238">
        <v>43774</v>
      </c>
      <c r="BS3" s="238">
        <v>43775</v>
      </c>
      <c r="BT3" s="238">
        <v>43776</v>
      </c>
      <c r="BU3" s="238">
        <v>43777</v>
      </c>
      <c r="BV3" s="238">
        <v>43778</v>
      </c>
      <c r="BW3" s="238">
        <v>43779</v>
      </c>
      <c r="BX3" s="238">
        <v>43780</v>
      </c>
      <c r="BY3" s="238">
        <v>43781</v>
      </c>
      <c r="BZ3" s="238">
        <v>43782</v>
      </c>
      <c r="CA3" s="238">
        <v>43783</v>
      </c>
      <c r="CB3" s="238">
        <v>43784</v>
      </c>
      <c r="CC3" s="238">
        <v>43785</v>
      </c>
      <c r="CD3" s="238">
        <v>43786</v>
      </c>
      <c r="CE3" s="238">
        <v>43787</v>
      </c>
      <c r="CF3" s="238">
        <v>43788</v>
      </c>
      <c r="CG3" s="238">
        <v>43789</v>
      </c>
      <c r="CH3" s="238">
        <v>43790</v>
      </c>
      <c r="CI3" s="238">
        <v>43791</v>
      </c>
      <c r="CJ3" s="238">
        <v>43792</v>
      </c>
      <c r="CK3" s="238">
        <v>43793</v>
      </c>
      <c r="CL3" s="238">
        <v>43794</v>
      </c>
      <c r="CM3" s="238">
        <v>43795</v>
      </c>
      <c r="CN3" s="238">
        <v>43796</v>
      </c>
      <c r="CO3" s="238">
        <v>43797</v>
      </c>
      <c r="CP3" s="238">
        <v>43798</v>
      </c>
      <c r="CQ3" s="238">
        <v>43799</v>
      </c>
      <c r="CR3" s="238">
        <v>43800</v>
      </c>
      <c r="CS3" s="238">
        <v>43801</v>
      </c>
      <c r="CT3" s="238">
        <v>43802</v>
      </c>
      <c r="CU3" s="238">
        <v>43803</v>
      </c>
      <c r="CV3" s="238">
        <v>43804</v>
      </c>
      <c r="CW3" s="238">
        <v>43805</v>
      </c>
      <c r="CX3" s="238">
        <v>43806</v>
      </c>
      <c r="CY3" s="238">
        <v>43807</v>
      </c>
      <c r="CZ3" s="238">
        <v>43808</v>
      </c>
      <c r="DA3" s="238">
        <v>43809</v>
      </c>
      <c r="DB3" s="238">
        <v>43810</v>
      </c>
      <c r="DC3" s="238">
        <v>43811</v>
      </c>
      <c r="DD3" s="238">
        <v>43812</v>
      </c>
      <c r="DE3" s="238">
        <v>43813</v>
      </c>
      <c r="DF3" s="238">
        <v>43814</v>
      </c>
      <c r="DG3" s="238">
        <v>43815</v>
      </c>
      <c r="DH3" s="238">
        <v>43816</v>
      </c>
      <c r="DI3" s="238">
        <v>43817</v>
      </c>
      <c r="DJ3" s="238">
        <v>43818</v>
      </c>
      <c r="DK3" s="238">
        <v>43819</v>
      </c>
      <c r="DL3" s="238">
        <v>43820</v>
      </c>
      <c r="DM3" s="238">
        <v>43821</v>
      </c>
      <c r="DN3" s="238">
        <v>43822</v>
      </c>
      <c r="DO3" s="238">
        <v>43823</v>
      </c>
      <c r="DP3" s="238">
        <v>43824</v>
      </c>
      <c r="DQ3" s="238">
        <v>43825</v>
      </c>
      <c r="DR3" s="238">
        <v>43826</v>
      </c>
      <c r="DS3" s="238">
        <v>43827</v>
      </c>
      <c r="DT3" s="238">
        <v>43828</v>
      </c>
      <c r="DU3" s="238">
        <v>43829</v>
      </c>
      <c r="DV3" s="238">
        <v>43830</v>
      </c>
      <c r="DW3" s="238">
        <v>43831</v>
      </c>
      <c r="DX3" s="238">
        <v>43832</v>
      </c>
      <c r="DY3" s="238">
        <v>43833</v>
      </c>
      <c r="DZ3" s="238">
        <v>43834</v>
      </c>
      <c r="EA3" s="238">
        <v>43835</v>
      </c>
      <c r="EB3" s="238">
        <v>43836</v>
      </c>
      <c r="EC3" s="238">
        <v>43837</v>
      </c>
      <c r="ED3" s="238">
        <v>43838</v>
      </c>
      <c r="EE3" s="238">
        <v>43839</v>
      </c>
      <c r="EF3" s="238">
        <v>43840</v>
      </c>
      <c r="EG3" s="238">
        <v>43841</v>
      </c>
      <c r="EH3" s="238">
        <v>43842</v>
      </c>
      <c r="EI3" s="238">
        <v>43843</v>
      </c>
      <c r="EJ3" s="238">
        <v>43844</v>
      </c>
      <c r="EK3" s="238">
        <v>43845</v>
      </c>
      <c r="EL3" s="238">
        <v>43846</v>
      </c>
      <c r="EM3" s="238">
        <v>43847</v>
      </c>
      <c r="EN3" s="238">
        <v>43848</v>
      </c>
      <c r="EO3" s="238">
        <v>43849</v>
      </c>
      <c r="EP3" s="238">
        <v>43850</v>
      </c>
      <c r="EQ3" s="238">
        <v>43851</v>
      </c>
      <c r="ER3" s="238">
        <v>43852</v>
      </c>
      <c r="ES3" s="238">
        <v>43853</v>
      </c>
      <c r="ET3" s="238">
        <v>43854</v>
      </c>
      <c r="EU3" s="238">
        <v>43855</v>
      </c>
      <c r="EV3" s="238">
        <v>43856</v>
      </c>
      <c r="EW3" s="238">
        <v>43857</v>
      </c>
      <c r="EX3" s="238">
        <v>43858</v>
      </c>
      <c r="EY3" s="238">
        <v>43859</v>
      </c>
      <c r="EZ3" s="238">
        <v>43860</v>
      </c>
      <c r="FA3" s="238">
        <v>43861</v>
      </c>
      <c r="FB3" s="238">
        <v>43862</v>
      </c>
      <c r="FC3" s="238">
        <v>43863</v>
      </c>
      <c r="FD3" s="238">
        <v>43864</v>
      </c>
      <c r="FE3" s="238">
        <v>43865</v>
      </c>
      <c r="FF3" s="238">
        <v>43866</v>
      </c>
      <c r="FG3" s="238">
        <v>43867</v>
      </c>
      <c r="FH3" s="238">
        <v>43868</v>
      </c>
      <c r="FI3" s="238">
        <v>43869</v>
      </c>
      <c r="FJ3" s="238">
        <v>43870</v>
      </c>
      <c r="FK3" s="238">
        <v>43871</v>
      </c>
      <c r="FL3" s="238">
        <v>43872</v>
      </c>
      <c r="FM3" s="238">
        <v>43873</v>
      </c>
      <c r="FN3" s="238">
        <v>43874</v>
      </c>
      <c r="FO3" s="238">
        <v>43875</v>
      </c>
      <c r="FP3" s="238">
        <v>43876</v>
      </c>
      <c r="FQ3" s="238">
        <v>43877</v>
      </c>
      <c r="FR3" s="238">
        <v>43878</v>
      </c>
      <c r="FS3" s="238">
        <v>43879</v>
      </c>
      <c r="FT3" s="238">
        <v>43880</v>
      </c>
      <c r="FU3" s="238">
        <v>43881</v>
      </c>
      <c r="FV3" s="238">
        <v>43882</v>
      </c>
      <c r="FW3" s="238">
        <v>43883</v>
      </c>
      <c r="FX3" s="238">
        <v>43884</v>
      </c>
      <c r="FY3" s="238">
        <v>43885</v>
      </c>
      <c r="FZ3" s="238">
        <v>43886</v>
      </c>
      <c r="GA3" s="238">
        <v>43887</v>
      </c>
      <c r="GB3" s="238">
        <v>43888</v>
      </c>
      <c r="GC3" s="238">
        <v>43889</v>
      </c>
      <c r="GD3" s="238">
        <v>43890</v>
      </c>
      <c r="GE3" s="238">
        <v>43891</v>
      </c>
      <c r="GF3" s="238">
        <v>43892</v>
      </c>
      <c r="GG3" s="238">
        <v>43893</v>
      </c>
      <c r="GH3" s="238">
        <v>43894</v>
      </c>
      <c r="GI3" s="238">
        <v>43895</v>
      </c>
      <c r="GJ3" s="238">
        <v>43896</v>
      </c>
      <c r="GK3" s="238">
        <v>43897</v>
      </c>
      <c r="GL3" s="238">
        <v>43898</v>
      </c>
      <c r="GM3" s="238">
        <v>43899</v>
      </c>
      <c r="GN3" s="238">
        <v>43900</v>
      </c>
      <c r="GO3" s="238">
        <v>43901</v>
      </c>
      <c r="GP3" s="238">
        <v>43902</v>
      </c>
      <c r="GQ3" s="238">
        <v>43903</v>
      </c>
      <c r="GR3" s="238">
        <v>43904</v>
      </c>
      <c r="GS3" s="238">
        <v>43905</v>
      </c>
      <c r="GT3" s="238">
        <v>43906</v>
      </c>
      <c r="GU3" s="238">
        <v>43907</v>
      </c>
      <c r="GV3" s="238">
        <v>43908</v>
      </c>
      <c r="GW3" s="238">
        <v>43909</v>
      </c>
      <c r="GX3" s="238">
        <v>43910</v>
      </c>
      <c r="GY3" s="238">
        <v>43911</v>
      </c>
      <c r="GZ3" s="238">
        <v>43912</v>
      </c>
      <c r="HA3" s="238">
        <v>43913</v>
      </c>
      <c r="HB3" s="238">
        <v>43914</v>
      </c>
      <c r="HC3" s="238">
        <v>43915</v>
      </c>
      <c r="HD3" s="238">
        <v>43916</v>
      </c>
      <c r="HE3" s="238">
        <v>43917</v>
      </c>
      <c r="HF3" s="238">
        <v>43918</v>
      </c>
      <c r="HG3" s="238">
        <v>43919</v>
      </c>
      <c r="HH3" s="238">
        <v>43920</v>
      </c>
      <c r="HI3" s="238">
        <v>43921</v>
      </c>
      <c r="HJ3" s="238">
        <v>43922</v>
      </c>
      <c r="HK3" s="238">
        <v>43923</v>
      </c>
      <c r="HL3" s="238">
        <v>43924</v>
      </c>
      <c r="HM3" s="238">
        <v>43925</v>
      </c>
      <c r="HN3" s="238">
        <v>43926</v>
      </c>
      <c r="HO3" s="238">
        <v>43927</v>
      </c>
      <c r="HP3" s="238">
        <v>43928</v>
      </c>
      <c r="HQ3" s="238">
        <v>43929</v>
      </c>
      <c r="HR3" s="238">
        <v>43930</v>
      </c>
      <c r="HS3" s="238">
        <v>43931</v>
      </c>
      <c r="HT3" s="238">
        <v>43932</v>
      </c>
      <c r="HU3" s="238">
        <v>43933</v>
      </c>
      <c r="HV3" s="238">
        <v>43934</v>
      </c>
      <c r="HW3" s="238">
        <v>43935</v>
      </c>
      <c r="HX3" s="238">
        <v>43936</v>
      </c>
      <c r="HY3" s="238">
        <v>43937</v>
      </c>
      <c r="HZ3" s="238">
        <v>43938</v>
      </c>
      <c r="IA3" s="238">
        <v>43939</v>
      </c>
      <c r="IB3" s="238">
        <v>43940</v>
      </c>
      <c r="IC3" s="238">
        <v>43941</v>
      </c>
      <c r="ID3" s="238">
        <v>43942</v>
      </c>
      <c r="IE3" s="238">
        <v>43943</v>
      </c>
      <c r="IF3" s="238">
        <v>43944</v>
      </c>
      <c r="IG3" s="238">
        <v>43945</v>
      </c>
      <c r="IH3" s="238">
        <v>43946</v>
      </c>
      <c r="II3" s="238">
        <v>43947</v>
      </c>
      <c r="IJ3" s="238">
        <v>43948</v>
      </c>
      <c r="IK3" s="238">
        <v>43949</v>
      </c>
      <c r="IL3" s="238">
        <v>43950</v>
      </c>
      <c r="IM3" s="238">
        <v>43951</v>
      </c>
      <c r="IN3" s="238">
        <v>43952</v>
      </c>
      <c r="IO3" s="238">
        <v>43953</v>
      </c>
      <c r="IP3" s="238">
        <v>43954</v>
      </c>
      <c r="IQ3" s="238">
        <v>43955</v>
      </c>
      <c r="IR3" s="238">
        <v>43956</v>
      </c>
      <c r="IS3" s="238">
        <v>43957</v>
      </c>
      <c r="IT3" s="238">
        <v>43958</v>
      </c>
      <c r="IU3" s="238">
        <v>43959</v>
      </c>
      <c r="IV3" s="238">
        <v>43960</v>
      </c>
      <c r="IW3" s="238">
        <v>43961</v>
      </c>
      <c r="IX3" s="238">
        <v>43962</v>
      </c>
      <c r="IY3" s="238">
        <v>43963</v>
      </c>
      <c r="IZ3" s="238">
        <v>43964</v>
      </c>
      <c r="JA3" s="238">
        <v>43965</v>
      </c>
      <c r="JB3" s="238">
        <v>43966</v>
      </c>
      <c r="JC3" s="238">
        <v>43967</v>
      </c>
      <c r="JD3" s="238">
        <v>43968</v>
      </c>
      <c r="JE3" s="238">
        <v>43969</v>
      </c>
      <c r="JF3" s="238">
        <v>43970</v>
      </c>
      <c r="JG3" s="238">
        <v>43971</v>
      </c>
      <c r="JH3" s="238">
        <v>43972</v>
      </c>
      <c r="JI3" s="238">
        <v>43973</v>
      </c>
      <c r="JJ3" s="238">
        <v>43974</v>
      </c>
      <c r="JK3" s="238">
        <v>43975</v>
      </c>
      <c r="JL3" s="238">
        <v>43976</v>
      </c>
      <c r="JM3" s="238">
        <v>43977</v>
      </c>
      <c r="JN3" s="238">
        <v>43978</v>
      </c>
      <c r="JO3" s="238">
        <v>43979</v>
      </c>
      <c r="JP3" s="238">
        <v>43980</v>
      </c>
      <c r="JQ3" s="238">
        <v>43981</v>
      </c>
      <c r="JR3" s="238">
        <v>43982</v>
      </c>
      <c r="JS3" s="238">
        <v>43983</v>
      </c>
      <c r="JT3" s="238">
        <v>43984</v>
      </c>
      <c r="JU3" s="238">
        <v>43985</v>
      </c>
      <c r="JV3" s="238">
        <v>43986</v>
      </c>
      <c r="JW3" s="238">
        <v>43987</v>
      </c>
      <c r="JX3" s="238">
        <v>43988</v>
      </c>
      <c r="JY3" s="238">
        <v>43989</v>
      </c>
      <c r="JZ3" s="238">
        <v>43990</v>
      </c>
      <c r="KA3" s="238">
        <v>43991</v>
      </c>
      <c r="KB3" s="238">
        <v>43992</v>
      </c>
      <c r="KC3" s="238">
        <v>43993</v>
      </c>
      <c r="KD3" s="238">
        <v>43994</v>
      </c>
      <c r="KE3" s="238">
        <v>43995</v>
      </c>
      <c r="KF3" s="238">
        <v>43996</v>
      </c>
      <c r="KG3" s="238">
        <v>43997</v>
      </c>
      <c r="KH3" s="238">
        <v>43998</v>
      </c>
      <c r="KI3" s="238">
        <v>43999</v>
      </c>
      <c r="KJ3" s="238">
        <v>44000</v>
      </c>
      <c r="KK3" s="238">
        <v>44001</v>
      </c>
      <c r="KL3" s="238">
        <v>44002</v>
      </c>
      <c r="KM3" s="238">
        <v>44003</v>
      </c>
      <c r="KN3" s="238">
        <v>44004</v>
      </c>
      <c r="KO3" s="238">
        <v>44005</v>
      </c>
      <c r="KP3" s="238">
        <v>44006</v>
      </c>
      <c r="KQ3" s="238">
        <v>44007</v>
      </c>
      <c r="KR3" s="238">
        <v>44008</v>
      </c>
      <c r="KS3" s="238">
        <v>44009</v>
      </c>
      <c r="KT3" s="238">
        <v>44010</v>
      </c>
      <c r="KU3" s="238">
        <v>44011</v>
      </c>
      <c r="KV3" s="238">
        <v>44012</v>
      </c>
      <c r="KW3" s="238">
        <v>44013</v>
      </c>
      <c r="KX3" s="238">
        <v>44014</v>
      </c>
      <c r="KY3" s="238">
        <v>44015</v>
      </c>
      <c r="KZ3" s="238">
        <v>44016</v>
      </c>
      <c r="LA3" s="238">
        <v>44017</v>
      </c>
      <c r="LB3" s="238">
        <v>44018</v>
      </c>
      <c r="LC3" s="238">
        <v>44019</v>
      </c>
      <c r="LD3" s="238">
        <v>44020</v>
      </c>
      <c r="LE3" s="238">
        <v>44021</v>
      </c>
      <c r="LF3" s="238">
        <v>44022</v>
      </c>
      <c r="LG3" s="238">
        <v>44023</v>
      </c>
      <c r="LH3" s="238">
        <v>44024</v>
      </c>
      <c r="LI3" s="238">
        <v>44025</v>
      </c>
      <c r="LJ3" s="238">
        <v>44026</v>
      </c>
      <c r="LK3" s="238">
        <v>44027</v>
      </c>
      <c r="LL3" s="238">
        <v>44028</v>
      </c>
      <c r="LM3" s="238">
        <v>44029</v>
      </c>
      <c r="LN3" s="238">
        <v>44030</v>
      </c>
      <c r="LO3" s="238">
        <v>44031</v>
      </c>
      <c r="LP3" s="238">
        <v>44032</v>
      </c>
      <c r="LQ3" s="238">
        <v>44033</v>
      </c>
      <c r="LR3" s="238">
        <v>44034</v>
      </c>
      <c r="LS3" s="238">
        <v>44035</v>
      </c>
      <c r="LT3" s="238">
        <v>44036</v>
      </c>
      <c r="LU3" s="238">
        <v>44037</v>
      </c>
      <c r="LV3" s="238">
        <v>44038</v>
      </c>
      <c r="LW3" s="238">
        <v>44039</v>
      </c>
      <c r="LX3" s="238">
        <v>44040</v>
      </c>
      <c r="LY3" s="238">
        <v>44041</v>
      </c>
      <c r="LZ3" s="238">
        <v>44042</v>
      </c>
      <c r="MA3" s="238">
        <v>44043</v>
      </c>
      <c r="MB3" s="238">
        <v>44044</v>
      </c>
      <c r="MC3" s="238">
        <v>44045</v>
      </c>
      <c r="MD3" s="238">
        <v>44046</v>
      </c>
      <c r="ME3" s="238">
        <v>44047</v>
      </c>
      <c r="MF3" s="238">
        <v>44048</v>
      </c>
      <c r="MG3" s="238">
        <v>44049</v>
      </c>
      <c r="MH3" s="238">
        <v>44050</v>
      </c>
      <c r="MI3" s="238">
        <v>44051</v>
      </c>
      <c r="MJ3" s="238">
        <v>44052</v>
      </c>
      <c r="MK3" s="238">
        <v>44053</v>
      </c>
      <c r="ML3" s="238">
        <v>44054</v>
      </c>
      <c r="MM3" s="238">
        <v>44055</v>
      </c>
      <c r="MN3" s="238">
        <v>44056</v>
      </c>
      <c r="MO3" s="238">
        <v>44057</v>
      </c>
      <c r="MP3" s="238">
        <v>44058</v>
      </c>
      <c r="MQ3" s="238">
        <v>44059</v>
      </c>
      <c r="MR3" s="238">
        <v>44060</v>
      </c>
      <c r="MS3" s="238">
        <v>44061</v>
      </c>
      <c r="MT3" s="238">
        <v>44062</v>
      </c>
      <c r="MU3" s="238">
        <v>44063</v>
      </c>
      <c r="MV3" s="238">
        <v>44064</v>
      </c>
      <c r="MW3" s="238">
        <v>44065</v>
      </c>
      <c r="MX3" s="238">
        <v>44066</v>
      </c>
      <c r="MY3" s="238">
        <v>44067</v>
      </c>
      <c r="MZ3" s="238">
        <v>44068</v>
      </c>
      <c r="NA3" s="238">
        <v>44069</v>
      </c>
      <c r="NB3" s="238">
        <v>44070</v>
      </c>
      <c r="NC3" s="238">
        <v>44071</v>
      </c>
      <c r="ND3" s="238">
        <v>44072</v>
      </c>
      <c r="NE3" s="238">
        <v>44073</v>
      </c>
      <c r="NF3" s="238">
        <v>44074</v>
      </c>
      <c r="NG3" s="238">
        <v>44075</v>
      </c>
      <c r="NH3" s="238">
        <v>44076</v>
      </c>
      <c r="NI3" s="238">
        <v>44077</v>
      </c>
      <c r="NJ3" s="238">
        <v>44078</v>
      </c>
      <c r="NK3" s="238">
        <v>44079</v>
      </c>
      <c r="NL3" s="238">
        <v>44080</v>
      </c>
      <c r="NM3" s="238">
        <v>44081</v>
      </c>
      <c r="NN3" s="238">
        <v>44082</v>
      </c>
      <c r="NO3" s="238">
        <v>44083</v>
      </c>
      <c r="NP3" s="238">
        <v>44084</v>
      </c>
      <c r="NQ3" s="238">
        <v>44085</v>
      </c>
      <c r="NR3" s="238">
        <v>44086</v>
      </c>
      <c r="NS3" s="238">
        <v>44087</v>
      </c>
      <c r="NT3" s="238">
        <v>44088</v>
      </c>
      <c r="NU3" s="238">
        <v>44089</v>
      </c>
      <c r="NV3" s="238">
        <v>44090</v>
      </c>
      <c r="NW3" s="238">
        <v>44091</v>
      </c>
      <c r="NX3" s="238">
        <v>44092</v>
      </c>
      <c r="NY3" s="238">
        <v>44093</v>
      </c>
      <c r="NZ3" s="238">
        <v>44094</v>
      </c>
      <c r="OA3" s="238">
        <v>44095</v>
      </c>
      <c r="OB3" s="238">
        <v>44096</v>
      </c>
      <c r="OC3" s="238">
        <v>44097</v>
      </c>
      <c r="OD3" s="238">
        <v>44098</v>
      </c>
      <c r="OE3" s="238">
        <v>44099</v>
      </c>
      <c r="OF3" s="238">
        <v>44100</v>
      </c>
      <c r="OG3" s="238">
        <v>44101</v>
      </c>
      <c r="OH3" s="238">
        <v>44102</v>
      </c>
      <c r="OI3" s="238">
        <v>44103</v>
      </c>
      <c r="OJ3" s="238">
        <v>44104</v>
      </c>
      <c r="OK3" s="238">
        <v>44105</v>
      </c>
      <c r="OL3" s="238">
        <v>44106</v>
      </c>
      <c r="OM3" s="238">
        <v>44107</v>
      </c>
      <c r="ON3" s="238">
        <v>44108</v>
      </c>
      <c r="OO3" s="238">
        <v>44109</v>
      </c>
      <c r="OP3" s="238">
        <v>44110</v>
      </c>
      <c r="OQ3" s="238">
        <v>44111</v>
      </c>
      <c r="OR3" s="238">
        <v>44112</v>
      </c>
      <c r="OS3" s="238">
        <v>44113</v>
      </c>
      <c r="OT3" s="238">
        <v>44114</v>
      </c>
      <c r="OU3" s="238">
        <v>44115</v>
      </c>
      <c r="OV3" s="238">
        <v>44116</v>
      </c>
      <c r="OW3" s="238">
        <v>44117</v>
      </c>
      <c r="OX3" s="238">
        <v>44118</v>
      </c>
      <c r="OY3" s="238">
        <v>44119</v>
      </c>
      <c r="OZ3" s="238">
        <v>44120</v>
      </c>
      <c r="PA3" s="238">
        <v>44121</v>
      </c>
      <c r="PB3" s="238">
        <v>44122</v>
      </c>
      <c r="PC3" s="238">
        <v>44123</v>
      </c>
      <c r="PD3" s="238">
        <v>44124</v>
      </c>
      <c r="PE3" s="238">
        <v>44125</v>
      </c>
      <c r="PF3" s="238">
        <v>44126</v>
      </c>
      <c r="PG3" s="238">
        <v>44127</v>
      </c>
      <c r="PH3" s="238">
        <v>44128</v>
      </c>
      <c r="PI3" s="238">
        <v>44129</v>
      </c>
      <c r="PJ3" s="238">
        <v>44130</v>
      </c>
      <c r="PK3" s="238">
        <v>44131</v>
      </c>
      <c r="PL3" s="238">
        <v>44132</v>
      </c>
      <c r="PM3" s="238">
        <v>44133</v>
      </c>
      <c r="PN3" s="238">
        <v>44134</v>
      </c>
      <c r="PO3" s="238">
        <v>44135</v>
      </c>
      <c r="PP3" s="238">
        <v>44136</v>
      </c>
      <c r="PQ3" s="238">
        <v>44137</v>
      </c>
      <c r="PR3" s="238">
        <v>44138</v>
      </c>
      <c r="PS3" s="238">
        <v>44139</v>
      </c>
      <c r="PT3" s="238">
        <v>44140</v>
      </c>
      <c r="PU3" s="238">
        <v>44141</v>
      </c>
      <c r="PV3" s="238">
        <v>44142</v>
      </c>
      <c r="PW3" s="238">
        <v>44143</v>
      </c>
      <c r="PX3" s="238">
        <v>44144</v>
      </c>
      <c r="PY3" s="238">
        <v>44145</v>
      </c>
      <c r="PZ3" s="238">
        <v>44146</v>
      </c>
      <c r="QA3" s="238">
        <v>44147</v>
      </c>
      <c r="QB3" s="238">
        <v>44148</v>
      </c>
      <c r="QC3" s="238">
        <v>44149</v>
      </c>
      <c r="QD3" s="238">
        <v>44150</v>
      </c>
      <c r="QE3" s="238">
        <v>44151</v>
      </c>
      <c r="QF3" s="238">
        <v>44152</v>
      </c>
      <c r="QG3" s="238">
        <v>44153</v>
      </c>
      <c r="QH3" s="238">
        <v>44154</v>
      </c>
      <c r="QI3" s="238">
        <v>44155</v>
      </c>
      <c r="QJ3" s="238">
        <v>44156</v>
      </c>
      <c r="QK3" s="238">
        <v>44157</v>
      </c>
      <c r="QL3" s="238">
        <v>44158</v>
      </c>
      <c r="QM3" s="238">
        <v>44159</v>
      </c>
      <c r="QN3" s="238">
        <v>44160</v>
      </c>
      <c r="QO3" s="238">
        <v>44161</v>
      </c>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row>
    <row r="4" spans="1:524" x14ac:dyDescent="0.2">
      <c r="A4" t="s">
        <v>134</v>
      </c>
      <c r="B4" s="3">
        <v>38626</v>
      </c>
      <c r="C4" t="s">
        <v>10</v>
      </c>
      <c r="E4" t="s">
        <v>137</v>
      </c>
      <c r="F4">
        <v>41.5</v>
      </c>
      <c r="G4">
        <v>41.4375</v>
      </c>
      <c r="H4">
        <v>44.3125</v>
      </c>
      <c r="I4">
        <v>46</v>
      </c>
      <c r="J4">
        <v>48.5</v>
      </c>
      <c r="K4" t="s">
        <v>137</v>
      </c>
      <c r="L4" t="s">
        <v>137</v>
      </c>
      <c r="M4">
        <v>50.274500000000003</v>
      </c>
      <c r="N4">
        <v>48.4375</v>
      </c>
      <c r="O4">
        <v>48.625</v>
      </c>
      <c r="P4">
        <v>48</v>
      </c>
      <c r="Q4">
        <v>47.417499999999997</v>
      </c>
      <c r="R4" t="s">
        <v>137</v>
      </c>
      <c r="S4" t="s">
        <v>137</v>
      </c>
      <c r="T4">
        <v>46.694499999999998</v>
      </c>
      <c r="U4">
        <v>47.524500000000003</v>
      </c>
      <c r="V4">
        <v>48.761000000000003</v>
      </c>
      <c r="W4">
        <v>48.4375</v>
      </c>
      <c r="X4">
        <v>49.125</v>
      </c>
      <c r="Y4" t="s">
        <v>137</v>
      </c>
      <c r="Z4" t="s">
        <v>137</v>
      </c>
      <c r="AA4">
        <v>48.4375</v>
      </c>
      <c r="AB4">
        <v>48</v>
      </c>
      <c r="AC4">
        <v>47.711500000000001</v>
      </c>
      <c r="AD4">
        <v>48.25</v>
      </c>
      <c r="AE4">
        <v>49.375</v>
      </c>
      <c r="AF4" t="s">
        <v>137</v>
      </c>
      <c r="AG4" t="s">
        <v>137</v>
      </c>
      <c r="AH4">
        <v>49.6875</v>
      </c>
      <c r="AI4">
        <v>49.5625</v>
      </c>
      <c r="AJ4">
        <v>49.6875</v>
      </c>
      <c r="AK4">
        <v>49.9375</v>
      </c>
      <c r="AL4">
        <v>50.4375</v>
      </c>
      <c r="AM4" t="s">
        <v>137</v>
      </c>
      <c r="AN4" t="s">
        <v>137</v>
      </c>
      <c r="AO4">
        <v>51.375</v>
      </c>
      <c r="AP4">
        <v>51.128</v>
      </c>
      <c r="AQ4">
        <v>52.625</v>
      </c>
      <c r="AR4">
        <v>54</v>
      </c>
      <c r="AS4">
        <v>55</v>
      </c>
      <c r="AT4" t="s">
        <v>137</v>
      </c>
      <c r="AU4" t="s">
        <v>137</v>
      </c>
      <c r="AV4">
        <v>55.414999999999999</v>
      </c>
      <c r="AW4">
        <v>55.75</v>
      </c>
      <c r="AX4">
        <v>54.75</v>
      </c>
      <c r="AY4">
        <v>55.5</v>
      </c>
      <c r="AZ4">
        <v>54.5</v>
      </c>
      <c r="BA4" t="s">
        <v>137</v>
      </c>
      <c r="BB4" t="s">
        <v>137</v>
      </c>
      <c r="BC4">
        <v>53.125</v>
      </c>
      <c r="BD4">
        <v>52.3125</v>
      </c>
      <c r="BE4">
        <v>52.75</v>
      </c>
      <c r="BF4">
        <v>53.825000000000003</v>
      </c>
      <c r="BG4">
        <v>53.015999999999998</v>
      </c>
      <c r="BH4" t="s">
        <v>137</v>
      </c>
      <c r="BI4" t="s">
        <v>137</v>
      </c>
      <c r="BJ4">
        <v>51.25</v>
      </c>
      <c r="BK4">
        <v>51.58</v>
      </c>
      <c r="BL4">
        <v>51</v>
      </c>
      <c r="BM4">
        <v>51.3675</v>
      </c>
      <c r="BN4">
        <v>51.572000000000003</v>
      </c>
      <c r="BO4" t="s">
        <v>137</v>
      </c>
      <c r="BP4" t="s">
        <v>137</v>
      </c>
      <c r="BQ4">
        <v>51.475000000000001</v>
      </c>
      <c r="BR4">
        <v>51.241</v>
      </c>
      <c r="BS4">
        <v>51.354999999999997</v>
      </c>
      <c r="BT4">
        <v>50.5</v>
      </c>
      <c r="BU4">
        <v>48.91</v>
      </c>
      <c r="BV4" t="s">
        <v>137</v>
      </c>
      <c r="BW4" t="s">
        <v>137</v>
      </c>
      <c r="BX4">
        <v>49.0625</v>
      </c>
      <c r="BY4">
        <v>46.6875</v>
      </c>
      <c r="BZ4">
        <v>46.8125</v>
      </c>
      <c r="CA4">
        <v>47.64</v>
      </c>
      <c r="CB4">
        <v>46.375</v>
      </c>
      <c r="CC4" t="s">
        <v>137</v>
      </c>
      <c r="CD4" t="s">
        <v>137</v>
      </c>
      <c r="CE4">
        <v>47.12</v>
      </c>
      <c r="CF4">
        <v>48.5625</v>
      </c>
      <c r="CG4">
        <v>49</v>
      </c>
      <c r="CH4">
        <v>50.25</v>
      </c>
      <c r="CI4">
        <v>50</v>
      </c>
      <c r="CJ4" t="s">
        <v>137</v>
      </c>
      <c r="CK4" t="s">
        <v>137</v>
      </c>
      <c r="CL4">
        <v>48.5</v>
      </c>
      <c r="CM4">
        <v>49.625</v>
      </c>
      <c r="CN4">
        <v>49.511000000000003</v>
      </c>
      <c r="CO4">
        <v>49.75</v>
      </c>
      <c r="CP4">
        <v>49.648000000000003</v>
      </c>
      <c r="CQ4" t="s">
        <v>137</v>
      </c>
      <c r="CR4" t="s">
        <v>137</v>
      </c>
      <c r="CS4">
        <v>49</v>
      </c>
      <c r="CT4">
        <v>47.86</v>
      </c>
      <c r="CU4">
        <v>48.75</v>
      </c>
      <c r="CV4">
        <v>48.625</v>
      </c>
      <c r="CW4">
        <v>49</v>
      </c>
      <c r="CX4" t="s">
        <v>137</v>
      </c>
      <c r="CY4" t="s">
        <v>137</v>
      </c>
      <c r="CZ4">
        <v>51.03</v>
      </c>
      <c r="DA4">
        <v>51.5</v>
      </c>
      <c r="DB4">
        <v>51.716999999999999</v>
      </c>
      <c r="DC4">
        <v>53.375</v>
      </c>
      <c r="DD4">
        <v>53.3125</v>
      </c>
      <c r="DE4" t="s">
        <v>137</v>
      </c>
      <c r="DF4" t="s">
        <v>137</v>
      </c>
      <c r="DG4">
        <v>53.625</v>
      </c>
      <c r="DH4">
        <v>56.0625</v>
      </c>
      <c r="DI4">
        <v>58.0625</v>
      </c>
      <c r="DJ4">
        <v>57.4375</v>
      </c>
      <c r="DK4">
        <v>56.75</v>
      </c>
      <c r="DL4" t="s">
        <v>137</v>
      </c>
      <c r="DM4" t="s">
        <v>137</v>
      </c>
      <c r="DN4">
        <v>58.252000000000002</v>
      </c>
      <c r="DO4">
        <v>57.75</v>
      </c>
      <c r="DP4">
        <v>57.75</v>
      </c>
      <c r="DQ4">
        <v>57.75</v>
      </c>
      <c r="DR4">
        <v>62.774999999999999</v>
      </c>
      <c r="DS4" t="s">
        <v>137</v>
      </c>
      <c r="DT4" t="s">
        <v>137</v>
      </c>
      <c r="DU4">
        <v>61.022500000000001</v>
      </c>
      <c r="DV4">
        <v>61.125</v>
      </c>
      <c r="DW4">
        <v>61.125</v>
      </c>
      <c r="DX4">
        <v>61.375</v>
      </c>
      <c r="DY4">
        <v>61.494999999999997</v>
      </c>
      <c r="DZ4" t="s">
        <v>137</v>
      </c>
      <c r="EA4" t="s">
        <v>137</v>
      </c>
      <c r="EB4">
        <v>59</v>
      </c>
      <c r="EC4">
        <v>60.95</v>
      </c>
      <c r="ED4">
        <v>62</v>
      </c>
      <c r="EE4">
        <v>62.5</v>
      </c>
      <c r="EF4">
        <v>62.27</v>
      </c>
      <c r="EG4" t="s">
        <v>137</v>
      </c>
      <c r="EH4" t="s">
        <v>137</v>
      </c>
      <c r="EI4">
        <v>62.375</v>
      </c>
      <c r="EJ4">
        <v>62.030500000000004</v>
      </c>
      <c r="EK4">
        <v>61.75</v>
      </c>
      <c r="EL4">
        <v>63</v>
      </c>
      <c r="EM4">
        <v>61.993000000000002</v>
      </c>
      <c r="EN4" t="s">
        <v>137</v>
      </c>
      <c r="EO4" t="s">
        <v>137</v>
      </c>
      <c r="EP4">
        <v>61.5</v>
      </c>
      <c r="EQ4">
        <v>60.0625</v>
      </c>
      <c r="ER4">
        <v>59.026499999999999</v>
      </c>
      <c r="ES4">
        <v>58.5</v>
      </c>
      <c r="ET4">
        <v>57.759500000000003</v>
      </c>
      <c r="EU4" t="s">
        <v>137</v>
      </c>
      <c r="EV4" t="s">
        <v>137</v>
      </c>
      <c r="EW4">
        <v>55.125</v>
      </c>
      <c r="EX4">
        <v>55.110999999999997</v>
      </c>
      <c r="EY4">
        <v>55.875</v>
      </c>
      <c r="EZ4">
        <v>56.125</v>
      </c>
      <c r="FA4">
        <v>56</v>
      </c>
      <c r="FB4" t="s">
        <v>137</v>
      </c>
      <c r="FC4" t="s">
        <v>137</v>
      </c>
      <c r="FD4">
        <v>56.625</v>
      </c>
      <c r="FE4">
        <v>58.4465</v>
      </c>
      <c r="FF4">
        <v>59.25</v>
      </c>
      <c r="FG4">
        <v>59</v>
      </c>
      <c r="FH4">
        <v>60.1875</v>
      </c>
      <c r="FI4" t="s">
        <v>137</v>
      </c>
      <c r="FJ4" t="s">
        <v>137</v>
      </c>
      <c r="FK4">
        <v>60.125</v>
      </c>
      <c r="FL4">
        <v>58.0625</v>
      </c>
      <c r="FM4">
        <v>58.856999999999999</v>
      </c>
      <c r="FN4">
        <v>58</v>
      </c>
      <c r="FO4">
        <v>57.8125</v>
      </c>
      <c r="FP4" t="s">
        <v>137</v>
      </c>
      <c r="FQ4" t="s">
        <v>137</v>
      </c>
      <c r="FR4">
        <v>57.697499999999998</v>
      </c>
      <c r="FS4">
        <v>57.5</v>
      </c>
      <c r="FT4">
        <v>57.516500000000001</v>
      </c>
      <c r="FU4">
        <v>56.5</v>
      </c>
      <c r="FV4">
        <v>56.621499999999997</v>
      </c>
      <c r="FW4" t="s">
        <v>137</v>
      </c>
      <c r="FX4" t="s">
        <v>137</v>
      </c>
      <c r="FY4">
        <v>57</v>
      </c>
      <c r="FZ4">
        <v>56.819499999999998</v>
      </c>
      <c r="GA4">
        <v>57</v>
      </c>
      <c r="GB4">
        <v>56.8035</v>
      </c>
      <c r="GC4">
        <v>53.9375</v>
      </c>
      <c r="GD4" t="s">
        <v>137</v>
      </c>
      <c r="GE4" t="s">
        <v>137</v>
      </c>
      <c r="GF4">
        <v>54.1875</v>
      </c>
      <c r="GG4">
        <v>55.0625</v>
      </c>
      <c r="GH4">
        <v>55.25</v>
      </c>
      <c r="GI4">
        <v>54.5</v>
      </c>
      <c r="GJ4">
        <v>50.6875</v>
      </c>
      <c r="GK4" t="s">
        <v>137</v>
      </c>
      <c r="GL4" t="s">
        <v>137</v>
      </c>
      <c r="GM4">
        <v>51.197000000000003</v>
      </c>
      <c r="GN4">
        <v>45.5</v>
      </c>
      <c r="GO4">
        <v>44.647500000000001</v>
      </c>
      <c r="GP4">
        <v>40.625</v>
      </c>
      <c r="GQ4">
        <v>40.4375</v>
      </c>
      <c r="GR4" t="s">
        <v>137</v>
      </c>
      <c r="GS4" t="s">
        <v>137</v>
      </c>
      <c r="GT4">
        <v>39.566499999999998</v>
      </c>
      <c r="GU4">
        <v>38.25</v>
      </c>
      <c r="GV4">
        <v>37.479999999999997</v>
      </c>
      <c r="GW4">
        <v>34.25</v>
      </c>
      <c r="GX4">
        <v>34.5</v>
      </c>
      <c r="GY4" t="s">
        <v>137</v>
      </c>
      <c r="GZ4" t="s">
        <v>137</v>
      </c>
      <c r="HA4">
        <v>33.875</v>
      </c>
      <c r="HB4">
        <v>33.701999999999998</v>
      </c>
      <c r="HC4">
        <v>32.883499999999998</v>
      </c>
      <c r="HD4">
        <v>33.125</v>
      </c>
      <c r="HE4">
        <v>34.04</v>
      </c>
      <c r="HF4" t="s">
        <v>137</v>
      </c>
      <c r="HG4" t="s">
        <v>137</v>
      </c>
      <c r="HH4">
        <v>34.319499999999998</v>
      </c>
      <c r="HI4">
        <v>34.5</v>
      </c>
      <c r="HJ4">
        <v>35.542499999999997</v>
      </c>
      <c r="HK4">
        <v>35.908999999999999</v>
      </c>
      <c r="HL4">
        <v>37.030500000000004</v>
      </c>
      <c r="HM4" t="s">
        <v>137</v>
      </c>
      <c r="HN4" t="s">
        <v>137</v>
      </c>
      <c r="HO4">
        <v>38.164000000000001</v>
      </c>
      <c r="HP4">
        <v>37.25</v>
      </c>
      <c r="HQ4">
        <v>36.625</v>
      </c>
      <c r="HR4">
        <v>37.444499999999998</v>
      </c>
      <c r="HS4">
        <v>36.375</v>
      </c>
      <c r="HT4" t="s">
        <v>137</v>
      </c>
      <c r="HU4" t="s">
        <v>137</v>
      </c>
      <c r="HV4">
        <v>36.75</v>
      </c>
      <c r="HW4">
        <v>36.25</v>
      </c>
      <c r="HX4">
        <v>35.75</v>
      </c>
      <c r="HY4">
        <v>35.5</v>
      </c>
      <c r="HZ4">
        <v>36.125</v>
      </c>
      <c r="IA4" t="s">
        <v>137</v>
      </c>
      <c r="IB4" t="s">
        <v>137</v>
      </c>
      <c r="IC4">
        <v>36.9925</v>
      </c>
      <c r="ID4">
        <v>37.396000000000001</v>
      </c>
      <c r="IE4">
        <v>36.375</v>
      </c>
      <c r="IF4">
        <v>34.875</v>
      </c>
      <c r="IG4">
        <v>34.5</v>
      </c>
      <c r="IH4" t="s">
        <v>137</v>
      </c>
      <c r="II4" t="s">
        <v>137</v>
      </c>
      <c r="IJ4">
        <v>35.125</v>
      </c>
      <c r="IK4">
        <v>35.811999999999998</v>
      </c>
      <c r="IL4">
        <v>36.859000000000002</v>
      </c>
      <c r="IM4">
        <v>35.375</v>
      </c>
      <c r="IN4">
        <v>34.5</v>
      </c>
      <c r="IO4" t="s">
        <v>137</v>
      </c>
      <c r="IP4" t="s">
        <v>137</v>
      </c>
      <c r="IQ4">
        <v>33.25</v>
      </c>
      <c r="IR4">
        <v>33</v>
      </c>
      <c r="IS4">
        <v>33.25</v>
      </c>
      <c r="IT4">
        <v>33.5</v>
      </c>
      <c r="IU4">
        <v>34.375</v>
      </c>
      <c r="IV4" t="s">
        <v>137</v>
      </c>
      <c r="IW4" t="s">
        <v>137</v>
      </c>
      <c r="IX4">
        <v>35</v>
      </c>
      <c r="IY4">
        <v>38.125</v>
      </c>
      <c r="IZ4">
        <v>37.5</v>
      </c>
      <c r="JA4">
        <v>37.463500000000003</v>
      </c>
      <c r="JB4">
        <v>39.968499999999999</v>
      </c>
      <c r="JC4" t="s">
        <v>137</v>
      </c>
      <c r="JD4" t="s">
        <v>137</v>
      </c>
      <c r="JE4">
        <v>41.162999999999997</v>
      </c>
      <c r="JF4">
        <v>42.208500000000001</v>
      </c>
      <c r="JG4">
        <v>42.686999999999998</v>
      </c>
      <c r="JH4">
        <v>42</v>
      </c>
      <c r="JI4">
        <v>41.793500000000002</v>
      </c>
      <c r="JJ4" t="s">
        <v>137</v>
      </c>
      <c r="JK4" t="s">
        <v>137</v>
      </c>
      <c r="JL4">
        <v>41.354999999999997</v>
      </c>
      <c r="JM4">
        <v>41.448999999999998</v>
      </c>
      <c r="JN4">
        <v>41.448999999999998</v>
      </c>
      <c r="JO4">
        <v>45.295000000000002</v>
      </c>
      <c r="JP4">
        <v>45.399500000000003</v>
      </c>
      <c r="JQ4" t="s">
        <v>137</v>
      </c>
      <c r="JR4" t="s">
        <v>137</v>
      </c>
      <c r="JS4">
        <v>45.399500000000003</v>
      </c>
      <c r="JT4">
        <v>46.25</v>
      </c>
      <c r="JU4">
        <v>48.094000000000001</v>
      </c>
      <c r="JV4">
        <v>48.375</v>
      </c>
      <c r="JW4">
        <v>48.125</v>
      </c>
      <c r="JX4" t="s">
        <v>137</v>
      </c>
      <c r="JY4" t="s">
        <v>137</v>
      </c>
      <c r="JZ4">
        <v>47.75</v>
      </c>
      <c r="KA4">
        <v>47.907499999999999</v>
      </c>
      <c r="KB4">
        <v>46.5</v>
      </c>
      <c r="KC4">
        <v>46</v>
      </c>
      <c r="KD4">
        <v>46</v>
      </c>
      <c r="KE4" t="s">
        <v>137</v>
      </c>
      <c r="KF4" t="s">
        <v>137</v>
      </c>
      <c r="KG4">
        <v>45.375</v>
      </c>
      <c r="KH4">
        <v>46.125</v>
      </c>
      <c r="KI4">
        <v>45.807499999999997</v>
      </c>
      <c r="KJ4">
        <v>44.847999999999999</v>
      </c>
      <c r="KK4">
        <v>46</v>
      </c>
      <c r="KL4" t="s">
        <v>137</v>
      </c>
      <c r="KM4" t="s">
        <v>137</v>
      </c>
      <c r="KN4">
        <v>46.125</v>
      </c>
      <c r="KO4">
        <v>46.875</v>
      </c>
      <c r="KP4">
        <v>45.875</v>
      </c>
      <c r="KQ4">
        <v>45.859499999999997</v>
      </c>
      <c r="KR4">
        <v>45.25</v>
      </c>
      <c r="KS4" t="s">
        <v>137</v>
      </c>
      <c r="KT4" t="s">
        <v>137</v>
      </c>
      <c r="KU4">
        <v>45.774000000000001</v>
      </c>
      <c r="KV4">
        <v>45.25</v>
      </c>
      <c r="KW4">
        <v>44.875</v>
      </c>
      <c r="KX4">
        <v>45.5</v>
      </c>
      <c r="KY4">
        <v>45.5</v>
      </c>
      <c r="KZ4" t="s">
        <v>137</v>
      </c>
      <c r="LA4" t="s">
        <v>137</v>
      </c>
      <c r="LB4">
        <v>47.5</v>
      </c>
      <c r="LC4">
        <v>48</v>
      </c>
      <c r="LD4">
        <v>49.375</v>
      </c>
      <c r="LE4">
        <v>48.375</v>
      </c>
      <c r="LF4">
        <v>48.875</v>
      </c>
      <c r="LG4" t="s">
        <v>137</v>
      </c>
      <c r="LH4" t="s">
        <v>137</v>
      </c>
      <c r="LI4">
        <v>49.24</v>
      </c>
      <c r="LJ4">
        <v>48.631</v>
      </c>
      <c r="LK4">
        <v>48.875</v>
      </c>
      <c r="LL4">
        <v>49.625</v>
      </c>
      <c r="LM4">
        <v>49.625</v>
      </c>
      <c r="LN4" t="s">
        <v>137</v>
      </c>
      <c r="LO4" t="s">
        <v>137</v>
      </c>
      <c r="LP4">
        <v>49.630499999999998</v>
      </c>
      <c r="LQ4">
        <v>49.75</v>
      </c>
      <c r="LR4">
        <v>50.375</v>
      </c>
      <c r="LS4">
        <v>51.984999999999999</v>
      </c>
      <c r="LT4">
        <v>51.487499999999997</v>
      </c>
      <c r="LU4" t="s">
        <v>137</v>
      </c>
      <c r="LV4" t="s">
        <v>137</v>
      </c>
      <c r="LW4">
        <v>51.25</v>
      </c>
      <c r="LX4">
        <v>50.75</v>
      </c>
      <c r="LY4">
        <v>49.875</v>
      </c>
      <c r="LZ4">
        <v>50.5</v>
      </c>
      <c r="MA4">
        <v>51</v>
      </c>
      <c r="MB4" t="s">
        <v>137</v>
      </c>
      <c r="MC4" t="s">
        <v>137</v>
      </c>
      <c r="MD4">
        <v>50.954999999999998</v>
      </c>
      <c r="ME4">
        <v>54.875</v>
      </c>
      <c r="MF4">
        <v>54.973999999999997</v>
      </c>
      <c r="MG4">
        <v>54.875</v>
      </c>
      <c r="MH4">
        <v>55.125</v>
      </c>
      <c r="MI4" t="s">
        <v>137</v>
      </c>
      <c r="MJ4" t="s">
        <v>137</v>
      </c>
      <c r="MK4">
        <v>53.5</v>
      </c>
      <c r="ML4">
        <v>54.5</v>
      </c>
      <c r="MM4">
        <v>54.75</v>
      </c>
      <c r="MN4">
        <v>54.551499999999997</v>
      </c>
      <c r="MO4">
        <v>53.875</v>
      </c>
      <c r="MP4" t="s">
        <v>137</v>
      </c>
      <c r="MQ4" t="s">
        <v>137</v>
      </c>
      <c r="MR4">
        <v>53.5</v>
      </c>
      <c r="MS4">
        <v>53.375</v>
      </c>
      <c r="MT4">
        <v>53.167000000000002</v>
      </c>
      <c r="MU4">
        <v>52.75</v>
      </c>
      <c r="MV4">
        <v>53.038499999999999</v>
      </c>
      <c r="MW4" t="s">
        <v>137</v>
      </c>
      <c r="MX4" t="s">
        <v>137</v>
      </c>
      <c r="MY4">
        <v>53.043500000000002</v>
      </c>
      <c r="MZ4">
        <v>52.86</v>
      </c>
      <c r="NA4">
        <v>49.94</v>
      </c>
      <c r="NB4">
        <v>49.94</v>
      </c>
      <c r="NC4">
        <v>49.94</v>
      </c>
      <c r="ND4" t="s">
        <v>137</v>
      </c>
      <c r="NE4" t="s">
        <v>137</v>
      </c>
      <c r="NF4">
        <v>51.38</v>
      </c>
      <c r="NG4">
        <v>51.145000000000003</v>
      </c>
      <c r="NH4">
        <v>51.145000000000003</v>
      </c>
      <c r="NI4">
        <v>51.145000000000003</v>
      </c>
      <c r="NJ4">
        <v>51.145000000000003</v>
      </c>
      <c r="NK4" t="s">
        <v>137</v>
      </c>
      <c r="NL4" t="s">
        <v>137</v>
      </c>
      <c r="NM4" t="s">
        <v>137</v>
      </c>
      <c r="NN4" t="s">
        <v>137</v>
      </c>
      <c r="NO4" t="s">
        <v>137</v>
      </c>
      <c r="NP4" t="s">
        <v>137</v>
      </c>
      <c r="NQ4" t="s">
        <v>137</v>
      </c>
      <c r="NR4" t="s">
        <v>137</v>
      </c>
      <c r="NS4" t="s">
        <v>137</v>
      </c>
      <c r="NT4" t="s">
        <v>137</v>
      </c>
      <c r="NU4" t="s">
        <v>137</v>
      </c>
      <c r="NV4" t="s">
        <v>137</v>
      </c>
      <c r="NW4" t="s">
        <v>137</v>
      </c>
      <c r="NX4" t="s">
        <v>137</v>
      </c>
      <c r="NY4" t="s">
        <v>137</v>
      </c>
      <c r="NZ4" t="s">
        <v>137</v>
      </c>
      <c r="OA4" t="s">
        <v>137</v>
      </c>
      <c r="OB4" t="s">
        <v>137</v>
      </c>
      <c r="OC4" t="s">
        <v>137</v>
      </c>
      <c r="OD4" t="s">
        <v>137</v>
      </c>
      <c r="OE4" t="s">
        <v>137</v>
      </c>
      <c r="OF4" t="s">
        <v>137</v>
      </c>
      <c r="OG4" t="s">
        <v>137</v>
      </c>
      <c r="OH4" t="s">
        <v>137</v>
      </c>
      <c r="OI4" t="s">
        <v>137</v>
      </c>
      <c r="OJ4" t="s">
        <v>137</v>
      </c>
      <c r="OK4" t="s">
        <v>137</v>
      </c>
      <c r="OL4" t="s">
        <v>137</v>
      </c>
      <c r="OM4" t="s">
        <v>137</v>
      </c>
      <c r="ON4" t="s">
        <v>137</v>
      </c>
      <c r="OO4" t="s">
        <v>137</v>
      </c>
      <c r="OP4" t="s">
        <v>137</v>
      </c>
      <c r="OQ4" t="s">
        <v>137</v>
      </c>
      <c r="OR4" t="s">
        <v>137</v>
      </c>
      <c r="OS4" t="s">
        <v>137</v>
      </c>
      <c r="OT4" t="s">
        <v>137</v>
      </c>
      <c r="OU4" t="s">
        <v>137</v>
      </c>
      <c r="OV4" t="s">
        <v>137</v>
      </c>
      <c r="OW4" t="s">
        <v>137</v>
      </c>
      <c r="OX4" t="s">
        <v>137</v>
      </c>
      <c r="OY4" t="s">
        <v>137</v>
      </c>
      <c r="OZ4" t="s">
        <v>137</v>
      </c>
      <c r="PA4" t="s">
        <v>137</v>
      </c>
      <c r="PB4" t="s">
        <v>137</v>
      </c>
      <c r="PC4" t="s">
        <v>137</v>
      </c>
      <c r="PD4" t="s">
        <v>137</v>
      </c>
      <c r="PE4" t="s">
        <v>137</v>
      </c>
      <c r="PF4" t="s">
        <v>137</v>
      </c>
      <c r="PG4" t="s">
        <v>137</v>
      </c>
      <c r="PH4" t="s">
        <v>137</v>
      </c>
      <c r="PI4" t="s">
        <v>137</v>
      </c>
      <c r="PJ4" t="s">
        <v>137</v>
      </c>
      <c r="PK4" t="s">
        <v>137</v>
      </c>
      <c r="PL4" t="s">
        <v>137</v>
      </c>
      <c r="PM4" t="s">
        <v>137</v>
      </c>
      <c r="PN4" t="s">
        <v>137</v>
      </c>
      <c r="PO4" t="s">
        <v>137</v>
      </c>
      <c r="PP4" t="s">
        <v>137</v>
      </c>
      <c r="PQ4" t="s">
        <v>137</v>
      </c>
      <c r="PR4" t="s">
        <v>137</v>
      </c>
      <c r="PS4" t="s">
        <v>137</v>
      </c>
      <c r="PT4" t="s">
        <v>137</v>
      </c>
      <c r="PU4" t="s">
        <v>137</v>
      </c>
      <c r="PV4" t="s">
        <v>137</v>
      </c>
      <c r="PW4" t="s">
        <v>137</v>
      </c>
      <c r="PX4" t="s">
        <v>137</v>
      </c>
      <c r="PY4" t="s">
        <v>137</v>
      </c>
      <c r="PZ4" t="s">
        <v>137</v>
      </c>
      <c r="QA4" t="s">
        <v>137</v>
      </c>
      <c r="QB4" t="s">
        <v>137</v>
      </c>
      <c r="QC4" t="s">
        <v>137</v>
      </c>
      <c r="QD4" t="s">
        <v>137</v>
      </c>
      <c r="QE4" t="s">
        <v>137</v>
      </c>
      <c r="QF4" t="s">
        <v>137</v>
      </c>
      <c r="QG4" t="s">
        <v>137</v>
      </c>
      <c r="QH4" t="s">
        <v>137</v>
      </c>
      <c r="QI4" t="s">
        <v>137</v>
      </c>
      <c r="QJ4" t="s">
        <v>137</v>
      </c>
      <c r="QK4" t="s">
        <v>137</v>
      </c>
      <c r="QL4" t="s">
        <v>137</v>
      </c>
      <c r="QM4" t="s">
        <v>137</v>
      </c>
      <c r="QN4" t="s">
        <v>137</v>
      </c>
      <c r="QO4" t="s">
        <v>137</v>
      </c>
    </row>
    <row r="5" spans="1:524" x14ac:dyDescent="0.2">
      <c r="A5" t="s">
        <v>135</v>
      </c>
      <c r="B5" s="3">
        <v>40296</v>
      </c>
      <c r="C5" t="s">
        <v>12</v>
      </c>
      <c r="E5" t="s">
        <v>137</v>
      </c>
      <c r="F5">
        <v>39.75</v>
      </c>
      <c r="G5">
        <v>39.75</v>
      </c>
      <c r="H5">
        <v>39.75</v>
      </c>
      <c r="I5">
        <v>44</v>
      </c>
      <c r="J5">
        <v>45.5</v>
      </c>
      <c r="K5" t="s">
        <v>137</v>
      </c>
      <c r="L5" t="s">
        <v>137</v>
      </c>
      <c r="M5">
        <v>49.5</v>
      </c>
      <c r="N5">
        <v>45</v>
      </c>
      <c r="O5">
        <v>47.25</v>
      </c>
      <c r="P5">
        <v>48</v>
      </c>
      <c r="Q5">
        <v>48</v>
      </c>
      <c r="R5" t="s">
        <v>137</v>
      </c>
      <c r="S5" t="s">
        <v>137</v>
      </c>
      <c r="T5">
        <v>45.5</v>
      </c>
      <c r="U5">
        <v>45.5</v>
      </c>
      <c r="V5">
        <v>47.5</v>
      </c>
      <c r="W5">
        <v>47.5</v>
      </c>
      <c r="X5">
        <v>47.5</v>
      </c>
      <c r="Y5" t="s">
        <v>137</v>
      </c>
      <c r="Z5" t="s">
        <v>137</v>
      </c>
      <c r="AA5">
        <v>47.5</v>
      </c>
      <c r="AB5">
        <v>46.75</v>
      </c>
      <c r="AC5">
        <v>46.75</v>
      </c>
      <c r="AD5">
        <v>48.125</v>
      </c>
      <c r="AE5">
        <v>48</v>
      </c>
      <c r="AF5" t="s">
        <v>137</v>
      </c>
      <c r="AG5" t="s">
        <v>137</v>
      </c>
      <c r="AH5">
        <v>49.125</v>
      </c>
      <c r="AI5">
        <v>48.5</v>
      </c>
      <c r="AJ5">
        <v>49.5</v>
      </c>
      <c r="AK5">
        <v>49.5</v>
      </c>
      <c r="AL5">
        <v>49.5</v>
      </c>
      <c r="AM5" t="s">
        <v>137</v>
      </c>
      <c r="AN5" t="s">
        <v>137</v>
      </c>
      <c r="AO5">
        <v>49.5</v>
      </c>
      <c r="AP5">
        <v>49.5</v>
      </c>
      <c r="AQ5">
        <v>49.5</v>
      </c>
      <c r="AR5">
        <v>49.5</v>
      </c>
      <c r="AS5">
        <v>49.5</v>
      </c>
      <c r="AT5" t="s">
        <v>137</v>
      </c>
      <c r="AU5" t="s">
        <v>137</v>
      </c>
      <c r="AV5">
        <v>49.5</v>
      </c>
      <c r="AW5">
        <v>49.5</v>
      </c>
      <c r="AX5">
        <v>49.5</v>
      </c>
      <c r="AY5">
        <v>49.5</v>
      </c>
      <c r="AZ5">
        <v>49.5</v>
      </c>
      <c r="BA5" t="s">
        <v>137</v>
      </c>
      <c r="BB5" t="s">
        <v>137</v>
      </c>
      <c r="BC5">
        <v>49.5</v>
      </c>
      <c r="BD5">
        <v>52.25</v>
      </c>
      <c r="BE5">
        <v>52.625</v>
      </c>
      <c r="BF5">
        <v>53.5</v>
      </c>
      <c r="BG5">
        <v>52.125</v>
      </c>
      <c r="BH5" t="s">
        <v>137</v>
      </c>
      <c r="BI5" t="s">
        <v>137</v>
      </c>
      <c r="BJ5">
        <v>51.5</v>
      </c>
      <c r="BK5">
        <v>50.375</v>
      </c>
      <c r="BL5">
        <v>51</v>
      </c>
      <c r="BM5">
        <v>51</v>
      </c>
      <c r="BN5">
        <v>50.5</v>
      </c>
      <c r="BO5" t="s">
        <v>137</v>
      </c>
      <c r="BP5" t="s">
        <v>137</v>
      </c>
      <c r="BQ5">
        <v>50.5</v>
      </c>
      <c r="BR5">
        <v>50.5</v>
      </c>
      <c r="BS5">
        <v>50</v>
      </c>
      <c r="BT5">
        <v>50.5</v>
      </c>
      <c r="BU5">
        <v>50.5</v>
      </c>
      <c r="BV5" t="s">
        <v>137</v>
      </c>
      <c r="BW5" t="s">
        <v>137</v>
      </c>
      <c r="BX5">
        <v>50.5</v>
      </c>
      <c r="BY5">
        <v>50.5</v>
      </c>
      <c r="BZ5">
        <v>50.5</v>
      </c>
      <c r="CA5">
        <v>50.5</v>
      </c>
      <c r="CB5">
        <v>50.5</v>
      </c>
      <c r="CC5" t="s">
        <v>137</v>
      </c>
      <c r="CD5" t="s">
        <v>137</v>
      </c>
      <c r="CE5">
        <v>50.5</v>
      </c>
      <c r="CF5">
        <v>50.5</v>
      </c>
      <c r="CG5">
        <v>50.5</v>
      </c>
      <c r="CH5">
        <v>50.5</v>
      </c>
      <c r="CI5">
        <v>50.5</v>
      </c>
      <c r="CJ5" t="s">
        <v>137</v>
      </c>
      <c r="CK5" t="s">
        <v>137</v>
      </c>
      <c r="CL5">
        <v>50.5</v>
      </c>
      <c r="CM5">
        <v>50.5</v>
      </c>
      <c r="CN5">
        <v>50.5</v>
      </c>
      <c r="CO5">
        <v>50.5</v>
      </c>
      <c r="CP5">
        <v>50.5</v>
      </c>
      <c r="CQ5" t="s">
        <v>137</v>
      </c>
      <c r="CR5" t="s">
        <v>137</v>
      </c>
      <c r="CS5">
        <v>50.5</v>
      </c>
      <c r="CT5">
        <v>50.5</v>
      </c>
      <c r="CU5">
        <v>50.5</v>
      </c>
      <c r="CV5">
        <v>50.5</v>
      </c>
      <c r="CW5">
        <v>50.5</v>
      </c>
      <c r="CX5" t="s">
        <v>137</v>
      </c>
      <c r="CY5" t="s">
        <v>137</v>
      </c>
      <c r="CZ5">
        <v>50.5</v>
      </c>
      <c r="DA5">
        <v>50.5</v>
      </c>
      <c r="DB5">
        <v>50.5</v>
      </c>
      <c r="DC5">
        <v>50.5</v>
      </c>
      <c r="DD5">
        <v>50.5</v>
      </c>
      <c r="DE5" t="s">
        <v>137</v>
      </c>
      <c r="DF5" t="s">
        <v>137</v>
      </c>
      <c r="DG5">
        <v>50.5</v>
      </c>
      <c r="DH5">
        <v>50.5</v>
      </c>
      <c r="DI5">
        <v>50.5</v>
      </c>
      <c r="DJ5">
        <v>50.5</v>
      </c>
      <c r="DK5">
        <v>50.5</v>
      </c>
      <c r="DL5" t="s">
        <v>137</v>
      </c>
      <c r="DM5" t="s">
        <v>137</v>
      </c>
      <c r="DN5">
        <v>57.75</v>
      </c>
      <c r="DO5">
        <v>57.75</v>
      </c>
      <c r="DP5">
        <v>56.75</v>
      </c>
      <c r="DQ5">
        <v>59.25</v>
      </c>
      <c r="DR5">
        <v>60.625</v>
      </c>
      <c r="DS5" t="s">
        <v>137</v>
      </c>
      <c r="DT5" t="s">
        <v>137</v>
      </c>
      <c r="DU5">
        <v>61.125</v>
      </c>
      <c r="DV5">
        <v>61.125</v>
      </c>
      <c r="DW5">
        <v>61.125</v>
      </c>
      <c r="DX5">
        <v>61.375</v>
      </c>
      <c r="DY5">
        <v>59.75</v>
      </c>
      <c r="DZ5" t="s">
        <v>137</v>
      </c>
      <c r="EA5" t="s">
        <v>137</v>
      </c>
      <c r="EB5">
        <v>59</v>
      </c>
      <c r="EC5">
        <v>58.5</v>
      </c>
      <c r="ED5">
        <v>60.25</v>
      </c>
      <c r="EE5">
        <v>61.5</v>
      </c>
      <c r="EF5">
        <v>62.5</v>
      </c>
      <c r="EG5" t="s">
        <v>137</v>
      </c>
      <c r="EH5" t="s">
        <v>137</v>
      </c>
      <c r="EI5">
        <v>62.375</v>
      </c>
      <c r="EJ5">
        <v>59.25</v>
      </c>
      <c r="EK5">
        <v>61.5</v>
      </c>
      <c r="EL5">
        <v>62.25</v>
      </c>
      <c r="EM5">
        <v>60.5</v>
      </c>
      <c r="EN5" t="s">
        <v>137</v>
      </c>
      <c r="EO5" t="s">
        <v>137</v>
      </c>
      <c r="EP5">
        <v>61.25</v>
      </c>
      <c r="EQ5">
        <v>59.375</v>
      </c>
      <c r="ER5">
        <v>58.25</v>
      </c>
      <c r="ES5">
        <v>57.875</v>
      </c>
      <c r="ET5">
        <v>56.75</v>
      </c>
      <c r="EU5" t="s">
        <v>137</v>
      </c>
      <c r="EV5" t="s">
        <v>137</v>
      </c>
      <c r="EW5">
        <v>55</v>
      </c>
      <c r="EX5">
        <v>55.125</v>
      </c>
      <c r="EY5">
        <v>55.875</v>
      </c>
      <c r="EZ5">
        <v>55.25</v>
      </c>
      <c r="FA5">
        <v>55.25</v>
      </c>
      <c r="FB5" t="s">
        <v>137</v>
      </c>
      <c r="FC5" t="s">
        <v>137</v>
      </c>
      <c r="FD5">
        <v>56.25</v>
      </c>
      <c r="FE5">
        <v>57</v>
      </c>
      <c r="FF5">
        <v>58.75</v>
      </c>
      <c r="FG5">
        <v>58.5</v>
      </c>
      <c r="FH5">
        <v>59.625</v>
      </c>
      <c r="FI5" t="s">
        <v>137</v>
      </c>
      <c r="FJ5" t="s">
        <v>137</v>
      </c>
      <c r="FK5">
        <v>59.5</v>
      </c>
      <c r="FL5">
        <v>59.25</v>
      </c>
      <c r="FM5">
        <v>58.5</v>
      </c>
      <c r="FN5">
        <v>57.125</v>
      </c>
      <c r="FO5">
        <v>57.375</v>
      </c>
      <c r="FP5" t="s">
        <v>137</v>
      </c>
      <c r="FQ5" t="s">
        <v>137</v>
      </c>
      <c r="FR5">
        <v>58.375</v>
      </c>
      <c r="FS5">
        <v>57.25</v>
      </c>
      <c r="FT5">
        <v>57.375</v>
      </c>
      <c r="FU5">
        <v>56</v>
      </c>
      <c r="FV5">
        <v>57.375</v>
      </c>
      <c r="FW5" t="s">
        <v>137</v>
      </c>
      <c r="FX5" t="s">
        <v>137</v>
      </c>
      <c r="FY5">
        <v>56.75</v>
      </c>
      <c r="FZ5">
        <v>56</v>
      </c>
      <c r="GA5">
        <v>56.75</v>
      </c>
      <c r="GB5">
        <v>54.25</v>
      </c>
      <c r="GC5">
        <v>53.625</v>
      </c>
      <c r="GD5" t="s">
        <v>137</v>
      </c>
      <c r="GE5" t="s">
        <v>137</v>
      </c>
      <c r="GF5">
        <v>53.5</v>
      </c>
      <c r="GG5">
        <v>54.75</v>
      </c>
      <c r="GH5">
        <v>54.5</v>
      </c>
      <c r="GI5">
        <v>53.125</v>
      </c>
      <c r="GJ5">
        <v>50.875</v>
      </c>
      <c r="GK5" t="s">
        <v>137</v>
      </c>
      <c r="GL5" t="s">
        <v>137</v>
      </c>
      <c r="GM5">
        <v>46</v>
      </c>
      <c r="GN5">
        <v>44.75</v>
      </c>
      <c r="GO5">
        <v>42.25</v>
      </c>
      <c r="GP5">
        <v>40.375</v>
      </c>
      <c r="GQ5">
        <v>40.125</v>
      </c>
      <c r="GR5" t="s">
        <v>137</v>
      </c>
      <c r="GS5" t="s">
        <v>137</v>
      </c>
      <c r="GT5">
        <v>36.25</v>
      </c>
      <c r="GU5">
        <v>37.25</v>
      </c>
      <c r="GV5">
        <v>34.125</v>
      </c>
      <c r="GW5">
        <v>34.25</v>
      </c>
      <c r="GX5">
        <v>34.5</v>
      </c>
      <c r="GY5" t="s">
        <v>137</v>
      </c>
      <c r="GZ5" t="s">
        <v>137</v>
      </c>
      <c r="HA5">
        <v>31.25</v>
      </c>
      <c r="HB5">
        <v>30.875</v>
      </c>
      <c r="HC5">
        <v>32.25</v>
      </c>
      <c r="HD5">
        <v>33.125</v>
      </c>
      <c r="HE5">
        <v>33.375</v>
      </c>
      <c r="HF5" t="s">
        <v>137</v>
      </c>
      <c r="HG5" t="s">
        <v>137</v>
      </c>
      <c r="HH5">
        <v>33.5</v>
      </c>
      <c r="HI5">
        <v>34.5</v>
      </c>
      <c r="HJ5">
        <v>34.375</v>
      </c>
      <c r="HK5">
        <v>35.25</v>
      </c>
      <c r="HL5">
        <v>35.625</v>
      </c>
      <c r="HM5" t="s">
        <v>137</v>
      </c>
      <c r="HN5" t="s">
        <v>137</v>
      </c>
      <c r="HO5">
        <v>37.5</v>
      </c>
      <c r="HP5">
        <v>37.25</v>
      </c>
      <c r="HQ5">
        <v>36.625</v>
      </c>
      <c r="HR5">
        <v>36.375</v>
      </c>
      <c r="HS5">
        <v>36.375</v>
      </c>
      <c r="HT5" t="s">
        <v>137</v>
      </c>
      <c r="HU5" t="s">
        <v>137</v>
      </c>
      <c r="HV5">
        <v>36.75</v>
      </c>
      <c r="HW5">
        <v>35.5</v>
      </c>
      <c r="HX5">
        <v>35.75</v>
      </c>
      <c r="HY5">
        <v>34.5</v>
      </c>
      <c r="HZ5">
        <v>34.25</v>
      </c>
      <c r="IA5" t="s">
        <v>137</v>
      </c>
      <c r="IB5" t="s">
        <v>137</v>
      </c>
      <c r="IC5">
        <v>34.25</v>
      </c>
      <c r="ID5">
        <v>37.875</v>
      </c>
      <c r="IE5">
        <v>36.375</v>
      </c>
      <c r="IF5">
        <v>34.875</v>
      </c>
      <c r="IG5">
        <v>34.5</v>
      </c>
      <c r="IH5" t="s">
        <v>137</v>
      </c>
      <c r="II5" t="s">
        <v>137</v>
      </c>
      <c r="IJ5">
        <v>34.875</v>
      </c>
      <c r="IK5">
        <v>35.375</v>
      </c>
      <c r="IL5">
        <v>35.75</v>
      </c>
      <c r="IM5">
        <v>35.375</v>
      </c>
      <c r="IN5">
        <v>33.5</v>
      </c>
      <c r="IO5" t="s">
        <v>137</v>
      </c>
      <c r="IP5" t="s">
        <v>137</v>
      </c>
      <c r="IQ5">
        <v>31.5</v>
      </c>
      <c r="IR5">
        <v>33</v>
      </c>
      <c r="IS5">
        <v>33.875</v>
      </c>
      <c r="IT5">
        <v>34.875</v>
      </c>
      <c r="IU5">
        <v>34.375</v>
      </c>
      <c r="IV5" t="s">
        <v>137</v>
      </c>
      <c r="IW5" t="s">
        <v>137</v>
      </c>
      <c r="IX5">
        <v>36.625</v>
      </c>
      <c r="IY5">
        <v>38.125</v>
      </c>
      <c r="IZ5">
        <v>37.5</v>
      </c>
      <c r="JA5">
        <v>37</v>
      </c>
      <c r="JB5">
        <v>38.125</v>
      </c>
      <c r="JC5" t="s">
        <v>137</v>
      </c>
      <c r="JD5" t="s">
        <v>137</v>
      </c>
      <c r="JE5">
        <v>40.125</v>
      </c>
      <c r="JF5">
        <v>40.75</v>
      </c>
      <c r="JG5">
        <v>40.625</v>
      </c>
      <c r="JH5">
        <v>42</v>
      </c>
      <c r="JI5">
        <v>41.875</v>
      </c>
      <c r="JJ5" t="s">
        <v>137</v>
      </c>
      <c r="JK5" t="s">
        <v>137</v>
      </c>
      <c r="JL5">
        <v>41.875</v>
      </c>
      <c r="JM5">
        <v>45</v>
      </c>
      <c r="JN5">
        <v>44.75</v>
      </c>
      <c r="JO5">
        <v>44</v>
      </c>
      <c r="JP5">
        <v>46.375</v>
      </c>
      <c r="JQ5" t="s">
        <v>137</v>
      </c>
      <c r="JR5" t="s">
        <v>137</v>
      </c>
      <c r="JS5">
        <v>46.125</v>
      </c>
      <c r="JT5">
        <v>46.25</v>
      </c>
      <c r="JU5">
        <v>46.625</v>
      </c>
      <c r="JV5">
        <v>46.5</v>
      </c>
      <c r="JW5">
        <v>48.125</v>
      </c>
      <c r="JX5" t="s">
        <v>137</v>
      </c>
      <c r="JY5" t="s">
        <v>137</v>
      </c>
      <c r="JZ5">
        <v>47.75</v>
      </c>
      <c r="KA5">
        <v>44.875</v>
      </c>
      <c r="KB5">
        <v>46.5</v>
      </c>
      <c r="KC5">
        <v>46</v>
      </c>
      <c r="KD5">
        <v>46</v>
      </c>
      <c r="KE5" t="s">
        <v>137</v>
      </c>
      <c r="KF5" t="s">
        <v>137</v>
      </c>
      <c r="KG5">
        <v>45.375</v>
      </c>
      <c r="KH5">
        <v>46.125</v>
      </c>
      <c r="KI5">
        <v>46</v>
      </c>
      <c r="KJ5">
        <v>45</v>
      </c>
      <c r="KK5">
        <v>46</v>
      </c>
      <c r="KL5" t="s">
        <v>137</v>
      </c>
      <c r="KM5" t="s">
        <v>137</v>
      </c>
      <c r="KN5">
        <v>46.125</v>
      </c>
      <c r="KO5">
        <v>46.875</v>
      </c>
      <c r="KP5">
        <v>45.75</v>
      </c>
      <c r="KQ5">
        <v>45.75</v>
      </c>
      <c r="KR5">
        <v>45.25</v>
      </c>
      <c r="KS5" t="s">
        <v>137</v>
      </c>
      <c r="KT5" t="s">
        <v>137</v>
      </c>
      <c r="KU5">
        <v>44.125</v>
      </c>
      <c r="KV5">
        <v>45.25</v>
      </c>
      <c r="KW5">
        <v>45.375</v>
      </c>
      <c r="KX5">
        <v>45.5</v>
      </c>
      <c r="KY5">
        <v>45.5</v>
      </c>
      <c r="KZ5" t="s">
        <v>137</v>
      </c>
      <c r="LA5" t="s">
        <v>137</v>
      </c>
      <c r="LB5">
        <v>47.5</v>
      </c>
      <c r="LC5">
        <v>48</v>
      </c>
      <c r="LD5">
        <v>49.375</v>
      </c>
      <c r="LE5">
        <v>48.375</v>
      </c>
      <c r="LF5">
        <v>48.875</v>
      </c>
      <c r="LG5" t="s">
        <v>137</v>
      </c>
      <c r="LH5" t="s">
        <v>137</v>
      </c>
      <c r="LI5">
        <v>48.875</v>
      </c>
      <c r="LJ5">
        <v>48.875</v>
      </c>
      <c r="LK5">
        <v>48.875</v>
      </c>
      <c r="LL5">
        <v>49.625</v>
      </c>
      <c r="LM5">
        <v>49.625</v>
      </c>
      <c r="LN5" t="s">
        <v>137</v>
      </c>
      <c r="LO5" t="s">
        <v>137</v>
      </c>
      <c r="LP5">
        <v>49.5</v>
      </c>
      <c r="LQ5">
        <v>49.75</v>
      </c>
      <c r="LR5">
        <v>50.375</v>
      </c>
      <c r="LS5">
        <v>51.375</v>
      </c>
      <c r="LT5">
        <v>51.625</v>
      </c>
      <c r="LU5" t="s">
        <v>137</v>
      </c>
      <c r="LV5" t="s">
        <v>137</v>
      </c>
      <c r="LW5">
        <v>51.25</v>
      </c>
      <c r="LX5">
        <v>50.75</v>
      </c>
      <c r="LY5">
        <v>49.875</v>
      </c>
      <c r="LZ5">
        <v>50.5</v>
      </c>
      <c r="MA5">
        <v>51</v>
      </c>
      <c r="MB5" t="s">
        <v>137</v>
      </c>
      <c r="MC5" t="s">
        <v>137</v>
      </c>
      <c r="MD5">
        <v>50.625</v>
      </c>
      <c r="ME5">
        <v>54.875</v>
      </c>
      <c r="MF5">
        <v>54.625</v>
      </c>
      <c r="MG5">
        <v>54.875</v>
      </c>
      <c r="MH5">
        <v>52.75</v>
      </c>
      <c r="MI5" t="s">
        <v>137</v>
      </c>
      <c r="MJ5" t="s">
        <v>137</v>
      </c>
      <c r="MK5">
        <v>52.375</v>
      </c>
      <c r="ML5">
        <v>54.5</v>
      </c>
      <c r="MM5">
        <v>54.75</v>
      </c>
      <c r="MN5">
        <v>52</v>
      </c>
      <c r="MO5">
        <v>53.875</v>
      </c>
      <c r="MP5" t="s">
        <v>137</v>
      </c>
      <c r="MQ5" t="s">
        <v>137</v>
      </c>
      <c r="MR5">
        <v>53.5</v>
      </c>
      <c r="MS5">
        <v>53.375</v>
      </c>
      <c r="MT5">
        <v>53.125</v>
      </c>
      <c r="MU5">
        <v>52.75</v>
      </c>
      <c r="MV5">
        <v>52.75</v>
      </c>
      <c r="MW5" t="s">
        <v>137</v>
      </c>
      <c r="MX5" t="s">
        <v>137</v>
      </c>
      <c r="MY5">
        <v>52.75</v>
      </c>
      <c r="MZ5">
        <v>52.75</v>
      </c>
      <c r="NA5">
        <v>53</v>
      </c>
      <c r="NB5">
        <v>50.25</v>
      </c>
      <c r="NC5">
        <v>52.5</v>
      </c>
      <c r="ND5" t="s">
        <v>137</v>
      </c>
      <c r="NE5" t="s">
        <v>137</v>
      </c>
      <c r="NF5">
        <v>52.625</v>
      </c>
      <c r="NG5">
        <v>53.75</v>
      </c>
      <c r="NH5">
        <v>52.125</v>
      </c>
      <c r="NI5">
        <v>50.75</v>
      </c>
      <c r="NJ5">
        <v>50.5</v>
      </c>
      <c r="NK5" t="s">
        <v>137</v>
      </c>
      <c r="NL5" t="s">
        <v>137</v>
      </c>
      <c r="NM5" t="s">
        <v>137</v>
      </c>
      <c r="NN5" t="s">
        <v>137</v>
      </c>
      <c r="NO5" t="s">
        <v>137</v>
      </c>
      <c r="NP5" t="s">
        <v>137</v>
      </c>
      <c r="NQ5" t="s">
        <v>137</v>
      </c>
      <c r="NR5" t="s">
        <v>137</v>
      </c>
      <c r="NS5" t="s">
        <v>137</v>
      </c>
      <c r="NT5" t="s">
        <v>137</v>
      </c>
      <c r="NU5" t="s">
        <v>137</v>
      </c>
      <c r="NV5" t="s">
        <v>137</v>
      </c>
      <c r="NW5" t="s">
        <v>137</v>
      </c>
      <c r="NX5" t="s">
        <v>137</v>
      </c>
      <c r="NY5" t="s">
        <v>137</v>
      </c>
      <c r="NZ5" t="s">
        <v>137</v>
      </c>
      <c r="OA5" t="s">
        <v>137</v>
      </c>
      <c r="OB5" t="s">
        <v>137</v>
      </c>
      <c r="OC5" t="s">
        <v>137</v>
      </c>
      <c r="OD5" t="s">
        <v>137</v>
      </c>
      <c r="OE5" t="s">
        <v>137</v>
      </c>
      <c r="OF5" t="s">
        <v>137</v>
      </c>
      <c r="OG5" t="s">
        <v>137</v>
      </c>
      <c r="OH5" t="s">
        <v>137</v>
      </c>
      <c r="OI5" t="s">
        <v>137</v>
      </c>
      <c r="OJ5" t="s">
        <v>137</v>
      </c>
      <c r="OK5" t="s">
        <v>137</v>
      </c>
      <c r="OL5" t="s">
        <v>137</v>
      </c>
      <c r="OM5" t="s">
        <v>137</v>
      </c>
      <c r="ON5" t="s">
        <v>137</v>
      </c>
      <c r="OO5" t="s">
        <v>137</v>
      </c>
      <c r="OP5" t="s">
        <v>137</v>
      </c>
      <c r="OQ5" t="s">
        <v>137</v>
      </c>
      <c r="OR5" t="s">
        <v>137</v>
      </c>
      <c r="OS5" t="s">
        <v>137</v>
      </c>
      <c r="OT5" t="s">
        <v>137</v>
      </c>
      <c r="OU5" t="s">
        <v>137</v>
      </c>
      <c r="OV5" t="s">
        <v>137</v>
      </c>
      <c r="OW5" t="s">
        <v>137</v>
      </c>
      <c r="OX5" t="s">
        <v>137</v>
      </c>
      <c r="OY5" t="s">
        <v>137</v>
      </c>
      <c r="OZ5" t="s">
        <v>137</v>
      </c>
      <c r="PA5" t="s">
        <v>137</v>
      </c>
      <c r="PB5" t="s">
        <v>137</v>
      </c>
      <c r="PC5" t="s">
        <v>137</v>
      </c>
      <c r="PD5" t="s">
        <v>137</v>
      </c>
      <c r="PE5" t="s">
        <v>137</v>
      </c>
      <c r="PF5" t="s">
        <v>137</v>
      </c>
      <c r="PG5" t="s">
        <v>137</v>
      </c>
      <c r="PH5" t="s">
        <v>137</v>
      </c>
      <c r="PI5" t="s">
        <v>137</v>
      </c>
      <c r="PJ5" t="s">
        <v>137</v>
      </c>
      <c r="PK5" t="s">
        <v>137</v>
      </c>
      <c r="PL5" t="s">
        <v>137</v>
      </c>
      <c r="PM5" t="s">
        <v>137</v>
      </c>
      <c r="PN5" t="s">
        <v>137</v>
      </c>
      <c r="PO5" t="s">
        <v>137</v>
      </c>
      <c r="PP5" t="s">
        <v>137</v>
      </c>
      <c r="PQ5" t="s">
        <v>137</v>
      </c>
      <c r="PR5" t="s">
        <v>137</v>
      </c>
      <c r="PS5" t="s">
        <v>137</v>
      </c>
      <c r="PT5" t="s">
        <v>137</v>
      </c>
      <c r="PU5" t="s">
        <v>137</v>
      </c>
      <c r="PV5" t="s">
        <v>137</v>
      </c>
      <c r="PW5" t="s">
        <v>137</v>
      </c>
      <c r="PX5" t="s">
        <v>137</v>
      </c>
      <c r="PY5" t="s">
        <v>137</v>
      </c>
      <c r="PZ5" t="s">
        <v>137</v>
      </c>
      <c r="QA5" t="s">
        <v>137</v>
      </c>
      <c r="QB5" t="s">
        <v>137</v>
      </c>
      <c r="QC5" t="s">
        <v>137</v>
      </c>
      <c r="QD5" t="s">
        <v>137</v>
      </c>
      <c r="QE5" t="s">
        <v>137</v>
      </c>
      <c r="QF5" t="s">
        <v>137</v>
      </c>
      <c r="QG5" t="s">
        <v>137</v>
      </c>
      <c r="QH5" t="s">
        <v>137</v>
      </c>
      <c r="QI5" t="s">
        <v>137</v>
      </c>
      <c r="QJ5" t="s">
        <v>137</v>
      </c>
      <c r="QK5" t="s">
        <v>137</v>
      </c>
      <c r="QL5" t="s">
        <v>137</v>
      </c>
      <c r="QM5" t="s">
        <v>137</v>
      </c>
      <c r="QN5" t="s">
        <v>137</v>
      </c>
      <c r="QO5" t="s">
        <v>137</v>
      </c>
    </row>
    <row r="6" spans="1:524" x14ac:dyDescent="0.2">
      <c r="A6" t="s">
        <v>160</v>
      </c>
      <c r="B6" s="3">
        <v>40296</v>
      </c>
      <c r="C6" t="s">
        <v>14</v>
      </c>
      <c r="E6" t="s">
        <v>137</v>
      </c>
      <c r="F6">
        <v>38.25</v>
      </c>
      <c r="G6">
        <v>38.5</v>
      </c>
      <c r="H6">
        <v>40</v>
      </c>
      <c r="I6">
        <v>43.25</v>
      </c>
      <c r="J6">
        <v>46.25</v>
      </c>
      <c r="K6" t="s">
        <v>137</v>
      </c>
      <c r="L6" t="s">
        <v>137</v>
      </c>
      <c r="M6">
        <v>47</v>
      </c>
      <c r="N6">
        <v>45.25</v>
      </c>
      <c r="O6">
        <v>46.75</v>
      </c>
      <c r="P6">
        <v>47.75</v>
      </c>
      <c r="Q6">
        <v>47.75</v>
      </c>
      <c r="R6" t="s">
        <v>137</v>
      </c>
      <c r="S6" t="s">
        <v>137</v>
      </c>
      <c r="T6">
        <v>47.75</v>
      </c>
      <c r="U6">
        <v>47.75</v>
      </c>
      <c r="V6">
        <v>47.25</v>
      </c>
      <c r="W6">
        <v>47.25</v>
      </c>
      <c r="X6">
        <v>47.25</v>
      </c>
      <c r="Y6" t="s">
        <v>137</v>
      </c>
      <c r="Z6" t="s">
        <v>137</v>
      </c>
      <c r="AA6">
        <v>47.25</v>
      </c>
      <c r="AB6">
        <v>47.25</v>
      </c>
      <c r="AC6">
        <v>47.25</v>
      </c>
      <c r="AD6">
        <v>47.25</v>
      </c>
      <c r="AE6">
        <v>47.25</v>
      </c>
      <c r="AF6" t="s">
        <v>137</v>
      </c>
      <c r="AG6" t="s">
        <v>137</v>
      </c>
      <c r="AH6">
        <v>48.875</v>
      </c>
      <c r="AI6">
        <v>48.25</v>
      </c>
      <c r="AJ6">
        <v>48.75</v>
      </c>
      <c r="AK6">
        <v>48.75</v>
      </c>
      <c r="AL6">
        <v>48.75</v>
      </c>
      <c r="AM6" t="s">
        <v>137</v>
      </c>
      <c r="AN6" t="s">
        <v>137</v>
      </c>
      <c r="AO6">
        <v>48.75</v>
      </c>
      <c r="AP6">
        <v>48.75</v>
      </c>
      <c r="AQ6">
        <v>48.75</v>
      </c>
      <c r="AR6">
        <v>48.75</v>
      </c>
      <c r="AS6">
        <v>48.75</v>
      </c>
      <c r="AT6" t="s">
        <v>137</v>
      </c>
      <c r="AU6" t="s">
        <v>137</v>
      </c>
      <c r="AV6">
        <v>48.75</v>
      </c>
      <c r="AW6">
        <v>48.75</v>
      </c>
      <c r="AX6">
        <v>48.75</v>
      </c>
      <c r="AY6">
        <v>48.75</v>
      </c>
      <c r="AZ6">
        <v>48.75</v>
      </c>
      <c r="BA6" t="s">
        <v>137</v>
      </c>
      <c r="BB6" t="s">
        <v>137</v>
      </c>
      <c r="BC6">
        <v>48.75</v>
      </c>
      <c r="BD6">
        <v>52</v>
      </c>
      <c r="BE6">
        <v>52.375</v>
      </c>
      <c r="BF6">
        <v>53.375</v>
      </c>
      <c r="BG6">
        <v>51.875</v>
      </c>
      <c r="BH6" t="s">
        <v>137</v>
      </c>
      <c r="BI6" t="s">
        <v>137</v>
      </c>
      <c r="BJ6">
        <v>51.25</v>
      </c>
      <c r="BK6">
        <v>51.25</v>
      </c>
      <c r="BL6">
        <v>50.75</v>
      </c>
      <c r="BM6">
        <v>50.75</v>
      </c>
      <c r="BN6">
        <v>51</v>
      </c>
      <c r="BO6" t="s">
        <v>137</v>
      </c>
      <c r="BP6" t="s">
        <v>137</v>
      </c>
      <c r="BQ6">
        <v>51</v>
      </c>
      <c r="BR6">
        <v>51</v>
      </c>
      <c r="BS6">
        <v>51</v>
      </c>
      <c r="BT6">
        <v>50.25</v>
      </c>
      <c r="BU6">
        <v>50.5</v>
      </c>
      <c r="BV6" t="s">
        <v>137</v>
      </c>
      <c r="BW6" t="s">
        <v>137</v>
      </c>
      <c r="BX6">
        <v>50.5</v>
      </c>
      <c r="BY6">
        <v>50.5</v>
      </c>
      <c r="BZ6">
        <v>50.5</v>
      </c>
      <c r="CA6">
        <v>50.5</v>
      </c>
      <c r="CB6">
        <v>50.5</v>
      </c>
      <c r="CC6" t="s">
        <v>137</v>
      </c>
      <c r="CD6" t="s">
        <v>137</v>
      </c>
      <c r="CE6">
        <v>50.5</v>
      </c>
      <c r="CF6">
        <v>50.5</v>
      </c>
      <c r="CG6">
        <v>50.5</v>
      </c>
      <c r="CH6">
        <v>50.5</v>
      </c>
      <c r="CI6">
        <v>50.5</v>
      </c>
      <c r="CJ6" t="s">
        <v>137</v>
      </c>
      <c r="CK6" t="s">
        <v>137</v>
      </c>
      <c r="CL6">
        <v>50.5</v>
      </c>
      <c r="CM6">
        <v>50.5</v>
      </c>
      <c r="CN6">
        <v>48.5</v>
      </c>
      <c r="CO6">
        <v>48.5</v>
      </c>
      <c r="CP6">
        <v>48.5</v>
      </c>
      <c r="CQ6" t="s">
        <v>137</v>
      </c>
      <c r="CR6" t="s">
        <v>137</v>
      </c>
      <c r="CS6">
        <v>48.5</v>
      </c>
      <c r="CT6">
        <v>48.5</v>
      </c>
      <c r="CU6">
        <v>48.5</v>
      </c>
      <c r="CV6">
        <v>48.5</v>
      </c>
      <c r="CW6">
        <v>48.5</v>
      </c>
      <c r="CX6" t="s">
        <v>137</v>
      </c>
      <c r="CY6" t="s">
        <v>137</v>
      </c>
      <c r="CZ6">
        <v>48.5</v>
      </c>
      <c r="DA6">
        <v>48.5</v>
      </c>
      <c r="DB6">
        <v>48.5</v>
      </c>
      <c r="DC6">
        <v>48.5</v>
      </c>
      <c r="DD6">
        <v>48.5</v>
      </c>
      <c r="DE6" t="s">
        <v>137</v>
      </c>
      <c r="DF6" t="s">
        <v>137</v>
      </c>
      <c r="DG6">
        <v>48.5</v>
      </c>
      <c r="DH6">
        <v>48.5</v>
      </c>
      <c r="DI6">
        <v>48.5</v>
      </c>
      <c r="DJ6">
        <v>48.5</v>
      </c>
      <c r="DK6">
        <v>48.5</v>
      </c>
      <c r="DL6" t="s">
        <v>137</v>
      </c>
      <c r="DM6" t="s">
        <v>137</v>
      </c>
      <c r="DN6">
        <v>57.5</v>
      </c>
      <c r="DO6">
        <v>57.5</v>
      </c>
      <c r="DP6">
        <v>56.5</v>
      </c>
      <c r="DQ6">
        <v>59</v>
      </c>
      <c r="DR6">
        <v>60.375</v>
      </c>
      <c r="DS6" t="s">
        <v>137</v>
      </c>
      <c r="DT6" t="s">
        <v>137</v>
      </c>
      <c r="DU6">
        <v>60.875</v>
      </c>
      <c r="DV6">
        <v>60.875</v>
      </c>
      <c r="DW6">
        <v>60.875</v>
      </c>
      <c r="DX6">
        <v>61.125</v>
      </c>
      <c r="DY6">
        <v>59.5</v>
      </c>
      <c r="DZ6" t="s">
        <v>137</v>
      </c>
      <c r="EA6" t="s">
        <v>137</v>
      </c>
      <c r="EB6">
        <v>58.75</v>
      </c>
      <c r="EC6">
        <v>58.25</v>
      </c>
      <c r="ED6">
        <v>60.5</v>
      </c>
      <c r="EE6">
        <v>61.25</v>
      </c>
      <c r="EF6">
        <v>62.25</v>
      </c>
      <c r="EG6" t="s">
        <v>137</v>
      </c>
      <c r="EH6" t="s">
        <v>137</v>
      </c>
      <c r="EI6">
        <v>62.125</v>
      </c>
      <c r="EJ6">
        <v>59</v>
      </c>
      <c r="EK6">
        <v>61.25</v>
      </c>
      <c r="EL6">
        <v>62</v>
      </c>
      <c r="EM6">
        <v>60.25</v>
      </c>
      <c r="EN6" t="s">
        <v>137</v>
      </c>
      <c r="EO6" t="s">
        <v>137</v>
      </c>
      <c r="EP6">
        <v>61</v>
      </c>
      <c r="EQ6">
        <v>59.125</v>
      </c>
      <c r="ER6">
        <v>58</v>
      </c>
      <c r="ES6">
        <v>57.625</v>
      </c>
      <c r="ET6">
        <v>56.5</v>
      </c>
      <c r="EU6" t="s">
        <v>137</v>
      </c>
      <c r="EV6" t="s">
        <v>137</v>
      </c>
      <c r="EW6">
        <v>54.75</v>
      </c>
      <c r="EX6">
        <v>54.875</v>
      </c>
      <c r="EY6">
        <v>55.625</v>
      </c>
      <c r="EZ6">
        <v>55</v>
      </c>
      <c r="FA6">
        <v>55</v>
      </c>
      <c r="FB6" t="s">
        <v>137</v>
      </c>
      <c r="FC6" t="s">
        <v>137</v>
      </c>
      <c r="FD6">
        <v>56</v>
      </c>
      <c r="FE6">
        <v>56.75</v>
      </c>
      <c r="FF6">
        <v>58.5</v>
      </c>
      <c r="FG6">
        <v>58.25</v>
      </c>
      <c r="FH6">
        <v>59.375</v>
      </c>
      <c r="FI6" t="s">
        <v>137</v>
      </c>
      <c r="FJ6" t="s">
        <v>137</v>
      </c>
      <c r="FK6">
        <v>59.25</v>
      </c>
      <c r="FL6">
        <v>59</v>
      </c>
      <c r="FM6">
        <v>58.25</v>
      </c>
      <c r="FN6">
        <v>56.875</v>
      </c>
      <c r="FO6">
        <v>57.125</v>
      </c>
      <c r="FP6" t="s">
        <v>137</v>
      </c>
      <c r="FQ6" t="s">
        <v>137</v>
      </c>
      <c r="FR6">
        <v>58.125</v>
      </c>
      <c r="FS6">
        <v>57</v>
      </c>
      <c r="FT6">
        <v>57.125</v>
      </c>
      <c r="FU6">
        <v>55.75</v>
      </c>
      <c r="FV6">
        <v>57.125</v>
      </c>
      <c r="FW6" t="s">
        <v>137</v>
      </c>
      <c r="FX6" t="s">
        <v>137</v>
      </c>
      <c r="FY6">
        <v>56.5</v>
      </c>
      <c r="FZ6">
        <v>55.75</v>
      </c>
      <c r="GA6">
        <v>56.5</v>
      </c>
      <c r="GB6">
        <v>54</v>
      </c>
      <c r="GC6">
        <v>53.375</v>
      </c>
      <c r="GD6" t="s">
        <v>137</v>
      </c>
      <c r="GE6" t="s">
        <v>137</v>
      </c>
      <c r="GF6">
        <v>53.25</v>
      </c>
      <c r="GG6">
        <v>54.5</v>
      </c>
      <c r="GH6">
        <v>54.25</v>
      </c>
      <c r="GI6">
        <v>52.875</v>
      </c>
      <c r="GJ6">
        <v>50.625</v>
      </c>
      <c r="GK6" t="s">
        <v>137</v>
      </c>
      <c r="GL6" t="s">
        <v>137</v>
      </c>
      <c r="GM6">
        <v>45.75</v>
      </c>
      <c r="GN6">
        <v>44.5</v>
      </c>
      <c r="GO6">
        <v>42</v>
      </c>
      <c r="GP6">
        <v>40.125</v>
      </c>
      <c r="GQ6">
        <v>39.875</v>
      </c>
      <c r="GR6" t="s">
        <v>137</v>
      </c>
      <c r="GS6" t="s">
        <v>137</v>
      </c>
      <c r="GT6">
        <v>36</v>
      </c>
      <c r="GU6">
        <v>37</v>
      </c>
      <c r="GV6">
        <v>33.875</v>
      </c>
      <c r="GW6">
        <v>34</v>
      </c>
      <c r="GX6">
        <v>34.25</v>
      </c>
      <c r="GY6" t="s">
        <v>137</v>
      </c>
      <c r="GZ6" t="s">
        <v>137</v>
      </c>
      <c r="HA6">
        <v>31</v>
      </c>
      <c r="HB6">
        <v>30.625</v>
      </c>
      <c r="HC6">
        <v>32</v>
      </c>
      <c r="HD6">
        <v>32.875</v>
      </c>
      <c r="HE6">
        <v>33.125</v>
      </c>
      <c r="HF6" t="s">
        <v>137</v>
      </c>
      <c r="HG6" t="s">
        <v>137</v>
      </c>
      <c r="HH6">
        <v>33.25</v>
      </c>
      <c r="HI6">
        <v>34.25</v>
      </c>
      <c r="HJ6">
        <v>34.125</v>
      </c>
      <c r="HK6">
        <v>35</v>
      </c>
      <c r="HL6">
        <v>35.375</v>
      </c>
      <c r="HM6" t="s">
        <v>137</v>
      </c>
      <c r="HN6" t="s">
        <v>137</v>
      </c>
      <c r="HO6">
        <v>37.25</v>
      </c>
      <c r="HP6">
        <v>37</v>
      </c>
      <c r="HQ6">
        <v>36.375</v>
      </c>
      <c r="HR6">
        <v>36.125</v>
      </c>
      <c r="HS6">
        <v>36.125</v>
      </c>
      <c r="HT6" t="s">
        <v>137</v>
      </c>
      <c r="HU6" t="s">
        <v>137</v>
      </c>
      <c r="HV6">
        <v>36.5</v>
      </c>
      <c r="HW6">
        <v>35.25</v>
      </c>
      <c r="HX6">
        <v>35.5</v>
      </c>
      <c r="HY6">
        <v>34.25</v>
      </c>
      <c r="HZ6">
        <v>34</v>
      </c>
      <c r="IA6" t="s">
        <v>137</v>
      </c>
      <c r="IB6" t="s">
        <v>137</v>
      </c>
      <c r="IC6">
        <v>34</v>
      </c>
      <c r="ID6">
        <v>37.625</v>
      </c>
      <c r="IE6">
        <v>36.125</v>
      </c>
      <c r="IF6">
        <v>34.625</v>
      </c>
      <c r="IG6">
        <v>34.25</v>
      </c>
      <c r="IH6" t="s">
        <v>137</v>
      </c>
      <c r="II6" t="s">
        <v>137</v>
      </c>
      <c r="IJ6">
        <v>34.625</v>
      </c>
      <c r="IK6">
        <v>35.125</v>
      </c>
      <c r="IL6">
        <v>35.5</v>
      </c>
      <c r="IM6">
        <v>35.125</v>
      </c>
      <c r="IN6">
        <v>33.25</v>
      </c>
      <c r="IO6" t="s">
        <v>137</v>
      </c>
      <c r="IP6" t="s">
        <v>137</v>
      </c>
      <c r="IQ6">
        <v>31.25</v>
      </c>
      <c r="IR6">
        <v>32.75</v>
      </c>
      <c r="IS6">
        <v>33.625</v>
      </c>
      <c r="IT6">
        <v>34.625</v>
      </c>
      <c r="IU6">
        <v>34.125</v>
      </c>
      <c r="IV6" t="s">
        <v>137</v>
      </c>
      <c r="IW6" t="s">
        <v>137</v>
      </c>
      <c r="IX6">
        <v>36.375</v>
      </c>
      <c r="IY6">
        <v>37.875</v>
      </c>
      <c r="IZ6">
        <v>37.25</v>
      </c>
      <c r="JA6">
        <v>36.75</v>
      </c>
      <c r="JB6">
        <v>37.875</v>
      </c>
      <c r="JC6" t="s">
        <v>137</v>
      </c>
      <c r="JD6" t="s">
        <v>137</v>
      </c>
      <c r="JE6">
        <v>39.875</v>
      </c>
      <c r="JF6">
        <v>40.5</v>
      </c>
      <c r="JG6">
        <v>40.375</v>
      </c>
      <c r="JH6">
        <v>41.75</v>
      </c>
      <c r="JI6">
        <v>41.625</v>
      </c>
      <c r="JJ6" t="s">
        <v>137</v>
      </c>
      <c r="JK6" t="s">
        <v>137</v>
      </c>
      <c r="JL6">
        <v>41.625</v>
      </c>
      <c r="JM6">
        <v>44.75</v>
      </c>
      <c r="JN6">
        <v>44.5</v>
      </c>
      <c r="JO6">
        <v>43.75</v>
      </c>
      <c r="JP6">
        <v>46.125</v>
      </c>
      <c r="JQ6" t="s">
        <v>137</v>
      </c>
      <c r="JR6" t="s">
        <v>137</v>
      </c>
      <c r="JS6">
        <v>45.875</v>
      </c>
      <c r="JT6">
        <v>46</v>
      </c>
      <c r="JU6">
        <v>46.375</v>
      </c>
      <c r="JV6">
        <v>46.25</v>
      </c>
      <c r="JW6">
        <v>47.875</v>
      </c>
      <c r="JX6" t="s">
        <v>137</v>
      </c>
      <c r="JY6" t="s">
        <v>137</v>
      </c>
      <c r="JZ6">
        <v>47.5</v>
      </c>
      <c r="KA6">
        <v>44.625</v>
      </c>
      <c r="KB6">
        <v>46.25</v>
      </c>
      <c r="KC6">
        <v>45.75</v>
      </c>
      <c r="KD6">
        <v>45.75</v>
      </c>
      <c r="KE6" t="s">
        <v>137</v>
      </c>
      <c r="KF6" t="s">
        <v>137</v>
      </c>
      <c r="KG6">
        <v>45.125</v>
      </c>
      <c r="KH6">
        <v>45.875</v>
      </c>
      <c r="KI6">
        <v>45.75</v>
      </c>
      <c r="KJ6">
        <v>44.75</v>
      </c>
      <c r="KK6">
        <v>45.75</v>
      </c>
      <c r="KL6" t="s">
        <v>137</v>
      </c>
      <c r="KM6" t="s">
        <v>137</v>
      </c>
      <c r="KN6">
        <v>45.875</v>
      </c>
      <c r="KO6">
        <v>46.625</v>
      </c>
      <c r="KP6">
        <v>45.5</v>
      </c>
      <c r="KQ6">
        <v>45.375</v>
      </c>
      <c r="KR6">
        <v>45</v>
      </c>
      <c r="KS6" t="s">
        <v>137</v>
      </c>
      <c r="KT6" t="s">
        <v>137</v>
      </c>
      <c r="KU6">
        <v>43.625</v>
      </c>
      <c r="KV6">
        <v>45</v>
      </c>
      <c r="KW6">
        <v>44.625</v>
      </c>
      <c r="KX6">
        <v>45.25</v>
      </c>
      <c r="KY6">
        <v>45.25</v>
      </c>
      <c r="KZ6" t="s">
        <v>137</v>
      </c>
      <c r="LA6" t="s">
        <v>137</v>
      </c>
      <c r="LB6">
        <v>47.25</v>
      </c>
      <c r="LC6">
        <v>47.75</v>
      </c>
      <c r="LD6">
        <v>49.125</v>
      </c>
      <c r="LE6">
        <v>48.125</v>
      </c>
      <c r="LF6">
        <v>48.625</v>
      </c>
      <c r="LG6" t="s">
        <v>137</v>
      </c>
      <c r="LH6" t="s">
        <v>137</v>
      </c>
      <c r="LI6">
        <v>48.625</v>
      </c>
      <c r="LJ6">
        <v>48.625</v>
      </c>
      <c r="LK6">
        <v>48.625</v>
      </c>
      <c r="LL6">
        <v>49.375</v>
      </c>
      <c r="LM6">
        <v>49.375</v>
      </c>
      <c r="LN6" t="s">
        <v>137</v>
      </c>
      <c r="LO6" t="s">
        <v>137</v>
      </c>
      <c r="LP6">
        <v>49.25</v>
      </c>
      <c r="LQ6">
        <v>49.5</v>
      </c>
      <c r="LR6">
        <v>50.125</v>
      </c>
      <c r="LS6">
        <v>51.125</v>
      </c>
      <c r="LT6">
        <v>51.375</v>
      </c>
      <c r="LU6" t="s">
        <v>137</v>
      </c>
      <c r="LV6" t="s">
        <v>137</v>
      </c>
      <c r="LW6">
        <v>51</v>
      </c>
      <c r="LX6">
        <v>50.5</v>
      </c>
      <c r="LY6">
        <v>49.625</v>
      </c>
      <c r="LZ6">
        <v>50.25</v>
      </c>
      <c r="MA6">
        <v>50.75</v>
      </c>
      <c r="MB6" t="s">
        <v>137</v>
      </c>
      <c r="MC6" t="s">
        <v>137</v>
      </c>
      <c r="MD6">
        <v>50.375</v>
      </c>
      <c r="ME6">
        <v>54.625</v>
      </c>
      <c r="MF6">
        <v>54.375</v>
      </c>
      <c r="MG6">
        <v>54.625</v>
      </c>
      <c r="MH6">
        <v>52.5</v>
      </c>
      <c r="MI6" t="s">
        <v>137</v>
      </c>
      <c r="MJ6" t="s">
        <v>137</v>
      </c>
      <c r="MK6">
        <v>52.125</v>
      </c>
      <c r="ML6">
        <v>54.25</v>
      </c>
      <c r="MM6">
        <v>54.5</v>
      </c>
      <c r="MN6">
        <v>51.75</v>
      </c>
      <c r="MO6">
        <v>53.625</v>
      </c>
      <c r="MP6" t="s">
        <v>137</v>
      </c>
      <c r="MQ6" t="s">
        <v>137</v>
      </c>
      <c r="MR6">
        <v>53.25</v>
      </c>
      <c r="MS6">
        <v>53.125</v>
      </c>
      <c r="MT6">
        <v>52.875</v>
      </c>
      <c r="MU6">
        <v>52.5</v>
      </c>
      <c r="MV6">
        <v>52.5</v>
      </c>
      <c r="MW6" t="s">
        <v>137</v>
      </c>
      <c r="MX6" t="s">
        <v>137</v>
      </c>
      <c r="MY6">
        <v>52.5</v>
      </c>
      <c r="MZ6">
        <v>52.5</v>
      </c>
      <c r="NA6">
        <v>52.75</v>
      </c>
      <c r="NB6">
        <v>50</v>
      </c>
      <c r="NC6">
        <v>52.25</v>
      </c>
      <c r="ND6" t="s">
        <v>137</v>
      </c>
      <c r="NE6" t="s">
        <v>137</v>
      </c>
      <c r="NF6">
        <v>52.375</v>
      </c>
      <c r="NG6">
        <v>53.5</v>
      </c>
      <c r="NH6">
        <v>51.875</v>
      </c>
      <c r="NI6">
        <v>50.5</v>
      </c>
      <c r="NJ6">
        <v>50.25</v>
      </c>
      <c r="NK6" t="s">
        <v>137</v>
      </c>
      <c r="NL6" t="s">
        <v>137</v>
      </c>
      <c r="NM6" t="s">
        <v>137</v>
      </c>
      <c r="NN6" t="s">
        <v>137</v>
      </c>
      <c r="NO6" t="s">
        <v>137</v>
      </c>
      <c r="NP6" t="s">
        <v>137</v>
      </c>
      <c r="NQ6" t="s">
        <v>137</v>
      </c>
      <c r="NR6" t="s">
        <v>137</v>
      </c>
      <c r="NS6" t="s">
        <v>137</v>
      </c>
      <c r="NT6" t="s">
        <v>137</v>
      </c>
      <c r="NU6" t="s">
        <v>137</v>
      </c>
      <c r="NV6" t="s">
        <v>137</v>
      </c>
      <c r="NW6" t="s">
        <v>137</v>
      </c>
      <c r="NX6" t="s">
        <v>137</v>
      </c>
      <c r="NY6" t="s">
        <v>137</v>
      </c>
      <c r="NZ6" t="s">
        <v>137</v>
      </c>
      <c r="OA6" t="s">
        <v>137</v>
      </c>
      <c r="OB6" t="s">
        <v>137</v>
      </c>
      <c r="OC6" t="s">
        <v>137</v>
      </c>
      <c r="OD6" t="s">
        <v>137</v>
      </c>
      <c r="OE6" t="s">
        <v>137</v>
      </c>
      <c r="OF6" t="s">
        <v>137</v>
      </c>
      <c r="OG6" t="s">
        <v>137</v>
      </c>
      <c r="OH6" t="s">
        <v>137</v>
      </c>
      <c r="OI6" t="s">
        <v>137</v>
      </c>
      <c r="OJ6" t="s">
        <v>137</v>
      </c>
      <c r="OK6" t="s">
        <v>137</v>
      </c>
      <c r="OL6" t="s">
        <v>137</v>
      </c>
      <c r="OM6" t="s">
        <v>137</v>
      </c>
      <c r="ON6" t="s">
        <v>137</v>
      </c>
      <c r="OO6" t="s">
        <v>137</v>
      </c>
      <c r="OP6" t="s">
        <v>137</v>
      </c>
      <c r="OQ6" t="s">
        <v>137</v>
      </c>
      <c r="OR6" t="s">
        <v>137</v>
      </c>
      <c r="OS6" t="s">
        <v>137</v>
      </c>
      <c r="OT6" t="s">
        <v>137</v>
      </c>
      <c r="OU6" t="s">
        <v>137</v>
      </c>
      <c r="OV6" t="s">
        <v>137</v>
      </c>
      <c r="OW6" t="s">
        <v>137</v>
      </c>
      <c r="OX6" t="s">
        <v>137</v>
      </c>
      <c r="OY6" t="s">
        <v>137</v>
      </c>
      <c r="OZ6" t="s">
        <v>137</v>
      </c>
      <c r="PA6" t="s">
        <v>137</v>
      </c>
      <c r="PB6" t="s">
        <v>137</v>
      </c>
      <c r="PC6" t="s">
        <v>137</v>
      </c>
      <c r="PD6" t="s">
        <v>137</v>
      </c>
      <c r="PE6" t="s">
        <v>137</v>
      </c>
      <c r="PF6" t="s">
        <v>137</v>
      </c>
      <c r="PG6" t="s">
        <v>137</v>
      </c>
      <c r="PH6" t="s">
        <v>137</v>
      </c>
      <c r="PI6" t="s">
        <v>137</v>
      </c>
      <c r="PJ6" t="s">
        <v>137</v>
      </c>
      <c r="PK6" t="s">
        <v>137</v>
      </c>
      <c r="PL6" t="s">
        <v>137</v>
      </c>
      <c r="PM6" t="s">
        <v>137</v>
      </c>
      <c r="PN6" t="s">
        <v>137</v>
      </c>
      <c r="PO6" t="s">
        <v>137</v>
      </c>
      <c r="PP6" t="s">
        <v>137</v>
      </c>
      <c r="PQ6" t="s">
        <v>137</v>
      </c>
      <c r="PR6" t="s">
        <v>137</v>
      </c>
      <c r="PS6" t="s">
        <v>137</v>
      </c>
      <c r="PT6" t="s">
        <v>137</v>
      </c>
      <c r="PU6" t="s">
        <v>137</v>
      </c>
      <c r="PV6" t="s">
        <v>137</v>
      </c>
      <c r="PW6" t="s">
        <v>137</v>
      </c>
      <c r="PX6" t="s">
        <v>137</v>
      </c>
      <c r="PY6" t="s">
        <v>137</v>
      </c>
      <c r="PZ6" t="s">
        <v>137</v>
      </c>
      <c r="QA6" t="s">
        <v>137</v>
      </c>
      <c r="QB6" t="s">
        <v>137</v>
      </c>
      <c r="QC6" t="s">
        <v>137</v>
      </c>
      <c r="QD6" t="s">
        <v>137</v>
      </c>
      <c r="QE6" t="s">
        <v>137</v>
      </c>
      <c r="QF6" t="s">
        <v>137</v>
      </c>
      <c r="QG6" t="s">
        <v>137</v>
      </c>
      <c r="QH6" t="s">
        <v>137</v>
      </c>
      <c r="QI6" t="s">
        <v>137</v>
      </c>
      <c r="QJ6" t="s">
        <v>137</v>
      </c>
      <c r="QK6" t="s">
        <v>137</v>
      </c>
      <c r="QL6" t="s">
        <v>137</v>
      </c>
      <c r="QM6" t="s">
        <v>137</v>
      </c>
      <c r="QN6" t="s">
        <v>137</v>
      </c>
      <c r="QO6" t="s">
        <v>137</v>
      </c>
    </row>
    <row r="7" spans="1:524" x14ac:dyDescent="0.2">
      <c r="A7" t="s">
        <v>136</v>
      </c>
      <c r="B7" s="3">
        <v>38626</v>
      </c>
      <c r="C7" t="s">
        <v>20</v>
      </c>
      <c r="E7" t="s">
        <v>137</v>
      </c>
      <c r="F7">
        <v>33.25</v>
      </c>
      <c r="G7">
        <v>36.1875</v>
      </c>
      <c r="H7">
        <v>38.3125</v>
      </c>
      <c r="I7">
        <v>39.9375</v>
      </c>
      <c r="J7">
        <v>41.625</v>
      </c>
      <c r="K7" t="s">
        <v>137</v>
      </c>
      <c r="L7" t="s">
        <v>137</v>
      </c>
      <c r="M7">
        <v>40.8125</v>
      </c>
      <c r="N7">
        <v>40.3125</v>
      </c>
      <c r="O7">
        <v>40.3125</v>
      </c>
      <c r="P7">
        <v>39.8125</v>
      </c>
      <c r="Q7">
        <v>39.0625</v>
      </c>
      <c r="R7" t="s">
        <v>137</v>
      </c>
      <c r="S7" t="s">
        <v>137</v>
      </c>
      <c r="T7">
        <v>38.75</v>
      </c>
      <c r="U7">
        <v>38.799999999999997</v>
      </c>
      <c r="V7">
        <v>40</v>
      </c>
      <c r="W7">
        <v>39.9375</v>
      </c>
      <c r="X7">
        <v>40.25</v>
      </c>
      <c r="Y7" t="s">
        <v>137</v>
      </c>
      <c r="Z7" t="s">
        <v>137</v>
      </c>
      <c r="AA7">
        <v>39.5625</v>
      </c>
      <c r="AB7">
        <v>39.0625</v>
      </c>
      <c r="AC7">
        <v>38.75</v>
      </c>
      <c r="AD7">
        <v>39.375</v>
      </c>
      <c r="AE7">
        <v>40</v>
      </c>
      <c r="AF7" t="s">
        <v>137</v>
      </c>
      <c r="AG7" t="s">
        <v>137</v>
      </c>
      <c r="AH7">
        <v>39.8125</v>
      </c>
      <c r="AI7">
        <v>39.8125</v>
      </c>
      <c r="AJ7">
        <v>39.375</v>
      </c>
      <c r="AK7">
        <v>39.375</v>
      </c>
      <c r="AL7">
        <v>39.5</v>
      </c>
      <c r="AM7" t="s">
        <v>137</v>
      </c>
      <c r="AN7" t="s">
        <v>137</v>
      </c>
      <c r="AO7">
        <v>40.5625</v>
      </c>
      <c r="AP7">
        <v>40.75</v>
      </c>
      <c r="AQ7">
        <v>41.5625</v>
      </c>
      <c r="AR7">
        <v>43.75</v>
      </c>
      <c r="AS7">
        <v>42.5</v>
      </c>
      <c r="AT7" t="s">
        <v>137</v>
      </c>
      <c r="AU7" t="s">
        <v>137</v>
      </c>
      <c r="AV7">
        <v>43.265000000000001</v>
      </c>
      <c r="AW7">
        <v>42.5625</v>
      </c>
      <c r="AX7">
        <v>41</v>
      </c>
      <c r="AY7">
        <v>41.7</v>
      </c>
      <c r="AZ7">
        <v>41.25</v>
      </c>
      <c r="BA7" t="s">
        <v>137</v>
      </c>
      <c r="BB7" t="s">
        <v>137</v>
      </c>
      <c r="BC7">
        <v>40.625</v>
      </c>
      <c r="BD7">
        <v>40.1875</v>
      </c>
      <c r="BE7">
        <v>41.0625</v>
      </c>
      <c r="BF7">
        <v>41.5</v>
      </c>
      <c r="BG7">
        <v>41.965000000000003</v>
      </c>
      <c r="BH7" t="s">
        <v>137</v>
      </c>
      <c r="BI7" t="s">
        <v>137</v>
      </c>
      <c r="BJ7">
        <v>40.0625</v>
      </c>
      <c r="BK7">
        <v>41.125</v>
      </c>
      <c r="BL7">
        <v>40.5</v>
      </c>
      <c r="BM7">
        <v>40.61</v>
      </c>
      <c r="BN7">
        <v>40.625</v>
      </c>
      <c r="BO7" t="s">
        <v>137</v>
      </c>
      <c r="BP7" t="s">
        <v>137</v>
      </c>
      <c r="BQ7">
        <v>40.125</v>
      </c>
      <c r="BR7">
        <v>40.57</v>
      </c>
      <c r="BS7">
        <v>40.555</v>
      </c>
      <c r="BT7">
        <v>39.625</v>
      </c>
      <c r="BU7">
        <v>39.405000000000001</v>
      </c>
      <c r="BV7" t="s">
        <v>137</v>
      </c>
      <c r="BW7" t="s">
        <v>137</v>
      </c>
      <c r="BX7">
        <v>39.1875</v>
      </c>
      <c r="BY7">
        <v>38.6875</v>
      </c>
      <c r="BZ7">
        <v>38.875</v>
      </c>
      <c r="CA7">
        <v>39.435000000000002</v>
      </c>
      <c r="CB7">
        <v>39.4375</v>
      </c>
      <c r="CC7" t="s">
        <v>137</v>
      </c>
      <c r="CD7" t="s">
        <v>137</v>
      </c>
      <c r="CE7">
        <v>39.42</v>
      </c>
      <c r="CF7">
        <v>40</v>
      </c>
      <c r="CG7">
        <v>40.8125</v>
      </c>
      <c r="CH7">
        <v>41</v>
      </c>
      <c r="CI7">
        <v>40.8125</v>
      </c>
      <c r="CJ7" t="s">
        <v>137</v>
      </c>
      <c r="CK7" t="s">
        <v>137</v>
      </c>
      <c r="CL7">
        <v>39.875</v>
      </c>
      <c r="CM7">
        <v>39.375</v>
      </c>
      <c r="CN7">
        <v>39.25</v>
      </c>
      <c r="CO7">
        <v>38.875</v>
      </c>
      <c r="CP7">
        <v>39.375</v>
      </c>
      <c r="CQ7" t="s">
        <v>137</v>
      </c>
      <c r="CR7" t="s">
        <v>137</v>
      </c>
      <c r="CS7">
        <v>38.3125</v>
      </c>
      <c r="CT7">
        <v>38.5</v>
      </c>
      <c r="CU7">
        <v>38.6875</v>
      </c>
      <c r="CV7">
        <v>38.5</v>
      </c>
      <c r="CW7">
        <v>38.9375</v>
      </c>
      <c r="CX7" t="s">
        <v>137</v>
      </c>
      <c r="CY7" t="s">
        <v>137</v>
      </c>
      <c r="CZ7">
        <v>39.994999999999997</v>
      </c>
      <c r="DA7">
        <v>39.8125</v>
      </c>
      <c r="DB7">
        <v>40.5</v>
      </c>
      <c r="DC7">
        <v>41.5625</v>
      </c>
      <c r="DD7">
        <v>41.375</v>
      </c>
      <c r="DE7" t="s">
        <v>137</v>
      </c>
      <c r="DF7" t="s">
        <v>137</v>
      </c>
      <c r="DG7">
        <v>41.625</v>
      </c>
      <c r="DH7">
        <v>43.6875</v>
      </c>
      <c r="DI7">
        <v>45.6875</v>
      </c>
      <c r="DJ7">
        <v>45.0625</v>
      </c>
      <c r="DK7">
        <v>45.524999999999999</v>
      </c>
      <c r="DL7" t="s">
        <v>137</v>
      </c>
      <c r="DM7" t="s">
        <v>137</v>
      </c>
      <c r="DN7">
        <v>46.125</v>
      </c>
      <c r="DO7">
        <v>45.25</v>
      </c>
      <c r="DP7">
        <v>45.25</v>
      </c>
      <c r="DQ7">
        <v>45</v>
      </c>
      <c r="DR7">
        <v>48.875</v>
      </c>
      <c r="DS7" t="s">
        <v>137</v>
      </c>
      <c r="DT7" t="s">
        <v>137</v>
      </c>
      <c r="DU7">
        <v>46.125</v>
      </c>
      <c r="DV7">
        <v>49.125</v>
      </c>
      <c r="DW7">
        <v>49.125</v>
      </c>
      <c r="DX7">
        <v>48.25</v>
      </c>
      <c r="DY7">
        <v>45.625</v>
      </c>
      <c r="DZ7" t="s">
        <v>137</v>
      </c>
      <c r="EA7" t="s">
        <v>137</v>
      </c>
      <c r="EB7">
        <v>44.5</v>
      </c>
      <c r="EC7">
        <v>45.8</v>
      </c>
      <c r="ED7">
        <v>45.25</v>
      </c>
      <c r="EE7">
        <v>47.604999999999997</v>
      </c>
      <c r="EF7">
        <v>46.5</v>
      </c>
      <c r="EG7" t="s">
        <v>137</v>
      </c>
      <c r="EH7" t="s">
        <v>137</v>
      </c>
      <c r="EI7">
        <v>46.44</v>
      </c>
      <c r="EJ7">
        <v>45.405000000000001</v>
      </c>
      <c r="EK7">
        <v>45.75</v>
      </c>
      <c r="EL7">
        <v>46.25</v>
      </c>
      <c r="EM7">
        <v>47.25</v>
      </c>
      <c r="EN7" t="s">
        <v>137</v>
      </c>
      <c r="EO7" t="s">
        <v>137</v>
      </c>
      <c r="EP7">
        <v>45.5</v>
      </c>
      <c r="EQ7">
        <v>44.375</v>
      </c>
      <c r="ER7">
        <v>43.5625</v>
      </c>
      <c r="ES7">
        <v>43.0625</v>
      </c>
      <c r="ET7">
        <v>42.8125</v>
      </c>
      <c r="EU7" t="s">
        <v>137</v>
      </c>
      <c r="EV7" t="s">
        <v>137</v>
      </c>
      <c r="EW7">
        <v>41.9375</v>
      </c>
      <c r="EX7">
        <v>43.375</v>
      </c>
      <c r="EY7">
        <v>43.475000000000001</v>
      </c>
      <c r="EZ7">
        <v>42.625</v>
      </c>
      <c r="FA7">
        <v>42.905000000000001</v>
      </c>
      <c r="FB7" t="s">
        <v>137</v>
      </c>
      <c r="FC7" t="s">
        <v>137</v>
      </c>
      <c r="FD7">
        <v>43</v>
      </c>
      <c r="FE7">
        <v>40.875</v>
      </c>
      <c r="FF7">
        <v>44.25</v>
      </c>
      <c r="FG7">
        <v>44.0625</v>
      </c>
      <c r="FH7">
        <v>44.4375</v>
      </c>
      <c r="FI7" t="s">
        <v>137</v>
      </c>
      <c r="FJ7" t="s">
        <v>137</v>
      </c>
      <c r="FK7">
        <v>44.375</v>
      </c>
      <c r="FL7">
        <v>43.125</v>
      </c>
      <c r="FM7">
        <v>43.375</v>
      </c>
      <c r="FN7">
        <v>42.75</v>
      </c>
      <c r="FO7">
        <v>43.25</v>
      </c>
      <c r="FP7" t="s">
        <v>137</v>
      </c>
      <c r="FQ7" t="s">
        <v>137</v>
      </c>
      <c r="FR7">
        <v>43.3125</v>
      </c>
      <c r="FS7">
        <v>43</v>
      </c>
      <c r="FT7">
        <v>43.5</v>
      </c>
      <c r="FU7">
        <v>44</v>
      </c>
      <c r="FV7">
        <v>44.875</v>
      </c>
      <c r="FW7" t="s">
        <v>137</v>
      </c>
      <c r="FX7" t="s">
        <v>137</v>
      </c>
      <c r="FY7">
        <v>44.125</v>
      </c>
      <c r="FZ7">
        <v>44.25</v>
      </c>
      <c r="GA7">
        <v>43.8125</v>
      </c>
      <c r="GB7">
        <v>41.5625</v>
      </c>
      <c r="GC7">
        <v>41.0625</v>
      </c>
      <c r="GD7" t="s">
        <v>137</v>
      </c>
      <c r="GE7" t="s">
        <v>137</v>
      </c>
      <c r="GF7">
        <v>41.125</v>
      </c>
      <c r="GG7">
        <v>41.75</v>
      </c>
      <c r="GH7">
        <v>41.9375</v>
      </c>
      <c r="GI7">
        <v>41</v>
      </c>
      <c r="GJ7">
        <v>39.625</v>
      </c>
      <c r="GK7" t="s">
        <v>137</v>
      </c>
      <c r="GL7" t="s">
        <v>137</v>
      </c>
      <c r="GM7">
        <v>37.5</v>
      </c>
      <c r="GN7">
        <v>37.625</v>
      </c>
      <c r="GO7">
        <v>35.31</v>
      </c>
      <c r="GP7">
        <v>34.9375</v>
      </c>
      <c r="GQ7">
        <v>35.3125</v>
      </c>
      <c r="GR7" t="s">
        <v>137</v>
      </c>
      <c r="GS7" t="s">
        <v>137</v>
      </c>
      <c r="GT7">
        <v>31.32</v>
      </c>
      <c r="GU7">
        <v>32</v>
      </c>
      <c r="GV7">
        <v>26.454999999999998</v>
      </c>
      <c r="GW7">
        <v>29.355</v>
      </c>
      <c r="GX7">
        <v>29.15</v>
      </c>
      <c r="GY7" t="s">
        <v>137</v>
      </c>
      <c r="GZ7" t="s">
        <v>137</v>
      </c>
      <c r="HA7">
        <v>28</v>
      </c>
      <c r="HB7">
        <v>26.75</v>
      </c>
      <c r="HC7">
        <v>26.85</v>
      </c>
      <c r="HD7">
        <v>27.5</v>
      </c>
      <c r="HE7">
        <v>27.945</v>
      </c>
      <c r="HF7" t="s">
        <v>137</v>
      </c>
      <c r="HG7" t="s">
        <v>137</v>
      </c>
      <c r="HH7">
        <v>28.181999999999999</v>
      </c>
      <c r="HI7">
        <v>28.25</v>
      </c>
      <c r="HJ7">
        <v>29.529</v>
      </c>
      <c r="HK7">
        <v>28.27</v>
      </c>
      <c r="HL7">
        <v>29.75</v>
      </c>
      <c r="HM7" t="s">
        <v>137</v>
      </c>
      <c r="HN7" t="s">
        <v>137</v>
      </c>
      <c r="HO7">
        <v>29.73</v>
      </c>
      <c r="HP7">
        <v>30</v>
      </c>
      <c r="HQ7">
        <v>29.875</v>
      </c>
      <c r="HR7">
        <v>28.79</v>
      </c>
      <c r="HS7">
        <v>29.125</v>
      </c>
      <c r="HT7" t="s">
        <v>137</v>
      </c>
      <c r="HU7" t="s">
        <v>137</v>
      </c>
      <c r="HV7">
        <v>30</v>
      </c>
      <c r="HW7">
        <v>29.625</v>
      </c>
      <c r="HX7">
        <v>27.875</v>
      </c>
      <c r="HY7">
        <v>28.125</v>
      </c>
      <c r="HZ7">
        <v>30.625</v>
      </c>
      <c r="IA7" t="s">
        <v>137</v>
      </c>
      <c r="IB7" t="s">
        <v>137</v>
      </c>
      <c r="IC7">
        <v>33.5</v>
      </c>
      <c r="ID7">
        <v>32.75</v>
      </c>
      <c r="IE7">
        <v>32</v>
      </c>
      <c r="IF7">
        <v>31.5</v>
      </c>
      <c r="IG7">
        <v>31.25</v>
      </c>
      <c r="IH7" t="s">
        <v>137</v>
      </c>
      <c r="II7" t="s">
        <v>137</v>
      </c>
      <c r="IJ7">
        <v>31.5</v>
      </c>
      <c r="IK7">
        <v>31.375</v>
      </c>
      <c r="IL7">
        <v>31.75</v>
      </c>
      <c r="IM7">
        <v>31.25</v>
      </c>
      <c r="IN7">
        <v>30.75</v>
      </c>
      <c r="IO7" t="s">
        <v>137</v>
      </c>
      <c r="IP7" t="s">
        <v>137</v>
      </c>
      <c r="IQ7">
        <v>29.315000000000001</v>
      </c>
      <c r="IR7">
        <v>30.625</v>
      </c>
      <c r="IS7">
        <v>31.75</v>
      </c>
      <c r="IT7">
        <v>31.75</v>
      </c>
      <c r="IU7">
        <v>31.29</v>
      </c>
      <c r="IV7" t="s">
        <v>137</v>
      </c>
      <c r="IW7" t="s">
        <v>137</v>
      </c>
      <c r="IX7">
        <v>32</v>
      </c>
      <c r="IY7">
        <v>34.25</v>
      </c>
      <c r="IZ7">
        <v>34</v>
      </c>
      <c r="JA7">
        <v>33.375</v>
      </c>
      <c r="JB7">
        <v>35</v>
      </c>
      <c r="JC7" t="s">
        <v>137</v>
      </c>
      <c r="JD7" t="s">
        <v>137</v>
      </c>
      <c r="JE7">
        <v>36.22</v>
      </c>
      <c r="JF7">
        <v>36.064999999999998</v>
      </c>
      <c r="JG7">
        <v>35.375</v>
      </c>
      <c r="JH7">
        <v>36</v>
      </c>
      <c r="JI7">
        <v>36.094999999999999</v>
      </c>
      <c r="JJ7" t="s">
        <v>137</v>
      </c>
      <c r="JK7" t="s">
        <v>137</v>
      </c>
      <c r="JL7">
        <v>36</v>
      </c>
      <c r="JM7">
        <v>36.215000000000003</v>
      </c>
      <c r="JN7">
        <v>38.375</v>
      </c>
      <c r="JO7">
        <v>37.875</v>
      </c>
      <c r="JP7">
        <v>38.125</v>
      </c>
      <c r="JQ7" t="s">
        <v>137</v>
      </c>
      <c r="JR7" t="s">
        <v>137</v>
      </c>
      <c r="JS7">
        <v>38.25</v>
      </c>
      <c r="JT7">
        <v>38.5</v>
      </c>
      <c r="JU7">
        <v>39.375</v>
      </c>
      <c r="JV7">
        <v>39</v>
      </c>
      <c r="JW7">
        <v>38.125</v>
      </c>
      <c r="JX7" t="s">
        <v>137</v>
      </c>
      <c r="JY7" t="s">
        <v>137</v>
      </c>
      <c r="JZ7">
        <v>38.875</v>
      </c>
      <c r="KA7">
        <v>36.375</v>
      </c>
      <c r="KB7">
        <v>37.875</v>
      </c>
      <c r="KC7">
        <v>37.75</v>
      </c>
      <c r="KD7">
        <v>38.125</v>
      </c>
      <c r="KE7" t="s">
        <v>137</v>
      </c>
      <c r="KF7" t="s">
        <v>137</v>
      </c>
      <c r="KG7">
        <v>37.375</v>
      </c>
      <c r="KH7">
        <v>38.25</v>
      </c>
      <c r="KI7">
        <v>38.524999999999999</v>
      </c>
      <c r="KJ7">
        <v>38</v>
      </c>
      <c r="KK7">
        <v>38.5</v>
      </c>
      <c r="KL7" t="s">
        <v>137</v>
      </c>
      <c r="KM7" t="s">
        <v>137</v>
      </c>
      <c r="KN7">
        <v>38.625</v>
      </c>
      <c r="KO7">
        <v>39.25</v>
      </c>
      <c r="KP7">
        <v>38.375</v>
      </c>
      <c r="KQ7">
        <v>38.625</v>
      </c>
      <c r="KR7">
        <v>38.5</v>
      </c>
      <c r="KS7" t="s">
        <v>137</v>
      </c>
      <c r="KT7" t="s">
        <v>137</v>
      </c>
      <c r="KU7">
        <v>38</v>
      </c>
      <c r="KV7">
        <v>39.125</v>
      </c>
      <c r="KW7">
        <v>39.25</v>
      </c>
      <c r="KX7">
        <v>39.395000000000003</v>
      </c>
      <c r="KY7">
        <v>39</v>
      </c>
      <c r="KZ7" t="s">
        <v>137</v>
      </c>
      <c r="LA7" t="s">
        <v>137</v>
      </c>
      <c r="LB7">
        <v>41.375</v>
      </c>
      <c r="LC7">
        <v>40.5</v>
      </c>
      <c r="LD7">
        <v>41.875</v>
      </c>
      <c r="LE7">
        <v>41.375</v>
      </c>
      <c r="LF7">
        <v>41.25</v>
      </c>
      <c r="LG7" t="s">
        <v>137</v>
      </c>
      <c r="LH7" t="s">
        <v>137</v>
      </c>
      <c r="LI7">
        <v>40.774999999999999</v>
      </c>
      <c r="LJ7">
        <v>40.514000000000003</v>
      </c>
      <c r="LK7">
        <v>40.736499999999999</v>
      </c>
      <c r="LL7">
        <v>40.984999999999999</v>
      </c>
      <c r="LM7">
        <v>40.893500000000003</v>
      </c>
      <c r="LN7" t="s">
        <v>137</v>
      </c>
      <c r="LO7" t="s">
        <v>137</v>
      </c>
      <c r="LP7">
        <v>40.835000000000001</v>
      </c>
      <c r="LQ7">
        <v>40.900500000000001</v>
      </c>
      <c r="LR7">
        <v>41.417000000000002</v>
      </c>
      <c r="LS7">
        <v>42.694499999999998</v>
      </c>
      <c r="LT7">
        <v>42.813499999999998</v>
      </c>
      <c r="LU7" t="s">
        <v>137</v>
      </c>
      <c r="LV7" t="s">
        <v>137</v>
      </c>
      <c r="LW7">
        <v>43.033000000000001</v>
      </c>
      <c r="LX7">
        <v>42.702500000000001</v>
      </c>
      <c r="LY7">
        <v>42.077500000000001</v>
      </c>
      <c r="LZ7">
        <v>41.670999999999999</v>
      </c>
      <c r="MA7">
        <v>42.133499999999998</v>
      </c>
      <c r="MB7" t="s">
        <v>137</v>
      </c>
      <c r="MC7" t="s">
        <v>137</v>
      </c>
      <c r="MD7">
        <v>41.901499999999999</v>
      </c>
      <c r="ME7">
        <v>46.168500000000002</v>
      </c>
      <c r="MF7">
        <v>46.3095</v>
      </c>
      <c r="MG7">
        <v>45.019500000000001</v>
      </c>
      <c r="MH7">
        <v>44.899000000000001</v>
      </c>
      <c r="MI7" t="s">
        <v>137</v>
      </c>
      <c r="MJ7" t="s">
        <v>137</v>
      </c>
      <c r="MK7">
        <v>44.909500000000001</v>
      </c>
      <c r="ML7">
        <v>44.974499999999999</v>
      </c>
      <c r="MM7">
        <v>44.881999999999998</v>
      </c>
      <c r="MN7">
        <v>44.704999999999998</v>
      </c>
      <c r="MO7">
        <v>44.557000000000002</v>
      </c>
      <c r="MP7" t="s">
        <v>137</v>
      </c>
      <c r="MQ7" t="s">
        <v>137</v>
      </c>
      <c r="MR7">
        <v>44.590499999999999</v>
      </c>
      <c r="MS7">
        <v>44.207000000000001</v>
      </c>
      <c r="MT7">
        <v>44.405500000000004</v>
      </c>
      <c r="MU7">
        <v>43.829000000000001</v>
      </c>
      <c r="MV7">
        <v>43.6145</v>
      </c>
      <c r="MW7" t="s">
        <v>137</v>
      </c>
      <c r="MX7" t="s">
        <v>137</v>
      </c>
      <c r="MY7">
        <v>42.011499999999998</v>
      </c>
      <c r="MZ7">
        <v>41.277999999999999</v>
      </c>
      <c r="NA7">
        <v>42.368499999999997</v>
      </c>
      <c r="NB7">
        <v>43.343000000000004</v>
      </c>
      <c r="NC7">
        <v>43.340499999999999</v>
      </c>
      <c r="ND7" t="s">
        <v>137</v>
      </c>
      <c r="NE7" t="s">
        <v>137</v>
      </c>
      <c r="NF7">
        <v>44.167499999999997</v>
      </c>
      <c r="NG7">
        <v>42.791499999999999</v>
      </c>
      <c r="NH7">
        <v>44.916499999999999</v>
      </c>
      <c r="NI7">
        <v>43.625</v>
      </c>
      <c r="NJ7">
        <v>44.490499999999997</v>
      </c>
      <c r="NK7" t="s">
        <v>137</v>
      </c>
      <c r="NL7" t="s">
        <v>137</v>
      </c>
      <c r="NM7" t="s">
        <v>137</v>
      </c>
      <c r="NN7" t="s">
        <v>137</v>
      </c>
      <c r="NO7" t="s">
        <v>137</v>
      </c>
      <c r="NP7" t="s">
        <v>137</v>
      </c>
      <c r="NQ7" t="s">
        <v>137</v>
      </c>
      <c r="NR7" t="s">
        <v>137</v>
      </c>
      <c r="NS7" t="s">
        <v>137</v>
      </c>
      <c r="NT7" t="s">
        <v>137</v>
      </c>
      <c r="NU7" t="s">
        <v>137</v>
      </c>
      <c r="NV7" t="s">
        <v>137</v>
      </c>
      <c r="NW7" t="s">
        <v>137</v>
      </c>
      <c r="NX7" t="s">
        <v>137</v>
      </c>
      <c r="NY7" t="s">
        <v>137</v>
      </c>
      <c r="NZ7" t="s">
        <v>137</v>
      </c>
      <c r="OA7" t="s">
        <v>137</v>
      </c>
      <c r="OB7" t="s">
        <v>137</v>
      </c>
      <c r="OC7" t="s">
        <v>137</v>
      </c>
      <c r="OD7" t="s">
        <v>137</v>
      </c>
      <c r="OE7" t="s">
        <v>137</v>
      </c>
      <c r="OF7" t="s">
        <v>137</v>
      </c>
      <c r="OG7" t="s">
        <v>137</v>
      </c>
      <c r="OH7" t="s">
        <v>137</v>
      </c>
      <c r="OI7" t="s">
        <v>137</v>
      </c>
      <c r="OJ7" t="s">
        <v>137</v>
      </c>
      <c r="OK7" t="s">
        <v>137</v>
      </c>
      <c r="OL7" t="s">
        <v>137</v>
      </c>
      <c r="OM7" t="s">
        <v>137</v>
      </c>
      <c r="ON7" t="s">
        <v>137</v>
      </c>
      <c r="OO7" t="s">
        <v>137</v>
      </c>
      <c r="OP7" t="s">
        <v>137</v>
      </c>
      <c r="OQ7" t="s">
        <v>137</v>
      </c>
      <c r="OR7" t="s">
        <v>137</v>
      </c>
      <c r="OS7" t="s">
        <v>137</v>
      </c>
      <c r="OT7" t="s">
        <v>137</v>
      </c>
      <c r="OU7" t="s">
        <v>137</v>
      </c>
      <c r="OV7" t="s">
        <v>137</v>
      </c>
      <c r="OW7" t="s">
        <v>137</v>
      </c>
      <c r="OX7" t="s">
        <v>137</v>
      </c>
      <c r="OY7" t="s">
        <v>137</v>
      </c>
      <c r="OZ7" t="s">
        <v>137</v>
      </c>
      <c r="PA7" t="s">
        <v>137</v>
      </c>
      <c r="PB7" t="s">
        <v>137</v>
      </c>
      <c r="PC7" t="s">
        <v>137</v>
      </c>
      <c r="PD7" t="s">
        <v>137</v>
      </c>
      <c r="PE7" t="s">
        <v>137</v>
      </c>
      <c r="PF7" t="s">
        <v>137</v>
      </c>
      <c r="PG7" t="s">
        <v>137</v>
      </c>
      <c r="PH7" t="s">
        <v>137</v>
      </c>
      <c r="PI7" t="s">
        <v>137</v>
      </c>
      <c r="PJ7" t="s">
        <v>137</v>
      </c>
      <c r="PK7" t="s">
        <v>137</v>
      </c>
      <c r="PL7" t="s">
        <v>137</v>
      </c>
      <c r="PM7" t="s">
        <v>137</v>
      </c>
      <c r="PN7" t="s">
        <v>137</v>
      </c>
      <c r="PO7" t="s">
        <v>137</v>
      </c>
      <c r="PP7" t="s">
        <v>137</v>
      </c>
      <c r="PQ7" t="s">
        <v>137</v>
      </c>
      <c r="PR7" t="s">
        <v>137</v>
      </c>
      <c r="PS7" t="s">
        <v>137</v>
      </c>
      <c r="PT7" t="s">
        <v>137</v>
      </c>
      <c r="PU7" t="s">
        <v>137</v>
      </c>
      <c r="PV7" t="s">
        <v>137</v>
      </c>
      <c r="PW7" t="s">
        <v>137</v>
      </c>
      <c r="PX7" t="s">
        <v>137</v>
      </c>
      <c r="PY7" t="s">
        <v>137</v>
      </c>
      <c r="PZ7" t="s">
        <v>137</v>
      </c>
      <c r="QA7" t="s">
        <v>137</v>
      </c>
      <c r="QB7" t="s">
        <v>137</v>
      </c>
      <c r="QC7" t="s">
        <v>137</v>
      </c>
      <c r="QD7" t="s">
        <v>137</v>
      </c>
      <c r="QE7" t="s">
        <v>137</v>
      </c>
      <c r="QF7" t="s">
        <v>137</v>
      </c>
      <c r="QG7" t="s">
        <v>137</v>
      </c>
      <c r="QH7" t="s">
        <v>137</v>
      </c>
      <c r="QI7" t="s">
        <v>137</v>
      </c>
      <c r="QJ7" t="s">
        <v>137</v>
      </c>
      <c r="QK7" t="s">
        <v>137</v>
      </c>
      <c r="QL7" t="s">
        <v>137</v>
      </c>
      <c r="QM7" t="s">
        <v>137</v>
      </c>
      <c r="QN7" t="s">
        <v>137</v>
      </c>
      <c r="QO7" t="s">
        <v>137</v>
      </c>
    </row>
    <row r="8" spans="1:524" x14ac:dyDescent="0.2">
      <c r="A8" t="s">
        <v>157</v>
      </c>
      <c r="B8" s="3">
        <v>40296</v>
      </c>
      <c r="C8" t="s">
        <v>22</v>
      </c>
      <c r="E8" t="s">
        <v>137</v>
      </c>
      <c r="F8">
        <v>33.75</v>
      </c>
      <c r="G8">
        <v>36.25</v>
      </c>
      <c r="H8">
        <v>34.25</v>
      </c>
      <c r="I8">
        <v>37.25</v>
      </c>
      <c r="J8">
        <v>38.25</v>
      </c>
      <c r="K8" t="s">
        <v>137</v>
      </c>
      <c r="L8" t="s">
        <v>137</v>
      </c>
      <c r="M8">
        <v>40.25</v>
      </c>
      <c r="N8">
        <v>38.25</v>
      </c>
      <c r="O8">
        <v>38.25</v>
      </c>
      <c r="P8">
        <v>40.25</v>
      </c>
      <c r="Q8">
        <v>40.25</v>
      </c>
      <c r="R8" t="s">
        <v>137</v>
      </c>
      <c r="S8" t="s">
        <v>137</v>
      </c>
      <c r="T8">
        <v>38.25</v>
      </c>
      <c r="U8">
        <v>38.25</v>
      </c>
      <c r="V8">
        <v>38.25</v>
      </c>
      <c r="W8">
        <v>38.25</v>
      </c>
      <c r="X8">
        <v>38.25</v>
      </c>
      <c r="Y8" t="s">
        <v>137</v>
      </c>
      <c r="Z8" t="s">
        <v>137</v>
      </c>
      <c r="AA8">
        <v>38.25</v>
      </c>
      <c r="AB8">
        <v>37.25</v>
      </c>
      <c r="AC8">
        <v>37.25</v>
      </c>
      <c r="AD8">
        <v>38.25</v>
      </c>
      <c r="AE8">
        <v>38.25</v>
      </c>
      <c r="AF8" t="s">
        <v>137</v>
      </c>
      <c r="AG8" t="s">
        <v>137</v>
      </c>
      <c r="AH8">
        <v>38.25</v>
      </c>
      <c r="AI8">
        <v>38.25</v>
      </c>
      <c r="AJ8">
        <v>38.25</v>
      </c>
      <c r="AK8">
        <v>39.125</v>
      </c>
      <c r="AL8">
        <v>39.25</v>
      </c>
      <c r="AM8" t="s">
        <v>137</v>
      </c>
      <c r="AN8" t="s">
        <v>137</v>
      </c>
      <c r="AO8">
        <v>40.25</v>
      </c>
      <c r="AP8">
        <v>40.25</v>
      </c>
      <c r="AQ8">
        <v>41.375</v>
      </c>
      <c r="AR8">
        <v>42.75</v>
      </c>
      <c r="AS8">
        <v>43.125</v>
      </c>
      <c r="AT8" t="s">
        <v>137</v>
      </c>
      <c r="AU8" t="s">
        <v>137</v>
      </c>
      <c r="AV8">
        <v>43.25</v>
      </c>
      <c r="AW8">
        <v>43.25</v>
      </c>
      <c r="AX8">
        <v>43.25</v>
      </c>
      <c r="AY8">
        <v>43.25</v>
      </c>
      <c r="AZ8">
        <v>43.25</v>
      </c>
      <c r="BA8" t="s">
        <v>137</v>
      </c>
      <c r="BB8" t="s">
        <v>137</v>
      </c>
      <c r="BC8">
        <v>43.25</v>
      </c>
      <c r="BD8">
        <v>40.25</v>
      </c>
      <c r="BE8">
        <v>40</v>
      </c>
      <c r="BF8">
        <v>40.75</v>
      </c>
      <c r="BG8">
        <v>40.75</v>
      </c>
      <c r="BH8" t="s">
        <v>137</v>
      </c>
      <c r="BI8" t="s">
        <v>137</v>
      </c>
      <c r="BJ8">
        <v>40.75</v>
      </c>
      <c r="BK8">
        <v>40.25</v>
      </c>
      <c r="BL8">
        <v>40.25</v>
      </c>
      <c r="BM8">
        <v>40.25</v>
      </c>
      <c r="BN8">
        <v>40.25</v>
      </c>
      <c r="BO8" t="s">
        <v>137</v>
      </c>
      <c r="BP8" t="s">
        <v>137</v>
      </c>
      <c r="BQ8">
        <v>40.125</v>
      </c>
      <c r="BR8">
        <v>38.375</v>
      </c>
      <c r="BS8">
        <v>39.75</v>
      </c>
      <c r="BT8">
        <v>39.75</v>
      </c>
      <c r="BU8">
        <v>39.75</v>
      </c>
      <c r="BV8" t="s">
        <v>137</v>
      </c>
      <c r="BW8" t="s">
        <v>137</v>
      </c>
      <c r="BX8">
        <v>39</v>
      </c>
      <c r="BY8">
        <v>38.875</v>
      </c>
      <c r="BZ8">
        <v>38.75</v>
      </c>
      <c r="CA8">
        <v>37.5</v>
      </c>
      <c r="CB8">
        <v>36.75</v>
      </c>
      <c r="CC8" t="s">
        <v>137</v>
      </c>
      <c r="CD8" t="s">
        <v>137</v>
      </c>
      <c r="CE8">
        <v>36.75</v>
      </c>
      <c r="CF8">
        <v>36.75</v>
      </c>
      <c r="CG8">
        <v>37.375</v>
      </c>
      <c r="CH8">
        <v>37.375</v>
      </c>
      <c r="CI8">
        <v>37.375</v>
      </c>
      <c r="CJ8" t="s">
        <v>137</v>
      </c>
      <c r="CK8" t="s">
        <v>137</v>
      </c>
      <c r="CL8">
        <v>40</v>
      </c>
      <c r="CM8">
        <v>39.375</v>
      </c>
      <c r="CN8">
        <v>39.25</v>
      </c>
      <c r="CO8">
        <v>38.875</v>
      </c>
      <c r="CP8">
        <v>39.375</v>
      </c>
      <c r="CQ8" t="s">
        <v>137</v>
      </c>
      <c r="CR8" t="s">
        <v>137</v>
      </c>
      <c r="CS8">
        <v>38.875</v>
      </c>
      <c r="CT8">
        <v>38.5</v>
      </c>
      <c r="CU8">
        <v>38.75</v>
      </c>
      <c r="CV8">
        <v>38.5</v>
      </c>
      <c r="CW8">
        <v>36.25</v>
      </c>
      <c r="CX8" t="s">
        <v>137</v>
      </c>
      <c r="CY8" t="s">
        <v>137</v>
      </c>
      <c r="CZ8">
        <v>38.5</v>
      </c>
      <c r="DA8">
        <v>40</v>
      </c>
      <c r="DB8">
        <v>39.75</v>
      </c>
      <c r="DC8">
        <v>41.375</v>
      </c>
      <c r="DD8">
        <v>41.25</v>
      </c>
      <c r="DE8" t="s">
        <v>137</v>
      </c>
      <c r="DF8" t="s">
        <v>137</v>
      </c>
      <c r="DG8">
        <v>41.375</v>
      </c>
      <c r="DH8">
        <v>43.75</v>
      </c>
      <c r="DI8">
        <v>44.25</v>
      </c>
      <c r="DJ8">
        <v>42.25</v>
      </c>
      <c r="DK8">
        <v>45</v>
      </c>
      <c r="DL8" t="s">
        <v>137</v>
      </c>
      <c r="DM8" t="s">
        <v>137</v>
      </c>
      <c r="DN8">
        <v>46.125</v>
      </c>
      <c r="DO8">
        <v>45.25</v>
      </c>
      <c r="DP8">
        <v>45.25</v>
      </c>
      <c r="DQ8">
        <v>45</v>
      </c>
      <c r="DR8">
        <v>45.375</v>
      </c>
      <c r="DS8" t="s">
        <v>137</v>
      </c>
      <c r="DT8" t="s">
        <v>137</v>
      </c>
      <c r="DU8">
        <v>45.875</v>
      </c>
      <c r="DV8">
        <v>45.875</v>
      </c>
      <c r="DW8">
        <v>45.875</v>
      </c>
      <c r="DX8">
        <v>48.25</v>
      </c>
      <c r="DY8">
        <v>45.625</v>
      </c>
      <c r="DZ8" t="s">
        <v>137</v>
      </c>
      <c r="EA8" t="s">
        <v>137</v>
      </c>
      <c r="EB8">
        <v>44.5</v>
      </c>
      <c r="EC8">
        <v>43.75</v>
      </c>
      <c r="ED8">
        <v>45.625</v>
      </c>
      <c r="EE8">
        <v>45.75</v>
      </c>
      <c r="EF8">
        <v>46.5</v>
      </c>
      <c r="EG8" t="s">
        <v>137</v>
      </c>
      <c r="EH8" t="s">
        <v>137</v>
      </c>
      <c r="EI8">
        <v>46.5</v>
      </c>
      <c r="EJ8">
        <v>46.5</v>
      </c>
      <c r="EK8">
        <v>44.25</v>
      </c>
      <c r="EL8">
        <v>46.25</v>
      </c>
      <c r="EM8">
        <v>46.125</v>
      </c>
      <c r="EN8" t="s">
        <v>137</v>
      </c>
      <c r="EO8" t="s">
        <v>137</v>
      </c>
      <c r="EP8">
        <v>46.125</v>
      </c>
      <c r="EQ8">
        <v>46.125</v>
      </c>
      <c r="ER8">
        <v>46.125</v>
      </c>
      <c r="ES8">
        <v>43.125</v>
      </c>
      <c r="ET8">
        <v>43.5</v>
      </c>
      <c r="EU8" t="s">
        <v>137</v>
      </c>
      <c r="EV8" t="s">
        <v>137</v>
      </c>
      <c r="EW8">
        <v>41.75</v>
      </c>
      <c r="EX8">
        <v>42.25</v>
      </c>
      <c r="EY8">
        <v>43.5</v>
      </c>
      <c r="EZ8">
        <v>42.625</v>
      </c>
      <c r="FA8">
        <v>42.5</v>
      </c>
      <c r="FB8" t="s">
        <v>137</v>
      </c>
      <c r="FC8" t="s">
        <v>137</v>
      </c>
      <c r="FD8">
        <v>41.25</v>
      </c>
      <c r="FE8">
        <v>40.875</v>
      </c>
      <c r="FF8">
        <v>44.25</v>
      </c>
      <c r="FG8">
        <v>42.25</v>
      </c>
      <c r="FH8">
        <v>44.75</v>
      </c>
      <c r="FI8" t="s">
        <v>137</v>
      </c>
      <c r="FJ8" t="s">
        <v>137</v>
      </c>
      <c r="FK8">
        <v>44.75</v>
      </c>
      <c r="FL8">
        <v>44</v>
      </c>
      <c r="FM8">
        <v>43.375</v>
      </c>
      <c r="FN8">
        <v>42.75</v>
      </c>
      <c r="FO8">
        <v>43.125</v>
      </c>
      <c r="FP8" t="s">
        <v>137</v>
      </c>
      <c r="FQ8" t="s">
        <v>137</v>
      </c>
      <c r="FR8">
        <v>43.125</v>
      </c>
      <c r="FS8">
        <v>43</v>
      </c>
      <c r="FT8">
        <v>43.25</v>
      </c>
      <c r="FU8">
        <v>43.25</v>
      </c>
      <c r="FV8">
        <v>44.5</v>
      </c>
      <c r="FW8" t="s">
        <v>137</v>
      </c>
      <c r="FX8" t="s">
        <v>137</v>
      </c>
      <c r="FY8">
        <v>44.125</v>
      </c>
      <c r="FZ8">
        <v>44.25</v>
      </c>
      <c r="GA8">
        <v>44</v>
      </c>
      <c r="GB8">
        <v>42.375</v>
      </c>
      <c r="GC8">
        <v>40.25</v>
      </c>
      <c r="GD8" t="s">
        <v>137</v>
      </c>
      <c r="GE8" t="s">
        <v>137</v>
      </c>
      <c r="GF8">
        <v>41.25</v>
      </c>
      <c r="GG8">
        <v>41.375</v>
      </c>
      <c r="GH8">
        <v>41.875</v>
      </c>
      <c r="GI8">
        <v>41</v>
      </c>
      <c r="GJ8">
        <v>39.625</v>
      </c>
      <c r="GK8" t="s">
        <v>137</v>
      </c>
      <c r="GL8" t="s">
        <v>137</v>
      </c>
      <c r="GM8">
        <v>37.5</v>
      </c>
      <c r="GN8">
        <v>37.75</v>
      </c>
      <c r="GO8">
        <v>37.25</v>
      </c>
      <c r="GP8">
        <v>34.75</v>
      </c>
      <c r="GQ8">
        <v>35</v>
      </c>
      <c r="GR8" t="s">
        <v>137</v>
      </c>
      <c r="GS8" t="s">
        <v>137</v>
      </c>
      <c r="GT8">
        <v>32.375</v>
      </c>
      <c r="GU8">
        <v>32.75</v>
      </c>
      <c r="GV8">
        <v>27.875</v>
      </c>
      <c r="GW8">
        <v>29.125</v>
      </c>
      <c r="GX8">
        <v>29.125</v>
      </c>
      <c r="GY8" t="s">
        <v>137</v>
      </c>
      <c r="GZ8" t="s">
        <v>137</v>
      </c>
      <c r="HA8">
        <v>28</v>
      </c>
      <c r="HB8">
        <v>26.75</v>
      </c>
      <c r="HC8">
        <v>26.875</v>
      </c>
      <c r="HD8">
        <v>27.5</v>
      </c>
      <c r="HE8">
        <v>27.375</v>
      </c>
      <c r="HF8" t="s">
        <v>137</v>
      </c>
      <c r="HG8" t="s">
        <v>137</v>
      </c>
      <c r="HH8">
        <v>27.125</v>
      </c>
      <c r="HI8">
        <v>28.25</v>
      </c>
      <c r="HJ8">
        <v>28.25</v>
      </c>
      <c r="HK8">
        <v>29.375</v>
      </c>
      <c r="HL8">
        <v>29.75</v>
      </c>
      <c r="HM8" t="s">
        <v>137</v>
      </c>
      <c r="HN8" t="s">
        <v>137</v>
      </c>
      <c r="HO8">
        <v>30.5</v>
      </c>
      <c r="HP8">
        <v>30</v>
      </c>
      <c r="HQ8">
        <v>29.875</v>
      </c>
      <c r="HR8">
        <v>29.125</v>
      </c>
      <c r="HS8">
        <v>29.125</v>
      </c>
      <c r="HT8" t="s">
        <v>137</v>
      </c>
      <c r="HU8" t="s">
        <v>137</v>
      </c>
      <c r="HV8">
        <v>29.125</v>
      </c>
      <c r="HW8">
        <v>29.125</v>
      </c>
      <c r="HX8">
        <v>29.125</v>
      </c>
      <c r="HY8">
        <v>29.125</v>
      </c>
      <c r="HZ8">
        <v>30.625</v>
      </c>
      <c r="IA8" t="s">
        <v>137</v>
      </c>
      <c r="IB8" t="s">
        <v>137</v>
      </c>
      <c r="IC8">
        <v>30.625</v>
      </c>
      <c r="ID8">
        <v>30.625</v>
      </c>
      <c r="IE8">
        <v>30.625</v>
      </c>
      <c r="IF8">
        <v>30.625</v>
      </c>
      <c r="IG8">
        <v>30.625</v>
      </c>
      <c r="IH8" t="s">
        <v>137</v>
      </c>
      <c r="II8" t="s">
        <v>137</v>
      </c>
      <c r="IJ8">
        <v>30.625</v>
      </c>
      <c r="IK8">
        <v>30.625</v>
      </c>
      <c r="IL8">
        <v>30.625</v>
      </c>
      <c r="IM8">
        <v>30.625</v>
      </c>
      <c r="IN8">
        <v>30.75</v>
      </c>
      <c r="IO8" t="s">
        <v>137</v>
      </c>
      <c r="IP8" t="s">
        <v>137</v>
      </c>
      <c r="IQ8">
        <v>30.875</v>
      </c>
      <c r="IR8">
        <v>30.625</v>
      </c>
      <c r="IS8">
        <v>31.75</v>
      </c>
      <c r="IT8">
        <v>31.75</v>
      </c>
      <c r="IU8">
        <v>31.75</v>
      </c>
      <c r="IV8" t="s">
        <v>137</v>
      </c>
      <c r="IW8" t="s">
        <v>137</v>
      </c>
      <c r="IX8">
        <v>33.875</v>
      </c>
      <c r="IY8">
        <v>33.875</v>
      </c>
      <c r="IZ8">
        <v>33.875</v>
      </c>
      <c r="JA8">
        <v>33.875</v>
      </c>
      <c r="JB8">
        <v>33.875</v>
      </c>
      <c r="JC8" t="s">
        <v>137</v>
      </c>
      <c r="JD8" t="s">
        <v>137</v>
      </c>
      <c r="JE8">
        <v>35.5</v>
      </c>
      <c r="JF8">
        <v>36</v>
      </c>
      <c r="JG8">
        <v>35.375</v>
      </c>
      <c r="JH8">
        <v>36</v>
      </c>
      <c r="JI8">
        <v>36</v>
      </c>
      <c r="JJ8" t="s">
        <v>137</v>
      </c>
      <c r="JK8" t="s">
        <v>137</v>
      </c>
      <c r="JL8">
        <v>36</v>
      </c>
      <c r="JM8">
        <v>38.5</v>
      </c>
      <c r="JN8">
        <v>38.375</v>
      </c>
      <c r="JO8">
        <v>37.875</v>
      </c>
      <c r="JP8">
        <v>37.875</v>
      </c>
      <c r="JQ8" t="s">
        <v>137</v>
      </c>
      <c r="JR8" t="s">
        <v>137</v>
      </c>
      <c r="JS8">
        <v>37.875</v>
      </c>
      <c r="JT8">
        <v>37.875</v>
      </c>
      <c r="JU8">
        <v>37.875</v>
      </c>
      <c r="JV8">
        <v>37.875</v>
      </c>
      <c r="JW8">
        <v>37.875</v>
      </c>
      <c r="JX8" t="s">
        <v>137</v>
      </c>
      <c r="JY8" t="s">
        <v>137</v>
      </c>
      <c r="JZ8">
        <v>37.875</v>
      </c>
      <c r="KA8">
        <v>37.875</v>
      </c>
      <c r="KB8">
        <v>37.875</v>
      </c>
      <c r="KC8">
        <v>37.875</v>
      </c>
      <c r="KD8">
        <v>37.875</v>
      </c>
      <c r="KE8" t="s">
        <v>137</v>
      </c>
      <c r="KF8" t="s">
        <v>137</v>
      </c>
      <c r="KG8">
        <v>37.875</v>
      </c>
      <c r="KH8">
        <v>37.875</v>
      </c>
      <c r="KI8">
        <v>37.875</v>
      </c>
      <c r="KJ8">
        <v>37.875</v>
      </c>
      <c r="KK8">
        <v>37.875</v>
      </c>
      <c r="KL8" t="s">
        <v>137</v>
      </c>
      <c r="KM8" t="s">
        <v>137</v>
      </c>
      <c r="KN8">
        <v>37.875</v>
      </c>
      <c r="KO8">
        <v>37.875</v>
      </c>
      <c r="KP8">
        <v>37.875</v>
      </c>
      <c r="KQ8">
        <v>37.875</v>
      </c>
      <c r="KR8">
        <v>37.875</v>
      </c>
      <c r="KS8" t="s">
        <v>137</v>
      </c>
      <c r="KT8" t="s">
        <v>137</v>
      </c>
      <c r="KU8">
        <v>38</v>
      </c>
      <c r="KV8">
        <v>39.125</v>
      </c>
      <c r="KW8">
        <v>39.25</v>
      </c>
      <c r="KX8">
        <v>39.25</v>
      </c>
      <c r="KY8">
        <v>39</v>
      </c>
      <c r="KZ8" t="s">
        <v>137</v>
      </c>
      <c r="LA8" t="s">
        <v>137</v>
      </c>
      <c r="LB8">
        <v>41.375</v>
      </c>
      <c r="LC8">
        <v>40.5</v>
      </c>
      <c r="LD8">
        <v>40.5</v>
      </c>
      <c r="LE8">
        <v>40.5</v>
      </c>
      <c r="LF8">
        <v>40.5</v>
      </c>
      <c r="LG8" t="s">
        <v>137</v>
      </c>
      <c r="LH8" t="s">
        <v>137</v>
      </c>
      <c r="LI8">
        <v>40.5</v>
      </c>
      <c r="LJ8">
        <v>40.5</v>
      </c>
      <c r="LK8">
        <v>40.5</v>
      </c>
      <c r="LL8">
        <v>40.5</v>
      </c>
      <c r="LM8">
        <v>40.5</v>
      </c>
      <c r="LN8" t="s">
        <v>137</v>
      </c>
      <c r="LO8" t="s">
        <v>137</v>
      </c>
      <c r="LP8">
        <v>40.5</v>
      </c>
      <c r="LQ8">
        <v>40.75</v>
      </c>
      <c r="LR8">
        <v>41.625</v>
      </c>
      <c r="LS8">
        <v>42.25</v>
      </c>
      <c r="LT8">
        <v>41.75</v>
      </c>
      <c r="LU8" t="s">
        <v>137</v>
      </c>
      <c r="LV8" t="s">
        <v>137</v>
      </c>
      <c r="LW8">
        <v>42.75</v>
      </c>
      <c r="LX8">
        <v>42.5</v>
      </c>
      <c r="LY8">
        <v>41.75</v>
      </c>
      <c r="LZ8">
        <v>41.75</v>
      </c>
      <c r="MA8">
        <v>41.875</v>
      </c>
      <c r="MB8" t="s">
        <v>137</v>
      </c>
      <c r="MC8" t="s">
        <v>137</v>
      </c>
      <c r="MD8">
        <v>41.875</v>
      </c>
      <c r="ME8">
        <v>45.25</v>
      </c>
      <c r="MF8">
        <v>45</v>
      </c>
      <c r="MG8">
        <v>44.625</v>
      </c>
      <c r="MH8">
        <v>44</v>
      </c>
      <c r="MI8" t="s">
        <v>137</v>
      </c>
      <c r="MJ8" t="s">
        <v>137</v>
      </c>
      <c r="MK8">
        <v>43.25</v>
      </c>
      <c r="ML8">
        <v>44.375</v>
      </c>
      <c r="MM8">
        <v>44.375</v>
      </c>
      <c r="MN8">
        <v>44.375</v>
      </c>
      <c r="MO8">
        <v>44.375</v>
      </c>
      <c r="MP8" t="s">
        <v>137</v>
      </c>
      <c r="MQ8" t="s">
        <v>137</v>
      </c>
      <c r="MR8">
        <v>44.375</v>
      </c>
      <c r="MS8">
        <v>44.375</v>
      </c>
      <c r="MT8">
        <v>44.375</v>
      </c>
      <c r="MU8">
        <v>44.375</v>
      </c>
      <c r="MV8">
        <v>44.375</v>
      </c>
      <c r="MW8" t="s">
        <v>137</v>
      </c>
      <c r="MX8" t="s">
        <v>137</v>
      </c>
      <c r="MY8">
        <v>44.375</v>
      </c>
      <c r="MZ8">
        <v>44.375</v>
      </c>
      <c r="NA8">
        <v>44.375</v>
      </c>
      <c r="NB8">
        <v>44.375</v>
      </c>
      <c r="NC8">
        <v>44.375</v>
      </c>
      <c r="ND8" t="s">
        <v>137</v>
      </c>
      <c r="NE8" t="s">
        <v>137</v>
      </c>
      <c r="NF8">
        <v>44.375</v>
      </c>
      <c r="NG8">
        <v>44.375</v>
      </c>
      <c r="NH8">
        <v>44.875</v>
      </c>
      <c r="NI8">
        <v>43.625</v>
      </c>
      <c r="NJ8">
        <v>42.75</v>
      </c>
      <c r="NK8" t="s">
        <v>137</v>
      </c>
      <c r="NL8" t="s">
        <v>137</v>
      </c>
      <c r="NM8">
        <v>42.75</v>
      </c>
      <c r="NN8">
        <v>41.25</v>
      </c>
      <c r="NO8">
        <v>43.25</v>
      </c>
      <c r="NP8">
        <v>43.375</v>
      </c>
      <c r="NQ8">
        <v>43.375</v>
      </c>
      <c r="NR8" t="s">
        <v>137</v>
      </c>
      <c r="NS8" t="s">
        <v>137</v>
      </c>
      <c r="NT8">
        <v>43.375</v>
      </c>
      <c r="NU8">
        <v>43.375</v>
      </c>
      <c r="NV8">
        <v>43.375</v>
      </c>
      <c r="NW8">
        <v>43.375</v>
      </c>
      <c r="NX8">
        <v>43.375</v>
      </c>
      <c r="NY8" t="s">
        <v>137</v>
      </c>
      <c r="NZ8" t="s">
        <v>137</v>
      </c>
      <c r="OA8">
        <v>43.375</v>
      </c>
      <c r="OB8">
        <v>43.375</v>
      </c>
      <c r="OC8">
        <v>43.375</v>
      </c>
      <c r="OD8">
        <v>38.25</v>
      </c>
      <c r="OE8">
        <v>38.5</v>
      </c>
      <c r="OF8" t="s">
        <v>137</v>
      </c>
      <c r="OG8" t="s">
        <v>137</v>
      </c>
      <c r="OH8">
        <v>39</v>
      </c>
      <c r="OI8">
        <v>40.25</v>
      </c>
      <c r="OJ8">
        <v>40.25</v>
      </c>
      <c r="OK8">
        <v>40.25</v>
      </c>
      <c r="OL8">
        <v>40.25</v>
      </c>
      <c r="OM8" t="s">
        <v>137</v>
      </c>
      <c r="ON8" t="s">
        <v>137</v>
      </c>
      <c r="OO8">
        <v>40.25</v>
      </c>
      <c r="OP8">
        <v>40.25</v>
      </c>
      <c r="OQ8">
        <v>40.25</v>
      </c>
      <c r="OR8">
        <v>40.25</v>
      </c>
      <c r="OS8">
        <v>40.25</v>
      </c>
      <c r="OT8" t="s">
        <v>137</v>
      </c>
      <c r="OU8" t="s">
        <v>137</v>
      </c>
      <c r="OV8">
        <v>40.25</v>
      </c>
      <c r="OW8">
        <v>40.25</v>
      </c>
      <c r="OX8">
        <v>40.25</v>
      </c>
      <c r="OY8">
        <v>40.25</v>
      </c>
      <c r="OZ8">
        <v>40.25</v>
      </c>
      <c r="PA8" t="s">
        <v>137</v>
      </c>
      <c r="PB8" t="s">
        <v>137</v>
      </c>
      <c r="PC8">
        <v>40.25</v>
      </c>
      <c r="PD8">
        <v>40.25</v>
      </c>
      <c r="PE8">
        <v>38.25</v>
      </c>
      <c r="PF8">
        <v>38.25</v>
      </c>
      <c r="PG8">
        <v>38.25</v>
      </c>
      <c r="PH8" t="s">
        <v>137</v>
      </c>
      <c r="PI8" t="s">
        <v>137</v>
      </c>
      <c r="PJ8">
        <v>38.25</v>
      </c>
      <c r="PK8">
        <v>38.25</v>
      </c>
      <c r="PL8">
        <v>38.25</v>
      </c>
      <c r="PM8">
        <v>38.25</v>
      </c>
      <c r="PN8">
        <v>38.25</v>
      </c>
      <c r="PO8" t="s">
        <v>137</v>
      </c>
      <c r="PP8" t="s">
        <v>137</v>
      </c>
      <c r="PQ8" t="s">
        <v>137</v>
      </c>
      <c r="PR8" t="s">
        <v>137</v>
      </c>
      <c r="PS8" t="s">
        <v>137</v>
      </c>
      <c r="PT8" t="s">
        <v>137</v>
      </c>
      <c r="PU8" t="s">
        <v>137</v>
      </c>
      <c r="PV8" t="s">
        <v>137</v>
      </c>
      <c r="PW8" t="s">
        <v>137</v>
      </c>
      <c r="PX8" t="s">
        <v>137</v>
      </c>
      <c r="PY8" t="s">
        <v>137</v>
      </c>
      <c r="PZ8" t="s">
        <v>137</v>
      </c>
      <c r="QA8" t="s">
        <v>137</v>
      </c>
      <c r="QB8" t="s">
        <v>137</v>
      </c>
      <c r="QC8" t="s">
        <v>137</v>
      </c>
      <c r="QD8" t="s">
        <v>137</v>
      </c>
      <c r="QE8" t="s">
        <v>137</v>
      </c>
      <c r="QF8" t="s">
        <v>137</v>
      </c>
      <c r="QG8" t="s">
        <v>137</v>
      </c>
      <c r="QH8" t="s">
        <v>137</v>
      </c>
      <c r="QI8" t="s">
        <v>137</v>
      </c>
      <c r="QJ8" t="s">
        <v>137</v>
      </c>
      <c r="QK8" t="s">
        <v>137</v>
      </c>
      <c r="QL8" t="s">
        <v>137</v>
      </c>
      <c r="QM8" t="s">
        <v>137</v>
      </c>
      <c r="QN8" t="s">
        <v>137</v>
      </c>
      <c r="QO8" t="s">
        <v>137</v>
      </c>
    </row>
    <row r="9" spans="1:524" x14ac:dyDescent="0.2">
      <c r="A9" t="s">
        <v>161</v>
      </c>
      <c r="B9" s="3">
        <v>40296</v>
      </c>
      <c r="C9" t="s">
        <v>24</v>
      </c>
      <c r="E9" t="s">
        <v>137</v>
      </c>
      <c r="F9" t="s">
        <v>137</v>
      </c>
      <c r="G9" t="s">
        <v>137</v>
      </c>
      <c r="H9" t="s">
        <v>137</v>
      </c>
      <c r="I9" t="s">
        <v>137</v>
      </c>
      <c r="J9" t="s">
        <v>137</v>
      </c>
      <c r="K9" t="s">
        <v>137</v>
      </c>
      <c r="L9" t="s">
        <v>137</v>
      </c>
      <c r="M9" t="s">
        <v>137</v>
      </c>
      <c r="N9" t="s">
        <v>137</v>
      </c>
      <c r="O9" t="s">
        <v>137</v>
      </c>
      <c r="P9" t="s">
        <v>137</v>
      </c>
      <c r="Q9" t="s">
        <v>137</v>
      </c>
      <c r="R9" t="s">
        <v>137</v>
      </c>
      <c r="S9" t="s">
        <v>137</v>
      </c>
      <c r="T9" t="s">
        <v>137</v>
      </c>
      <c r="U9" t="s">
        <v>137</v>
      </c>
      <c r="V9" t="s">
        <v>137</v>
      </c>
      <c r="W9" t="s">
        <v>137</v>
      </c>
      <c r="X9" t="s">
        <v>137</v>
      </c>
      <c r="Y9" t="s">
        <v>137</v>
      </c>
      <c r="Z9" t="s">
        <v>137</v>
      </c>
      <c r="AA9" t="s">
        <v>137</v>
      </c>
      <c r="AB9" t="s">
        <v>137</v>
      </c>
      <c r="AC9" t="s">
        <v>137</v>
      </c>
      <c r="AD9" t="s">
        <v>137</v>
      </c>
      <c r="AE9" t="s">
        <v>137</v>
      </c>
      <c r="AF9" t="s">
        <v>137</v>
      </c>
      <c r="AG9" t="s">
        <v>137</v>
      </c>
      <c r="AH9" t="s">
        <v>137</v>
      </c>
      <c r="AI9" t="s">
        <v>137</v>
      </c>
      <c r="AJ9" t="s">
        <v>137</v>
      </c>
      <c r="AK9" t="s">
        <v>137</v>
      </c>
      <c r="AL9" t="s">
        <v>137</v>
      </c>
      <c r="AM9" t="s">
        <v>137</v>
      </c>
      <c r="AN9" t="s">
        <v>137</v>
      </c>
      <c r="AO9" t="s">
        <v>137</v>
      </c>
      <c r="AP9" t="s">
        <v>137</v>
      </c>
      <c r="AQ9" t="s">
        <v>137</v>
      </c>
      <c r="AR9" t="s">
        <v>137</v>
      </c>
      <c r="AS9" t="s">
        <v>137</v>
      </c>
      <c r="AT9" t="s">
        <v>137</v>
      </c>
      <c r="AU9" t="s">
        <v>137</v>
      </c>
      <c r="AV9" t="s">
        <v>137</v>
      </c>
      <c r="AW9" t="s">
        <v>137</v>
      </c>
      <c r="AX9" t="s">
        <v>137</v>
      </c>
      <c r="AY9" t="s">
        <v>137</v>
      </c>
      <c r="AZ9" t="s">
        <v>137</v>
      </c>
      <c r="BA9" t="s">
        <v>137</v>
      </c>
      <c r="BB9" t="s">
        <v>137</v>
      </c>
      <c r="BC9" t="s">
        <v>137</v>
      </c>
      <c r="BD9" t="s">
        <v>137</v>
      </c>
      <c r="BE9" t="s">
        <v>137</v>
      </c>
      <c r="BF9" t="s">
        <v>137</v>
      </c>
      <c r="BG9" t="s">
        <v>137</v>
      </c>
      <c r="BH9" t="s">
        <v>137</v>
      </c>
      <c r="BI9" t="s">
        <v>137</v>
      </c>
      <c r="BJ9" t="s">
        <v>137</v>
      </c>
      <c r="BK9" t="s">
        <v>137</v>
      </c>
      <c r="BL9" t="s">
        <v>137</v>
      </c>
      <c r="BM9" t="s">
        <v>137</v>
      </c>
      <c r="BN9" t="s">
        <v>137</v>
      </c>
      <c r="BO9" t="s">
        <v>137</v>
      </c>
      <c r="BP9" t="s">
        <v>137</v>
      </c>
      <c r="BQ9" t="s">
        <v>137</v>
      </c>
      <c r="BR9" t="s">
        <v>137</v>
      </c>
      <c r="BS9" t="s">
        <v>137</v>
      </c>
      <c r="BT9" t="s">
        <v>137</v>
      </c>
      <c r="BU9" t="s">
        <v>137</v>
      </c>
      <c r="BV9" t="s">
        <v>137</v>
      </c>
      <c r="BW9" t="s">
        <v>137</v>
      </c>
      <c r="BX9" t="s">
        <v>137</v>
      </c>
      <c r="BY9" t="s">
        <v>137</v>
      </c>
      <c r="BZ9" t="s">
        <v>137</v>
      </c>
      <c r="CA9" t="s">
        <v>137</v>
      </c>
      <c r="CB9" t="s">
        <v>137</v>
      </c>
      <c r="CC9" t="s">
        <v>137</v>
      </c>
      <c r="CD9" t="s">
        <v>137</v>
      </c>
      <c r="CE9" t="s">
        <v>137</v>
      </c>
      <c r="CF9" t="s">
        <v>137</v>
      </c>
      <c r="CG9" t="s">
        <v>137</v>
      </c>
      <c r="CH9" t="s">
        <v>137</v>
      </c>
      <c r="CI9" t="s">
        <v>137</v>
      </c>
      <c r="CJ9" t="s">
        <v>137</v>
      </c>
      <c r="CK9" t="s">
        <v>137</v>
      </c>
      <c r="CL9" t="s">
        <v>137</v>
      </c>
      <c r="CM9" t="s">
        <v>137</v>
      </c>
      <c r="CN9" t="s">
        <v>137</v>
      </c>
      <c r="CO9" t="s">
        <v>137</v>
      </c>
      <c r="CP9" t="s">
        <v>137</v>
      </c>
      <c r="CQ9" t="s">
        <v>137</v>
      </c>
      <c r="CR9" t="s">
        <v>137</v>
      </c>
      <c r="CS9" t="s">
        <v>137</v>
      </c>
      <c r="CT9" t="s">
        <v>137</v>
      </c>
      <c r="CU9" t="s">
        <v>137</v>
      </c>
      <c r="CV9" t="s">
        <v>137</v>
      </c>
      <c r="CW9" t="s">
        <v>137</v>
      </c>
      <c r="CX9" t="s">
        <v>137</v>
      </c>
      <c r="CY9" t="s">
        <v>137</v>
      </c>
      <c r="CZ9" t="s">
        <v>137</v>
      </c>
      <c r="DA9" t="s">
        <v>137</v>
      </c>
      <c r="DB9" t="s">
        <v>137</v>
      </c>
      <c r="DC9" t="s">
        <v>137</v>
      </c>
      <c r="DD9" t="s">
        <v>137</v>
      </c>
      <c r="DE9" t="s">
        <v>137</v>
      </c>
      <c r="DF9" t="s">
        <v>137</v>
      </c>
      <c r="DG9" t="s">
        <v>137</v>
      </c>
      <c r="DH9" t="s">
        <v>137</v>
      </c>
      <c r="DI9" t="s">
        <v>137</v>
      </c>
      <c r="DJ9" t="s">
        <v>137</v>
      </c>
      <c r="DK9" t="s">
        <v>137</v>
      </c>
      <c r="DL9" t="s">
        <v>137</v>
      </c>
      <c r="DM9" t="s">
        <v>137</v>
      </c>
      <c r="DN9" t="s">
        <v>137</v>
      </c>
      <c r="DO9" t="s">
        <v>137</v>
      </c>
      <c r="DP9" t="s">
        <v>137</v>
      </c>
      <c r="DQ9" t="s">
        <v>137</v>
      </c>
      <c r="DR9" t="s">
        <v>137</v>
      </c>
      <c r="DS9" t="s">
        <v>137</v>
      </c>
      <c r="DT9" t="s">
        <v>137</v>
      </c>
      <c r="DU9" t="s">
        <v>137</v>
      </c>
      <c r="DV9" t="s">
        <v>137</v>
      </c>
      <c r="DW9" t="s">
        <v>137</v>
      </c>
      <c r="DX9" t="s">
        <v>137</v>
      </c>
      <c r="DY9" t="s">
        <v>137</v>
      </c>
      <c r="DZ9" t="s">
        <v>137</v>
      </c>
      <c r="EA9" t="s">
        <v>137</v>
      </c>
      <c r="EB9" t="s">
        <v>137</v>
      </c>
      <c r="EC9" t="s">
        <v>137</v>
      </c>
      <c r="ED9" t="s">
        <v>137</v>
      </c>
      <c r="EE9" t="s">
        <v>137</v>
      </c>
      <c r="EF9" t="s">
        <v>137</v>
      </c>
      <c r="EG9" t="s">
        <v>137</v>
      </c>
      <c r="EH9" t="s">
        <v>137</v>
      </c>
      <c r="EI9" t="s">
        <v>137</v>
      </c>
      <c r="EJ9" t="s">
        <v>137</v>
      </c>
      <c r="EK9" t="s">
        <v>137</v>
      </c>
      <c r="EL9" t="s">
        <v>137</v>
      </c>
      <c r="EM9" t="s">
        <v>137</v>
      </c>
      <c r="EN9" t="s">
        <v>137</v>
      </c>
      <c r="EO9" t="s">
        <v>137</v>
      </c>
      <c r="EP9" t="s">
        <v>137</v>
      </c>
      <c r="EQ9" t="s">
        <v>137</v>
      </c>
      <c r="ER9" t="s">
        <v>137</v>
      </c>
      <c r="ES9" t="s">
        <v>137</v>
      </c>
      <c r="ET9" t="s">
        <v>137</v>
      </c>
      <c r="EU9" t="s">
        <v>137</v>
      </c>
      <c r="EV9" t="s">
        <v>137</v>
      </c>
      <c r="EW9" t="s">
        <v>137</v>
      </c>
      <c r="EX9" t="s">
        <v>137</v>
      </c>
      <c r="EY9" t="s">
        <v>137</v>
      </c>
      <c r="EZ9" t="s">
        <v>137</v>
      </c>
      <c r="FA9" t="s">
        <v>137</v>
      </c>
      <c r="FB9" t="s">
        <v>137</v>
      </c>
      <c r="FC9" t="s">
        <v>137</v>
      </c>
      <c r="FD9" t="s">
        <v>137</v>
      </c>
      <c r="FE9" t="s">
        <v>137</v>
      </c>
      <c r="FF9" t="s">
        <v>137</v>
      </c>
      <c r="FG9" t="s">
        <v>137</v>
      </c>
      <c r="FH9" t="s">
        <v>137</v>
      </c>
      <c r="FI9" t="s">
        <v>137</v>
      </c>
      <c r="FJ9" t="s">
        <v>137</v>
      </c>
      <c r="FK9" t="s">
        <v>137</v>
      </c>
      <c r="FL9" t="s">
        <v>137</v>
      </c>
      <c r="FM9" t="s">
        <v>137</v>
      </c>
      <c r="FN9" t="s">
        <v>137</v>
      </c>
      <c r="FO9" t="s">
        <v>137</v>
      </c>
      <c r="FP9" t="s">
        <v>137</v>
      </c>
      <c r="FQ9" t="s">
        <v>137</v>
      </c>
      <c r="FR9" t="s">
        <v>137</v>
      </c>
      <c r="FS9" t="s">
        <v>137</v>
      </c>
      <c r="FT9" t="s">
        <v>137</v>
      </c>
      <c r="FU9" t="s">
        <v>137</v>
      </c>
      <c r="FV9" t="s">
        <v>137</v>
      </c>
      <c r="FW9" t="s">
        <v>137</v>
      </c>
      <c r="FX9" t="s">
        <v>137</v>
      </c>
      <c r="FY9" t="s">
        <v>137</v>
      </c>
      <c r="FZ9" t="s">
        <v>137</v>
      </c>
      <c r="GA9" t="s">
        <v>137</v>
      </c>
      <c r="GB9" t="s">
        <v>137</v>
      </c>
      <c r="GC9" t="s">
        <v>137</v>
      </c>
      <c r="GD9" t="s">
        <v>137</v>
      </c>
      <c r="GE9" t="s">
        <v>137</v>
      </c>
      <c r="GF9" t="s">
        <v>137</v>
      </c>
      <c r="GG9" t="s">
        <v>137</v>
      </c>
      <c r="GH9" t="s">
        <v>137</v>
      </c>
      <c r="GI9" t="s">
        <v>137</v>
      </c>
      <c r="GJ9" t="s">
        <v>137</v>
      </c>
      <c r="GK9" t="s">
        <v>137</v>
      </c>
      <c r="GL9" t="s">
        <v>137</v>
      </c>
      <c r="GM9" t="s">
        <v>137</v>
      </c>
      <c r="GN9" t="s">
        <v>137</v>
      </c>
      <c r="GO9" t="s">
        <v>137</v>
      </c>
      <c r="GP9" t="s">
        <v>137</v>
      </c>
      <c r="GQ9" t="s">
        <v>137</v>
      </c>
      <c r="GR9" t="s">
        <v>137</v>
      </c>
      <c r="GS9" t="s">
        <v>137</v>
      </c>
      <c r="GT9" t="s">
        <v>137</v>
      </c>
      <c r="GU9" t="s">
        <v>137</v>
      </c>
      <c r="GV9" t="s">
        <v>137</v>
      </c>
      <c r="GW9" t="s">
        <v>137</v>
      </c>
      <c r="GX9" t="s">
        <v>137</v>
      </c>
      <c r="GY9" t="s">
        <v>137</v>
      </c>
      <c r="GZ9" t="s">
        <v>137</v>
      </c>
      <c r="HA9" t="s">
        <v>137</v>
      </c>
      <c r="HB9" t="s">
        <v>137</v>
      </c>
      <c r="HC9" t="s">
        <v>137</v>
      </c>
      <c r="HD9" t="s">
        <v>137</v>
      </c>
      <c r="HE9" t="s">
        <v>137</v>
      </c>
      <c r="HF9" t="s">
        <v>137</v>
      </c>
      <c r="HG9" t="s">
        <v>137</v>
      </c>
      <c r="HH9" t="s">
        <v>137</v>
      </c>
      <c r="HI9" t="s">
        <v>137</v>
      </c>
      <c r="HJ9" t="s">
        <v>137</v>
      </c>
      <c r="HK9" t="s">
        <v>137</v>
      </c>
      <c r="HL9" t="s">
        <v>137</v>
      </c>
      <c r="HM9" t="s">
        <v>137</v>
      </c>
      <c r="HN9" t="s">
        <v>137</v>
      </c>
      <c r="HO9" t="s">
        <v>137</v>
      </c>
      <c r="HP9" t="s">
        <v>137</v>
      </c>
      <c r="HQ9" t="s">
        <v>137</v>
      </c>
      <c r="HR9" t="s">
        <v>137</v>
      </c>
      <c r="HS9" t="s">
        <v>137</v>
      </c>
      <c r="HT9" t="s">
        <v>137</v>
      </c>
      <c r="HU9" t="s">
        <v>137</v>
      </c>
      <c r="HV9" t="s">
        <v>137</v>
      </c>
      <c r="HW9" t="s">
        <v>137</v>
      </c>
      <c r="HX9" t="s">
        <v>137</v>
      </c>
      <c r="HY9" t="s">
        <v>137</v>
      </c>
      <c r="HZ9" t="s">
        <v>137</v>
      </c>
      <c r="IA9" t="s">
        <v>137</v>
      </c>
      <c r="IB9" t="s">
        <v>137</v>
      </c>
      <c r="IC9" t="s">
        <v>137</v>
      </c>
      <c r="ID9" t="s">
        <v>137</v>
      </c>
      <c r="IE9" t="s">
        <v>137</v>
      </c>
      <c r="IF9" t="s">
        <v>137</v>
      </c>
      <c r="IG9" t="s">
        <v>137</v>
      </c>
      <c r="IH9" t="s">
        <v>137</v>
      </c>
      <c r="II9" t="s">
        <v>137</v>
      </c>
      <c r="IJ9" t="s">
        <v>137</v>
      </c>
      <c r="IK9" t="s">
        <v>137</v>
      </c>
      <c r="IL9" t="s">
        <v>137</v>
      </c>
      <c r="IM9" t="s">
        <v>137</v>
      </c>
      <c r="IN9" t="s">
        <v>137</v>
      </c>
      <c r="IO9" t="s">
        <v>137</v>
      </c>
      <c r="IP9" t="s">
        <v>137</v>
      </c>
      <c r="IQ9" t="s">
        <v>137</v>
      </c>
      <c r="IR9" t="s">
        <v>137</v>
      </c>
      <c r="IS9" t="s">
        <v>137</v>
      </c>
      <c r="IT9" t="s">
        <v>137</v>
      </c>
      <c r="IU9" t="s">
        <v>137</v>
      </c>
      <c r="IV9" t="s">
        <v>137</v>
      </c>
      <c r="IW9" t="s">
        <v>137</v>
      </c>
      <c r="IX9" t="s">
        <v>137</v>
      </c>
      <c r="IY9" t="s">
        <v>137</v>
      </c>
      <c r="IZ9" t="s">
        <v>137</v>
      </c>
      <c r="JA9" t="s">
        <v>137</v>
      </c>
      <c r="JB9" t="s">
        <v>137</v>
      </c>
      <c r="JC9" t="s">
        <v>137</v>
      </c>
      <c r="JD9" t="s">
        <v>137</v>
      </c>
      <c r="JE9" t="s">
        <v>137</v>
      </c>
      <c r="JF9" t="s">
        <v>137</v>
      </c>
      <c r="JG9" t="s">
        <v>137</v>
      </c>
      <c r="JH9" t="s">
        <v>137</v>
      </c>
      <c r="JI9" t="s">
        <v>137</v>
      </c>
      <c r="JJ9" t="s">
        <v>137</v>
      </c>
      <c r="JK9" t="s">
        <v>137</v>
      </c>
      <c r="JL9" t="s">
        <v>137</v>
      </c>
      <c r="JM9" t="s">
        <v>137</v>
      </c>
      <c r="JN9" t="s">
        <v>137</v>
      </c>
      <c r="JO9" t="s">
        <v>137</v>
      </c>
      <c r="JP9" t="s">
        <v>137</v>
      </c>
      <c r="JQ9" t="s">
        <v>137</v>
      </c>
      <c r="JR9" t="s">
        <v>137</v>
      </c>
      <c r="JS9" t="s">
        <v>137</v>
      </c>
      <c r="JT9" t="s">
        <v>137</v>
      </c>
      <c r="JU9" t="s">
        <v>137</v>
      </c>
      <c r="JV9" t="s">
        <v>137</v>
      </c>
      <c r="JW9" t="s">
        <v>137</v>
      </c>
      <c r="JX9" t="s">
        <v>137</v>
      </c>
      <c r="JY9" t="s">
        <v>137</v>
      </c>
      <c r="JZ9" t="s">
        <v>137</v>
      </c>
      <c r="KA9" t="s">
        <v>137</v>
      </c>
      <c r="KB9" t="s">
        <v>137</v>
      </c>
      <c r="KC9" t="s">
        <v>137</v>
      </c>
      <c r="KD9" t="s">
        <v>137</v>
      </c>
      <c r="KE9" t="s">
        <v>137</v>
      </c>
      <c r="KF9" t="s">
        <v>137</v>
      </c>
      <c r="KG9" t="s">
        <v>137</v>
      </c>
      <c r="KH9" t="s">
        <v>137</v>
      </c>
      <c r="KI9" t="s">
        <v>137</v>
      </c>
      <c r="KJ9" t="s">
        <v>137</v>
      </c>
      <c r="KK9" t="s">
        <v>137</v>
      </c>
      <c r="KL9" t="s">
        <v>137</v>
      </c>
      <c r="KM9" t="s">
        <v>137</v>
      </c>
      <c r="KN9" t="s">
        <v>137</v>
      </c>
      <c r="KO9" t="s">
        <v>137</v>
      </c>
      <c r="KP9" t="s">
        <v>137</v>
      </c>
      <c r="KQ9" t="s">
        <v>137</v>
      </c>
      <c r="KR9" t="s">
        <v>137</v>
      </c>
      <c r="KS9" t="s">
        <v>137</v>
      </c>
      <c r="KT9" t="s">
        <v>137</v>
      </c>
      <c r="KU9" t="s">
        <v>137</v>
      </c>
      <c r="KV9" t="s">
        <v>137</v>
      </c>
      <c r="KW9" t="s">
        <v>137</v>
      </c>
      <c r="KX9" t="s">
        <v>137</v>
      </c>
      <c r="KY9" t="s">
        <v>137</v>
      </c>
      <c r="KZ9" t="s">
        <v>137</v>
      </c>
      <c r="LA9" t="s">
        <v>137</v>
      </c>
      <c r="LB9" t="s">
        <v>137</v>
      </c>
      <c r="LC9" t="s">
        <v>137</v>
      </c>
      <c r="LD9" t="s">
        <v>137</v>
      </c>
      <c r="LE9" t="s">
        <v>137</v>
      </c>
      <c r="LF9" t="s">
        <v>137</v>
      </c>
      <c r="LG9" t="s">
        <v>137</v>
      </c>
      <c r="LH9" t="s">
        <v>137</v>
      </c>
      <c r="LI9" t="s">
        <v>137</v>
      </c>
      <c r="LJ9" t="s">
        <v>137</v>
      </c>
      <c r="LK9" t="s">
        <v>137</v>
      </c>
      <c r="LL9" t="s">
        <v>137</v>
      </c>
      <c r="LM9" t="s">
        <v>137</v>
      </c>
      <c r="LN9" t="s">
        <v>137</v>
      </c>
      <c r="LO9" t="s">
        <v>137</v>
      </c>
      <c r="LP9" t="s">
        <v>137</v>
      </c>
      <c r="LQ9" t="s">
        <v>137</v>
      </c>
      <c r="LR9" t="s">
        <v>137</v>
      </c>
      <c r="LS9" t="s">
        <v>137</v>
      </c>
      <c r="LT9" t="s">
        <v>137</v>
      </c>
      <c r="LU9" t="s">
        <v>137</v>
      </c>
      <c r="LV9" t="s">
        <v>137</v>
      </c>
      <c r="LW9" t="s">
        <v>137</v>
      </c>
      <c r="LX9" t="s">
        <v>137</v>
      </c>
      <c r="LY9" t="s">
        <v>137</v>
      </c>
      <c r="LZ9" t="s">
        <v>137</v>
      </c>
      <c r="MA9" t="s">
        <v>137</v>
      </c>
      <c r="MB9" t="s">
        <v>137</v>
      </c>
      <c r="MC9" t="s">
        <v>137</v>
      </c>
      <c r="MD9" t="s">
        <v>137</v>
      </c>
      <c r="ME9" t="s">
        <v>137</v>
      </c>
      <c r="MF9" t="s">
        <v>137</v>
      </c>
      <c r="MG9" t="s">
        <v>137</v>
      </c>
      <c r="MH9" t="s">
        <v>137</v>
      </c>
      <c r="MI9" t="s">
        <v>137</v>
      </c>
      <c r="MJ9" t="s">
        <v>137</v>
      </c>
      <c r="MK9" t="s">
        <v>137</v>
      </c>
      <c r="ML9" t="s">
        <v>137</v>
      </c>
      <c r="MM9" t="s">
        <v>137</v>
      </c>
      <c r="MN9" t="s">
        <v>137</v>
      </c>
      <c r="MO9" t="s">
        <v>137</v>
      </c>
      <c r="MP9" t="s">
        <v>137</v>
      </c>
      <c r="MQ9" t="s">
        <v>137</v>
      </c>
      <c r="MR9" t="s">
        <v>137</v>
      </c>
      <c r="MS9" t="s">
        <v>137</v>
      </c>
      <c r="MT9" t="s">
        <v>137</v>
      </c>
      <c r="MU9" t="s">
        <v>137</v>
      </c>
      <c r="MV9" t="s">
        <v>137</v>
      </c>
      <c r="MW9" t="s">
        <v>137</v>
      </c>
      <c r="MX9" t="s">
        <v>137</v>
      </c>
      <c r="MY9" t="s">
        <v>137</v>
      </c>
      <c r="MZ9" t="s">
        <v>137</v>
      </c>
      <c r="NA9" t="s">
        <v>137</v>
      </c>
      <c r="NB9" t="s">
        <v>137</v>
      </c>
      <c r="NC9" t="s">
        <v>137</v>
      </c>
      <c r="ND9" t="s">
        <v>137</v>
      </c>
      <c r="NE9" t="s">
        <v>137</v>
      </c>
      <c r="NF9" t="s">
        <v>137</v>
      </c>
      <c r="NG9" t="s">
        <v>137</v>
      </c>
      <c r="NH9" t="s">
        <v>137</v>
      </c>
      <c r="NI9" t="s">
        <v>137</v>
      </c>
      <c r="NJ9" t="s">
        <v>137</v>
      </c>
      <c r="NK9" t="s">
        <v>137</v>
      </c>
      <c r="NL9" t="s">
        <v>137</v>
      </c>
      <c r="NM9" t="s">
        <v>137</v>
      </c>
      <c r="NN9" t="s">
        <v>137</v>
      </c>
      <c r="NO9" t="s">
        <v>137</v>
      </c>
      <c r="NP9" t="s">
        <v>137</v>
      </c>
      <c r="NQ9" t="s">
        <v>137</v>
      </c>
      <c r="NR9" t="s">
        <v>137</v>
      </c>
      <c r="NS9" t="s">
        <v>137</v>
      </c>
      <c r="NT9" t="s">
        <v>137</v>
      </c>
      <c r="NU9" t="s">
        <v>137</v>
      </c>
      <c r="NV9" t="s">
        <v>137</v>
      </c>
      <c r="NW9" t="s">
        <v>137</v>
      </c>
      <c r="NX9" t="s">
        <v>137</v>
      </c>
      <c r="NY9" t="s">
        <v>137</v>
      </c>
      <c r="NZ9" t="s">
        <v>137</v>
      </c>
      <c r="OA9" t="s">
        <v>137</v>
      </c>
      <c r="OB9" t="s">
        <v>137</v>
      </c>
      <c r="OC9" t="s">
        <v>137</v>
      </c>
      <c r="OD9" t="s">
        <v>137</v>
      </c>
      <c r="OE9" t="s">
        <v>137</v>
      </c>
      <c r="OF9" t="s">
        <v>137</v>
      </c>
      <c r="OG9" t="s">
        <v>137</v>
      </c>
      <c r="OH9" t="s">
        <v>137</v>
      </c>
      <c r="OI9" t="s">
        <v>137</v>
      </c>
      <c r="OJ9" t="s">
        <v>137</v>
      </c>
      <c r="OK9" t="s">
        <v>137</v>
      </c>
      <c r="OL9" t="s">
        <v>137</v>
      </c>
      <c r="OM9" t="s">
        <v>137</v>
      </c>
      <c r="ON9" t="s">
        <v>137</v>
      </c>
      <c r="OO9" t="s">
        <v>137</v>
      </c>
      <c r="OP9" t="s">
        <v>137</v>
      </c>
      <c r="OQ9" t="s">
        <v>137</v>
      </c>
      <c r="OR9" t="s">
        <v>137</v>
      </c>
      <c r="OS9" t="s">
        <v>137</v>
      </c>
      <c r="OT9" t="s">
        <v>137</v>
      </c>
      <c r="OU9" t="s">
        <v>137</v>
      </c>
      <c r="OV9" t="s">
        <v>137</v>
      </c>
      <c r="OW9" t="s">
        <v>137</v>
      </c>
      <c r="OX9" t="s">
        <v>137</v>
      </c>
      <c r="OY9" t="s">
        <v>137</v>
      </c>
      <c r="OZ9" t="s">
        <v>137</v>
      </c>
      <c r="PA9" t="s">
        <v>137</v>
      </c>
      <c r="PB9" t="s">
        <v>137</v>
      </c>
      <c r="PC9" t="s">
        <v>137</v>
      </c>
      <c r="PD9" t="s">
        <v>137</v>
      </c>
      <c r="PE9" t="s">
        <v>137</v>
      </c>
      <c r="PF9" t="s">
        <v>137</v>
      </c>
      <c r="PG9" t="s">
        <v>137</v>
      </c>
      <c r="PH9" t="s">
        <v>137</v>
      </c>
      <c r="PI9" t="s">
        <v>137</v>
      </c>
      <c r="PJ9" t="s">
        <v>137</v>
      </c>
      <c r="PK9" t="s">
        <v>137</v>
      </c>
      <c r="PL9" t="s">
        <v>137</v>
      </c>
      <c r="PM9" t="s">
        <v>137</v>
      </c>
      <c r="PN9" t="s">
        <v>137</v>
      </c>
      <c r="PO9" t="s">
        <v>137</v>
      </c>
      <c r="PP9" t="s">
        <v>137</v>
      </c>
      <c r="PQ9" t="s">
        <v>137</v>
      </c>
      <c r="PR9" t="s">
        <v>137</v>
      </c>
      <c r="PS9" t="s">
        <v>137</v>
      </c>
      <c r="PT9" t="s">
        <v>137</v>
      </c>
      <c r="PU9" t="s">
        <v>137</v>
      </c>
      <c r="PV9" t="s">
        <v>137</v>
      </c>
      <c r="PW9" t="s">
        <v>137</v>
      </c>
      <c r="PX9" t="s">
        <v>137</v>
      </c>
      <c r="PY9" t="s">
        <v>137</v>
      </c>
      <c r="PZ9" t="s">
        <v>137</v>
      </c>
      <c r="QA9" t="s">
        <v>137</v>
      </c>
      <c r="QB9" t="s">
        <v>137</v>
      </c>
      <c r="QC9" t="s">
        <v>137</v>
      </c>
      <c r="QD9" t="s">
        <v>137</v>
      </c>
      <c r="QE9" t="s">
        <v>137</v>
      </c>
      <c r="QF9" t="s">
        <v>137</v>
      </c>
      <c r="QG9" t="s">
        <v>137</v>
      </c>
      <c r="QH9" t="s">
        <v>137</v>
      </c>
      <c r="QI9" t="s">
        <v>137</v>
      </c>
      <c r="QJ9" t="s">
        <v>137</v>
      </c>
      <c r="QK9" t="s">
        <v>137</v>
      </c>
      <c r="QL9" t="s">
        <v>137</v>
      </c>
      <c r="QM9" t="s">
        <v>137</v>
      </c>
      <c r="QN9" t="s">
        <v>137</v>
      </c>
      <c r="QO9" t="s">
        <v>137</v>
      </c>
    </row>
    <row r="10" spans="1:524" x14ac:dyDescent="0.2">
      <c r="A10" t="s">
        <v>154</v>
      </c>
      <c r="B10" s="3">
        <v>38626</v>
      </c>
      <c r="C10" t="s">
        <v>15</v>
      </c>
      <c r="E10" t="s">
        <v>137</v>
      </c>
      <c r="F10">
        <v>45.197000000000003</v>
      </c>
      <c r="G10">
        <v>38.008000000000003</v>
      </c>
      <c r="H10">
        <v>38.222000000000001</v>
      </c>
      <c r="I10">
        <v>43.238</v>
      </c>
      <c r="J10">
        <v>47.213000000000001</v>
      </c>
      <c r="K10" t="s">
        <v>137</v>
      </c>
      <c r="L10" t="s">
        <v>137</v>
      </c>
      <c r="M10">
        <v>47.002000000000002</v>
      </c>
      <c r="N10">
        <v>45.405000000000001</v>
      </c>
      <c r="O10">
        <v>46.526000000000003</v>
      </c>
      <c r="P10">
        <v>46.148000000000003</v>
      </c>
      <c r="Q10">
        <v>44.506</v>
      </c>
      <c r="R10" t="s">
        <v>137</v>
      </c>
      <c r="S10" t="s">
        <v>137</v>
      </c>
      <c r="T10">
        <v>45.274999999999999</v>
      </c>
      <c r="U10">
        <v>45.506</v>
      </c>
      <c r="V10">
        <v>48.561999999999998</v>
      </c>
      <c r="W10">
        <v>48.463000000000001</v>
      </c>
      <c r="X10">
        <v>48.567999999999998</v>
      </c>
      <c r="Y10" t="s">
        <v>137</v>
      </c>
      <c r="Z10" t="s">
        <v>137</v>
      </c>
      <c r="AA10">
        <v>48.113</v>
      </c>
      <c r="AB10">
        <v>47.051000000000002</v>
      </c>
      <c r="AC10">
        <v>46.319000000000003</v>
      </c>
      <c r="AD10">
        <v>47.533000000000001</v>
      </c>
      <c r="AE10">
        <v>48.648000000000003</v>
      </c>
      <c r="AF10" t="s">
        <v>137</v>
      </c>
      <c r="AG10" t="s">
        <v>137</v>
      </c>
      <c r="AH10">
        <v>48.478000000000002</v>
      </c>
      <c r="AI10">
        <v>48.517000000000003</v>
      </c>
      <c r="AJ10">
        <v>49.031999999999996</v>
      </c>
      <c r="AK10">
        <v>49.091999999999999</v>
      </c>
      <c r="AL10">
        <v>48.753999999999998</v>
      </c>
      <c r="AM10" t="s">
        <v>137</v>
      </c>
      <c r="AN10" t="s">
        <v>137</v>
      </c>
      <c r="AO10">
        <v>49.493000000000002</v>
      </c>
      <c r="AP10">
        <v>50.054000000000002</v>
      </c>
      <c r="AQ10">
        <v>50.444000000000003</v>
      </c>
      <c r="AR10">
        <v>52.101999999999997</v>
      </c>
      <c r="AS10">
        <v>55.914000000000001</v>
      </c>
      <c r="AT10" t="s">
        <v>137</v>
      </c>
      <c r="AU10" t="s">
        <v>137</v>
      </c>
      <c r="AV10">
        <v>54.759</v>
      </c>
      <c r="AW10">
        <v>53.92</v>
      </c>
      <c r="AX10">
        <v>53.445</v>
      </c>
      <c r="AY10">
        <v>52.542000000000002</v>
      </c>
      <c r="AZ10">
        <v>52.433</v>
      </c>
      <c r="BA10" t="s">
        <v>137</v>
      </c>
      <c r="BB10" t="s">
        <v>137</v>
      </c>
      <c r="BC10">
        <v>52.262999999999998</v>
      </c>
      <c r="BD10">
        <v>50.567999999999998</v>
      </c>
      <c r="BE10">
        <v>50.070999999999998</v>
      </c>
      <c r="BF10">
        <v>52.029000000000003</v>
      </c>
      <c r="BG10">
        <v>51.006</v>
      </c>
      <c r="BH10" t="s">
        <v>137</v>
      </c>
      <c r="BI10" t="s">
        <v>137</v>
      </c>
      <c r="BJ10">
        <v>49.478999999999999</v>
      </c>
      <c r="BK10">
        <v>48.905999999999999</v>
      </c>
      <c r="BL10">
        <v>49.015999999999998</v>
      </c>
      <c r="BM10">
        <v>49.116999999999997</v>
      </c>
      <c r="BN10">
        <v>49.171999999999997</v>
      </c>
      <c r="BO10" t="s">
        <v>137</v>
      </c>
      <c r="BP10" t="s">
        <v>137</v>
      </c>
      <c r="BQ10">
        <v>48.899000000000001</v>
      </c>
      <c r="BR10">
        <v>49.423000000000002</v>
      </c>
      <c r="BS10">
        <v>49.174999999999997</v>
      </c>
      <c r="BT10">
        <v>48.645000000000003</v>
      </c>
      <c r="BU10">
        <v>48.521000000000001</v>
      </c>
      <c r="BV10" t="s">
        <v>137</v>
      </c>
      <c r="BW10" t="s">
        <v>137</v>
      </c>
      <c r="BX10">
        <v>46.982999999999997</v>
      </c>
      <c r="BY10">
        <v>46.527999999999999</v>
      </c>
      <c r="BZ10">
        <v>47.198999999999998</v>
      </c>
      <c r="CA10">
        <v>46.796999999999997</v>
      </c>
      <c r="CB10">
        <v>46.984000000000002</v>
      </c>
      <c r="CC10" t="s">
        <v>137</v>
      </c>
      <c r="CD10" t="s">
        <v>137</v>
      </c>
      <c r="CE10">
        <v>47.148000000000003</v>
      </c>
      <c r="CF10">
        <v>46.78</v>
      </c>
      <c r="CG10">
        <v>48.98</v>
      </c>
      <c r="CH10">
        <v>48.716999999999999</v>
      </c>
      <c r="CI10">
        <v>48.755000000000003</v>
      </c>
      <c r="CJ10" t="s">
        <v>137</v>
      </c>
      <c r="CK10" t="s">
        <v>137</v>
      </c>
      <c r="CL10">
        <v>48.244</v>
      </c>
      <c r="CM10">
        <v>47.600999999999999</v>
      </c>
      <c r="CN10">
        <v>47.598999999999997</v>
      </c>
      <c r="CO10">
        <v>47.622999999999998</v>
      </c>
      <c r="CP10">
        <v>47.618000000000002</v>
      </c>
      <c r="CQ10" t="s">
        <v>137</v>
      </c>
      <c r="CR10" t="s">
        <v>137</v>
      </c>
      <c r="CS10">
        <v>47.478000000000002</v>
      </c>
      <c r="CT10">
        <v>47.616</v>
      </c>
      <c r="CU10">
        <v>47.557000000000002</v>
      </c>
      <c r="CV10">
        <v>47.488</v>
      </c>
      <c r="CW10">
        <v>47.487000000000002</v>
      </c>
      <c r="CX10" t="s">
        <v>137</v>
      </c>
      <c r="CY10" t="s">
        <v>137</v>
      </c>
      <c r="CZ10">
        <v>47.515000000000001</v>
      </c>
      <c r="DA10">
        <v>47.509</v>
      </c>
      <c r="DB10">
        <v>47.563000000000002</v>
      </c>
      <c r="DC10">
        <v>48.148000000000003</v>
      </c>
      <c r="DD10">
        <v>48.216000000000001</v>
      </c>
      <c r="DE10" t="s">
        <v>137</v>
      </c>
      <c r="DF10" t="s">
        <v>137</v>
      </c>
      <c r="DG10">
        <v>48.180999999999997</v>
      </c>
      <c r="DH10">
        <v>48.228000000000002</v>
      </c>
      <c r="DI10">
        <v>48.158000000000001</v>
      </c>
      <c r="DJ10">
        <v>54.24</v>
      </c>
      <c r="DK10">
        <v>54.523000000000003</v>
      </c>
      <c r="DL10" t="s">
        <v>137</v>
      </c>
      <c r="DM10" t="s">
        <v>137</v>
      </c>
      <c r="DN10">
        <v>54.61</v>
      </c>
      <c r="DO10">
        <v>54.643000000000001</v>
      </c>
      <c r="DP10">
        <v>54.643000000000001</v>
      </c>
      <c r="DQ10">
        <v>54.643000000000001</v>
      </c>
      <c r="DR10">
        <v>55.695</v>
      </c>
      <c r="DS10" t="s">
        <v>137</v>
      </c>
      <c r="DT10" t="s">
        <v>137</v>
      </c>
      <c r="DU10">
        <v>58.029000000000003</v>
      </c>
      <c r="DV10">
        <v>58.000999999999998</v>
      </c>
      <c r="DW10">
        <v>58.000999999999998</v>
      </c>
      <c r="DX10">
        <v>58.006</v>
      </c>
      <c r="DY10">
        <v>57.762</v>
      </c>
      <c r="DZ10" t="s">
        <v>137</v>
      </c>
      <c r="EA10" t="s">
        <v>137</v>
      </c>
      <c r="EB10">
        <v>57.527000000000001</v>
      </c>
      <c r="EC10">
        <v>57.039000000000001</v>
      </c>
      <c r="ED10">
        <v>57.975000000000001</v>
      </c>
      <c r="EE10">
        <v>59.005000000000003</v>
      </c>
      <c r="EF10">
        <v>59.95</v>
      </c>
      <c r="EG10" t="s">
        <v>137</v>
      </c>
      <c r="EH10" t="s">
        <v>137</v>
      </c>
      <c r="EI10">
        <v>59.206000000000003</v>
      </c>
      <c r="EJ10">
        <v>59.005000000000003</v>
      </c>
      <c r="EK10">
        <v>59.231000000000002</v>
      </c>
      <c r="EL10">
        <v>59.814</v>
      </c>
      <c r="EM10">
        <v>59.512</v>
      </c>
      <c r="EN10" t="s">
        <v>137</v>
      </c>
      <c r="EO10" t="s">
        <v>137</v>
      </c>
      <c r="EP10">
        <v>59.308</v>
      </c>
      <c r="EQ10">
        <v>58.56</v>
      </c>
      <c r="ER10">
        <v>56.646000000000001</v>
      </c>
      <c r="ES10">
        <v>55.728000000000002</v>
      </c>
      <c r="ET10">
        <v>55.420999999999999</v>
      </c>
      <c r="EU10" t="s">
        <v>137</v>
      </c>
      <c r="EV10" t="s">
        <v>137</v>
      </c>
      <c r="EW10">
        <v>53.470999999999997</v>
      </c>
      <c r="EX10">
        <v>53.173999999999999</v>
      </c>
      <c r="EY10">
        <v>53.761000000000003</v>
      </c>
      <c r="EZ10">
        <v>53.759</v>
      </c>
      <c r="FA10">
        <v>53.92</v>
      </c>
      <c r="FB10" t="s">
        <v>137</v>
      </c>
      <c r="FC10" t="s">
        <v>137</v>
      </c>
      <c r="FD10">
        <v>54.521999999999998</v>
      </c>
      <c r="FE10">
        <v>55.250999999999998</v>
      </c>
      <c r="FF10">
        <v>56.758000000000003</v>
      </c>
      <c r="FG10">
        <v>57.023000000000003</v>
      </c>
      <c r="FH10">
        <v>59.24</v>
      </c>
      <c r="FI10" t="s">
        <v>137</v>
      </c>
      <c r="FJ10" t="s">
        <v>137</v>
      </c>
      <c r="FK10">
        <v>58.274000000000001</v>
      </c>
      <c r="FL10">
        <v>58.225000000000001</v>
      </c>
      <c r="FM10">
        <v>58.151000000000003</v>
      </c>
      <c r="FN10">
        <v>56.344000000000001</v>
      </c>
      <c r="FO10">
        <v>56.725999999999999</v>
      </c>
      <c r="FP10" t="s">
        <v>137</v>
      </c>
      <c r="FQ10" t="s">
        <v>137</v>
      </c>
      <c r="FR10">
        <v>56.000999999999998</v>
      </c>
      <c r="FS10">
        <v>56.25</v>
      </c>
      <c r="FT10">
        <v>56.25</v>
      </c>
      <c r="FU10">
        <v>54.75</v>
      </c>
      <c r="FV10">
        <v>56</v>
      </c>
      <c r="FW10" t="s">
        <v>137</v>
      </c>
      <c r="FX10" t="s">
        <v>137</v>
      </c>
      <c r="FY10">
        <v>55.424999999999997</v>
      </c>
      <c r="FZ10">
        <v>55.45</v>
      </c>
      <c r="GA10">
        <v>55.325000000000003</v>
      </c>
      <c r="GB10">
        <v>52.25</v>
      </c>
      <c r="GC10">
        <v>52.325000000000003</v>
      </c>
      <c r="GD10" t="s">
        <v>137</v>
      </c>
      <c r="GE10" t="s">
        <v>137</v>
      </c>
      <c r="GF10">
        <v>51.95</v>
      </c>
      <c r="GG10">
        <v>53</v>
      </c>
      <c r="GH10">
        <v>53</v>
      </c>
      <c r="GI10">
        <v>52.46</v>
      </c>
      <c r="GJ10">
        <v>48.03</v>
      </c>
      <c r="GK10" t="s">
        <v>137</v>
      </c>
      <c r="GL10" t="s">
        <v>137</v>
      </c>
      <c r="GM10">
        <v>46</v>
      </c>
      <c r="GN10">
        <v>44.005000000000003</v>
      </c>
      <c r="GO10">
        <v>41.75</v>
      </c>
      <c r="GP10">
        <v>38.5</v>
      </c>
      <c r="GQ10">
        <v>38</v>
      </c>
      <c r="GR10" t="s">
        <v>137</v>
      </c>
      <c r="GS10" t="s">
        <v>137</v>
      </c>
      <c r="GT10">
        <v>37</v>
      </c>
      <c r="GU10">
        <v>36.5</v>
      </c>
      <c r="GV10">
        <v>35.677</v>
      </c>
      <c r="GW10">
        <v>32.85</v>
      </c>
      <c r="GX10">
        <v>32.631</v>
      </c>
      <c r="GY10" t="s">
        <v>137</v>
      </c>
      <c r="GZ10" t="s">
        <v>137</v>
      </c>
      <c r="HA10">
        <v>32</v>
      </c>
      <c r="HB10">
        <v>32</v>
      </c>
      <c r="HC10">
        <v>32</v>
      </c>
      <c r="HD10">
        <v>32.700000000000003</v>
      </c>
      <c r="HE10">
        <v>32</v>
      </c>
      <c r="HF10" t="s">
        <v>137</v>
      </c>
      <c r="HG10" t="s">
        <v>137</v>
      </c>
      <c r="HH10">
        <v>31.5</v>
      </c>
      <c r="HI10">
        <v>33</v>
      </c>
      <c r="HJ10">
        <v>33.5</v>
      </c>
      <c r="HK10">
        <v>35</v>
      </c>
      <c r="HL10">
        <v>35.25</v>
      </c>
      <c r="HM10" t="s">
        <v>137</v>
      </c>
      <c r="HN10" t="s">
        <v>137</v>
      </c>
      <c r="HO10">
        <v>35.85</v>
      </c>
      <c r="HP10">
        <v>36.25</v>
      </c>
      <c r="HQ10">
        <v>35.581000000000003</v>
      </c>
      <c r="HR10">
        <v>34.799999999999997</v>
      </c>
      <c r="HS10">
        <v>34.804000000000002</v>
      </c>
      <c r="HT10" t="s">
        <v>137</v>
      </c>
      <c r="HU10" t="s">
        <v>137</v>
      </c>
      <c r="HV10">
        <v>34.804000000000002</v>
      </c>
      <c r="HW10">
        <v>35.5</v>
      </c>
      <c r="HX10">
        <v>33.125</v>
      </c>
      <c r="HY10">
        <v>33</v>
      </c>
      <c r="HZ10">
        <v>32.5</v>
      </c>
      <c r="IA10" t="s">
        <v>137</v>
      </c>
      <c r="IB10" t="s">
        <v>137</v>
      </c>
      <c r="IC10">
        <v>36</v>
      </c>
      <c r="ID10">
        <v>36</v>
      </c>
      <c r="IE10">
        <v>34.497</v>
      </c>
      <c r="IF10">
        <v>33</v>
      </c>
      <c r="IG10">
        <v>32</v>
      </c>
      <c r="IH10" t="s">
        <v>137</v>
      </c>
      <c r="II10" t="s">
        <v>137</v>
      </c>
      <c r="IJ10">
        <v>30.47</v>
      </c>
      <c r="IK10">
        <v>28.72</v>
      </c>
      <c r="IL10">
        <v>29.5</v>
      </c>
      <c r="IM10">
        <v>31.35</v>
      </c>
      <c r="IN10">
        <v>31.35</v>
      </c>
      <c r="IO10" t="s">
        <v>137</v>
      </c>
      <c r="IP10" t="s">
        <v>137</v>
      </c>
      <c r="IQ10">
        <v>27.07</v>
      </c>
      <c r="IR10">
        <v>29</v>
      </c>
      <c r="IS10">
        <v>30.5</v>
      </c>
      <c r="IT10">
        <v>31</v>
      </c>
      <c r="IU10">
        <v>30.745000000000001</v>
      </c>
      <c r="IV10" t="s">
        <v>137</v>
      </c>
      <c r="IW10" t="s">
        <v>137</v>
      </c>
      <c r="IX10">
        <v>30.75</v>
      </c>
      <c r="IY10">
        <v>34.225000000000001</v>
      </c>
      <c r="IZ10">
        <v>33.950000000000003</v>
      </c>
      <c r="JA10">
        <v>33.024999999999999</v>
      </c>
      <c r="JB10">
        <v>36</v>
      </c>
      <c r="JC10" t="s">
        <v>137</v>
      </c>
      <c r="JD10" t="s">
        <v>137</v>
      </c>
      <c r="JE10">
        <v>37.375</v>
      </c>
      <c r="JF10">
        <v>37.950000000000003</v>
      </c>
      <c r="JG10">
        <v>36.75</v>
      </c>
      <c r="JH10">
        <v>36.57</v>
      </c>
      <c r="JI10">
        <v>35.47</v>
      </c>
      <c r="JJ10" t="s">
        <v>137</v>
      </c>
      <c r="JK10" t="s">
        <v>137</v>
      </c>
      <c r="JL10">
        <v>35.47</v>
      </c>
      <c r="JM10">
        <v>35.47</v>
      </c>
      <c r="JN10">
        <v>35.47</v>
      </c>
      <c r="JO10">
        <v>35.47</v>
      </c>
      <c r="JP10">
        <v>35.47</v>
      </c>
      <c r="JQ10" t="s">
        <v>137</v>
      </c>
      <c r="JR10" t="s">
        <v>137</v>
      </c>
      <c r="JS10">
        <v>44.75</v>
      </c>
      <c r="JT10">
        <v>46.05</v>
      </c>
      <c r="JU10">
        <v>46.85</v>
      </c>
      <c r="JV10">
        <v>45.61</v>
      </c>
      <c r="JW10">
        <v>44.89</v>
      </c>
      <c r="JX10" t="s">
        <v>137</v>
      </c>
      <c r="JY10" t="s">
        <v>137</v>
      </c>
      <c r="JZ10">
        <v>44.88</v>
      </c>
      <c r="KA10">
        <v>44.47</v>
      </c>
      <c r="KB10">
        <v>43.48</v>
      </c>
      <c r="KC10">
        <v>43.63</v>
      </c>
      <c r="KD10">
        <v>43.63</v>
      </c>
      <c r="KE10" t="s">
        <v>137</v>
      </c>
      <c r="KF10" t="s">
        <v>137</v>
      </c>
      <c r="KG10">
        <v>42.79</v>
      </c>
      <c r="KH10">
        <v>43.25</v>
      </c>
      <c r="KI10">
        <v>44.01</v>
      </c>
      <c r="KJ10">
        <v>42.18</v>
      </c>
      <c r="KK10">
        <v>43.32</v>
      </c>
      <c r="KL10" t="s">
        <v>137</v>
      </c>
      <c r="KM10" t="s">
        <v>137</v>
      </c>
      <c r="KN10">
        <v>44.75</v>
      </c>
      <c r="KO10">
        <v>44.95</v>
      </c>
      <c r="KP10">
        <v>45.25</v>
      </c>
      <c r="KQ10">
        <v>44.5</v>
      </c>
      <c r="KR10">
        <v>44.25</v>
      </c>
      <c r="KS10" t="s">
        <v>137</v>
      </c>
      <c r="KT10" t="s">
        <v>137</v>
      </c>
      <c r="KU10">
        <v>44.25</v>
      </c>
      <c r="KV10">
        <v>43.625</v>
      </c>
      <c r="KW10">
        <v>43.375</v>
      </c>
      <c r="KX10">
        <v>43.375</v>
      </c>
      <c r="KY10">
        <v>43.25</v>
      </c>
      <c r="KZ10" t="s">
        <v>137</v>
      </c>
      <c r="LA10" t="s">
        <v>137</v>
      </c>
      <c r="LB10">
        <v>45.25</v>
      </c>
      <c r="LC10">
        <v>45.45</v>
      </c>
      <c r="LD10">
        <v>46.35</v>
      </c>
      <c r="LE10">
        <v>46.2</v>
      </c>
      <c r="LF10">
        <v>45.625</v>
      </c>
      <c r="LG10" t="s">
        <v>137</v>
      </c>
      <c r="LH10" t="s">
        <v>137</v>
      </c>
      <c r="LI10">
        <v>46</v>
      </c>
      <c r="LJ10">
        <v>46.125</v>
      </c>
      <c r="LK10">
        <v>45.375</v>
      </c>
      <c r="LL10">
        <v>46.5</v>
      </c>
      <c r="LM10">
        <v>46.5</v>
      </c>
      <c r="LN10" t="s">
        <v>137</v>
      </c>
      <c r="LO10" t="s">
        <v>137</v>
      </c>
      <c r="LP10">
        <v>46.25</v>
      </c>
      <c r="LQ10">
        <v>46.25</v>
      </c>
      <c r="LR10">
        <v>46.25</v>
      </c>
      <c r="LS10">
        <v>48.6</v>
      </c>
      <c r="LT10">
        <v>48.875</v>
      </c>
      <c r="LU10" t="s">
        <v>137</v>
      </c>
      <c r="LV10" t="s">
        <v>137</v>
      </c>
      <c r="LW10">
        <v>48.9</v>
      </c>
      <c r="LX10">
        <v>48.94</v>
      </c>
      <c r="LY10">
        <v>48.94</v>
      </c>
      <c r="LZ10">
        <v>48.94</v>
      </c>
      <c r="MA10">
        <v>48.94</v>
      </c>
      <c r="MB10" t="s">
        <v>137</v>
      </c>
      <c r="MC10" t="s">
        <v>137</v>
      </c>
      <c r="MD10">
        <v>48.94</v>
      </c>
      <c r="ME10">
        <v>50.08</v>
      </c>
      <c r="MF10">
        <v>51.71</v>
      </c>
      <c r="MG10">
        <v>52.56</v>
      </c>
      <c r="MH10">
        <v>52.53</v>
      </c>
      <c r="MI10" t="s">
        <v>137</v>
      </c>
      <c r="MJ10" t="s">
        <v>137</v>
      </c>
      <c r="MK10">
        <v>52.53</v>
      </c>
      <c r="ML10">
        <v>52.5</v>
      </c>
      <c r="MM10">
        <v>51.61</v>
      </c>
      <c r="MN10">
        <v>51.24</v>
      </c>
      <c r="MO10">
        <v>51.23</v>
      </c>
      <c r="MP10" t="s">
        <v>137</v>
      </c>
      <c r="MQ10" t="s">
        <v>137</v>
      </c>
      <c r="MR10">
        <v>50.91</v>
      </c>
      <c r="MS10">
        <v>50.72</v>
      </c>
      <c r="MT10">
        <v>50.7</v>
      </c>
      <c r="MU10">
        <v>50.65</v>
      </c>
      <c r="MV10">
        <v>50.7</v>
      </c>
      <c r="MW10" t="s">
        <v>137</v>
      </c>
      <c r="MX10" t="s">
        <v>137</v>
      </c>
      <c r="MY10">
        <v>50.45</v>
      </c>
      <c r="MZ10">
        <v>46.95</v>
      </c>
      <c r="NA10">
        <v>47.45</v>
      </c>
      <c r="NB10">
        <v>45.5</v>
      </c>
      <c r="NC10">
        <v>45.68</v>
      </c>
      <c r="ND10" t="s">
        <v>137</v>
      </c>
      <c r="NE10" t="s">
        <v>137</v>
      </c>
      <c r="NF10">
        <v>45.68</v>
      </c>
      <c r="NG10">
        <v>51</v>
      </c>
      <c r="NH10">
        <v>51</v>
      </c>
      <c r="NI10">
        <v>51</v>
      </c>
      <c r="NJ10">
        <v>51.436</v>
      </c>
      <c r="NK10" t="s">
        <v>137</v>
      </c>
      <c r="NL10" t="s">
        <v>137</v>
      </c>
      <c r="NM10" t="s">
        <v>137</v>
      </c>
      <c r="NN10" t="s">
        <v>137</v>
      </c>
      <c r="NO10" t="s">
        <v>137</v>
      </c>
      <c r="NP10" t="s">
        <v>137</v>
      </c>
      <c r="NQ10" t="s">
        <v>137</v>
      </c>
      <c r="NR10" t="s">
        <v>137</v>
      </c>
      <c r="NS10" t="s">
        <v>137</v>
      </c>
      <c r="NT10" t="s">
        <v>137</v>
      </c>
      <c r="NU10" t="s">
        <v>137</v>
      </c>
      <c r="NV10" t="s">
        <v>137</v>
      </c>
      <c r="NW10" t="s">
        <v>137</v>
      </c>
      <c r="NX10" t="s">
        <v>137</v>
      </c>
      <c r="NY10" t="s">
        <v>137</v>
      </c>
      <c r="NZ10" t="s">
        <v>137</v>
      </c>
      <c r="OA10" t="s">
        <v>137</v>
      </c>
      <c r="OB10" t="s">
        <v>137</v>
      </c>
      <c r="OC10" t="s">
        <v>137</v>
      </c>
      <c r="OD10" t="s">
        <v>137</v>
      </c>
      <c r="OE10" t="s">
        <v>137</v>
      </c>
      <c r="OF10" t="s">
        <v>137</v>
      </c>
      <c r="OG10" t="s">
        <v>137</v>
      </c>
      <c r="OH10" t="s">
        <v>137</v>
      </c>
      <c r="OI10" t="s">
        <v>137</v>
      </c>
      <c r="OJ10" t="s">
        <v>137</v>
      </c>
      <c r="OK10" t="s">
        <v>137</v>
      </c>
      <c r="OL10" t="s">
        <v>137</v>
      </c>
      <c r="OM10" t="s">
        <v>137</v>
      </c>
      <c r="ON10" t="s">
        <v>137</v>
      </c>
      <c r="OO10" t="s">
        <v>137</v>
      </c>
      <c r="OP10" t="s">
        <v>137</v>
      </c>
      <c r="OQ10" t="s">
        <v>137</v>
      </c>
      <c r="OR10" t="s">
        <v>137</v>
      </c>
      <c r="OS10" t="s">
        <v>137</v>
      </c>
      <c r="OT10" t="s">
        <v>137</v>
      </c>
      <c r="OU10" t="s">
        <v>137</v>
      </c>
      <c r="OV10" t="s">
        <v>137</v>
      </c>
      <c r="OW10" t="s">
        <v>137</v>
      </c>
      <c r="OX10" t="s">
        <v>137</v>
      </c>
      <c r="OY10" t="s">
        <v>137</v>
      </c>
      <c r="OZ10" t="s">
        <v>137</v>
      </c>
      <c r="PA10" t="s">
        <v>137</v>
      </c>
      <c r="PB10" t="s">
        <v>137</v>
      </c>
      <c r="PC10" t="s">
        <v>137</v>
      </c>
      <c r="PD10" t="s">
        <v>137</v>
      </c>
      <c r="PE10" t="s">
        <v>137</v>
      </c>
      <c r="PF10" t="s">
        <v>137</v>
      </c>
      <c r="PG10" t="s">
        <v>137</v>
      </c>
      <c r="PH10" t="s">
        <v>137</v>
      </c>
      <c r="PI10" t="s">
        <v>137</v>
      </c>
      <c r="PJ10" t="s">
        <v>137</v>
      </c>
      <c r="PK10" t="s">
        <v>137</v>
      </c>
      <c r="PL10" t="s">
        <v>137</v>
      </c>
      <c r="PM10" t="s">
        <v>137</v>
      </c>
      <c r="PN10" t="s">
        <v>137</v>
      </c>
      <c r="PO10" t="s">
        <v>137</v>
      </c>
      <c r="PP10" t="s">
        <v>137</v>
      </c>
      <c r="PQ10" t="s">
        <v>137</v>
      </c>
      <c r="PR10" t="s">
        <v>137</v>
      </c>
      <c r="PS10" t="s">
        <v>137</v>
      </c>
      <c r="PT10" t="s">
        <v>137</v>
      </c>
      <c r="PU10" t="s">
        <v>137</v>
      </c>
      <c r="PV10" t="s">
        <v>137</v>
      </c>
      <c r="PW10" t="s">
        <v>137</v>
      </c>
      <c r="PX10" t="s">
        <v>137</v>
      </c>
      <c r="PY10" t="s">
        <v>137</v>
      </c>
      <c r="PZ10" t="s">
        <v>137</v>
      </c>
      <c r="QA10" t="s">
        <v>137</v>
      </c>
      <c r="QB10" t="s">
        <v>137</v>
      </c>
      <c r="QC10" t="s">
        <v>137</v>
      </c>
      <c r="QD10" t="s">
        <v>137</v>
      </c>
      <c r="QE10" t="s">
        <v>137</v>
      </c>
      <c r="QF10" t="s">
        <v>137</v>
      </c>
      <c r="QG10" t="s">
        <v>137</v>
      </c>
      <c r="QH10" t="s">
        <v>137</v>
      </c>
      <c r="QI10" t="s">
        <v>137</v>
      </c>
      <c r="QJ10" t="s">
        <v>137</v>
      </c>
      <c r="QK10" t="s">
        <v>137</v>
      </c>
      <c r="QL10" t="s">
        <v>137</v>
      </c>
      <c r="QM10" t="s">
        <v>137</v>
      </c>
      <c r="QN10" t="s">
        <v>137</v>
      </c>
      <c r="QO10" t="s">
        <v>137</v>
      </c>
    </row>
    <row r="11" spans="1:524" x14ac:dyDescent="0.2">
      <c r="A11" t="s">
        <v>155</v>
      </c>
      <c r="B11" s="3">
        <v>40350</v>
      </c>
      <c r="C11" t="s">
        <v>17</v>
      </c>
      <c r="E11" t="s">
        <v>137</v>
      </c>
      <c r="F11" t="s">
        <v>137</v>
      </c>
      <c r="G11" t="s">
        <v>137</v>
      </c>
      <c r="H11" t="s">
        <v>137</v>
      </c>
      <c r="I11" t="s">
        <v>137</v>
      </c>
      <c r="J11" t="s">
        <v>137</v>
      </c>
      <c r="K11" t="s">
        <v>137</v>
      </c>
      <c r="L11" t="s">
        <v>137</v>
      </c>
      <c r="M11" t="s">
        <v>137</v>
      </c>
      <c r="N11" t="s">
        <v>137</v>
      </c>
      <c r="O11" t="s">
        <v>137</v>
      </c>
      <c r="P11" t="s">
        <v>137</v>
      </c>
      <c r="Q11" t="s">
        <v>137</v>
      </c>
      <c r="R11" t="s">
        <v>137</v>
      </c>
      <c r="S11" t="s">
        <v>137</v>
      </c>
      <c r="T11" t="s">
        <v>137</v>
      </c>
      <c r="U11" t="s">
        <v>137</v>
      </c>
      <c r="V11" t="s">
        <v>137</v>
      </c>
      <c r="W11" t="s">
        <v>137</v>
      </c>
      <c r="X11" t="s">
        <v>137</v>
      </c>
      <c r="Y11" t="s">
        <v>137</v>
      </c>
      <c r="Z11" t="s">
        <v>137</v>
      </c>
      <c r="AA11" t="s">
        <v>137</v>
      </c>
      <c r="AB11" t="s">
        <v>137</v>
      </c>
      <c r="AC11" t="s">
        <v>137</v>
      </c>
      <c r="AD11" t="s">
        <v>137</v>
      </c>
      <c r="AE11" t="s">
        <v>137</v>
      </c>
      <c r="AF11" t="s">
        <v>137</v>
      </c>
      <c r="AG11" t="s">
        <v>137</v>
      </c>
      <c r="AH11" t="s">
        <v>137</v>
      </c>
      <c r="AI11" t="s">
        <v>137</v>
      </c>
      <c r="AJ11" t="s">
        <v>137</v>
      </c>
      <c r="AK11" t="s">
        <v>137</v>
      </c>
      <c r="AL11" t="s">
        <v>137</v>
      </c>
      <c r="AM11" t="s">
        <v>137</v>
      </c>
      <c r="AN11" t="s">
        <v>137</v>
      </c>
      <c r="AO11" t="s">
        <v>137</v>
      </c>
      <c r="AP11" t="s">
        <v>137</v>
      </c>
      <c r="AQ11" t="s">
        <v>137</v>
      </c>
      <c r="AR11" t="s">
        <v>137</v>
      </c>
      <c r="AS11" t="s">
        <v>137</v>
      </c>
      <c r="AT11" t="s">
        <v>137</v>
      </c>
      <c r="AU11" t="s">
        <v>137</v>
      </c>
      <c r="AV11" t="s">
        <v>137</v>
      </c>
      <c r="AW11" t="s">
        <v>137</v>
      </c>
      <c r="AX11" t="s">
        <v>137</v>
      </c>
      <c r="AY11" t="s">
        <v>137</v>
      </c>
      <c r="AZ11" t="s">
        <v>137</v>
      </c>
      <c r="BA11" t="s">
        <v>137</v>
      </c>
      <c r="BB11" t="s">
        <v>137</v>
      </c>
      <c r="BC11" t="s">
        <v>137</v>
      </c>
      <c r="BD11" t="s">
        <v>137</v>
      </c>
      <c r="BE11" t="s">
        <v>137</v>
      </c>
      <c r="BF11" t="s">
        <v>137</v>
      </c>
      <c r="BG11" t="s">
        <v>137</v>
      </c>
      <c r="BH11" t="s">
        <v>137</v>
      </c>
      <c r="BI11" t="s">
        <v>137</v>
      </c>
      <c r="BJ11" t="s">
        <v>137</v>
      </c>
      <c r="BK11" t="s">
        <v>137</v>
      </c>
      <c r="BL11" t="s">
        <v>137</v>
      </c>
      <c r="BM11" t="s">
        <v>137</v>
      </c>
      <c r="BN11" t="s">
        <v>137</v>
      </c>
      <c r="BO11" t="s">
        <v>137</v>
      </c>
      <c r="BP11" t="s">
        <v>137</v>
      </c>
      <c r="BQ11" t="s">
        <v>137</v>
      </c>
      <c r="BR11" t="s">
        <v>137</v>
      </c>
      <c r="BS11" t="s">
        <v>137</v>
      </c>
      <c r="BT11" t="s">
        <v>137</v>
      </c>
      <c r="BU11" t="s">
        <v>137</v>
      </c>
      <c r="BV11" t="s">
        <v>137</v>
      </c>
      <c r="BW11" t="s">
        <v>137</v>
      </c>
      <c r="BX11" t="s">
        <v>137</v>
      </c>
      <c r="BY11" t="s">
        <v>137</v>
      </c>
      <c r="BZ11" t="s">
        <v>137</v>
      </c>
      <c r="CA11" t="s">
        <v>137</v>
      </c>
      <c r="CB11" t="s">
        <v>137</v>
      </c>
      <c r="CC11" t="s">
        <v>137</v>
      </c>
      <c r="CD11" t="s">
        <v>137</v>
      </c>
      <c r="CE11" t="s">
        <v>137</v>
      </c>
      <c r="CF11" t="s">
        <v>137</v>
      </c>
      <c r="CG11" t="s">
        <v>137</v>
      </c>
      <c r="CH11" t="s">
        <v>137</v>
      </c>
      <c r="CI11" t="s">
        <v>137</v>
      </c>
      <c r="CJ11" t="s">
        <v>137</v>
      </c>
      <c r="CK11" t="s">
        <v>137</v>
      </c>
      <c r="CL11" t="s">
        <v>137</v>
      </c>
      <c r="CM11" t="s">
        <v>137</v>
      </c>
      <c r="CN11" t="s">
        <v>137</v>
      </c>
      <c r="CO11" t="s">
        <v>137</v>
      </c>
      <c r="CP11" t="s">
        <v>137</v>
      </c>
      <c r="CQ11" t="s">
        <v>137</v>
      </c>
      <c r="CR11" t="s">
        <v>137</v>
      </c>
      <c r="CS11" t="s">
        <v>137</v>
      </c>
      <c r="CT11" t="s">
        <v>137</v>
      </c>
      <c r="CU11" t="s">
        <v>137</v>
      </c>
      <c r="CV11" t="s">
        <v>137</v>
      </c>
      <c r="CW11" t="s">
        <v>137</v>
      </c>
      <c r="CX11" t="s">
        <v>137</v>
      </c>
      <c r="CY11" t="s">
        <v>137</v>
      </c>
      <c r="CZ11" t="s">
        <v>137</v>
      </c>
      <c r="DA11" t="s">
        <v>137</v>
      </c>
      <c r="DB11" t="s">
        <v>137</v>
      </c>
      <c r="DC11" t="s">
        <v>137</v>
      </c>
      <c r="DD11" t="s">
        <v>137</v>
      </c>
      <c r="DE11" t="s">
        <v>137</v>
      </c>
      <c r="DF11" t="s">
        <v>137</v>
      </c>
      <c r="DG11" t="s">
        <v>137</v>
      </c>
      <c r="DH11" t="s">
        <v>137</v>
      </c>
      <c r="DI11" t="s">
        <v>137</v>
      </c>
      <c r="DJ11" t="s">
        <v>137</v>
      </c>
      <c r="DK11" t="s">
        <v>137</v>
      </c>
      <c r="DL11" t="s">
        <v>137</v>
      </c>
      <c r="DM11" t="s">
        <v>137</v>
      </c>
      <c r="DN11" t="s">
        <v>137</v>
      </c>
      <c r="DO11" t="s">
        <v>137</v>
      </c>
      <c r="DP11" t="s">
        <v>137</v>
      </c>
      <c r="DQ11" t="s">
        <v>137</v>
      </c>
      <c r="DR11" t="s">
        <v>137</v>
      </c>
      <c r="DS11" t="s">
        <v>137</v>
      </c>
      <c r="DT11" t="s">
        <v>137</v>
      </c>
      <c r="DU11" t="s">
        <v>137</v>
      </c>
      <c r="DV11" t="s">
        <v>137</v>
      </c>
      <c r="DW11" t="s">
        <v>137</v>
      </c>
      <c r="DX11" t="s">
        <v>137</v>
      </c>
      <c r="DY11" t="s">
        <v>137</v>
      </c>
      <c r="DZ11" t="s">
        <v>137</v>
      </c>
      <c r="EA11" t="s">
        <v>137</v>
      </c>
      <c r="EB11" t="s">
        <v>137</v>
      </c>
      <c r="EC11" t="s">
        <v>137</v>
      </c>
      <c r="ED11" t="s">
        <v>137</v>
      </c>
      <c r="EE11" t="s">
        <v>137</v>
      </c>
      <c r="EF11" t="s">
        <v>137</v>
      </c>
      <c r="EG11" t="s">
        <v>137</v>
      </c>
      <c r="EH11" t="s">
        <v>137</v>
      </c>
      <c r="EI11" t="s">
        <v>137</v>
      </c>
      <c r="EJ11" t="s">
        <v>137</v>
      </c>
      <c r="EK11" t="s">
        <v>137</v>
      </c>
      <c r="EL11" t="s">
        <v>137</v>
      </c>
      <c r="EM11" t="s">
        <v>137</v>
      </c>
      <c r="EN11" t="s">
        <v>137</v>
      </c>
      <c r="EO11" t="s">
        <v>137</v>
      </c>
      <c r="EP11" t="s">
        <v>137</v>
      </c>
      <c r="EQ11" t="s">
        <v>137</v>
      </c>
      <c r="ER11" t="s">
        <v>137</v>
      </c>
      <c r="ES11" t="s">
        <v>137</v>
      </c>
      <c r="ET11" t="s">
        <v>137</v>
      </c>
      <c r="EU11" t="s">
        <v>137</v>
      </c>
      <c r="EV11" t="s">
        <v>137</v>
      </c>
      <c r="EW11" t="s">
        <v>137</v>
      </c>
      <c r="EX11" t="s">
        <v>137</v>
      </c>
      <c r="EY11" t="s">
        <v>137</v>
      </c>
      <c r="EZ11" t="s">
        <v>137</v>
      </c>
      <c r="FA11" t="s">
        <v>137</v>
      </c>
      <c r="FB11" t="s">
        <v>137</v>
      </c>
      <c r="FC11" t="s">
        <v>137</v>
      </c>
      <c r="FD11" t="s">
        <v>137</v>
      </c>
      <c r="FE11" t="s">
        <v>137</v>
      </c>
      <c r="FF11" t="s">
        <v>137</v>
      </c>
      <c r="FG11" t="s">
        <v>137</v>
      </c>
      <c r="FH11" t="s">
        <v>137</v>
      </c>
      <c r="FI11" t="s">
        <v>137</v>
      </c>
      <c r="FJ11" t="s">
        <v>137</v>
      </c>
      <c r="FK11" t="s">
        <v>137</v>
      </c>
      <c r="FL11" t="s">
        <v>137</v>
      </c>
      <c r="FM11" t="s">
        <v>137</v>
      </c>
      <c r="FN11" t="s">
        <v>137</v>
      </c>
      <c r="FO11" t="s">
        <v>137</v>
      </c>
      <c r="FP11" t="s">
        <v>137</v>
      </c>
      <c r="FQ11" t="s">
        <v>137</v>
      </c>
      <c r="FR11" t="s">
        <v>137</v>
      </c>
      <c r="FS11" t="s">
        <v>137</v>
      </c>
      <c r="FT11" t="s">
        <v>137</v>
      </c>
      <c r="FU11" t="s">
        <v>137</v>
      </c>
      <c r="FV11" t="s">
        <v>137</v>
      </c>
      <c r="FW11" t="s">
        <v>137</v>
      </c>
      <c r="FX11" t="s">
        <v>137</v>
      </c>
      <c r="FY11" t="s">
        <v>137</v>
      </c>
      <c r="FZ11" t="s">
        <v>137</v>
      </c>
      <c r="GA11" t="s">
        <v>137</v>
      </c>
      <c r="GB11" t="s">
        <v>137</v>
      </c>
      <c r="GC11" t="s">
        <v>137</v>
      </c>
      <c r="GD11" t="s">
        <v>137</v>
      </c>
      <c r="GE11" t="s">
        <v>137</v>
      </c>
      <c r="GF11" t="s">
        <v>137</v>
      </c>
      <c r="GG11" t="s">
        <v>137</v>
      </c>
      <c r="GH11" t="s">
        <v>137</v>
      </c>
      <c r="GI11" t="s">
        <v>137</v>
      </c>
      <c r="GJ11" t="s">
        <v>137</v>
      </c>
      <c r="GK11" t="s">
        <v>137</v>
      </c>
      <c r="GL11" t="s">
        <v>137</v>
      </c>
      <c r="GM11" t="s">
        <v>137</v>
      </c>
      <c r="GN11" t="s">
        <v>137</v>
      </c>
      <c r="GO11" t="s">
        <v>137</v>
      </c>
      <c r="GP11" t="s">
        <v>137</v>
      </c>
      <c r="GQ11" t="s">
        <v>137</v>
      </c>
      <c r="GR11" t="s">
        <v>137</v>
      </c>
      <c r="GS11" t="s">
        <v>137</v>
      </c>
      <c r="GT11" t="s">
        <v>137</v>
      </c>
      <c r="GU11" t="s">
        <v>137</v>
      </c>
      <c r="GV11" t="s">
        <v>137</v>
      </c>
      <c r="GW11" t="s">
        <v>137</v>
      </c>
      <c r="GX11" t="s">
        <v>137</v>
      </c>
      <c r="GY11" t="s">
        <v>137</v>
      </c>
      <c r="GZ11" t="s">
        <v>137</v>
      </c>
      <c r="HA11" t="s">
        <v>137</v>
      </c>
      <c r="HB11" t="s">
        <v>137</v>
      </c>
      <c r="HC11" t="s">
        <v>137</v>
      </c>
      <c r="HD11" t="s">
        <v>137</v>
      </c>
      <c r="HE11" t="s">
        <v>137</v>
      </c>
      <c r="HF11" t="s">
        <v>137</v>
      </c>
      <c r="HG11" t="s">
        <v>137</v>
      </c>
      <c r="HH11" t="s">
        <v>137</v>
      </c>
      <c r="HI11" t="s">
        <v>137</v>
      </c>
      <c r="HJ11" t="s">
        <v>137</v>
      </c>
      <c r="HK11" t="s">
        <v>137</v>
      </c>
      <c r="HL11" t="s">
        <v>137</v>
      </c>
      <c r="HM11" t="s">
        <v>137</v>
      </c>
      <c r="HN11" t="s">
        <v>137</v>
      </c>
      <c r="HO11" t="s">
        <v>137</v>
      </c>
      <c r="HP11" t="s">
        <v>137</v>
      </c>
      <c r="HQ11" t="s">
        <v>137</v>
      </c>
      <c r="HR11" t="s">
        <v>137</v>
      </c>
      <c r="HS11" t="s">
        <v>137</v>
      </c>
      <c r="HT11" t="s">
        <v>137</v>
      </c>
      <c r="HU11" t="s">
        <v>137</v>
      </c>
      <c r="HV11" t="s">
        <v>137</v>
      </c>
      <c r="HW11" t="s">
        <v>137</v>
      </c>
      <c r="HX11" t="s">
        <v>137</v>
      </c>
      <c r="HY11" t="s">
        <v>137</v>
      </c>
      <c r="HZ11" t="s">
        <v>137</v>
      </c>
      <c r="IA11" t="s">
        <v>137</v>
      </c>
      <c r="IB11" t="s">
        <v>137</v>
      </c>
      <c r="IC11" t="s">
        <v>137</v>
      </c>
      <c r="ID11" t="s">
        <v>137</v>
      </c>
      <c r="IE11" t="s">
        <v>137</v>
      </c>
      <c r="IF11" t="s">
        <v>137</v>
      </c>
      <c r="IG11" t="s">
        <v>137</v>
      </c>
      <c r="IH11" t="s">
        <v>137</v>
      </c>
      <c r="II11" t="s">
        <v>137</v>
      </c>
      <c r="IJ11" t="s">
        <v>137</v>
      </c>
      <c r="IK11" t="s">
        <v>137</v>
      </c>
      <c r="IL11" t="s">
        <v>137</v>
      </c>
      <c r="IM11" t="s">
        <v>137</v>
      </c>
      <c r="IN11" t="s">
        <v>137</v>
      </c>
      <c r="IO11" t="s">
        <v>137</v>
      </c>
      <c r="IP11" t="s">
        <v>137</v>
      </c>
      <c r="IQ11" t="s">
        <v>137</v>
      </c>
      <c r="IR11" t="s">
        <v>137</v>
      </c>
      <c r="IS11" t="s">
        <v>137</v>
      </c>
      <c r="IT11" t="s">
        <v>137</v>
      </c>
      <c r="IU11" t="s">
        <v>137</v>
      </c>
      <c r="IV11" t="s">
        <v>137</v>
      </c>
      <c r="IW11" t="s">
        <v>137</v>
      </c>
      <c r="IX11" t="s">
        <v>137</v>
      </c>
      <c r="IY11" t="s">
        <v>137</v>
      </c>
      <c r="IZ11" t="s">
        <v>137</v>
      </c>
      <c r="JA11" t="s">
        <v>137</v>
      </c>
      <c r="JB11" t="s">
        <v>137</v>
      </c>
      <c r="JC11" t="s">
        <v>137</v>
      </c>
      <c r="JD11" t="s">
        <v>137</v>
      </c>
      <c r="JE11" t="s">
        <v>137</v>
      </c>
      <c r="JF11" t="s">
        <v>137</v>
      </c>
      <c r="JG11" t="s">
        <v>137</v>
      </c>
      <c r="JH11" t="s">
        <v>137</v>
      </c>
      <c r="JI11" t="s">
        <v>137</v>
      </c>
      <c r="JJ11" t="s">
        <v>137</v>
      </c>
      <c r="JK11" t="s">
        <v>137</v>
      </c>
      <c r="JL11" t="s">
        <v>137</v>
      </c>
      <c r="JM11" t="s">
        <v>137</v>
      </c>
      <c r="JN11" t="s">
        <v>137</v>
      </c>
      <c r="JO11" t="s">
        <v>137</v>
      </c>
      <c r="JP11" t="s">
        <v>137</v>
      </c>
      <c r="JQ11" t="s">
        <v>137</v>
      </c>
      <c r="JR11" t="s">
        <v>137</v>
      </c>
      <c r="JS11" t="s">
        <v>137</v>
      </c>
      <c r="JT11" t="s">
        <v>137</v>
      </c>
      <c r="JU11" t="s">
        <v>137</v>
      </c>
      <c r="JV11" t="s">
        <v>137</v>
      </c>
      <c r="JW11" t="s">
        <v>137</v>
      </c>
      <c r="JX11" t="s">
        <v>137</v>
      </c>
      <c r="JY11" t="s">
        <v>137</v>
      </c>
      <c r="JZ11" t="s">
        <v>137</v>
      </c>
      <c r="KA11" t="s">
        <v>137</v>
      </c>
      <c r="KB11" t="s">
        <v>137</v>
      </c>
      <c r="KC11" t="s">
        <v>137</v>
      </c>
      <c r="KD11" t="s">
        <v>137</v>
      </c>
      <c r="KE11" t="s">
        <v>137</v>
      </c>
      <c r="KF11" t="s">
        <v>137</v>
      </c>
      <c r="KG11" t="s">
        <v>137</v>
      </c>
      <c r="KH11" t="s">
        <v>137</v>
      </c>
      <c r="KI11" t="s">
        <v>137</v>
      </c>
      <c r="KJ11" t="s">
        <v>137</v>
      </c>
      <c r="KK11" t="s">
        <v>137</v>
      </c>
      <c r="KL11" t="s">
        <v>137</v>
      </c>
      <c r="KM11" t="s">
        <v>137</v>
      </c>
      <c r="KN11" t="s">
        <v>137</v>
      </c>
      <c r="KO11" t="s">
        <v>137</v>
      </c>
      <c r="KP11" t="s">
        <v>137</v>
      </c>
      <c r="KQ11" t="s">
        <v>137</v>
      </c>
      <c r="KR11" t="s">
        <v>137</v>
      </c>
      <c r="KS11" t="s">
        <v>137</v>
      </c>
      <c r="KT11" t="s">
        <v>137</v>
      </c>
      <c r="KU11" t="s">
        <v>137</v>
      </c>
      <c r="KV11" t="s">
        <v>137</v>
      </c>
      <c r="KW11" t="s">
        <v>137</v>
      </c>
      <c r="KX11" t="s">
        <v>137</v>
      </c>
      <c r="KY11" t="s">
        <v>137</v>
      </c>
      <c r="KZ11" t="s">
        <v>137</v>
      </c>
      <c r="LA11" t="s">
        <v>137</v>
      </c>
      <c r="LB11" t="s">
        <v>137</v>
      </c>
      <c r="LC11" t="s">
        <v>137</v>
      </c>
      <c r="LD11" t="s">
        <v>137</v>
      </c>
      <c r="LE11" t="s">
        <v>137</v>
      </c>
      <c r="LF11" t="s">
        <v>137</v>
      </c>
      <c r="LG11" t="s">
        <v>137</v>
      </c>
      <c r="LH11" t="s">
        <v>137</v>
      </c>
      <c r="LI11" t="s">
        <v>137</v>
      </c>
      <c r="LJ11" t="s">
        <v>137</v>
      </c>
      <c r="LK11" t="s">
        <v>137</v>
      </c>
      <c r="LL11" t="s">
        <v>137</v>
      </c>
      <c r="LM11" t="s">
        <v>137</v>
      </c>
      <c r="LN11" t="s">
        <v>137</v>
      </c>
      <c r="LO11" t="s">
        <v>137</v>
      </c>
      <c r="LP11" t="s">
        <v>137</v>
      </c>
      <c r="LQ11" t="s">
        <v>137</v>
      </c>
      <c r="LR11" t="s">
        <v>137</v>
      </c>
      <c r="LS11" t="s">
        <v>137</v>
      </c>
      <c r="LT11" t="s">
        <v>137</v>
      </c>
      <c r="LU11" t="s">
        <v>137</v>
      </c>
      <c r="LV11" t="s">
        <v>137</v>
      </c>
      <c r="LW11" t="s">
        <v>137</v>
      </c>
      <c r="LX11" t="s">
        <v>137</v>
      </c>
      <c r="LY11" t="s">
        <v>137</v>
      </c>
      <c r="LZ11" t="s">
        <v>137</v>
      </c>
      <c r="MA11" t="s">
        <v>137</v>
      </c>
      <c r="MB11" t="s">
        <v>137</v>
      </c>
      <c r="MC11" t="s">
        <v>137</v>
      </c>
      <c r="MD11" t="s">
        <v>137</v>
      </c>
      <c r="ME11" t="s">
        <v>137</v>
      </c>
      <c r="MF11" t="s">
        <v>137</v>
      </c>
      <c r="MG11" t="s">
        <v>137</v>
      </c>
      <c r="MH11" t="s">
        <v>137</v>
      </c>
      <c r="MI11" t="s">
        <v>137</v>
      </c>
      <c r="MJ11" t="s">
        <v>137</v>
      </c>
      <c r="MK11" t="s">
        <v>137</v>
      </c>
      <c r="ML11" t="s">
        <v>137</v>
      </c>
      <c r="MM11" t="s">
        <v>137</v>
      </c>
      <c r="MN11" t="s">
        <v>137</v>
      </c>
      <c r="MO11" t="s">
        <v>137</v>
      </c>
      <c r="MP11" t="s">
        <v>137</v>
      </c>
      <c r="MQ11" t="s">
        <v>137</v>
      </c>
      <c r="MR11" t="s">
        <v>137</v>
      </c>
      <c r="MS11" t="s">
        <v>137</v>
      </c>
      <c r="MT11" t="s">
        <v>137</v>
      </c>
      <c r="MU11" t="s">
        <v>137</v>
      </c>
      <c r="MV11" t="s">
        <v>137</v>
      </c>
      <c r="MW11" t="s">
        <v>137</v>
      </c>
      <c r="MX11" t="s">
        <v>137</v>
      </c>
      <c r="MY11" t="s">
        <v>137</v>
      </c>
      <c r="MZ11" t="s">
        <v>137</v>
      </c>
      <c r="NA11" t="s">
        <v>137</v>
      </c>
      <c r="NB11" t="s">
        <v>137</v>
      </c>
      <c r="NC11" t="s">
        <v>137</v>
      </c>
      <c r="ND11" t="s">
        <v>137</v>
      </c>
      <c r="NE11" t="s">
        <v>137</v>
      </c>
      <c r="NF11" t="s">
        <v>137</v>
      </c>
      <c r="NG11" t="s">
        <v>137</v>
      </c>
      <c r="NH11" t="s">
        <v>137</v>
      </c>
      <c r="NI11" t="s">
        <v>137</v>
      </c>
      <c r="NJ11" t="s">
        <v>137</v>
      </c>
      <c r="NK11" t="s">
        <v>137</v>
      </c>
      <c r="NL11" t="s">
        <v>137</v>
      </c>
      <c r="NM11" t="s">
        <v>137</v>
      </c>
      <c r="NN11" t="s">
        <v>137</v>
      </c>
      <c r="NO11" t="s">
        <v>137</v>
      </c>
      <c r="NP11" t="s">
        <v>137</v>
      </c>
      <c r="NQ11" t="s">
        <v>137</v>
      </c>
      <c r="NR11" t="s">
        <v>137</v>
      </c>
      <c r="NS11" t="s">
        <v>137</v>
      </c>
      <c r="NT11" t="s">
        <v>137</v>
      </c>
      <c r="NU11" t="s">
        <v>137</v>
      </c>
      <c r="NV11" t="s">
        <v>137</v>
      </c>
      <c r="NW11" t="s">
        <v>137</v>
      </c>
      <c r="NX11" t="s">
        <v>137</v>
      </c>
      <c r="NY11" t="s">
        <v>137</v>
      </c>
      <c r="NZ11" t="s">
        <v>137</v>
      </c>
      <c r="OA11" t="s">
        <v>137</v>
      </c>
      <c r="OB11" t="s">
        <v>137</v>
      </c>
      <c r="OC11" t="s">
        <v>137</v>
      </c>
      <c r="OD11" t="s">
        <v>137</v>
      </c>
      <c r="OE11" t="s">
        <v>137</v>
      </c>
      <c r="OF11" t="s">
        <v>137</v>
      </c>
      <c r="OG11" t="s">
        <v>137</v>
      </c>
      <c r="OH11" t="s">
        <v>137</v>
      </c>
      <c r="OI11" t="s">
        <v>137</v>
      </c>
      <c r="OJ11" t="s">
        <v>137</v>
      </c>
      <c r="OK11" t="s">
        <v>137</v>
      </c>
      <c r="OL11" t="s">
        <v>137</v>
      </c>
      <c r="OM11" t="s">
        <v>137</v>
      </c>
      <c r="ON11" t="s">
        <v>137</v>
      </c>
      <c r="OO11" t="s">
        <v>137</v>
      </c>
      <c r="OP11" t="s">
        <v>137</v>
      </c>
      <c r="OQ11" t="s">
        <v>137</v>
      </c>
      <c r="OR11" t="s">
        <v>137</v>
      </c>
      <c r="OS11" t="s">
        <v>137</v>
      </c>
      <c r="OT11" t="s">
        <v>137</v>
      </c>
      <c r="OU11" t="s">
        <v>137</v>
      </c>
      <c r="OV11" t="s">
        <v>137</v>
      </c>
      <c r="OW11" t="s">
        <v>137</v>
      </c>
      <c r="OX11" t="s">
        <v>137</v>
      </c>
      <c r="OY11" t="s">
        <v>137</v>
      </c>
      <c r="OZ11" t="s">
        <v>137</v>
      </c>
      <c r="PA11" t="s">
        <v>137</v>
      </c>
      <c r="PB11" t="s">
        <v>137</v>
      </c>
      <c r="PC11" t="s">
        <v>137</v>
      </c>
      <c r="PD11" t="s">
        <v>137</v>
      </c>
      <c r="PE11" t="s">
        <v>137</v>
      </c>
      <c r="PF11" t="s">
        <v>137</v>
      </c>
      <c r="PG11" t="s">
        <v>137</v>
      </c>
      <c r="PH11" t="s">
        <v>137</v>
      </c>
      <c r="PI11" t="s">
        <v>137</v>
      </c>
      <c r="PJ11" t="s">
        <v>137</v>
      </c>
      <c r="PK11" t="s">
        <v>137</v>
      </c>
      <c r="PL11" t="s">
        <v>137</v>
      </c>
      <c r="PM11" t="s">
        <v>137</v>
      </c>
      <c r="PN11" t="s">
        <v>137</v>
      </c>
      <c r="PO11" t="s">
        <v>137</v>
      </c>
      <c r="PP11" t="s">
        <v>137</v>
      </c>
      <c r="PQ11" t="s">
        <v>137</v>
      </c>
      <c r="PR11" t="s">
        <v>137</v>
      </c>
      <c r="PS11" t="s">
        <v>137</v>
      </c>
      <c r="PT11" t="s">
        <v>137</v>
      </c>
      <c r="PU11" t="s">
        <v>137</v>
      </c>
      <c r="PV11" t="s">
        <v>137</v>
      </c>
      <c r="PW11" t="s">
        <v>137</v>
      </c>
      <c r="PX11" t="s">
        <v>137</v>
      </c>
      <c r="PY11" t="s">
        <v>137</v>
      </c>
      <c r="PZ11" t="s">
        <v>137</v>
      </c>
      <c r="QA11" t="s">
        <v>137</v>
      </c>
      <c r="QB11" t="s">
        <v>137</v>
      </c>
      <c r="QC11" t="s">
        <v>137</v>
      </c>
      <c r="QD11" t="s">
        <v>137</v>
      </c>
      <c r="QE11" t="s">
        <v>137</v>
      </c>
      <c r="QF11" t="s">
        <v>137</v>
      </c>
      <c r="QG11" t="s">
        <v>137</v>
      </c>
      <c r="QH11" t="s">
        <v>137</v>
      </c>
      <c r="QI11" t="s">
        <v>137</v>
      </c>
      <c r="QJ11" t="s">
        <v>137</v>
      </c>
      <c r="QK11" t="s">
        <v>137</v>
      </c>
      <c r="QL11" t="s">
        <v>137</v>
      </c>
      <c r="QM11" t="s">
        <v>137</v>
      </c>
      <c r="QN11" t="s">
        <v>137</v>
      </c>
      <c r="QO11" t="s">
        <v>137</v>
      </c>
    </row>
    <row r="12" spans="1:524" x14ac:dyDescent="0.2">
      <c r="A12" t="s">
        <v>162</v>
      </c>
      <c r="B12" s="3">
        <v>40350</v>
      </c>
      <c r="C12" t="s">
        <v>19</v>
      </c>
      <c r="E12" t="s">
        <v>137</v>
      </c>
      <c r="F12" t="s">
        <v>137</v>
      </c>
      <c r="G12" t="s">
        <v>137</v>
      </c>
      <c r="H12" t="s">
        <v>137</v>
      </c>
      <c r="I12" t="s">
        <v>137</v>
      </c>
      <c r="J12" t="s">
        <v>137</v>
      </c>
      <c r="K12" t="s">
        <v>137</v>
      </c>
      <c r="L12" t="s">
        <v>137</v>
      </c>
      <c r="M12" t="s">
        <v>137</v>
      </c>
      <c r="N12" t="s">
        <v>137</v>
      </c>
      <c r="O12" t="s">
        <v>137</v>
      </c>
      <c r="P12" t="s">
        <v>137</v>
      </c>
      <c r="Q12" t="s">
        <v>137</v>
      </c>
      <c r="R12" t="s">
        <v>137</v>
      </c>
      <c r="S12" t="s">
        <v>137</v>
      </c>
      <c r="T12" t="s">
        <v>137</v>
      </c>
      <c r="U12" t="s">
        <v>137</v>
      </c>
      <c r="V12" t="s">
        <v>137</v>
      </c>
      <c r="W12" t="s">
        <v>137</v>
      </c>
      <c r="X12" t="s">
        <v>137</v>
      </c>
      <c r="Y12" t="s">
        <v>137</v>
      </c>
      <c r="Z12" t="s">
        <v>137</v>
      </c>
      <c r="AA12" t="s">
        <v>137</v>
      </c>
      <c r="AB12" t="s">
        <v>137</v>
      </c>
      <c r="AC12" t="s">
        <v>137</v>
      </c>
      <c r="AD12" t="s">
        <v>137</v>
      </c>
      <c r="AE12" t="s">
        <v>137</v>
      </c>
      <c r="AF12" t="s">
        <v>137</v>
      </c>
      <c r="AG12" t="s">
        <v>137</v>
      </c>
      <c r="AH12" t="s">
        <v>137</v>
      </c>
      <c r="AI12" t="s">
        <v>137</v>
      </c>
      <c r="AJ12" t="s">
        <v>137</v>
      </c>
      <c r="AK12" t="s">
        <v>137</v>
      </c>
      <c r="AL12" t="s">
        <v>137</v>
      </c>
      <c r="AM12" t="s">
        <v>137</v>
      </c>
      <c r="AN12" t="s">
        <v>137</v>
      </c>
      <c r="AO12" t="s">
        <v>137</v>
      </c>
      <c r="AP12" t="s">
        <v>137</v>
      </c>
      <c r="AQ12" t="s">
        <v>137</v>
      </c>
      <c r="AR12" t="s">
        <v>137</v>
      </c>
      <c r="AS12" t="s">
        <v>137</v>
      </c>
      <c r="AT12" t="s">
        <v>137</v>
      </c>
      <c r="AU12" t="s">
        <v>137</v>
      </c>
      <c r="AV12" t="s">
        <v>137</v>
      </c>
      <c r="AW12" t="s">
        <v>137</v>
      </c>
      <c r="AX12" t="s">
        <v>137</v>
      </c>
      <c r="AY12" t="s">
        <v>137</v>
      </c>
      <c r="AZ12" t="s">
        <v>137</v>
      </c>
      <c r="BA12" t="s">
        <v>137</v>
      </c>
      <c r="BB12" t="s">
        <v>137</v>
      </c>
      <c r="BC12" t="s">
        <v>137</v>
      </c>
      <c r="BD12" t="s">
        <v>137</v>
      </c>
      <c r="BE12" t="s">
        <v>137</v>
      </c>
      <c r="BF12" t="s">
        <v>137</v>
      </c>
      <c r="BG12" t="s">
        <v>137</v>
      </c>
      <c r="BH12" t="s">
        <v>137</v>
      </c>
      <c r="BI12" t="s">
        <v>137</v>
      </c>
      <c r="BJ12" t="s">
        <v>137</v>
      </c>
      <c r="BK12" t="s">
        <v>137</v>
      </c>
      <c r="BL12" t="s">
        <v>137</v>
      </c>
      <c r="BM12" t="s">
        <v>137</v>
      </c>
      <c r="BN12" t="s">
        <v>137</v>
      </c>
      <c r="BO12" t="s">
        <v>137</v>
      </c>
      <c r="BP12" t="s">
        <v>137</v>
      </c>
      <c r="BQ12" t="s">
        <v>137</v>
      </c>
      <c r="BR12" t="s">
        <v>137</v>
      </c>
      <c r="BS12" t="s">
        <v>137</v>
      </c>
      <c r="BT12" t="s">
        <v>137</v>
      </c>
      <c r="BU12" t="s">
        <v>137</v>
      </c>
      <c r="BV12" t="s">
        <v>137</v>
      </c>
      <c r="BW12" t="s">
        <v>137</v>
      </c>
      <c r="BX12" t="s">
        <v>137</v>
      </c>
      <c r="BY12" t="s">
        <v>137</v>
      </c>
      <c r="BZ12" t="s">
        <v>137</v>
      </c>
      <c r="CA12" t="s">
        <v>137</v>
      </c>
      <c r="CB12" t="s">
        <v>137</v>
      </c>
      <c r="CC12" t="s">
        <v>137</v>
      </c>
      <c r="CD12" t="s">
        <v>137</v>
      </c>
      <c r="CE12" t="s">
        <v>137</v>
      </c>
      <c r="CF12" t="s">
        <v>137</v>
      </c>
      <c r="CG12" t="s">
        <v>137</v>
      </c>
      <c r="CH12" t="s">
        <v>137</v>
      </c>
      <c r="CI12" t="s">
        <v>137</v>
      </c>
      <c r="CJ12" t="s">
        <v>137</v>
      </c>
      <c r="CK12" t="s">
        <v>137</v>
      </c>
      <c r="CL12" t="s">
        <v>137</v>
      </c>
      <c r="CM12" t="s">
        <v>137</v>
      </c>
      <c r="CN12" t="s">
        <v>137</v>
      </c>
      <c r="CO12" t="s">
        <v>137</v>
      </c>
      <c r="CP12" t="s">
        <v>137</v>
      </c>
      <c r="CQ12" t="s">
        <v>137</v>
      </c>
      <c r="CR12" t="s">
        <v>137</v>
      </c>
      <c r="CS12" t="s">
        <v>137</v>
      </c>
      <c r="CT12" t="s">
        <v>137</v>
      </c>
      <c r="CU12" t="s">
        <v>137</v>
      </c>
      <c r="CV12" t="s">
        <v>137</v>
      </c>
      <c r="CW12" t="s">
        <v>137</v>
      </c>
      <c r="CX12" t="s">
        <v>137</v>
      </c>
      <c r="CY12" t="s">
        <v>137</v>
      </c>
      <c r="CZ12" t="s">
        <v>137</v>
      </c>
      <c r="DA12" t="s">
        <v>137</v>
      </c>
      <c r="DB12" t="s">
        <v>137</v>
      </c>
      <c r="DC12" t="s">
        <v>137</v>
      </c>
      <c r="DD12" t="s">
        <v>137</v>
      </c>
      <c r="DE12" t="s">
        <v>137</v>
      </c>
      <c r="DF12" t="s">
        <v>137</v>
      </c>
      <c r="DG12" t="s">
        <v>137</v>
      </c>
      <c r="DH12" t="s">
        <v>137</v>
      </c>
      <c r="DI12" t="s">
        <v>137</v>
      </c>
      <c r="DJ12" t="s">
        <v>137</v>
      </c>
      <c r="DK12" t="s">
        <v>137</v>
      </c>
      <c r="DL12" t="s">
        <v>137</v>
      </c>
      <c r="DM12" t="s">
        <v>137</v>
      </c>
      <c r="DN12" t="s">
        <v>137</v>
      </c>
      <c r="DO12" t="s">
        <v>137</v>
      </c>
      <c r="DP12" t="s">
        <v>137</v>
      </c>
      <c r="DQ12" t="s">
        <v>137</v>
      </c>
      <c r="DR12" t="s">
        <v>137</v>
      </c>
      <c r="DS12" t="s">
        <v>137</v>
      </c>
      <c r="DT12" t="s">
        <v>137</v>
      </c>
      <c r="DU12" t="s">
        <v>137</v>
      </c>
      <c r="DV12" t="s">
        <v>137</v>
      </c>
      <c r="DW12" t="s">
        <v>137</v>
      </c>
      <c r="DX12" t="s">
        <v>137</v>
      </c>
      <c r="DY12" t="s">
        <v>137</v>
      </c>
      <c r="DZ12" t="s">
        <v>137</v>
      </c>
      <c r="EA12" t="s">
        <v>137</v>
      </c>
      <c r="EB12" t="s">
        <v>137</v>
      </c>
      <c r="EC12" t="s">
        <v>137</v>
      </c>
      <c r="ED12" t="s">
        <v>137</v>
      </c>
      <c r="EE12" t="s">
        <v>137</v>
      </c>
      <c r="EF12" t="s">
        <v>137</v>
      </c>
      <c r="EG12" t="s">
        <v>137</v>
      </c>
      <c r="EH12" t="s">
        <v>137</v>
      </c>
      <c r="EI12" t="s">
        <v>137</v>
      </c>
      <c r="EJ12" t="s">
        <v>137</v>
      </c>
      <c r="EK12" t="s">
        <v>137</v>
      </c>
      <c r="EL12" t="s">
        <v>137</v>
      </c>
      <c r="EM12" t="s">
        <v>137</v>
      </c>
      <c r="EN12" t="s">
        <v>137</v>
      </c>
      <c r="EO12" t="s">
        <v>137</v>
      </c>
      <c r="EP12" t="s">
        <v>137</v>
      </c>
      <c r="EQ12" t="s">
        <v>137</v>
      </c>
      <c r="ER12" t="s">
        <v>137</v>
      </c>
      <c r="ES12" t="s">
        <v>137</v>
      </c>
      <c r="ET12" t="s">
        <v>137</v>
      </c>
      <c r="EU12" t="s">
        <v>137</v>
      </c>
      <c r="EV12" t="s">
        <v>137</v>
      </c>
      <c r="EW12" t="s">
        <v>137</v>
      </c>
      <c r="EX12" t="s">
        <v>137</v>
      </c>
      <c r="EY12" t="s">
        <v>137</v>
      </c>
      <c r="EZ12" t="s">
        <v>137</v>
      </c>
      <c r="FA12" t="s">
        <v>137</v>
      </c>
      <c r="FB12" t="s">
        <v>137</v>
      </c>
      <c r="FC12" t="s">
        <v>137</v>
      </c>
      <c r="FD12" t="s">
        <v>137</v>
      </c>
      <c r="FE12" t="s">
        <v>137</v>
      </c>
      <c r="FF12" t="s">
        <v>137</v>
      </c>
      <c r="FG12" t="s">
        <v>137</v>
      </c>
      <c r="FH12" t="s">
        <v>137</v>
      </c>
      <c r="FI12" t="s">
        <v>137</v>
      </c>
      <c r="FJ12" t="s">
        <v>137</v>
      </c>
      <c r="FK12" t="s">
        <v>137</v>
      </c>
      <c r="FL12" t="s">
        <v>137</v>
      </c>
      <c r="FM12" t="s">
        <v>137</v>
      </c>
      <c r="FN12" t="s">
        <v>137</v>
      </c>
      <c r="FO12" t="s">
        <v>137</v>
      </c>
      <c r="FP12" t="s">
        <v>137</v>
      </c>
      <c r="FQ12" t="s">
        <v>137</v>
      </c>
      <c r="FR12" t="s">
        <v>137</v>
      </c>
      <c r="FS12" t="s">
        <v>137</v>
      </c>
      <c r="FT12" t="s">
        <v>137</v>
      </c>
      <c r="FU12" t="s">
        <v>137</v>
      </c>
      <c r="FV12" t="s">
        <v>137</v>
      </c>
      <c r="FW12" t="s">
        <v>137</v>
      </c>
      <c r="FX12" t="s">
        <v>137</v>
      </c>
      <c r="FY12" t="s">
        <v>137</v>
      </c>
      <c r="FZ12" t="s">
        <v>137</v>
      </c>
      <c r="GA12" t="s">
        <v>137</v>
      </c>
      <c r="GB12" t="s">
        <v>137</v>
      </c>
      <c r="GC12" t="s">
        <v>137</v>
      </c>
      <c r="GD12" t="s">
        <v>137</v>
      </c>
      <c r="GE12" t="s">
        <v>137</v>
      </c>
      <c r="GF12" t="s">
        <v>137</v>
      </c>
      <c r="GG12" t="s">
        <v>137</v>
      </c>
      <c r="GH12" t="s">
        <v>137</v>
      </c>
      <c r="GI12" t="s">
        <v>137</v>
      </c>
      <c r="GJ12" t="s">
        <v>137</v>
      </c>
      <c r="GK12" t="s">
        <v>137</v>
      </c>
      <c r="GL12" t="s">
        <v>137</v>
      </c>
      <c r="GM12" t="s">
        <v>137</v>
      </c>
      <c r="GN12" t="s">
        <v>137</v>
      </c>
      <c r="GO12" t="s">
        <v>137</v>
      </c>
      <c r="GP12" t="s">
        <v>137</v>
      </c>
      <c r="GQ12" t="s">
        <v>137</v>
      </c>
      <c r="GR12" t="s">
        <v>137</v>
      </c>
      <c r="GS12" t="s">
        <v>137</v>
      </c>
      <c r="GT12" t="s">
        <v>137</v>
      </c>
      <c r="GU12" t="s">
        <v>137</v>
      </c>
      <c r="GV12" t="s">
        <v>137</v>
      </c>
      <c r="GW12" t="s">
        <v>137</v>
      </c>
      <c r="GX12" t="s">
        <v>137</v>
      </c>
      <c r="GY12" t="s">
        <v>137</v>
      </c>
      <c r="GZ12" t="s">
        <v>137</v>
      </c>
      <c r="HA12" t="s">
        <v>137</v>
      </c>
      <c r="HB12" t="s">
        <v>137</v>
      </c>
      <c r="HC12" t="s">
        <v>137</v>
      </c>
      <c r="HD12" t="s">
        <v>137</v>
      </c>
      <c r="HE12" t="s">
        <v>137</v>
      </c>
      <c r="HF12" t="s">
        <v>137</v>
      </c>
      <c r="HG12" t="s">
        <v>137</v>
      </c>
      <c r="HH12" t="s">
        <v>137</v>
      </c>
      <c r="HI12" t="s">
        <v>137</v>
      </c>
      <c r="HJ12" t="s">
        <v>137</v>
      </c>
      <c r="HK12" t="s">
        <v>137</v>
      </c>
      <c r="HL12" t="s">
        <v>137</v>
      </c>
      <c r="HM12" t="s">
        <v>137</v>
      </c>
      <c r="HN12" t="s">
        <v>137</v>
      </c>
      <c r="HO12" t="s">
        <v>137</v>
      </c>
      <c r="HP12" t="s">
        <v>137</v>
      </c>
      <c r="HQ12" t="s">
        <v>137</v>
      </c>
      <c r="HR12" t="s">
        <v>137</v>
      </c>
      <c r="HS12" t="s">
        <v>137</v>
      </c>
      <c r="HT12" t="s">
        <v>137</v>
      </c>
      <c r="HU12" t="s">
        <v>137</v>
      </c>
      <c r="HV12" t="s">
        <v>137</v>
      </c>
      <c r="HW12" t="s">
        <v>137</v>
      </c>
      <c r="HX12" t="s">
        <v>137</v>
      </c>
      <c r="HY12" t="s">
        <v>137</v>
      </c>
      <c r="HZ12" t="s">
        <v>137</v>
      </c>
      <c r="IA12" t="s">
        <v>137</v>
      </c>
      <c r="IB12" t="s">
        <v>137</v>
      </c>
      <c r="IC12" t="s">
        <v>137</v>
      </c>
      <c r="ID12" t="s">
        <v>137</v>
      </c>
      <c r="IE12" t="s">
        <v>137</v>
      </c>
      <c r="IF12" t="s">
        <v>137</v>
      </c>
      <c r="IG12" t="s">
        <v>137</v>
      </c>
      <c r="IH12" t="s">
        <v>137</v>
      </c>
      <c r="II12" t="s">
        <v>137</v>
      </c>
      <c r="IJ12" t="s">
        <v>137</v>
      </c>
      <c r="IK12" t="s">
        <v>137</v>
      </c>
      <c r="IL12" t="s">
        <v>137</v>
      </c>
      <c r="IM12" t="s">
        <v>137</v>
      </c>
      <c r="IN12" t="s">
        <v>137</v>
      </c>
      <c r="IO12" t="s">
        <v>137</v>
      </c>
      <c r="IP12" t="s">
        <v>137</v>
      </c>
      <c r="IQ12" t="s">
        <v>137</v>
      </c>
      <c r="IR12" t="s">
        <v>137</v>
      </c>
      <c r="IS12" t="s">
        <v>137</v>
      </c>
      <c r="IT12" t="s">
        <v>137</v>
      </c>
      <c r="IU12" t="s">
        <v>137</v>
      </c>
      <c r="IV12" t="s">
        <v>137</v>
      </c>
      <c r="IW12" t="s">
        <v>137</v>
      </c>
      <c r="IX12" t="s">
        <v>137</v>
      </c>
      <c r="IY12" t="s">
        <v>137</v>
      </c>
      <c r="IZ12" t="s">
        <v>137</v>
      </c>
      <c r="JA12" t="s">
        <v>137</v>
      </c>
      <c r="JB12" t="s">
        <v>137</v>
      </c>
      <c r="JC12" t="s">
        <v>137</v>
      </c>
      <c r="JD12" t="s">
        <v>137</v>
      </c>
      <c r="JE12" t="s">
        <v>137</v>
      </c>
      <c r="JF12" t="s">
        <v>137</v>
      </c>
      <c r="JG12" t="s">
        <v>137</v>
      </c>
      <c r="JH12" t="s">
        <v>137</v>
      </c>
      <c r="JI12" t="s">
        <v>137</v>
      </c>
      <c r="JJ12" t="s">
        <v>137</v>
      </c>
      <c r="JK12" t="s">
        <v>137</v>
      </c>
      <c r="JL12" t="s">
        <v>137</v>
      </c>
      <c r="JM12" t="s">
        <v>137</v>
      </c>
      <c r="JN12" t="s">
        <v>137</v>
      </c>
      <c r="JO12" t="s">
        <v>137</v>
      </c>
      <c r="JP12" t="s">
        <v>137</v>
      </c>
      <c r="JQ12" t="s">
        <v>137</v>
      </c>
      <c r="JR12" t="s">
        <v>137</v>
      </c>
      <c r="JS12" t="s">
        <v>137</v>
      </c>
      <c r="JT12" t="s">
        <v>137</v>
      </c>
      <c r="JU12" t="s">
        <v>137</v>
      </c>
      <c r="JV12" t="s">
        <v>137</v>
      </c>
      <c r="JW12" t="s">
        <v>137</v>
      </c>
      <c r="JX12" t="s">
        <v>137</v>
      </c>
      <c r="JY12" t="s">
        <v>137</v>
      </c>
      <c r="JZ12" t="s">
        <v>137</v>
      </c>
      <c r="KA12" t="s">
        <v>137</v>
      </c>
      <c r="KB12" t="s">
        <v>137</v>
      </c>
      <c r="KC12" t="s">
        <v>137</v>
      </c>
      <c r="KD12" t="s">
        <v>137</v>
      </c>
      <c r="KE12" t="s">
        <v>137</v>
      </c>
      <c r="KF12" t="s">
        <v>137</v>
      </c>
      <c r="KG12" t="s">
        <v>137</v>
      </c>
      <c r="KH12" t="s">
        <v>137</v>
      </c>
      <c r="KI12" t="s">
        <v>137</v>
      </c>
      <c r="KJ12" t="s">
        <v>137</v>
      </c>
      <c r="KK12" t="s">
        <v>137</v>
      </c>
      <c r="KL12" t="s">
        <v>137</v>
      </c>
      <c r="KM12" t="s">
        <v>137</v>
      </c>
      <c r="KN12" t="s">
        <v>137</v>
      </c>
      <c r="KO12" t="s">
        <v>137</v>
      </c>
      <c r="KP12" t="s">
        <v>137</v>
      </c>
      <c r="KQ12" t="s">
        <v>137</v>
      </c>
      <c r="KR12" t="s">
        <v>137</v>
      </c>
      <c r="KS12" t="s">
        <v>137</v>
      </c>
      <c r="KT12" t="s">
        <v>137</v>
      </c>
      <c r="KU12" t="s">
        <v>137</v>
      </c>
      <c r="KV12" t="s">
        <v>137</v>
      </c>
      <c r="KW12" t="s">
        <v>137</v>
      </c>
      <c r="KX12" t="s">
        <v>137</v>
      </c>
      <c r="KY12" t="s">
        <v>137</v>
      </c>
      <c r="KZ12" t="s">
        <v>137</v>
      </c>
      <c r="LA12" t="s">
        <v>137</v>
      </c>
      <c r="LB12" t="s">
        <v>137</v>
      </c>
      <c r="LC12" t="s">
        <v>137</v>
      </c>
      <c r="LD12" t="s">
        <v>137</v>
      </c>
      <c r="LE12" t="s">
        <v>137</v>
      </c>
      <c r="LF12" t="s">
        <v>137</v>
      </c>
      <c r="LG12" t="s">
        <v>137</v>
      </c>
      <c r="LH12" t="s">
        <v>137</v>
      </c>
      <c r="LI12" t="s">
        <v>137</v>
      </c>
      <c r="LJ12" t="s">
        <v>137</v>
      </c>
      <c r="LK12" t="s">
        <v>137</v>
      </c>
      <c r="LL12" t="s">
        <v>137</v>
      </c>
      <c r="LM12" t="s">
        <v>137</v>
      </c>
      <c r="LN12" t="s">
        <v>137</v>
      </c>
      <c r="LO12" t="s">
        <v>137</v>
      </c>
      <c r="LP12" t="s">
        <v>137</v>
      </c>
      <c r="LQ12" t="s">
        <v>137</v>
      </c>
      <c r="LR12" t="s">
        <v>137</v>
      </c>
      <c r="LS12" t="s">
        <v>137</v>
      </c>
      <c r="LT12" t="s">
        <v>137</v>
      </c>
      <c r="LU12" t="s">
        <v>137</v>
      </c>
      <c r="LV12" t="s">
        <v>137</v>
      </c>
      <c r="LW12" t="s">
        <v>137</v>
      </c>
      <c r="LX12" t="s">
        <v>137</v>
      </c>
      <c r="LY12" t="s">
        <v>137</v>
      </c>
      <c r="LZ12" t="s">
        <v>137</v>
      </c>
      <c r="MA12" t="s">
        <v>137</v>
      </c>
      <c r="MB12" t="s">
        <v>137</v>
      </c>
      <c r="MC12" t="s">
        <v>137</v>
      </c>
      <c r="MD12" t="s">
        <v>137</v>
      </c>
      <c r="ME12" t="s">
        <v>137</v>
      </c>
      <c r="MF12" t="s">
        <v>137</v>
      </c>
      <c r="MG12" t="s">
        <v>137</v>
      </c>
      <c r="MH12" t="s">
        <v>137</v>
      </c>
      <c r="MI12" t="s">
        <v>137</v>
      </c>
      <c r="MJ12" t="s">
        <v>137</v>
      </c>
      <c r="MK12" t="s">
        <v>137</v>
      </c>
      <c r="ML12" t="s">
        <v>137</v>
      </c>
      <c r="MM12" t="s">
        <v>137</v>
      </c>
      <c r="MN12" t="s">
        <v>137</v>
      </c>
      <c r="MO12" t="s">
        <v>137</v>
      </c>
      <c r="MP12" t="s">
        <v>137</v>
      </c>
      <c r="MQ12" t="s">
        <v>137</v>
      </c>
      <c r="MR12" t="s">
        <v>137</v>
      </c>
      <c r="MS12" t="s">
        <v>137</v>
      </c>
      <c r="MT12" t="s">
        <v>137</v>
      </c>
      <c r="MU12" t="s">
        <v>137</v>
      </c>
      <c r="MV12" t="s">
        <v>137</v>
      </c>
      <c r="MW12" t="s">
        <v>137</v>
      </c>
      <c r="MX12" t="s">
        <v>137</v>
      </c>
      <c r="MY12" t="s">
        <v>137</v>
      </c>
      <c r="MZ12" t="s">
        <v>137</v>
      </c>
      <c r="NA12" t="s">
        <v>137</v>
      </c>
      <c r="NB12" t="s">
        <v>137</v>
      </c>
      <c r="NC12" t="s">
        <v>137</v>
      </c>
      <c r="ND12" t="s">
        <v>137</v>
      </c>
      <c r="NE12" t="s">
        <v>137</v>
      </c>
      <c r="NF12" t="s">
        <v>137</v>
      </c>
      <c r="NG12" t="s">
        <v>137</v>
      </c>
      <c r="NH12" t="s">
        <v>137</v>
      </c>
      <c r="NI12" t="s">
        <v>137</v>
      </c>
      <c r="NJ12" t="s">
        <v>137</v>
      </c>
      <c r="NK12" t="s">
        <v>137</v>
      </c>
      <c r="NL12" t="s">
        <v>137</v>
      </c>
      <c r="NM12" t="s">
        <v>137</v>
      </c>
      <c r="NN12" t="s">
        <v>137</v>
      </c>
      <c r="NO12" t="s">
        <v>137</v>
      </c>
      <c r="NP12" t="s">
        <v>137</v>
      </c>
      <c r="NQ12" t="s">
        <v>137</v>
      </c>
      <c r="NR12" t="s">
        <v>137</v>
      </c>
      <c r="NS12" t="s">
        <v>137</v>
      </c>
      <c r="NT12" t="s">
        <v>137</v>
      </c>
      <c r="NU12" t="s">
        <v>137</v>
      </c>
      <c r="NV12" t="s">
        <v>137</v>
      </c>
      <c r="NW12" t="s">
        <v>137</v>
      </c>
      <c r="NX12" t="s">
        <v>137</v>
      </c>
      <c r="NY12" t="s">
        <v>137</v>
      </c>
      <c r="NZ12" t="s">
        <v>137</v>
      </c>
      <c r="OA12" t="s">
        <v>137</v>
      </c>
      <c r="OB12" t="s">
        <v>137</v>
      </c>
      <c r="OC12" t="s">
        <v>137</v>
      </c>
      <c r="OD12" t="s">
        <v>137</v>
      </c>
      <c r="OE12" t="s">
        <v>137</v>
      </c>
      <c r="OF12" t="s">
        <v>137</v>
      </c>
      <c r="OG12" t="s">
        <v>137</v>
      </c>
      <c r="OH12" t="s">
        <v>137</v>
      </c>
      <c r="OI12" t="s">
        <v>137</v>
      </c>
      <c r="OJ12" t="s">
        <v>137</v>
      </c>
      <c r="OK12" t="s">
        <v>137</v>
      </c>
      <c r="OL12" t="s">
        <v>137</v>
      </c>
      <c r="OM12" t="s">
        <v>137</v>
      </c>
      <c r="ON12" t="s">
        <v>137</v>
      </c>
      <c r="OO12" t="s">
        <v>137</v>
      </c>
      <c r="OP12" t="s">
        <v>137</v>
      </c>
      <c r="OQ12" t="s">
        <v>137</v>
      </c>
      <c r="OR12" t="s">
        <v>137</v>
      </c>
      <c r="OS12" t="s">
        <v>137</v>
      </c>
      <c r="OT12" t="s">
        <v>137</v>
      </c>
      <c r="OU12" t="s">
        <v>137</v>
      </c>
      <c r="OV12" t="s">
        <v>137</v>
      </c>
      <c r="OW12" t="s">
        <v>137</v>
      </c>
      <c r="OX12" t="s">
        <v>137</v>
      </c>
      <c r="OY12" t="s">
        <v>137</v>
      </c>
      <c r="OZ12" t="s">
        <v>137</v>
      </c>
      <c r="PA12" t="s">
        <v>137</v>
      </c>
      <c r="PB12" t="s">
        <v>137</v>
      </c>
      <c r="PC12" t="s">
        <v>137</v>
      </c>
      <c r="PD12" t="s">
        <v>137</v>
      </c>
      <c r="PE12" t="s">
        <v>137</v>
      </c>
      <c r="PF12" t="s">
        <v>137</v>
      </c>
      <c r="PG12" t="s">
        <v>137</v>
      </c>
      <c r="PH12" t="s">
        <v>137</v>
      </c>
      <c r="PI12" t="s">
        <v>137</v>
      </c>
      <c r="PJ12" t="s">
        <v>137</v>
      </c>
      <c r="PK12" t="s">
        <v>137</v>
      </c>
      <c r="PL12" t="s">
        <v>137</v>
      </c>
      <c r="PM12" t="s">
        <v>137</v>
      </c>
      <c r="PN12" t="s">
        <v>137</v>
      </c>
      <c r="PO12" t="s">
        <v>137</v>
      </c>
      <c r="PP12" t="s">
        <v>137</v>
      </c>
      <c r="PQ12" t="s">
        <v>137</v>
      </c>
      <c r="PR12" t="s">
        <v>137</v>
      </c>
      <c r="PS12" t="s">
        <v>137</v>
      </c>
      <c r="PT12" t="s">
        <v>137</v>
      </c>
      <c r="PU12" t="s">
        <v>137</v>
      </c>
      <c r="PV12" t="s">
        <v>137</v>
      </c>
      <c r="PW12" t="s">
        <v>137</v>
      </c>
      <c r="PX12" t="s">
        <v>137</v>
      </c>
      <c r="PY12" t="s">
        <v>137</v>
      </c>
      <c r="PZ12" t="s">
        <v>137</v>
      </c>
      <c r="QA12" t="s">
        <v>137</v>
      </c>
      <c r="QB12" t="s">
        <v>137</v>
      </c>
      <c r="QC12" t="s">
        <v>137</v>
      </c>
      <c r="QD12" t="s">
        <v>137</v>
      </c>
      <c r="QE12" t="s">
        <v>137</v>
      </c>
      <c r="QF12" t="s">
        <v>137</v>
      </c>
      <c r="QG12" t="s">
        <v>137</v>
      </c>
      <c r="QH12" t="s">
        <v>137</v>
      </c>
      <c r="QI12" t="s">
        <v>137</v>
      </c>
      <c r="QJ12" t="s">
        <v>137</v>
      </c>
      <c r="QK12" t="s">
        <v>137</v>
      </c>
      <c r="QL12" t="s">
        <v>137</v>
      </c>
      <c r="QM12" t="s">
        <v>137</v>
      </c>
      <c r="QN12" t="s">
        <v>137</v>
      </c>
      <c r="QO12" t="s">
        <v>137</v>
      </c>
    </row>
    <row r="13" spans="1:524" x14ac:dyDescent="0.2">
      <c r="A13" t="s">
        <v>156</v>
      </c>
      <c r="B13" s="3">
        <v>38626</v>
      </c>
      <c r="C13" t="s">
        <v>25</v>
      </c>
      <c r="E13" t="s">
        <v>137</v>
      </c>
      <c r="F13">
        <v>33.774999999999999</v>
      </c>
      <c r="G13">
        <v>34.831000000000003</v>
      </c>
      <c r="H13">
        <v>34.898000000000003</v>
      </c>
      <c r="I13">
        <v>38.408000000000001</v>
      </c>
      <c r="J13">
        <v>40.220999999999997</v>
      </c>
      <c r="K13" t="s">
        <v>137</v>
      </c>
      <c r="L13" t="s">
        <v>137</v>
      </c>
      <c r="M13">
        <v>40.238</v>
      </c>
      <c r="N13">
        <v>38.798000000000002</v>
      </c>
      <c r="O13">
        <v>39.395000000000003</v>
      </c>
      <c r="P13">
        <v>39.192999999999998</v>
      </c>
      <c r="Q13">
        <v>37.520000000000003</v>
      </c>
      <c r="R13" t="s">
        <v>137</v>
      </c>
      <c r="S13" t="s">
        <v>137</v>
      </c>
      <c r="T13">
        <v>37.99</v>
      </c>
      <c r="U13">
        <v>37.466999999999999</v>
      </c>
      <c r="V13">
        <v>39.146999999999998</v>
      </c>
      <c r="W13">
        <v>38.704000000000001</v>
      </c>
      <c r="X13">
        <v>39.048999999999999</v>
      </c>
      <c r="Y13" t="s">
        <v>137</v>
      </c>
      <c r="Z13" t="s">
        <v>137</v>
      </c>
      <c r="AA13">
        <v>38.676000000000002</v>
      </c>
      <c r="AB13">
        <v>37.933999999999997</v>
      </c>
      <c r="AC13">
        <v>36.979999999999997</v>
      </c>
      <c r="AD13">
        <v>37.652000000000001</v>
      </c>
      <c r="AE13">
        <v>38.747</v>
      </c>
      <c r="AF13" t="s">
        <v>137</v>
      </c>
      <c r="AG13" t="s">
        <v>137</v>
      </c>
      <c r="AH13">
        <v>38.841999999999999</v>
      </c>
      <c r="AI13">
        <v>39.075000000000003</v>
      </c>
      <c r="AJ13">
        <v>38.841999999999999</v>
      </c>
      <c r="AK13">
        <v>38.64</v>
      </c>
      <c r="AL13">
        <v>38.456000000000003</v>
      </c>
      <c r="AM13" t="s">
        <v>137</v>
      </c>
      <c r="AN13" t="s">
        <v>137</v>
      </c>
      <c r="AO13">
        <v>38.953000000000003</v>
      </c>
      <c r="AP13">
        <v>39.154000000000003</v>
      </c>
      <c r="AQ13">
        <v>39.381999999999998</v>
      </c>
      <c r="AR13">
        <v>40.747999999999998</v>
      </c>
      <c r="AS13">
        <v>41.76</v>
      </c>
      <c r="AT13" t="s">
        <v>137</v>
      </c>
      <c r="AU13" t="s">
        <v>137</v>
      </c>
      <c r="AV13">
        <v>41.356999999999999</v>
      </c>
      <c r="AW13">
        <v>41.255000000000003</v>
      </c>
      <c r="AX13">
        <v>40.301000000000002</v>
      </c>
      <c r="AY13">
        <v>40.222000000000001</v>
      </c>
      <c r="AZ13">
        <v>39.814</v>
      </c>
      <c r="BA13" t="s">
        <v>137</v>
      </c>
      <c r="BB13" t="s">
        <v>137</v>
      </c>
      <c r="BC13">
        <v>39.57</v>
      </c>
      <c r="BD13">
        <v>39.445999999999998</v>
      </c>
      <c r="BE13">
        <v>39.786000000000001</v>
      </c>
      <c r="BF13">
        <v>41.264000000000003</v>
      </c>
      <c r="BG13">
        <v>40.372</v>
      </c>
      <c r="BH13" t="s">
        <v>137</v>
      </c>
      <c r="BI13" t="s">
        <v>137</v>
      </c>
      <c r="BJ13">
        <v>40.070999999999998</v>
      </c>
      <c r="BK13">
        <v>40.061999999999998</v>
      </c>
      <c r="BL13">
        <v>39.624000000000002</v>
      </c>
      <c r="BM13">
        <v>39.664999999999999</v>
      </c>
      <c r="BN13">
        <v>39.237000000000002</v>
      </c>
      <c r="BO13" t="s">
        <v>137</v>
      </c>
      <c r="BP13" t="s">
        <v>137</v>
      </c>
      <c r="BQ13">
        <v>39.326999999999998</v>
      </c>
      <c r="BR13">
        <v>39.606000000000002</v>
      </c>
      <c r="BS13">
        <v>39.645000000000003</v>
      </c>
      <c r="BT13">
        <v>39.052</v>
      </c>
      <c r="BU13">
        <v>38.606999999999999</v>
      </c>
      <c r="BV13" t="s">
        <v>137</v>
      </c>
      <c r="BW13" t="s">
        <v>137</v>
      </c>
      <c r="BX13">
        <v>37.804000000000002</v>
      </c>
      <c r="BY13">
        <v>37.701000000000001</v>
      </c>
      <c r="BZ13">
        <v>38.15</v>
      </c>
      <c r="CA13">
        <v>38.991999999999997</v>
      </c>
      <c r="CB13">
        <v>38.948999999999998</v>
      </c>
      <c r="CC13" t="s">
        <v>137</v>
      </c>
      <c r="CD13" t="s">
        <v>137</v>
      </c>
      <c r="CE13">
        <v>39.244</v>
      </c>
      <c r="CF13">
        <v>38.875999999999998</v>
      </c>
      <c r="CG13">
        <v>40.412999999999997</v>
      </c>
      <c r="CH13">
        <v>40.195999999999998</v>
      </c>
      <c r="CI13">
        <v>40.268999999999998</v>
      </c>
      <c r="CJ13" t="s">
        <v>137</v>
      </c>
      <c r="CK13" t="s">
        <v>137</v>
      </c>
      <c r="CL13">
        <v>39.728000000000002</v>
      </c>
      <c r="CM13">
        <v>39.408999999999999</v>
      </c>
      <c r="CN13">
        <v>39.398000000000003</v>
      </c>
      <c r="CO13">
        <v>39.4</v>
      </c>
      <c r="CP13">
        <v>39.024999999999999</v>
      </c>
      <c r="CQ13" t="s">
        <v>137</v>
      </c>
      <c r="CR13" t="s">
        <v>137</v>
      </c>
      <c r="CS13">
        <v>38.743000000000002</v>
      </c>
      <c r="CT13">
        <v>38.96</v>
      </c>
      <c r="CU13">
        <v>38.832000000000001</v>
      </c>
      <c r="CV13">
        <v>38.786000000000001</v>
      </c>
      <c r="CW13">
        <v>38.768999999999998</v>
      </c>
      <c r="CX13" t="s">
        <v>137</v>
      </c>
      <c r="CY13" t="s">
        <v>137</v>
      </c>
      <c r="CZ13">
        <v>38.805999999999997</v>
      </c>
      <c r="DA13">
        <v>38.798000000000002</v>
      </c>
      <c r="DB13">
        <v>38.872</v>
      </c>
      <c r="DC13">
        <v>40.293999999999997</v>
      </c>
      <c r="DD13">
        <v>40.43</v>
      </c>
      <c r="DE13" t="s">
        <v>137</v>
      </c>
      <c r="DF13" t="s">
        <v>137</v>
      </c>
      <c r="DG13">
        <v>40.375</v>
      </c>
      <c r="DH13">
        <v>40.463000000000001</v>
      </c>
      <c r="DI13">
        <v>40.338000000000001</v>
      </c>
      <c r="DJ13">
        <v>43.841999999999999</v>
      </c>
      <c r="DK13">
        <v>42.999000000000002</v>
      </c>
      <c r="DL13" t="s">
        <v>137</v>
      </c>
      <c r="DM13" t="s">
        <v>137</v>
      </c>
      <c r="DN13">
        <v>42.862000000000002</v>
      </c>
      <c r="DO13">
        <v>42.884999999999998</v>
      </c>
      <c r="DP13">
        <v>42.9</v>
      </c>
      <c r="DQ13">
        <v>42.915999999999997</v>
      </c>
      <c r="DR13">
        <v>43.984999999999999</v>
      </c>
      <c r="DS13" t="s">
        <v>137</v>
      </c>
      <c r="DT13" t="s">
        <v>137</v>
      </c>
      <c r="DU13">
        <v>45.273000000000003</v>
      </c>
      <c r="DV13">
        <v>45.417999999999999</v>
      </c>
      <c r="DW13">
        <v>45.435000000000002</v>
      </c>
      <c r="DX13">
        <v>46.003</v>
      </c>
      <c r="DY13">
        <v>44.63</v>
      </c>
      <c r="DZ13" t="s">
        <v>137</v>
      </c>
      <c r="EA13" t="s">
        <v>137</v>
      </c>
      <c r="EB13">
        <v>43.968000000000004</v>
      </c>
      <c r="EC13">
        <v>44.259</v>
      </c>
      <c r="ED13">
        <v>43.898000000000003</v>
      </c>
      <c r="EE13">
        <v>44.831000000000003</v>
      </c>
      <c r="EF13">
        <v>45.063000000000002</v>
      </c>
      <c r="EG13" t="s">
        <v>137</v>
      </c>
      <c r="EH13" t="s">
        <v>137</v>
      </c>
      <c r="EI13">
        <v>44.045999999999999</v>
      </c>
      <c r="EJ13">
        <v>44.021000000000001</v>
      </c>
      <c r="EK13">
        <v>44.234999999999999</v>
      </c>
      <c r="EL13">
        <v>44.875999999999998</v>
      </c>
      <c r="EM13">
        <v>44.427999999999997</v>
      </c>
      <c r="EN13" t="s">
        <v>137</v>
      </c>
      <c r="EO13" t="s">
        <v>137</v>
      </c>
      <c r="EP13">
        <v>44.2</v>
      </c>
      <c r="EQ13">
        <v>44.002000000000002</v>
      </c>
      <c r="ER13">
        <v>42.905999999999999</v>
      </c>
      <c r="ES13">
        <v>42.576000000000001</v>
      </c>
      <c r="ET13">
        <v>42.515999999999998</v>
      </c>
      <c r="EU13" t="s">
        <v>137</v>
      </c>
      <c r="EV13" t="s">
        <v>137</v>
      </c>
      <c r="EW13">
        <v>41.226999999999997</v>
      </c>
      <c r="EX13">
        <v>41.347000000000001</v>
      </c>
      <c r="EY13">
        <v>42.027000000000001</v>
      </c>
      <c r="EZ13">
        <v>41.847000000000001</v>
      </c>
      <c r="FA13">
        <v>41.531999999999996</v>
      </c>
      <c r="FB13" t="s">
        <v>137</v>
      </c>
      <c r="FC13" t="s">
        <v>137</v>
      </c>
      <c r="FD13">
        <v>42.005000000000003</v>
      </c>
      <c r="FE13">
        <v>42.591999999999999</v>
      </c>
      <c r="FF13">
        <v>43.301000000000002</v>
      </c>
      <c r="FG13">
        <v>42.747</v>
      </c>
      <c r="FH13">
        <v>43.247</v>
      </c>
      <c r="FI13" t="s">
        <v>137</v>
      </c>
      <c r="FJ13" t="s">
        <v>137</v>
      </c>
      <c r="FK13">
        <v>42.85</v>
      </c>
      <c r="FL13">
        <v>42.781999999999996</v>
      </c>
      <c r="FM13">
        <v>42.606999999999999</v>
      </c>
      <c r="FN13">
        <v>41.862000000000002</v>
      </c>
      <c r="FO13">
        <v>42.301000000000002</v>
      </c>
      <c r="FP13" t="s">
        <v>137</v>
      </c>
      <c r="FQ13" t="s">
        <v>137</v>
      </c>
      <c r="FR13">
        <v>41.503</v>
      </c>
      <c r="FS13">
        <v>41.421999999999997</v>
      </c>
      <c r="FT13">
        <v>41.656999999999996</v>
      </c>
      <c r="FU13">
        <v>40.436999999999998</v>
      </c>
      <c r="FV13">
        <v>42.280999999999999</v>
      </c>
      <c r="FW13" t="s">
        <v>137</v>
      </c>
      <c r="FX13" t="s">
        <v>137</v>
      </c>
      <c r="FY13">
        <v>41.521999999999998</v>
      </c>
      <c r="FZ13">
        <v>42.106999999999999</v>
      </c>
      <c r="GA13">
        <v>41.517000000000003</v>
      </c>
      <c r="GB13">
        <v>39.950000000000003</v>
      </c>
      <c r="GC13">
        <v>39.154000000000003</v>
      </c>
      <c r="GD13" t="s">
        <v>137</v>
      </c>
      <c r="GE13" t="s">
        <v>137</v>
      </c>
      <c r="GF13">
        <v>38.743000000000002</v>
      </c>
      <c r="GG13">
        <v>39.546999999999997</v>
      </c>
      <c r="GH13">
        <v>39.722000000000001</v>
      </c>
      <c r="GI13">
        <v>39.671999999999997</v>
      </c>
      <c r="GJ13">
        <v>37.731999999999999</v>
      </c>
      <c r="GK13" t="s">
        <v>137</v>
      </c>
      <c r="GL13" t="s">
        <v>137</v>
      </c>
      <c r="GM13">
        <v>34.880000000000003</v>
      </c>
      <c r="GN13">
        <v>35.173999999999999</v>
      </c>
      <c r="GO13">
        <v>33.572000000000003</v>
      </c>
      <c r="GP13">
        <v>30.727</v>
      </c>
      <c r="GQ13">
        <v>30.196999999999999</v>
      </c>
      <c r="GR13" t="s">
        <v>137</v>
      </c>
      <c r="GS13" t="s">
        <v>137</v>
      </c>
      <c r="GT13">
        <v>29.332000000000001</v>
      </c>
      <c r="GU13">
        <v>28.977</v>
      </c>
      <c r="GV13">
        <v>28.5</v>
      </c>
      <c r="GW13">
        <v>25.45</v>
      </c>
      <c r="GX13">
        <v>25.5</v>
      </c>
      <c r="GY13" t="s">
        <v>137</v>
      </c>
      <c r="GZ13" t="s">
        <v>137</v>
      </c>
      <c r="HA13">
        <v>25.402000000000001</v>
      </c>
      <c r="HB13">
        <v>25.5</v>
      </c>
      <c r="HC13">
        <v>25.372</v>
      </c>
      <c r="HD13">
        <v>25.163</v>
      </c>
      <c r="HE13">
        <v>24.6</v>
      </c>
      <c r="HF13" t="s">
        <v>137</v>
      </c>
      <c r="HG13" t="s">
        <v>137</v>
      </c>
      <c r="HH13">
        <v>24.5</v>
      </c>
      <c r="HI13">
        <v>26.297000000000001</v>
      </c>
      <c r="HJ13">
        <v>26.5</v>
      </c>
      <c r="HK13">
        <v>27.547000000000001</v>
      </c>
      <c r="HL13">
        <v>27.672000000000001</v>
      </c>
      <c r="HM13" t="s">
        <v>137</v>
      </c>
      <c r="HN13" t="s">
        <v>137</v>
      </c>
      <c r="HO13">
        <v>27.802</v>
      </c>
      <c r="HP13">
        <v>28.372</v>
      </c>
      <c r="HQ13">
        <v>27.582000000000001</v>
      </c>
      <c r="HR13">
        <v>27.5</v>
      </c>
      <c r="HS13">
        <v>27.504999999999999</v>
      </c>
      <c r="HT13" t="s">
        <v>137</v>
      </c>
      <c r="HU13" t="s">
        <v>137</v>
      </c>
      <c r="HV13">
        <v>27.504999999999999</v>
      </c>
      <c r="HW13">
        <v>27.446999999999999</v>
      </c>
      <c r="HX13">
        <v>27.122</v>
      </c>
      <c r="HY13">
        <v>26.622</v>
      </c>
      <c r="HZ13">
        <v>27.690999999999999</v>
      </c>
      <c r="IA13" t="s">
        <v>137</v>
      </c>
      <c r="IB13" t="s">
        <v>137</v>
      </c>
      <c r="IC13">
        <v>30.146999999999998</v>
      </c>
      <c r="ID13">
        <v>28.992000000000001</v>
      </c>
      <c r="IE13">
        <v>28.251999999999999</v>
      </c>
      <c r="IF13">
        <v>27.927</v>
      </c>
      <c r="IG13">
        <v>26.997</v>
      </c>
      <c r="IH13" t="s">
        <v>137</v>
      </c>
      <c r="II13" t="s">
        <v>137</v>
      </c>
      <c r="IJ13">
        <v>26</v>
      </c>
      <c r="IK13">
        <v>25.413</v>
      </c>
      <c r="IL13">
        <v>26.321999999999999</v>
      </c>
      <c r="IM13">
        <v>25.963999999999999</v>
      </c>
      <c r="IN13">
        <v>25.963999999999999</v>
      </c>
      <c r="IO13" t="s">
        <v>137</v>
      </c>
      <c r="IP13" t="s">
        <v>137</v>
      </c>
      <c r="IQ13">
        <v>23.747</v>
      </c>
      <c r="IR13">
        <v>24.489000000000001</v>
      </c>
      <c r="IS13">
        <v>25</v>
      </c>
      <c r="IT13">
        <v>25.5</v>
      </c>
      <c r="IU13">
        <v>25.893000000000001</v>
      </c>
      <c r="IV13" t="s">
        <v>137</v>
      </c>
      <c r="IW13" t="s">
        <v>137</v>
      </c>
      <c r="IX13">
        <v>26.5</v>
      </c>
      <c r="IY13">
        <v>29.463000000000001</v>
      </c>
      <c r="IZ13">
        <v>28.172000000000001</v>
      </c>
      <c r="JA13">
        <v>28.402000000000001</v>
      </c>
      <c r="JB13">
        <v>29.638999999999999</v>
      </c>
      <c r="JC13" t="s">
        <v>137</v>
      </c>
      <c r="JD13" t="s">
        <v>137</v>
      </c>
      <c r="JE13">
        <v>30.524000000000001</v>
      </c>
      <c r="JF13">
        <v>31.082000000000001</v>
      </c>
      <c r="JG13">
        <v>30.385999999999999</v>
      </c>
      <c r="JH13">
        <v>30.515000000000001</v>
      </c>
      <c r="JI13">
        <v>29.707000000000001</v>
      </c>
      <c r="JJ13" t="s">
        <v>137</v>
      </c>
      <c r="JK13" t="s">
        <v>137</v>
      </c>
      <c r="JL13">
        <v>29.707000000000001</v>
      </c>
      <c r="JM13">
        <v>29.707000000000001</v>
      </c>
      <c r="JN13">
        <v>29.707000000000001</v>
      </c>
      <c r="JO13">
        <v>29.707000000000001</v>
      </c>
      <c r="JP13">
        <v>29.707000000000001</v>
      </c>
      <c r="JQ13" t="s">
        <v>137</v>
      </c>
      <c r="JR13" t="s">
        <v>137</v>
      </c>
      <c r="JS13">
        <v>35.75</v>
      </c>
      <c r="JT13">
        <v>36.5</v>
      </c>
      <c r="JU13">
        <v>37.4</v>
      </c>
      <c r="JV13">
        <v>37.35</v>
      </c>
      <c r="JW13">
        <v>36.36</v>
      </c>
      <c r="JX13" t="s">
        <v>137</v>
      </c>
      <c r="JY13" t="s">
        <v>137</v>
      </c>
      <c r="JZ13">
        <v>37.11</v>
      </c>
      <c r="KA13">
        <v>36.36</v>
      </c>
      <c r="KB13">
        <v>35.81</v>
      </c>
      <c r="KC13">
        <v>36.01</v>
      </c>
      <c r="KD13">
        <v>36.380000000000003</v>
      </c>
      <c r="KE13" t="s">
        <v>137</v>
      </c>
      <c r="KF13" t="s">
        <v>137</v>
      </c>
      <c r="KG13">
        <v>35.81</v>
      </c>
      <c r="KH13">
        <v>36.159999999999997</v>
      </c>
      <c r="KI13">
        <v>36.56</v>
      </c>
      <c r="KJ13">
        <v>35.229999999999997</v>
      </c>
      <c r="KK13">
        <v>36.710999999999999</v>
      </c>
      <c r="KL13" t="s">
        <v>137</v>
      </c>
      <c r="KM13" t="s">
        <v>137</v>
      </c>
      <c r="KN13">
        <v>36.869999999999997</v>
      </c>
      <c r="KO13">
        <v>37.46</v>
      </c>
      <c r="KP13">
        <v>37.01</v>
      </c>
      <c r="KQ13">
        <v>36.527000000000001</v>
      </c>
      <c r="KR13">
        <v>37.093000000000004</v>
      </c>
      <c r="KS13" t="s">
        <v>137</v>
      </c>
      <c r="KT13" t="s">
        <v>137</v>
      </c>
      <c r="KU13">
        <v>37.253</v>
      </c>
      <c r="KV13">
        <v>37.799999999999997</v>
      </c>
      <c r="KW13">
        <v>37.159999999999997</v>
      </c>
      <c r="KX13">
        <v>35.5</v>
      </c>
      <c r="KY13">
        <v>36.17</v>
      </c>
      <c r="KZ13" t="s">
        <v>137</v>
      </c>
      <c r="LA13" t="s">
        <v>137</v>
      </c>
      <c r="LB13">
        <v>38.26</v>
      </c>
      <c r="LC13">
        <v>38.96</v>
      </c>
      <c r="LD13">
        <v>39.75</v>
      </c>
      <c r="LE13">
        <v>39.119999999999997</v>
      </c>
      <c r="LF13">
        <v>38.159999999999997</v>
      </c>
      <c r="LG13" t="s">
        <v>137</v>
      </c>
      <c r="LH13" t="s">
        <v>137</v>
      </c>
      <c r="LI13">
        <v>38.42</v>
      </c>
      <c r="LJ13">
        <v>38.01</v>
      </c>
      <c r="LK13">
        <v>38.21</v>
      </c>
      <c r="LL13">
        <v>38.47</v>
      </c>
      <c r="LM13">
        <v>38.21</v>
      </c>
      <c r="LN13" t="s">
        <v>137</v>
      </c>
      <c r="LO13" t="s">
        <v>137</v>
      </c>
      <c r="LP13">
        <v>37.86</v>
      </c>
      <c r="LQ13">
        <v>37.927999999999997</v>
      </c>
      <c r="LR13">
        <v>38.75</v>
      </c>
      <c r="LS13">
        <v>39.832000000000001</v>
      </c>
      <c r="LT13">
        <v>39.942999999999998</v>
      </c>
      <c r="LU13" t="s">
        <v>137</v>
      </c>
      <c r="LV13" t="s">
        <v>137</v>
      </c>
      <c r="LW13">
        <v>40.5</v>
      </c>
      <c r="LX13">
        <v>39.875</v>
      </c>
      <c r="LY13">
        <v>39.637999999999998</v>
      </c>
      <c r="LZ13">
        <v>39.115000000000002</v>
      </c>
      <c r="MA13">
        <v>39.869999999999997</v>
      </c>
      <c r="MB13" t="s">
        <v>137</v>
      </c>
      <c r="MC13" t="s">
        <v>137</v>
      </c>
      <c r="MD13">
        <v>39.61</v>
      </c>
      <c r="ME13">
        <v>44.75</v>
      </c>
      <c r="MF13">
        <v>44.05</v>
      </c>
      <c r="MG13">
        <v>43.71</v>
      </c>
      <c r="MH13">
        <v>43.28</v>
      </c>
      <c r="MI13" t="s">
        <v>137</v>
      </c>
      <c r="MJ13" t="s">
        <v>137</v>
      </c>
      <c r="MK13">
        <v>43.28</v>
      </c>
      <c r="ML13">
        <v>43.27</v>
      </c>
      <c r="MM13">
        <v>43.7</v>
      </c>
      <c r="MN13">
        <v>43.85</v>
      </c>
      <c r="MO13">
        <v>43.85</v>
      </c>
      <c r="MP13" t="s">
        <v>137</v>
      </c>
      <c r="MQ13" t="s">
        <v>137</v>
      </c>
      <c r="MR13">
        <v>43.13</v>
      </c>
      <c r="MS13">
        <v>42.92</v>
      </c>
      <c r="MT13">
        <v>42.76</v>
      </c>
      <c r="MU13">
        <v>42.31</v>
      </c>
      <c r="MV13">
        <v>41.76</v>
      </c>
      <c r="MW13" t="s">
        <v>137</v>
      </c>
      <c r="MX13" t="s">
        <v>137</v>
      </c>
      <c r="MY13">
        <v>41.74</v>
      </c>
      <c r="MZ13">
        <v>41.26</v>
      </c>
      <c r="NA13">
        <v>40.5</v>
      </c>
      <c r="NB13">
        <v>39</v>
      </c>
      <c r="NC13">
        <v>37.65</v>
      </c>
      <c r="ND13" t="s">
        <v>137</v>
      </c>
      <c r="NE13" t="s">
        <v>137</v>
      </c>
      <c r="NF13">
        <v>39.549999999999997</v>
      </c>
      <c r="NG13">
        <v>44</v>
      </c>
      <c r="NH13">
        <v>45.25</v>
      </c>
      <c r="NI13">
        <v>45.25</v>
      </c>
      <c r="NJ13">
        <v>45.75</v>
      </c>
      <c r="NK13" t="s">
        <v>137</v>
      </c>
      <c r="NL13" t="s">
        <v>137</v>
      </c>
      <c r="NM13" t="s">
        <v>137</v>
      </c>
      <c r="NN13" t="s">
        <v>137</v>
      </c>
      <c r="NO13" t="s">
        <v>137</v>
      </c>
      <c r="NP13" t="s">
        <v>137</v>
      </c>
      <c r="NQ13" t="s">
        <v>137</v>
      </c>
      <c r="NR13" t="s">
        <v>137</v>
      </c>
      <c r="NS13" t="s">
        <v>137</v>
      </c>
      <c r="NT13" t="s">
        <v>137</v>
      </c>
      <c r="NU13" t="s">
        <v>137</v>
      </c>
      <c r="NV13" t="s">
        <v>137</v>
      </c>
      <c r="NW13" t="s">
        <v>137</v>
      </c>
      <c r="NX13" t="s">
        <v>137</v>
      </c>
      <c r="NY13" t="s">
        <v>137</v>
      </c>
      <c r="NZ13" t="s">
        <v>137</v>
      </c>
      <c r="OA13" t="s">
        <v>137</v>
      </c>
      <c r="OB13" t="s">
        <v>137</v>
      </c>
      <c r="OC13" t="s">
        <v>137</v>
      </c>
      <c r="OD13" t="s">
        <v>137</v>
      </c>
      <c r="OE13" t="s">
        <v>137</v>
      </c>
      <c r="OF13" t="s">
        <v>137</v>
      </c>
      <c r="OG13" t="s">
        <v>137</v>
      </c>
      <c r="OH13" t="s">
        <v>137</v>
      </c>
      <c r="OI13" t="s">
        <v>137</v>
      </c>
      <c r="OJ13" t="s">
        <v>137</v>
      </c>
      <c r="OK13" t="s">
        <v>137</v>
      </c>
      <c r="OL13" t="s">
        <v>137</v>
      </c>
      <c r="OM13" t="s">
        <v>137</v>
      </c>
      <c r="ON13" t="s">
        <v>137</v>
      </c>
      <c r="OO13" t="s">
        <v>137</v>
      </c>
      <c r="OP13" t="s">
        <v>137</v>
      </c>
      <c r="OQ13" t="s">
        <v>137</v>
      </c>
      <c r="OR13" t="s">
        <v>137</v>
      </c>
      <c r="OS13" t="s">
        <v>137</v>
      </c>
      <c r="OT13" t="s">
        <v>137</v>
      </c>
      <c r="OU13" t="s">
        <v>137</v>
      </c>
      <c r="OV13" t="s">
        <v>137</v>
      </c>
      <c r="OW13" t="s">
        <v>137</v>
      </c>
      <c r="OX13" t="s">
        <v>137</v>
      </c>
      <c r="OY13" t="s">
        <v>137</v>
      </c>
      <c r="OZ13" t="s">
        <v>137</v>
      </c>
      <c r="PA13" t="s">
        <v>137</v>
      </c>
      <c r="PB13" t="s">
        <v>137</v>
      </c>
      <c r="PC13" t="s">
        <v>137</v>
      </c>
      <c r="PD13" t="s">
        <v>137</v>
      </c>
      <c r="PE13" t="s">
        <v>137</v>
      </c>
      <c r="PF13" t="s">
        <v>137</v>
      </c>
      <c r="PG13" t="s">
        <v>137</v>
      </c>
      <c r="PH13" t="s">
        <v>137</v>
      </c>
      <c r="PI13" t="s">
        <v>137</v>
      </c>
      <c r="PJ13" t="s">
        <v>137</v>
      </c>
      <c r="PK13" t="s">
        <v>137</v>
      </c>
      <c r="PL13" t="s">
        <v>137</v>
      </c>
      <c r="PM13" t="s">
        <v>137</v>
      </c>
      <c r="PN13" t="s">
        <v>137</v>
      </c>
      <c r="PO13" t="s">
        <v>137</v>
      </c>
      <c r="PP13" t="s">
        <v>137</v>
      </c>
      <c r="PQ13" t="s">
        <v>137</v>
      </c>
      <c r="PR13" t="s">
        <v>137</v>
      </c>
      <c r="PS13" t="s">
        <v>137</v>
      </c>
      <c r="PT13" t="s">
        <v>137</v>
      </c>
      <c r="PU13" t="s">
        <v>137</v>
      </c>
      <c r="PV13" t="s">
        <v>137</v>
      </c>
      <c r="PW13" t="s">
        <v>137</v>
      </c>
      <c r="PX13" t="s">
        <v>137</v>
      </c>
      <c r="PY13" t="s">
        <v>137</v>
      </c>
      <c r="PZ13" t="s">
        <v>137</v>
      </c>
      <c r="QA13" t="s">
        <v>137</v>
      </c>
      <c r="QB13" t="s">
        <v>137</v>
      </c>
      <c r="QC13" t="s">
        <v>137</v>
      </c>
      <c r="QD13" t="s">
        <v>137</v>
      </c>
      <c r="QE13" t="s">
        <v>137</v>
      </c>
      <c r="QF13" t="s">
        <v>137</v>
      </c>
      <c r="QG13" t="s">
        <v>137</v>
      </c>
      <c r="QH13" t="s">
        <v>137</v>
      </c>
      <c r="QI13" t="s">
        <v>137</v>
      </c>
      <c r="QJ13" t="s">
        <v>137</v>
      </c>
      <c r="QK13" t="s">
        <v>137</v>
      </c>
      <c r="QL13" t="s">
        <v>137</v>
      </c>
      <c r="QM13" t="s">
        <v>137</v>
      </c>
      <c r="QN13" t="s">
        <v>137</v>
      </c>
      <c r="QO13" t="s">
        <v>137</v>
      </c>
    </row>
    <row r="14" spans="1:524" x14ac:dyDescent="0.2">
      <c r="A14" t="s">
        <v>158</v>
      </c>
      <c r="B14" s="3">
        <v>40296</v>
      </c>
      <c r="C14" t="s">
        <v>27</v>
      </c>
      <c r="E14" t="s">
        <v>137</v>
      </c>
      <c r="F14">
        <v>34.630000000000003</v>
      </c>
      <c r="G14">
        <v>34.847000000000001</v>
      </c>
      <c r="H14">
        <v>35.143000000000001</v>
      </c>
      <c r="I14">
        <v>38.76</v>
      </c>
      <c r="J14">
        <v>40.337000000000003</v>
      </c>
      <c r="K14" t="s">
        <v>137</v>
      </c>
      <c r="L14" t="s">
        <v>137</v>
      </c>
      <c r="M14">
        <v>40.075000000000003</v>
      </c>
      <c r="N14">
        <v>38.816000000000003</v>
      </c>
      <c r="O14">
        <v>39.585999999999999</v>
      </c>
      <c r="P14">
        <v>39.203000000000003</v>
      </c>
      <c r="Q14">
        <v>37.762999999999998</v>
      </c>
      <c r="R14" t="s">
        <v>137</v>
      </c>
      <c r="S14" t="s">
        <v>137</v>
      </c>
      <c r="T14">
        <v>38.226999999999997</v>
      </c>
      <c r="U14">
        <v>37.825000000000003</v>
      </c>
      <c r="V14">
        <v>39.097999999999999</v>
      </c>
      <c r="W14">
        <v>38.783000000000001</v>
      </c>
      <c r="X14">
        <v>39.213999999999999</v>
      </c>
      <c r="Y14" t="s">
        <v>137</v>
      </c>
      <c r="Z14" t="s">
        <v>137</v>
      </c>
      <c r="AA14">
        <v>39.238</v>
      </c>
      <c r="AB14">
        <v>38.113999999999997</v>
      </c>
      <c r="AC14">
        <v>37.005000000000003</v>
      </c>
      <c r="AD14">
        <v>37.408999999999999</v>
      </c>
      <c r="AE14">
        <v>38.148000000000003</v>
      </c>
      <c r="AF14" t="s">
        <v>137</v>
      </c>
      <c r="AG14" t="s">
        <v>137</v>
      </c>
      <c r="AH14">
        <v>38.326999999999998</v>
      </c>
      <c r="AI14">
        <v>38.58</v>
      </c>
      <c r="AJ14">
        <v>38.473999999999997</v>
      </c>
      <c r="AK14">
        <v>38.426000000000002</v>
      </c>
      <c r="AL14">
        <v>37.957000000000001</v>
      </c>
      <c r="AM14" t="s">
        <v>137</v>
      </c>
      <c r="AN14" t="s">
        <v>137</v>
      </c>
      <c r="AO14">
        <v>38.345999999999997</v>
      </c>
      <c r="AP14">
        <v>38.569000000000003</v>
      </c>
      <c r="AQ14">
        <v>38.847000000000001</v>
      </c>
      <c r="AR14">
        <v>40.313000000000002</v>
      </c>
      <c r="AS14">
        <v>41.228000000000002</v>
      </c>
      <c r="AT14" t="s">
        <v>137</v>
      </c>
      <c r="AU14" t="s">
        <v>137</v>
      </c>
      <c r="AV14">
        <v>40.93</v>
      </c>
      <c r="AW14">
        <v>40.902999999999999</v>
      </c>
      <c r="AX14">
        <v>39.698999999999998</v>
      </c>
      <c r="AY14">
        <v>39.563000000000002</v>
      </c>
      <c r="AZ14">
        <v>39.567999999999998</v>
      </c>
      <c r="BA14" t="s">
        <v>137</v>
      </c>
      <c r="BB14" t="s">
        <v>137</v>
      </c>
      <c r="BC14">
        <v>39.514000000000003</v>
      </c>
      <c r="BD14">
        <v>39.423999999999999</v>
      </c>
      <c r="BE14">
        <v>39.725999999999999</v>
      </c>
      <c r="BF14">
        <v>41.009</v>
      </c>
      <c r="BG14">
        <v>39.923999999999999</v>
      </c>
      <c r="BH14" t="s">
        <v>137</v>
      </c>
      <c r="BI14" t="s">
        <v>137</v>
      </c>
      <c r="BJ14">
        <v>40.225000000000001</v>
      </c>
      <c r="BK14">
        <v>39.588999999999999</v>
      </c>
      <c r="BL14">
        <v>39.69</v>
      </c>
      <c r="BM14">
        <v>39.639000000000003</v>
      </c>
      <c r="BN14">
        <v>39.256999999999998</v>
      </c>
      <c r="BO14" t="s">
        <v>137</v>
      </c>
      <c r="BP14" t="s">
        <v>137</v>
      </c>
      <c r="BQ14">
        <v>39.390999999999998</v>
      </c>
      <c r="BR14">
        <v>39.383000000000003</v>
      </c>
      <c r="BS14">
        <v>39.347000000000001</v>
      </c>
      <c r="BT14">
        <v>38.948999999999998</v>
      </c>
      <c r="BU14">
        <v>38.546999999999997</v>
      </c>
      <c r="BV14" t="s">
        <v>137</v>
      </c>
      <c r="BW14" t="s">
        <v>137</v>
      </c>
      <c r="BX14">
        <v>37.947000000000003</v>
      </c>
      <c r="BY14">
        <v>37.375999999999998</v>
      </c>
      <c r="BZ14">
        <v>37.61</v>
      </c>
      <c r="CA14">
        <v>38.951000000000001</v>
      </c>
      <c r="CB14">
        <v>39.124000000000002</v>
      </c>
      <c r="CC14" t="s">
        <v>137</v>
      </c>
      <c r="CD14" t="s">
        <v>137</v>
      </c>
      <c r="CE14">
        <v>39.265000000000001</v>
      </c>
      <c r="CF14">
        <v>38.957999999999998</v>
      </c>
      <c r="CG14">
        <v>39.543999999999997</v>
      </c>
      <c r="CH14">
        <v>39.774999999999999</v>
      </c>
      <c r="CI14">
        <v>40.183999999999997</v>
      </c>
      <c r="CJ14" t="s">
        <v>137</v>
      </c>
      <c r="CK14" t="s">
        <v>137</v>
      </c>
      <c r="CL14">
        <v>39.716999999999999</v>
      </c>
      <c r="CM14">
        <v>39.270000000000003</v>
      </c>
      <c r="CN14">
        <v>39.268999999999998</v>
      </c>
      <c r="CO14">
        <v>39.28</v>
      </c>
      <c r="CP14">
        <v>39.286000000000001</v>
      </c>
      <c r="CQ14" t="s">
        <v>137</v>
      </c>
      <c r="CR14" t="s">
        <v>137</v>
      </c>
      <c r="CS14">
        <v>39.012999999999998</v>
      </c>
      <c r="CT14">
        <v>39.237000000000002</v>
      </c>
      <c r="CU14">
        <v>39.116</v>
      </c>
      <c r="CV14">
        <v>39.061999999999998</v>
      </c>
      <c r="CW14">
        <v>39.048000000000002</v>
      </c>
      <c r="CX14" t="s">
        <v>137</v>
      </c>
      <c r="CY14" t="s">
        <v>137</v>
      </c>
      <c r="CZ14">
        <v>39.088000000000001</v>
      </c>
      <c r="DA14">
        <v>39.073999999999998</v>
      </c>
      <c r="DB14">
        <v>39.152999999999999</v>
      </c>
      <c r="DC14">
        <v>38.984000000000002</v>
      </c>
      <c r="DD14">
        <v>39.107999999999997</v>
      </c>
      <c r="DE14" t="s">
        <v>137</v>
      </c>
      <c r="DF14" t="s">
        <v>137</v>
      </c>
      <c r="DG14">
        <v>39.055</v>
      </c>
      <c r="DH14">
        <v>39.122</v>
      </c>
      <c r="DI14">
        <v>39.008000000000003</v>
      </c>
      <c r="DJ14">
        <v>44.045000000000002</v>
      </c>
      <c r="DK14">
        <v>43.905000000000001</v>
      </c>
      <c r="DL14" t="s">
        <v>137</v>
      </c>
      <c r="DM14" t="s">
        <v>137</v>
      </c>
      <c r="DN14">
        <v>43.942999999999998</v>
      </c>
      <c r="DO14">
        <v>43.957999999999998</v>
      </c>
      <c r="DP14">
        <v>43.963999999999999</v>
      </c>
      <c r="DQ14">
        <v>43.98</v>
      </c>
      <c r="DR14">
        <v>44.085999999999999</v>
      </c>
      <c r="DS14" t="s">
        <v>137</v>
      </c>
      <c r="DT14" t="s">
        <v>137</v>
      </c>
      <c r="DU14">
        <v>45.009</v>
      </c>
      <c r="DV14">
        <v>45.003</v>
      </c>
      <c r="DW14">
        <v>45.02</v>
      </c>
      <c r="DX14">
        <v>45.798000000000002</v>
      </c>
      <c r="DY14">
        <v>44.505000000000003</v>
      </c>
      <c r="DZ14" t="s">
        <v>137</v>
      </c>
      <c r="EA14" t="s">
        <v>137</v>
      </c>
      <c r="EB14">
        <v>44.454000000000001</v>
      </c>
      <c r="EC14">
        <v>44.634999999999998</v>
      </c>
      <c r="ED14">
        <v>44.262</v>
      </c>
      <c r="EE14">
        <v>45.109000000000002</v>
      </c>
      <c r="EF14">
        <v>45.036999999999999</v>
      </c>
      <c r="EG14" t="s">
        <v>137</v>
      </c>
      <c r="EH14" t="s">
        <v>137</v>
      </c>
      <c r="EI14">
        <v>44.619</v>
      </c>
      <c r="EJ14">
        <v>44.302</v>
      </c>
      <c r="EK14">
        <v>44.247999999999998</v>
      </c>
      <c r="EL14">
        <v>44.991999999999997</v>
      </c>
      <c r="EM14">
        <v>44.92</v>
      </c>
      <c r="EN14" t="s">
        <v>137</v>
      </c>
      <c r="EO14" t="s">
        <v>137</v>
      </c>
      <c r="EP14">
        <v>44.508000000000003</v>
      </c>
      <c r="EQ14">
        <v>44.307000000000002</v>
      </c>
      <c r="ER14">
        <v>43.743000000000002</v>
      </c>
      <c r="ES14">
        <v>43.759</v>
      </c>
      <c r="ET14">
        <v>43.854999999999997</v>
      </c>
      <c r="EU14" t="s">
        <v>137</v>
      </c>
      <c r="EV14" t="s">
        <v>137</v>
      </c>
      <c r="EW14">
        <v>43.744999999999997</v>
      </c>
      <c r="EX14">
        <v>41.206000000000003</v>
      </c>
      <c r="EY14">
        <v>42.087000000000003</v>
      </c>
      <c r="EZ14">
        <v>41.786999999999999</v>
      </c>
      <c r="FA14">
        <v>41.46</v>
      </c>
      <c r="FB14" t="s">
        <v>137</v>
      </c>
      <c r="FC14" t="s">
        <v>137</v>
      </c>
      <c r="FD14">
        <v>41.844000000000001</v>
      </c>
      <c r="FE14">
        <v>42.597000000000001</v>
      </c>
      <c r="FF14">
        <v>43.234999999999999</v>
      </c>
      <c r="FG14">
        <v>42.811999999999998</v>
      </c>
      <c r="FH14">
        <v>43.296999999999997</v>
      </c>
      <c r="FI14" t="s">
        <v>137</v>
      </c>
      <c r="FJ14" t="s">
        <v>137</v>
      </c>
      <c r="FK14">
        <v>42.976999999999997</v>
      </c>
      <c r="FL14">
        <v>43.072000000000003</v>
      </c>
      <c r="FM14">
        <v>43.082000000000001</v>
      </c>
      <c r="FN14">
        <v>41.954999999999998</v>
      </c>
      <c r="FO14">
        <v>42.4</v>
      </c>
      <c r="FP14" t="s">
        <v>137</v>
      </c>
      <c r="FQ14" t="s">
        <v>137</v>
      </c>
      <c r="FR14">
        <v>41.664000000000001</v>
      </c>
      <c r="FS14">
        <v>41.786999999999999</v>
      </c>
      <c r="FT14">
        <v>41.750999999999998</v>
      </c>
      <c r="FU14">
        <v>40.902000000000001</v>
      </c>
      <c r="FV14">
        <v>42.35</v>
      </c>
      <c r="FW14" t="s">
        <v>137</v>
      </c>
      <c r="FX14" t="s">
        <v>137</v>
      </c>
      <c r="FY14">
        <v>41.646999999999998</v>
      </c>
      <c r="FZ14">
        <v>42.396999999999998</v>
      </c>
      <c r="GA14">
        <v>41.997</v>
      </c>
      <c r="GB14">
        <v>40.517000000000003</v>
      </c>
      <c r="GC14">
        <v>39.841000000000001</v>
      </c>
      <c r="GD14" t="s">
        <v>137</v>
      </c>
      <c r="GE14" t="s">
        <v>137</v>
      </c>
      <c r="GF14">
        <v>39.226999999999997</v>
      </c>
      <c r="GG14">
        <v>40.091999999999999</v>
      </c>
      <c r="GH14">
        <v>40.091999999999999</v>
      </c>
      <c r="GI14">
        <v>40.226999999999997</v>
      </c>
      <c r="GJ14">
        <v>38.231999999999999</v>
      </c>
      <c r="GK14" t="s">
        <v>137</v>
      </c>
      <c r="GL14" t="s">
        <v>137</v>
      </c>
      <c r="GM14">
        <v>35.420999999999999</v>
      </c>
      <c r="GN14">
        <v>35.734999999999999</v>
      </c>
      <c r="GO14">
        <v>34.122</v>
      </c>
      <c r="GP14">
        <v>30.952000000000002</v>
      </c>
      <c r="GQ14">
        <v>30.887</v>
      </c>
      <c r="GR14" t="s">
        <v>137</v>
      </c>
      <c r="GS14" t="s">
        <v>137</v>
      </c>
      <c r="GT14">
        <v>29.872</v>
      </c>
      <c r="GU14">
        <v>29.632000000000001</v>
      </c>
      <c r="GV14">
        <v>29</v>
      </c>
      <c r="GW14">
        <v>25.95</v>
      </c>
      <c r="GX14">
        <v>26.391999999999999</v>
      </c>
      <c r="GY14" t="s">
        <v>137</v>
      </c>
      <c r="GZ14" t="s">
        <v>137</v>
      </c>
      <c r="HA14">
        <v>25.977</v>
      </c>
      <c r="HB14">
        <v>26.137</v>
      </c>
      <c r="HC14">
        <v>25.876999999999999</v>
      </c>
      <c r="HD14">
        <v>25.872</v>
      </c>
      <c r="HE14">
        <v>24.95</v>
      </c>
      <c r="HF14" t="s">
        <v>137</v>
      </c>
      <c r="HG14" t="s">
        <v>137</v>
      </c>
      <c r="HH14">
        <v>24.626999999999999</v>
      </c>
      <c r="HI14">
        <v>26.422000000000001</v>
      </c>
      <c r="HJ14">
        <v>26.684000000000001</v>
      </c>
      <c r="HK14">
        <v>27.446999999999999</v>
      </c>
      <c r="HL14">
        <v>28.297000000000001</v>
      </c>
      <c r="HM14" t="s">
        <v>137</v>
      </c>
      <c r="HN14" t="s">
        <v>137</v>
      </c>
      <c r="HO14">
        <v>28.344000000000001</v>
      </c>
      <c r="HP14">
        <v>28.524999999999999</v>
      </c>
      <c r="HQ14">
        <v>28.004999999999999</v>
      </c>
      <c r="HR14">
        <v>28</v>
      </c>
      <c r="HS14">
        <v>28.004999999999999</v>
      </c>
      <c r="HT14" t="s">
        <v>137</v>
      </c>
      <c r="HU14" t="s">
        <v>137</v>
      </c>
      <c r="HV14">
        <v>28.004999999999999</v>
      </c>
      <c r="HW14">
        <v>28.271999999999998</v>
      </c>
      <c r="HX14">
        <v>28.126999999999999</v>
      </c>
      <c r="HY14">
        <v>27.446999999999999</v>
      </c>
      <c r="HZ14">
        <v>28.417999999999999</v>
      </c>
      <c r="IA14" t="s">
        <v>137</v>
      </c>
      <c r="IB14" t="s">
        <v>137</v>
      </c>
      <c r="IC14">
        <v>30.661999999999999</v>
      </c>
      <c r="ID14">
        <v>29.521999999999998</v>
      </c>
      <c r="IE14">
        <v>28.754999999999999</v>
      </c>
      <c r="IF14">
        <v>28.622</v>
      </c>
      <c r="IG14">
        <v>27.632000000000001</v>
      </c>
      <c r="IH14" t="s">
        <v>137</v>
      </c>
      <c r="II14" t="s">
        <v>137</v>
      </c>
      <c r="IJ14">
        <v>26.622</v>
      </c>
      <c r="IK14">
        <v>26.007000000000001</v>
      </c>
      <c r="IL14">
        <v>26.727</v>
      </c>
      <c r="IM14">
        <v>25.972000000000001</v>
      </c>
      <c r="IN14">
        <v>25.972000000000001</v>
      </c>
      <c r="IO14" t="s">
        <v>137</v>
      </c>
      <c r="IP14" t="s">
        <v>137</v>
      </c>
      <c r="IQ14">
        <v>24.122</v>
      </c>
      <c r="IR14">
        <v>24.289000000000001</v>
      </c>
      <c r="IS14">
        <v>24.986999999999998</v>
      </c>
      <c r="IT14">
        <v>25.5</v>
      </c>
      <c r="IU14">
        <v>26.111999999999998</v>
      </c>
      <c r="IV14" t="s">
        <v>137</v>
      </c>
      <c r="IW14" t="s">
        <v>137</v>
      </c>
      <c r="IX14">
        <v>26</v>
      </c>
      <c r="IY14">
        <v>28.297000000000001</v>
      </c>
      <c r="IZ14">
        <v>28.294</v>
      </c>
      <c r="JA14">
        <v>28.181999999999999</v>
      </c>
      <c r="JB14">
        <v>29.472000000000001</v>
      </c>
      <c r="JC14" t="s">
        <v>137</v>
      </c>
      <c r="JD14" t="s">
        <v>137</v>
      </c>
      <c r="JE14">
        <v>30.728000000000002</v>
      </c>
      <c r="JF14">
        <v>30.751999999999999</v>
      </c>
      <c r="JG14">
        <v>30.532</v>
      </c>
      <c r="JH14">
        <v>30.651</v>
      </c>
      <c r="JI14">
        <v>30.042000000000002</v>
      </c>
      <c r="JJ14" t="s">
        <v>137</v>
      </c>
      <c r="JK14" t="s">
        <v>137</v>
      </c>
      <c r="JL14">
        <v>30.042000000000002</v>
      </c>
      <c r="JM14">
        <v>30.042000000000002</v>
      </c>
      <c r="JN14">
        <v>30.042000000000002</v>
      </c>
      <c r="JO14">
        <v>30.042000000000002</v>
      </c>
      <c r="JP14">
        <v>30.042000000000002</v>
      </c>
      <c r="JQ14" t="s">
        <v>137</v>
      </c>
      <c r="JR14" t="s">
        <v>137</v>
      </c>
      <c r="JS14">
        <v>30.042000000000002</v>
      </c>
      <c r="JT14">
        <v>30.042000000000002</v>
      </c>
      <c r="JU14">
        <v>30.042000000000002</v>
      </c>
      <c r="JV14">
        <v>30.042000000000002</v>
      </c>
      <c r="JW14">
        <v>30.042000000000002</v>
      </c>
      <c r="JX14" t="s">
        <v>137</v>
      </c>
      <c r="JY14" t="s">
        <v>137</v>
      </c>
      <c r="JZ14">
        <v>30.042000000000002</v>
      </c>
      <c r="KA14">
        <v>37.46</v>
      </c>
      <c r="KB14">
        <v>36.86</v>
      </c>
      <c r="KC14">
        <v>36.67</v>
      </c>
      <c r="KD14">
        <v>37.25</v>
      </c>
      <c r="KE14" t="s">
        <v>137</v>
      </c>
      <c r="KF14" t="s">
        <v>137</v>
      </c>
      <c r="KG14">
        <v>37</v>
      </c>
      <c r="KH14">
        <v>36.9</v>
      </c>
      <c r="KI14">
        <v>37.299999999999997</v>
      </c>
      <c r="KJ14">
        <v>35.92</v>
      </c>
      <c r="KK14">
        <v>36.79</v>
      </c>
      <c r="KL14" t="s">
        <v>137</v>
      </c>
      <c r="KM14" t="s">
        <v>137</v>
      </c>
      <c r="KN14">
        <v>37.5</v>
      </c>
      <c r="KO14">
        <v>38</v>
      </c>
      <c r="KP14">
        <v>37.94</v>
      </c>
      <c r="KQ14">
        <v>37</v>
      </c>
      <c r="KR14">
        <v>37.619999999999997</v>
      </c>
      <c r="KS14" t="s">
        <v>137</v>
      </c>
      <c r="KT14" t="s">
        <v>137</v>
      </c>
      <c r="KU14">
        <v>37.75</v>
      </c>
      <c r="KV14">
        <v>38.200000000000003</v>
      </c>
      <c r="KW14">
        <v>37.61</v>
      </c>
      <c r="KX14">
        <v>37</v>
      </c>
      <c r="KY14">
        <v>36.93</v>
      </c>
      <c r="KZ14" t="s">
        <v>137</v>
      </c>
      <c r="LA14" t="s">
        <v>137</v>
      </c>
      <c r="LB14">
        <v>38.549999999999997</v>
      </c>
      <c r="LC14">
        <v>39</v>
      </c>
      <c r="LD14">
        <v>39.56</v>
      </c>
      <c r="LE14">
        <v>39</v>
      </c>
      <c r="LF14">
        <v>38.65</v>
      </c>
      <c r="LG14" t="s">
        <v>137</v>
      </c>
      <c r="LH14" t="s">
        <v>137</v>
      </c>
      <c r="LI14">
        <v>38.700000000000003</v>
      </c>
      <c r="LJ14">
        <v>38.51</v>
      </c>
      <c r="LK14">
        <v>39</v>
      </c>
      <c r="LL14">
        <v>38.96</v>
      </c>
      <c r="LM14">
        <v>38.5</v>
      </c>
      <c r="LN14" t="s">
        <v>137</v>
      </c>
      <c r="LO14" t="s">
        <v>137</v>
      </c>
      <c r="LP14">
        <v>38.130000000000003</v>
      </c>
      <c r="LQ14">
        <v>38.5</v>
      </c>
      <c r="LR14">
        <v>39.5</v>
      </c>
      <c r="LS14">
        <v>40.5</v>
      </c>
      <c r="LT14">
        <v>40.299999999999997</v>
      </c>
      <c r="LU14" t="s">
        <v>137</v>
      </c>
      <c r="LV14" t="s">
        <v>137</v>
      </c>
      <c r="LW14">
        <v>41.2</v>
      </c>
      <c r="LX14">
        <v>40.549999999999997</v>
      </c>
      <c r="LY14">
        <v>40.4</v>
      </c>
      <c r="LZ14">
        <v>39.700000000000003</v>
      </c>
      <c r="MA14">
        <v>40.6</v>
      </c>
      <c r="MB14" t="s">
        <v>137</v>
      </c>
      <c r="MC14" t="s">
        <v>137</v>
      </c>
      <c r="MD14">
        <v>40</v>
      </c>
      <c r="ME14">
        <v>45.75</v>
      </c>
      <c r="MF14">
        <v>44.61</v>
      </c>
      <c r="MG14">
        <v>44.45</v>
      </c>
      <c r="MH14">
        <v>43.88</v>
      </c>
      <c r="MI14" t="s">
        <v>137</v>
      </c>
      <c r="MJ14" t="s">
        <v>137</v>
      </c>
      <c r="MK14">
        <v>43.88</v>
      </c>
      <c r="ML14">
        <v>43.79</v>
      </c>
      <c r="MM14">
        <v>43.87</v>
      </c>
      <c r="MN14">
        <v>44.05</v>
      </c>
      <c r="MO14">
        <v>44</v>
      </c>
      <c r="MP14" t="s">
        <v>137</v>
      </c>
      <c r="MQ14" t="s">
        <v>137</v>
      </c>
      <c r="MR14">
        <v>44.04</v>
      </c>
      <c r="MS14">
        <v>44.03</v>
      </c>
      <c r="MT14">
        <v>43.91</v>
      </c>
      <c r="MU14">
        <v>43.25</v>
      </c>
      <c r="MV14">
        <v>42.03</v>
      </c>
      <c r="MW14" t="s">
        <v>137</v>
      </c>
      <c r="MX14" t="s">
        <v>137</v>
      </c>
      <c r="MY14">
        <v>42</v>
      </c>
      <c r="MZ14">
        <v>41.71</v>
      </c>
      <c r="NA14">
        <v>41.3</v>
      </c>
      <c r="NB14">
        <v>40.25</v>
      </c>
      <c r="NC14">
        <v>39.5</v>
      </c>
      <c r="ND14" t="s">
        <v>137</v>
      </c>
      <c r="NE14" t="s">
        <v>137</v>
      </c>
      <c r="NF14">
        <v>40.549999999999997</v>
      </c>
      <c r="NG14">
        <v>44.5</v>
      </c>
      <c r="NH14">
        <v>45.75</v>
      </c>
      <c r="NI14">
        <v>45.75</v>
      </c>
      <c r="NJ14">
        <v>46.25</v>
      </c>
      <c r="NK14" t="s">
        <v>137</v>
      </c>
      <c r="NL14" t="s">
        <v>137</v>
      </c>
      <c r="NM14">
        <v>47</v>
      </c>
      <c r="NN14">
        <v>46.875</v>
      </c>
      <c r="NO14">
        <v>48.332999999999998</v>
      </c>
      <c r="NP14">
        <v>46.938000000000002</v>
      </c>
      <c r="NQ14">
        <v>46.938000000000002</v>
      </c>
      <c r="NR14" t="s">
        <v>137</v>
      </c>
      <c r="NS14" t="s">
        <v>137</v>
      </c>
      <c r="NT14">
        <v>46.938000000000002</v>
      </c>
      <c r="NU14">
        <v>46.938000000000002</v>
      </c>
      <c r="NV14">
        <v>46.938000000000002</v>
      </c>
      <c r="NW14">
        <v>46.938000000000002</v>
      </c>
      <c r="NX14">
        <v>46.938000000000002</v>
      </c>
      <c r="NY14" t="s">
        <v>137</v>
      </c>
      <c r="NZ14" t="s">
        <v>137</v>
      </c>
      <c r="OA14">
        <v>46.938000000000002</v>
      </c>
      <c r="OB14">
        <v>46.938000000000002</v>
      </c>
      <c r="OC14">
        <v>46.938000000000002</v>
      </c>
      <c r="OD14">
        <v>46.938000000000002</v>
      </c>
      <c r="OE14">
        <v>46.938000000000002</v>
      </c>
      <c r="OF14" t="s">
        <v>137</v>
      </c>
      <c r="OG14" t="s">
        <v>137</v>
      </c>
      <c r="OH14">
        <v>46.938000000000002</v>
      </c>
      <c r="OI14">
        <v>46.938000000000002</v>
      </c>
      <c r="OJ14">
        <v>46.938000000000002</v>
      </c>
      <c r="OK14">
        <v>46.938000000000002</v>
      </c>
      <c r="OL14">
        <v>46.938000000000002</v>
      </c>
      <c r="OM14" t="s">
        <v>137</v>
      </c>
      <c r="ON14" t="s">
        <v>137</v>
      </c>
      <c r="OO14">
        <v>46.938000000000002</v>
      </c>
      <c r="OP14">
        <v>46.938000000000002</v>
      </c>
      <c r="OQ14">
        <v>46.938000000000002</v>
      </c>
      <c r="OR14">
        <v>46.938000000000002</v>
      </c>
      <c r="OS14">
        <v>46.938000000000002</v>
      </c>
      <c r="OT14" t="s">
        <v>137</v>
      </c>
      <c r="OU14" t="s">
        <v>137</v>
      </c>
      <c r="OV14">
        <v>46.938000000000002</v>
      </c>
      <c r="OW14">
        <v>46.938000000000002</v>
      </c>
      <c r="OX14">
        <v>46.938000000000002</v>
      </c>
      <c r="OY14">
        <v>46.938000000000002</v>
      </c>
      <c r="OZ14">
        <v>46.938000000000002</v>
      </c>
      <c r="PA14" t="s">
        <v>137</v>
      </c>
      <c r="PB14" t="s">
        <v>137</v>
      </c>
      <c r="PC14">
        <v>46.938000000000002</v>
      </c>
      <c r="PD14">
        <v>46.938000000000002</v>
      </c>
      <c r="PE14">
        <v>46.938000000000002</v>
      </c>
      <c r="PF14">
        <v>46.938000000000002</v>
      </c>
      <c r="PG14">
        <v>46.938000000000002</v>
      </c>
      <c r="PH14" t="s">
        <v>137</v>
      </c>
      <c r="PI14" t="s">
        <v>137</v>
      </c>
      <c r="PJ14">
        <v>46.938000000000002</v>
      </c>
      <c r="PK14">
        <v>46.938000000000002</v>
      </c>
      <c r="PL14">
        <v>46.938000000000002</v>
      </c>
      <c r="PM14">
        <v>46.938000000000002</v>
      </c>
      <c r="PN14">
        <v>46.938000000000002</v>
      </c>
      <c r="PO14" t="s">
        <v>137</v>
      </c>
      <c r="PP14" t="s">
        <v>137</v>
      </c>
      <c r="PQ14" t="s">
        <v>137</v>
      </c>
      <c r="PR14" t="s">
        <v>137</v>
      </c>
      <c r="PS14" t="s">
        <v>137</v>
      </c>
      <c r="PT14" t="s">
        <v>137</v>
      </c>
      <c r="PU14" t="s">
        <v>137</v>
      </c>
      <c r="PV14" t="s">
        <v>137</v>
      </c>
      <c r="PW14" t="s">
        <v>137</v>
      </c>
      <c r="PX14" t="s">
        <v>137</v>
      </c>
      <c r="PY14" t="s">
        <v>137</v>
      </c>
      <c r="PZ14" t="s">
        <v>137</v>
      </c>
      <c r="QA14" t="s">
        <v>137</v>
      </c>
      <c r="QB14" t="s">
        <v>137</v>
      </c>
      <c r="QC14" t="s">
        <v>137</v>
      </c>
      <c r="QD14" t="s">
        <v>137</v>
      </c>
      <c r="QE14" t="s">
        <v>137</v>
      </c>
      <c r="QF14" t="s">
        <v>137</v>
      </c>
      <c r="QG14" t="s">
        <v>137</v>
      </c>
      <c r="QH14" t="s">
        <v>137</v>
      </c>
      <c r="QI14" t="s">
        <v>137</v>
      </c>
      <c r="QJ14" t="s">
        <v>137</v>
      </c>
      <c r="QK14" t="s">
        <v>137</v>
      </c>
      <c r="QL14" t="s">
        <v>137</v>
      </c>
      <c r="QM14" t="s">
        <v>137</v>
      </c>
      <c r="QN14" t="s">
        <v>137</v>
      </c>
      <c r="QO14" t="s">
        <v>137</v>
      </c>
    </row>
    <row r="15" spans="1:524" x14ac:dyDescent="0.2">
      <c r="A15" t="s">
        <v>163</v>
      </c>
      <c r="B15" s="3">
        <v>40296</v>
      </c>
      <c r="C15" t="s">
        <v>29</v>
      </c>
      <c r="E15" t="s">
        <v>137</v>
      </c>
      <c r="F15">
        <v>34.637</v>
      </c>
      <c r="G15">
        <v>34.826000000000001</v>
      </c>
      <c r="H15">
        <v>35.177</v>
      </c>
      <c r="I15">
        <v>39.036000000000001</v>
      </c>
      <c r="J15">
        <v>40.121000000000002</v>
      </c>
      <c r="K15" t="s">
        <v>137</v>
      </c>
      <c r="L15" t="s">
        <v>137</v>
      </c>
      <c r="M15">
        <v>40.241</v>
      </c>
      <c r="N15">
        <v>38.856999999999999</v>
      </c>
      <c r="O15">
        <v>39.561</v>
      </c>
      <c r="P15">
        <v>39.209000000000003</v>
      </c>
      <c r="Q15">
        <v>37.850999999999999</v>
      </c>
      <c r="R15" t="s">
        <v>137</v>
      </c>
      <c r="S15" t="s">
        <v>137</v>
      </c>
      <c r="T15">
        <v>38.116</v>
      </c>
      <c r="U15">
        <v>37.856000000000002</v>
      </c>
      <c r="V15">
        <v>38.951000000000001</v>
      </c>
      <c r="W15">
        <v>38.86</v>
      </c>
      <c r="X15">
        <v>39.174999999999997</v>
      </c>
      <c r="Y15" t="s">
        <v>137</v>
      </c>
      <c r="Z15" t="s">
        <v>137</v>
      </c>
      <c r="AA15">
        <v>39.070999999999998</v>
      </c>
      <c r="AB15">
        <v>38.167000000000002</v>
      </c>
      <c r="AC15">
        <v>36.945</v>
      </c>
      <c r="AD15">
        <v>37.366999999999997</v>
      </c>
      <c r="AE15">
        <v>38.177999999999997</v>
      </c>
      <c r="AF15" t="s">
        <v>137</v>
      </c>
      <c r="AG15" t="s">
        <v>137</v>
      </c>
      <c r="AH15">
        <v>38.332999999999998</v>
      </c>
      <c r="AI15">
        <v>38.630000000000003</v>
      </c>
      <c r="AJ15">
        <v>38.61</v>
      </c>
      <c r="AK15">
        <v>38.290999999999997</v>
      </c>
      <c r="AL15">
        <v>37.972000000000001</v>
      </c>
      <c r="AM15" t="s">
        <v>137</v>
      </c>
      <c r="AN15" t="s">
        <v>137</v>
      </c>
      <c r="AO15">
        <v>38.393999999999998</v>
      </c>
      <c r="AP15">
        <v>38.466000000000001</v>
      </c>
      <c r="AQ15">
        <v>38.930999999999997</v>
      </c>
      <c r="AR15">
        <v>40.551000000000002</v>
      </c>
      <c r="AS15">
        <v>41.345999999999997</v>
      </c>
      <c r="AT15" t="s">
        <v>137</v>
      </c>
      <c r="AU15" t="s">
        <v>137</v>
      </c>
      <c r="AV15">
        <v>40.843000000000004</v>
      </c>
      <c r="AW15">
        <v>40.832000000000001</v>
      </c>
      <c r="AX15">
        <v>39.703000000000003</v>
      </c>
      <c r="AY15">
        <v>39.585000000000001</v>
      </c>
      <c r="AZ15">
        <v>39.618000000000002</v>
      </c>
      <c r="BA15" t="s">
        <v>137</v>
      </c>
      <c r="BB15" t="s">
        <v>137</v>
      </c>
      <c r="BC15">
        <v>39.603999999999999</v>
      </c>
      <c r="BD15">
        <v>39.350999999999999</v>
      </c>
      <c r="BE15">
        <v>39.588000000000001</v>
      </c>
      <c r="BF15">
        <v>41.058</v>
      </c>
      <c r="BG15">
        <v>39.976999999999997</v>
      </c>
      <c r="BH15" t="s">
        <v>137</v>
      </c>
      <c r="BI15" t="s">
        <v>137</v>
      </c>
      <c r="BJ15">
        <v>40.378</v>
      </c>
      <c r="BK15">
        <v>39.466999999999999</v>
      </c>
      <c r="BL15">
        <v>39.636000000000003</v>
      </c>
      <c r="BM15">
        <v>39.485999999999997</v>
      </c>
      <c r="BN15">
        <v>39.274000000000001</v>
      </c>
      <c r="BO15" t="s">
        <v>137</v>
      </c>
      <c r="BP15" t="s">
        <v>137</v>
      </c>
      <c r="BQ15">
        <v>39.418999999999997</v>
      </c>
      <c r="BR15">
        <v>39.487000000000002</v>
      </c>
      <c r="BS15">
        <v>39.283000000000001</v>
      </c>
      <c r="BT15">
        <v>39.143999999999998</v>
      </c>
      <c r="BU15">
        <v>38.628999999999998</v>
      </c>
      <c r="BV15" t="s">
        <v>137</v>
      </c>
      <c r="BW15" t="s">
        <v>137</v>
      </c>
      <c r="BX15">
        <v>37.923999999999999</v>
      </c>
      <c r="BY15">
        <v>37.401000000000003</v>
      </c>
      <c r="BZ15">
        <v>37.682000000000002</v>
      </c>
      <c r="CA15">
        <v>38.951000000000001</v>
      </c>
      <c r="CB15">
        <v>39.124000000000002</v>
      </c>
      <c r="CC15" t="s">
        <v>137</v>
      </c>
      <c r="CD15" t="s">
        <v>137</v>
      </c>
      <c r="CE15">
        <v>39.24</v>
      </c>
      <c r="CF15">
        <v>38.963000000000001</v>
      </c>
      <c r="CG15">
        <v>39.548999999999999</v>
      </c>
      <c r="CH15">
        <v>39.78</v>
      </c>
      <c r="CI15">
        <v>40.156999999999996</v>
      </c>
      <c r="CJ15" t="s">
        <v>137</v>
      </c>
      <c r="CK15" t="s">
        <v>137</v>
      </c>
      <c r="CL15">
        <v>39.722000000000001</v>
      </c>
      <c r="CM15">
        <v>39.247999999999998</v>
      </c>
      <c r="CN15">
        <v>39.244</v>
      </c>
      <c r="CO15">
        <v>39.255000000000003</v>
      </c>
      <c r="CP15">
        <v>39.26</v>
      </c>
      <c r="CQ15" t="s">
        <v>137</v>
      </c>
      <c r="CR15" t="s">
        <v>137</v>
      </c>
      <c r="CS15">
        <v>38.988</v>
      </c>
      <c r="CT15">
        <v>39.212000000000003</v>
      </c>
      <c r="CU15">
        <v>39.091000000000001</v>
      </c>
      <c r="CV15">
        <v>39.036999999999999</v>
      </c>
      <c r="CW15">
        <v>39.023000000000003</v>
      </c>
      <c r="CX15" t="s">
        <v>137</v>
      </c>
      <c r="CY15" t="s">
        <v>137</v>
      </c>
      <c r="CZ15">
        <v>39.063000000000002</v>
      </c>
      <c r="DA15">
        <v>39.048999999999999</v>
      </c>
      <c r="DB15">
        <v>39.128</v>
      </c>
      <c r="DC15">
        <v>38.96</v>
      </c>
      <c r="DD15">
        <v>39.082999999999998</v>
      </c>
      <c r="DE15" t="s">
        <v>137</v>
      </c>
      <c r="DF15" t="s">
        <v>137</v>
      </c>
      <c r="DG15">
        <v>39.03</v>
      </c>
      <c r="DH15">
        <v>39.097000000000001</v>
      </c>
      <c r="DI15">
        <v>38.982999999999997</v>
      </c>
      <c r="DJ15">
        <v>38.935000000000002</v>
      </c>
      <c r="DK15">
        <v>43.91</v>
      </c>
      <c r="DL15" t="s">
        <v>137</v>
      </c>
      <c r="DM15" t="s">
        <v>137</v>
      </c>
      <c r="DN15">
        <v>43.948</v>
      </c>
      <c r="DO15">
        <v>43.963000000000001</v>
      </c>
      <c r="DP15">
        <v>43.969000000000001</v>
      </c>
      <c r="DQ15">
        <v>43.984999999999999</v>
      </c>
      <c r="DR15">
        <v>44.091000000000001</v>
      </c>
      <c r="DS15" t="s">
        <v>137</v>
      </c>
      <c r="DT15" t="s">
        <v>137</v>
      </c>
      <c r="DU15">
        <v>45.014000000000003</v>
      </c>
      <c r="DV15">
        <v>45.008000000000003</v>
      </c>
      <c r="DW15">
        <v>45.024999999999999</v>
      </c>
      <c r="DX15">
        <v>45.774999999999999</v>
      </c>
      <c r="DY15">
        <v>44.511000000000003</v>
      </c>
      <c r="DZ15" t="s">
        <v>137</v>
      </c>
      <c r="EA15" t="s">
        <v>137</v>
      </c>
      <c r="EB15">
        <v>44.423000000000002</v>
      </c>
      <c r="EC15">
        <v>44.640999999999998</v>
      </c>
      <c r="ED15">
        <v>44.267000000000003</v>
      </c>
      <c r="EE15">
        <v>45.113999999999997</v>
      </c>
      <c r="EF15">
        <v>45.042000000000002</v>
      </c>
      <c r="EG15" t="s">
        <v>137</v>
      </c>
      <c r="EH15" t="s">
        <v>137</v>
      </c>
      <c r="EI15">
        <v>44.588000000000001</v>
      </c>
      <c r="EJ15">
        <v>44.307000000000002</v>
      </c>
      <c r="EK15">
        <v>44.253</v>
      </c>
      <c r="EL15">
        <v>44.997</v>
      </c>
      <c r="EM15">
        <v>44.924999999999997</v>
      </c>
      <c r="EN15" t="s">
        <v>137</v>
      </c>
      <c r="EO15" t="s">
        <v>137</v>
      </c>
      <c r="EP15">
        <v>44.476999999999997</v>
      </c>
      <c r="EQ15">
        <v>44.313000000000002</v>
      </c>
      <c r="ER15">
        <v>43.747999999999998</v>
      </c>
      <c r="ES15">
        <v>43.764000000000003</v>
      </c>
      <c r="ET15">
        <v>43.86</v>
      </c>
      <c r="EU15" t="s">
        <v>137</v>
      </c>
      <c r="EV15" t="s">
        <v>137</v>
      </c>
      <c r="EW15">
        <v>43.75</v>
      </c>
      <c r="EX15">
        <v>43.661000000000001</v>
      </c>
      <c r="EY15">
        <v>42.087000000000003</v>
      </c>
      <c r="EZ15">
        <v>41.786999999999999</v>
      </c>
      <c r="FA15">
        <v>41.46</v>
      </c>
      <c r="FB15" t="s">
        <v>137</v>
      </c>
      <c r="FC15" t="s">
        <v>137</v>
      </c>
      <c r="FD15">
        <v>41.844000000000001</v>
      </c>
      <c r="FE15">
        <v>42.597000000000001</v>
      </c>
      <c r="FF15">
        <v>43.234999999999999</v>
      </c>
      <c r="FG15">
        <v>42.811999999999998</v>
      </c>
      <c r="FH15">
        <v>43.296999999999997</v>
      </c>
      <c r="FI15" t="s">
        <v>137</v>
      </c>
      <c r="FJ15" t="s">
        <v>137</v>
      </c>
      <c r="FK15">
        <v>42.976999999999997</v>
      </c>
      <c r="FL15">
        <v>43.072000000000003</v>
      </c>
      <c r="FM15">
        <v>43.082000000000001</v>
      </c>
      <c r="FN15">
        <v>41.954999999999998</v>
      </c>
      <c r="FO15">
        <v>42.4</v>
      </c>
      <c r="FP15" t="s">
        <v>137</v>
      </c>
      <c r="FQ15" t="s">
        <v>137</v>
      </c>
      <c r="FR15">
        <v>41.664000000000001</v>
      </c>
      <c r="FS15">
        <v>41.786999999999999</v>
      </c>
      <c r="FT15">
        <v>41.750999999999998</v>
      </c>
      <c r="FU15">
        <v>40.902000000000001</v>
      </c>
      <c r="FV15">
        <v>42.35</v>
      </c>
      <c r="FW15" t="s">
        <v>137</v>
      </c>
      <c r="FX15" t="s">
        <v>137</v>
      </c>
      <c r="FY15">
        <v>41.646999999999998</v>
      </c>
      <c r="FZ15">
        <v>42.396999999999998</v>
      </c>
      <c r="GA15">
        <v>41.997</v>
      </c>
      <c r="GB15">
        <v>40.517000000000003</v>
      </c>
      <c r="GC15">
        <v>39.841000000000001</v>
      </c>
      <c r="GD15" t="s">
        <v>137</v>
      </c>
      <c r="GE15" t="s">
        <v>137</v>
      </c>
      <c r="GF15">
        <v>39.226999999999997</v>
      </c>
      <c r="GG15">
        <v>40.091999999999999</v>
      </c>
      <c r="GH15">
        <v>40.091999999999999</v>
      </c>
      <c r="GI15">
        <v>40.226999999999997</v>
      </c>
      <c r="GJ15">
        <v>38.231999999999999</v>
      </c>
      <c r="GK15" t="s">
        <v>137</v>
      </c>
      <c r="GL15" t="s">
        <v>137</v>
      </c>
      <c r="GM15">
        <v>35.420999999999999</v>
      </c>
      <c r="GN15">
        <v>35.734999999999999</v>
      </c>
      <c r="GO15">
        <v>34.122</v>
      </c>
      <c r="GP15">
        <v>30.952000000000002</v>
      </c>
      <c r="GQ15">
        <v>30.887</v>
      </c>
      <c r="GR15" t="s">
        <v>137</v>
      </c>
      <c r="GS15" t="s">
        <v>137</v>
      </c>
      <c r="GT15">
        <v>29.872</v>
      </c>
      <c r="GU15">
        <v>29.632000000000001</v>
      </c>
      <c r="GV15">
        <v>29</v>
      </c>
      <c r="GW15">
        <v>25.95</v>
      </c>
      <c r="GX15">
        <v>26.391999999999999</v>
      </c>
      <c r="GY15" t="s">
        <v>137</v>
      </c>
      <c r="GZ15" t="s">
        <v>137</v>
      </c>
      <c r="HA15">
        <v>25.977</v>
      </c>
      <c r="HB15">
        <v>26.137</v>
      </c>
      <c r="HC15">
        <v>25.876999999999999</v>
      </c>
      <c r="HD15">
        <v>25.872</v>
      </c>
      <c r="HE15">
        <v>24.95</v>
      </c>
      <c r="HF15" t="s">
        <v>137</v>
      </c>
      <c r="HG15" t="s">
        <v>137</v>
      </c>
      <c r="HH15">
        <v>24.626999999999999</v>
      </c>
      <c r="HI15">
        <v>26.422000000000001</v>
      </c>
      <c r="HJ15">
        <v>26.684000000000001</v>
      </c>
      <c r="HK15">
        <v>27.446999999999999</v>
      </c>
      <c r="HL15">
        <v>28.297000000000001</v>
      </c>
      <c r="HM15" t="s">
        <v>137</v>
      </c>
      <c r="HN15" t="s">
        <v>137</v>
      </c>
      <c r="HO15">
        <v>28.344000000000001</v>
      </c>
      <c r="HP15">
        <v>28.524999999999999</v>
      </c>
      <c r="HQ15">
        <v>28.004999999999999</v>
      </c>
      <c r="HR15">
        <v>28</v>
      </c>
      <c r="HS15">
        <v>28.004999999999999</v>
      </c>
      <c r="HT15" t="s">
        <v>137</v>
      </c>
      <c r="HU15" t="s">
        <v>137</v>
      </c>
      <c r="HV15">
        <v>28.004999999999999</v>
      </c>
      <c r="HW15">
        <v>28.271999999999998</v>
      </c>
      <c r="HX15">
        <v>28.126999999999999</v>
      </c>
      <c r="HY15">
        <v>27.446999999999999</v>
      </c>
      <c r="HZ15">
        <v>28.417999999999999</v>
      </c>
      <c r="IA15" t="s">
        <v>137</v>
      </c>
      <c r="IB15" t="s">
        <v>137</v>
      </c>
      <c r="IC15">
        <v>30.661999999999999</v>
      </c>
      <c r="ID15">
        <v>29.521999999999998</v>
      </c>
      <c r="IE15">
        <v>28.754999999999999</v>
      </c>
      <c r="IF15">
        <v>28.622</v>
      </c>
      <c r="IG15">
        <v>27.632000000000001</v>
      </c>
      <c r="IH15" t="s">
        <v>137</v>
      </c>
      <c r="II15" t="s">
        <v>137</v>
      </c>
      <c r="IJ15">
        <v>26.622</v>
      </c>
      <c r="IK15">
        <v>26.007000000000001</v>
      </c>
      <c r="IL15">
        <v>26.727</v>
      </c>
      <c r="IM15">
        <v>25.972000000000001</v>
      </c>
      <c r="IN15">
        <v>25.972000000000001</v>
      </c>
      <c r="IO15" t="s">
        <v>137</v>
      </c>
      <c r="IP15" t="s">
        <v>137</v>
      </c>
      <c r="IQ15">
        <v>24.122</v>
      </c>
      <c r="IR15">
        <v>24.289000000000001</v>
      </c>
      <c r="IS15">
        <v>24.986999999999998</v>
      </c>
      <c r="IT15">
        <v>25.5</v>
      </c>
      <c r="IU15">
        <v>26.111999999999998</v>
      </c>
      <c r="IV15" t="s">
        <v>137</v>
      </c>
      <c r="IW15" t="s">
        <v>137</v>
      </c>
      <c r="IX15">
        <v>26</v>
      </c>
      <c r="IY15">
        <v>28.297000000000001</v>
      </c>
      <c r="IZ15">
        <v>28.294</v>
      </c>
      <c r="JA15">
        <v>28.181999999999999</v>
      </c>
      <c r="JB15">
        <v>29.472000000000001</v>
      </c>
      <c r="JC15" t="s">
        <v>137</v>
      </c>
      <c r="JD15" t="s">
        <v>137</v>
      </c>
      <c r="JE15">
        <v>30.728000000000002</v>
      </c>
      <c r="JF15">
        <v>30.751999999999999</v>
      </c>
      <c r="JG15">
        <v>30.532</v>
      </c>
      <c r="JH15">
        <v>30.651</v>
      </c>
      <c r="JI15">
        <v>30.042000000000002</v>
      </c>
      <c r="JJ15" t="s">
        <v>137</v>
      </c>
      <c r="JK15" t="s">
        <v>137</v>
      </c>
      <c r="JL15">
        <v>30.042000000000002</v>
      </c>
      <c r="JM15">
        <v>30.042000000000002</v>
      </c>
      <c r="JN15">
        <v>30.042000000000002</v>
      </c>
      <c r="JO15">
        <v>30.042000000000002</v>
      </c>
      <c r="JP15">
        <v>30.042000000000002</v>
      </c>
      <c r="JQ15" t="s">
        <v>137</v>
      </c>
      <c r="JR15" t="s">
        <v>137</v>
      </c>
      <c r="JS15">
        <v>30.042000000000002</v>
      </c>
      <c r="JT15">
        <v>30.042000000000002</v>
      </c>
      <c r="JU15">
        <v>30.042000000000002</v>
      </c>
      <c r="JV15">
        <v>30.042000000000002</v>
      </c>
      <c r="JW15">
        <v>30.042000000000002</v>
      </c>
      <c r="JX15" t="s">
        <v>137</v>
      </c>
      <c r="JY15" t="s">
        <v>137</v>
      </c>
      <c r="JZ15">
        <v>30.042000000000002</v>
      </c>
      <c r="KA15">
        <v>37.46</v>
      </c>
      <c r="KB15">
        <v>36.86</v>
      </c>
      <c r="KC15">
        <v>36.67</v>
      </c>
      <c r="KD15">
        <v>37.25</v>
      </c>
      <c r="KE15" t="s">
        <v>137</v>
      </c>
      <c r="KF15" t="s">
        <v>137</v>
      </c>
      <c r="KG15">
        <v>37</v>
      </c>
      <c r="KH15">
        <v>36.9</v>
      </c>
      <c r="KI15">
        <v>37.299999999999997</v>
      </c>
      <c r="KJ15">
        <v>35.92</v>
      </c>
      <c r="KK15">
        <v>36.79</v>
      </c>
      <c r="KL15" t="s">
        <v>137</v>
      </c>
      <c r="KM15" t="s">
        <v>137</v>
      </c>
      <c r="KN15">
        <v>37.5</v>
      </c>
      <c r="KO15">
        <v>38</v>
      </c>
      <c r="KP15">
        <v>37.94</v>
      </c>
      <c r="KQ15">
        <v>37</v>
      </c>
      <c r="KR15">
        <v>37.619999999999997</v>
      </c>
      <c r="KS15" t="s">
        <v>137</v>
      </c>
      <c r="KT15" t="s">
        <v>137</v>
      </c>
      <c r="KU15">
        <v>37.75</v>
      </c>
      <c r="KV15">
        <v>38.200000000000003</v>
      </c>
      <c r="KW15">
        <v>37.61</v>
      </c>
      <c r="KX15">
        <v>37</v>
      </c>
      <c r="KY15">
        <v>36.93</v>
      </c>
      <c r="KZ15" t="s">
        <v>137</v>
      </c>
      <c r="LA15" t="s">
        <v>137</v>
      </c>
      <c r="LB15">
        <v>38.549999999999997</v>
      </c>
      <c r="LC15">
        <v>39</v>
      </c>
      <c r="LD15">
        <v>39.56</v>
      </c>
      <c r="LE15">
        <v>39</v>
      </c>
      <c r="LF15">
        <v>38.65</v>
      </c>
      <c r="LG15" t="s">
        <v>137</v>
      </c>
      <c r="LH15" t="s">
        <v>137</v>
      </c>
      <c r="LI15">
        <v>38.700000000000003</v>
      </c>
      <c r="LJ15">
        <v>38.51</v>
      </c>
      <c r="LK15">
        <v>39</v>
      </c>
      <c r="LL15">
        <v>38.96</v>
      </c>
      <c r="LM15">
        <v>38.5</v>
      </c>
      <c r="LN15" t="s">
        <v>137</v>
      </c>
      <c r="LO15" t="s">
        <v>137</v>
      </c>
      <c r="LP15">
        <v>38.130000000000003</v>
      </c>
      <c r="LQ15">
        <v>38.5</v>
      </c>
      <c r="LR15">
        <v>39.5</v>
      </c>
      <c r="LS15">
        <v>40.5</v>
      </c>
      <c r="LT15">
        <v>40.299999999999997</v>
      </c>
      <c r="LU15" t="s">
        <v>137</v>
      </c>
      <c r="LV15" t="s">
        <v>137</v>
      </c>
      <c r="LW15">
        <v>41.2</v>
      </c>
      <c r="LX15">
        <v>40.549999999999997</v>
      </c>
      <c r="LY15">
        <v>40.4</v>
      </c>
      <c r="LZ15">
        <v>39.700000000000003</v>
      </c>
      <c r="MA15">
        <v>40.6</v>
      </c>
      <c r="MB15" t="s">
        <v>137</v>
      </c>
      <c r="MC15" t="s">
        <v>137</v>
      </c>
      <c r="MD15">
        <v>40</v>
      </c>
      <c r="ME15">
        <v>45.75</v>
      </c>
      <c r="MF15">
        <v>44.61</v>
      </c>
      <c r="MG15">
        <v>44.45</v>
      </c>
      <c r="MH15">
        <v>43.88</v>
      </c>
      <c r="MI15" t="s">
        <v>137</v>
      </c>
      <c r="MJ15" t="s">
        <v>137</v>
      </c>
      <c r="MK15">
        <v>43.88</v>
      </c>
      <c r="ML15">
        <v>43.79</v>
      </c>
      <c r="MM15">
        <v>43.87</v>
      </c>
      <c r="MN15">
        <v>44.05</v>
      </c>
      <c r="MO15">
        <v>44</v>
      </c>
      <c r="MP15" t="s">
        <v>137</v>
      </c>
      <c r="MQ15" t="s">
        <v>137</v>
      </c>
      <c r="MR15">
        <v>44.04</v>
      </c>
      <c r="MS15">
        <v>44.03</v>
      </c>
      <c r="MT15">
        <v>43.91</v>
      </c>
      <c r="MU15">
        <v>43.25</v>
      </c>
      <c r="MV15">
        <v>42.03</v>
      </c>
      <c r="MW15" t="s">
        <v>137</v>
      </c>
      <c r="MX15" t="s">
        <v>137</v>
      </c>
      <c r="MY15">
        <v>42</v>
      </c>
      <c r="MZ15">
        <v>41.71</v>
      </c>
      <c r="NA15">
        <v>41.3</v>
      </c>
      <c r="NB15">
        <v>40.25</v>
      </c>
      <c r="NC15">
        <v>39.5</v>
      </c>
      <c r="ND15" t="s">
        <v>137</v>
      </c>
      <c r="NE15" t="s">
        <v>137</v>
      </c>
      <c r="NF15">
        <v>40.549999999999997</v>
      </c>
      <c r="NG15">
        <v>44.5</v>
      </c>
      <c r="NH15">
        <v>45.75</v>
      </c>
      <c r="NI15">
        <v>45.75</v>
      </c>
      <c r="NJ15">
        <v>46.25</v>
      </c>
      <c r="NK15" t="s">
        <v>137</v>
      </c>
      <c r="NL15" t="s">
        <v>137</v>
      </c>
      <c r="NM15">
        <v>47</v>
      </c>
      <c r="NN15">
        <v>46.875</v>
      </c>
      <c r="NO15">
        <v>48.332999999999998</v>
      </c>
      <c r="NP15">
        <v>46.938000000000002</v>
      </c>
      <c r="NQ15">
        <v>46.938000000000002</v>
      </c>
      <c r="NR15" t="s">
        <v>137</v>
      </c>
      <c r="NS15" t="s">
        <v>137</v>
      </c>
      <c r="NT15">
        <v>46.938000000000002</v>
      </c>
      <c r="NU15">
        <v>46.938000000000002</v>
      </c>
      <c r="NV15">
        <v>46.938000000000002</v>
      </c>
      <c r="NW15">
        <v>46.938000000000002</v>
      </c>
      <c r="NX15">
        <v>46.938000000000002</v>
      </c>
      <c r="NY15" t="s">
        <v>137</v>
      </c>
      <c r="NZ15" t="s">
        <v>137</v>
      </c>
      <c r="OA15">
        <v>46.938000000000002</v>
      </c>
      <c r="OB15">
        <v>46.938000000000002</v>
      </c>
      <c r="OC15">
        <v>46.938000000000002</v>
      </c>
      <c r="OD15">
        <v>46.938000000000002</v>
      </c>
      <c r="OE15">
        <v>46.938000000000002</v>
      </c>
      <c r="OF15" t="s">
        <v>137</v>
      </c>
      <c r="OG15" t="s">
        <v>137</v>
      </c>
      <c r="OH15">
        <v>46.938000000000002</v>
      </c>
      <c r="OI15">
        <v>46.938000000000002</v>
      </c>
      <c r="OJ15">
        <v>46.938000000000002</v>
      </c>
      <c r="OK15">
        <v>46.938000000000002</v>
      </c>
      <c r="OL15">
        <v>46.938000000000002</v>
      </c>
      <c r="OM15" t="s">
        <v>137</v>
      </c>
      <c r="ON15" t="s">
        <v>137</v>
      </c>
      <c r="OO15">
        <v>46.938000000000002</v>
      </c>
      <c r="OP15">
        <v>46.938000000000002</v>
      </c>
      <c r="OQ15">
        <v>46.938000000000002</v>
      </c>
      <c r="OR15">
        <v>46.938000000000002</v>
      </c>
      <c r="OS15">
        <v>46.938000000000002</v>
      </c>
      <c r="OT15" t="s">
        <v>137</v>
      </c>
      <c r="OU15" t="s">
        <v>137</v>
      </c>
      <c r="OV15">
        <v>46.938000000000002</v>
      </c>
      <c r="OW15">
        <v>46.938000000000002</v>
      </c>
      <c r="OX15">
        <v>46.938000000000002</v>
      </c>
      <c r="OY15">
        <v>46.938000000000002</v>
      </c>
      <c r="OZ15">
        <v>46.938000000000002</v>
      </c>
      <c r="PA15" t="s">
        <v>137</v>
      </c>
      <c r="PB15" t="s">
        <v>137</v>
      </c>
      <c r="PC15">
        <v>46.938000000000002</v>
      </c>
      <c r="PD15">
        <v>46.938000000000002</v>
      </c>
      <c r="PE15">
        <v>46.938000000000002</v>
      </c>
      <c r="PF15">
        <v>46.938000000000002</v>
      </c>
      <c r="PG15">
        <v>46.938000000000002</v>
      </c>
      <c r="PH15" t="s">
        <v>137</v>
      </c>
      <c r="PI15" t="s">
        <v>137</v>
      </c>
      <c r="PJ15">
        <v>46.938000000000002</v>
      </c>
      <c r="PK15">
        <v>46.938000000000002</v>
      </c>
      <c r="PL15">
        <v>46.938000000000002</v>
      </c>
      <c r="PM15">
        <v>46.938000000000002</v>
      </c>
      <c r="PN15">
        <v>46.938000000000002</v>
      </c>
      <c r="PO15" t="s">
        <v>137</v>
      </c>
      <c r="PP15" t="s">
        <v>137</v>
      </c>
      <c r="PQ15" t="s">
        <v>137</v>
      </c>
      <c r="PR15" t="s">
        <v>137</v>
      </c>
      <c r="PS15" t="s">
        <v>137</v>
      </c>
      <c r="PT15" t="s">
        <v>137</v>
      </c>
      <c r="PU15" t="s">
        <v>137</v>
      </c>
      <c r="PV15" t="s">
        <v>137</v>
      </c>
      <c r="PW15" t="s">
        <v>137</v>
      </c>
      <c r="PX15" t="s">
        <v>137</v>
      </c>
      <c r="PY15" t="s">
        <v>137</v>
      </c>
      <c r="PZ15" t="s">
        <v>137</v>
      </c>
      <c r="QA15" t="s">
        <v>137</v>
      </c>
      <c r="QB15" t="s">
        <v>137</v>
      </c>
      <c r="QC15" t="s">
        <v>137</v>
      </c>
      <c r="QD15" t="s">
        <v>137</v>
      </c>
      <c r="QE15" t="s">
        <v>137</v>
      </c>
      <c r="QF15" t="s">
        <v>137</v>
      </c>
      <c r="QG15" t="s">
        <v>137</v>
      </c>
      <c r="QH15" t="s">
        <v>137</v>
      </c>
      <c r="QI15" t="s">
        <v>137</v>
      </c>
      <c r="QJ15" t="s">
        <v>137</v>
      </c>
      <c r="QK15" t="s">
        <v>137</v>
      </c>
      <c r="QL15" t="s">
        <v>137</v>
      </c>
      <c r="QM15" t="s">
        <v>137</v>
      </c>
      <c r="QN15" t="s">
        <v>137</v>
      </c>
      <c r="QO15" t="s">
        <v>137</v>
      </c>
    </row>
    <row r="16" spans="1:524" x14ac:dyDescent="0.2">
      <c r="A16" t="s">
        <v>117</v>
      </c>
      <c r="B16" s="3">
        <v>42482</v>
      </c>
      <c r="C16" t="s">
        <v>74</v>
      </c>
      <c r="E16" t="s">
        <v>137</v>
      </c>
      <c r="F16">
        <v>41.75</v>
      </c>
      <c r="G16">
        <v>41.787500000000001</v>
      </c>
      <c r="H16">
        <v>44.835500000000003</v>
      </c>
      <c r="I16">
        <v>47.608499999999999</v>
      </c>
      <c r="J16">
        <v>47.375</v>
      </c>
      <c r="K16" t="s">
        <v>137</v>
      </c>
      <c r="L16" t="s">
        <v>137</v>
      </c>
      <c r="M16">
        <v>50.8125</v>
      </c>
      <c r="N16">
        <v>50.625500000000002</v>
      </c>
      <c r="O16">
        <v>51.325000000000003</v>
      </c>
      <c r="P16">
        <v>50.96</v>
      </c>
      <c r="Q16">
        <v>49.641500000000001</v>
      </c>
      <c r="R16" t="s">
        <v>137</v>
      </c>
      <c r="S16" t="s">
        <v>137</v>
      </c>
      <c r="T16">
        <v>48.5</v>
      </c>
      <c r="U16">
        <v>50.142499999999998</v>
      </c>
      <c r="V16">
        <v>51.25</v>
      </c>
      <c r="W16">
        <v>50.734999999999999</v>
      </c>
      <c r="X16">
        <v>50.5</v>
      </c>
      <c r="Y16" t="s">
        <v>137</v>
      </c>
      <c r="Z16" t="s">
        <v>137</v>
      </c>
      <c r="AA16">
        <v>49.017000000000003</v>
      </c>
      <c r="AB16">
        <v>47.633499999999998</v>
      </c>
      <c r="AC16">
        <v>47.244999999999997</v>
      </c>
      <c r="AD16">
        <v>47.238999999999997</v>
      </c>
      <c r="AE16">
        <v>48.212499999999999</v>
      </c>
      <c r="AF16" t="s">
        <v>137</v>
      </c>
      <c r="AG16" t="s">
        <v>137</v>
      </c>
      <c r="AH16">
        <v>49.244</v>
      </c>
      <c r="AI16">
        <v>49.075000000000003</v>
      </c>
      <c r="AJ16">
        <v>49.078499999999998</v>
      </c>
      <c r="AK16">
        <v>49</v>
      </c>
      <c r="AL16">
        <v>49.95</v>
      </c>
      <c r="AM16" t="s">
        <v>137</v>
      </c>
      <c r="AN16" t="s">
        <v>137</v>
      </c>
      <c r="AO16">
        <v>50.954999999999998</v>
      </c>
      <c r="AP16">
        <v>51.616</v>
      </c>
      <c r="AQ16">
        <v>52.25</v>
      </c>
      <c r="AR16">
        <v>54.85</v>
      </c>
      <c r="AS16">
        <v>54</v>
      </c>
      <c r="AT16" t="s">
        <v>137</v>
      </c>
      <c r="AU16" t="s">
        <v>137</v>
      </c>
      <c r="AV16">
        <v>53.401499999999999</v>
      </c>
      <c r="AW16">
        <v>53.5</v>
      </c>
      <c r="AX16">
        <v>52.15</v>
      </c>
      <c r="AY16">
        <v>52.576500000000003</v>
      </c>
      <c r="AZ16">
        <v>51.05</v>
      </c>
      <c r="BA16" t="s">
        <v>137</v>
      </c>
      <c r="BB16" t="s">
        <v>137</v>
      </c>
      <c r="BC16">
        <v>49.195</v>
      </c>
      <c r="BD16">
        <v>46.691499999999998</v>
      </c>
      <c r="BE16">
        <v>47.1785</v>
      </c>
      <c r="BF16">
        <v>47.804499999999997</v>
      </c>
      <c r="BG16">
        <v>46.8765</v>
      </c>
      <c r="BH16" t="s">
        <v>137</v>
      </c>
      <c r="BI16" t="s">
        <v>137</v>
      </c>
      <c r="BJ16">
        <v>45</v>
      </c>
      <c r="BK16">
        <v>46.418500000000002</v>
      </c>
      <c r="BL16">
        <v>45.918999999999997</v>
      </c>
      <c r="BM16">
        <v>45.152000000000001</v>
      </c>
      <c r="BN16">
        <v>45.070999999999998</v>
      </c>
      <c r="BO16" t="s">
        <v>137</v>
      </c>
      <c r="BP16" t="s">
        <v>137</v>
      </c>
      <c r="BQ16">
        <v>45.0625</v>
      </c>
      <c r="BR16">
        <v>45.031500000000001</v>
      </c>
      <c r="BS16">
        <v>44.127499999999998</v>
      </c>
      <c r="BT16">
        <v>44.122500000000002</v>
      </c>
      <c r="BU16">
        <v>43.301000000000002</v>
      </c>
      <c r="BV16" t="s">
        <v>137</v>
      </c>
      <c r="BW16" t="s">
        <v>137</v>
      </c>
      <c r="BX16">
        <v>43.125</v>
      </c>
      <c r="BY16">
        <v>42.087499999999999</v>
      </c>
      <c r="BZ16">
        <v>42.012500000000003</v>
      </c>
      <c r="CA16">
        <v>42.622999999999998</v>
      </c>
      <c r="CB16">
        <v>42.2</v>
      </c>
      <c r="CC16" t="s">
        <v>137</v>
      </c>
      <c r="CD16" t="s">
        <v>137</v>
      </c>
      <c r="CE16">
        <v>41.719499999999996</v>
      </c>
      <c r="CF16">
        <v>43.5565</v>
      </c>
      <c r="CG16">
        <v>44.488</v>
      </c>
      <c r="CH16">
        <v>46.3035</v>
      </c>
      <c r="CI16">
        <v>45.241999999999997</v>
      </c>
      <c r="CJ16" t="s">
        <v>137</v>
      </c>
      <c r="CK16" t="s">
        <v>137</v>
      </c>
      <c r="CL16">
        <v>44.75</v>
      </c>
      <c r="CM16">
        <v>45.369500000000002</v>
      </c>
      <c r="CN16">
        <v>45.366</v>
      </c>
      <c r="CO16">
        <v>45</v>
      </c>
      <c r="CP16">
        <v>45.625</v>
      </c>
      <c r="CQ16" t="s">
        <v>137</v>
      </c>
      <c r="CR16" t="s">
        <v>137</v>
      </c>
      <c r="CS16">
        <v>43.383499999999998</v>
      </c>
      <c r="CT16">
        <v>44.029000000000003</v>
      </c>
      <c r="CU16">
        <v>44.924999999999997</v>
      </c>
      <c r="CV16">
        <v>44.317</v>
      </c>
      <c r="CW16">
        <v>45.628</v>
      </c>
      <c r="CX16" t="s">
        <v>137</v>
      </c>
      <c r="CY16" t="s">
        <v>137</v>
      </c>
      <c r="CZ16">
        <v>48.6</v>
      </c>
      <c r="DA16">
        <v>48.95</v>
      </c>
      <c r="DB16">
        <v>49.259</v>
      </c>
      <c r="DC16">
        <v>49.74</v>
      </c>
      <c r="DD16">
        <v>49.780999999999999</v>
      </c>
      <c r="DE16" t="s">
        <v>137</v>
      </c>
      <c r="DF16" t="s">
        <v>137</v>
      </c>
      <c r="DG16">
        <v>48.8005</v>
      </c>
      <c r="DH16">
        <v>51.606999999999999</v>
      </c>
      <c r="DI16">
        <v>52.679000000000002</v>
      </c>
      <c r="DJ16">
        <v>51.919499999999999</v>
      </c>
      <c r="DK16">
        <v>51.647500000000001</v>
      </c>
      <c r="DL16" t="s">
        <v>137</v>
      </c>
      <c r="DM16" t="s">
        <v>137</v>
      </c>
      <c r="DN16">
        <v>51.948999999999998</v>
      </c>
      <c r="DO16">
        <v>52.580500000000001</v>
      </c>
      <c r="DP16">
        <v>52.611499999999999</v>
      </c>
      <c r="DQ16">
        <v>53.118000000000002</v>
      </c>
      <c r="DR16">
        <v>54.134500000000003</v>
      </c>
      <c r="DS16" t="s">
        <v>137</v>
      </c>
      <c r="DT16" t="s">
        <v>137</v>
      </c>
      <c r="DU16">
        <v>54</v>
      </c>
      <c r="DV16">
        <v>54.1875</v>
      </c>
      <c r="DW16">
        <v>53.75</v>
      </c>
      <c r="DX16">
        <v>52.880499999999998</v>
      </c>
      <c r="DY16">
        <v>53.326999999999998</v>
      </c>
      <c r="DZ16" t="s">
        <v>137</v>
      </c>
      <c r="EA16" t="s">
        <v>137</v>
      </c>
      <c r="EB16">
        <v>51.024999999999999</v>
      </c>
      <c r="EC16">
        <v>51.708500000000001</v>
      </c>
      <c r="ED16">
        <v>52.174999999999997</v>
      </c>
      <c r="EE16">
        <v>53.378</v>
      </c>
      <c r="EF16">
        <v>53.125</v>
      </c>
      <c r="EG16" t="s">
        <v>137</v>
      </c>
      <c r="EH16" t="s">
        <v>137</v>
      </c>
      <c r="EI16">
        <v>54</v>
      </c>
      <c r="EJ16">
        <v>53.6</v>
      </c>
      <c r="EK16">
        <v>54.7</v>
      </c>
      <c r="EL16">
        <v>54.625</v>
      </c>
      <c r="EM16">
        <v>54.223500000000001</v>
      </c>
      <c r="EN16" t="s">
        <v>137</v>
      </c>
      <c r="EO16" t="s">
        <v>137</v>
      </c>
      <c r="EP16">
        <v>54</v>
      </c>
      <c r="EQ16">
        <v>53.174999999999997</v>
      </c>
      <c r="ER16">
        <v>52.607999999999997</v>
      </c>
      <c r="ES16">
        <v>52.844499999999996</v>
      </c>
      <c r="ET16">
        <v>52.116</v>
      </c>
      <c r="EU16" t="s">
        <v>137</v>
      </c>
      <c r="EV16" t="s">
        <v>137</v>
      </c>
      <c r="EW16">
        <v>50.872</v>
      </c>
      <c r="EX16">
        <v>52.244999999999997</v>
      </c>
      <c r="EY16">
        <v>53.869</v>
      </c>
      <c r="EZ16">
        <v>53.854999999999997</v>
      </c>
      <c r="FA16">
        <v>53.432000000000002</v>
      </c>
      <c r="FB16" t="s">
        <v>137</v>
      </c>
      <c r="FC16" t="s">
        <v>137</v>
      </c>
      <c r="FD16">
        <v>54.832999999999998</v>
      </c>
      <c r="FE16">
        <v>56.674999999999997</v>
      </c>
      <c r="FF16">
        <v>57.125</v>
      </c>
      <c r="FG16">
        <v>56.625</v>
      </c>
      <c r="FH16">
        <v>57.756</v>
      </c>
      <c r="FI16" t="s">
        <v>137</v>
      </c>
      <c r="FJ16" t="s">
        <v>137</v>
      </c>
      <c r="FK16">
        <v>57.119500000000002</v>
      </c>
      <c r="FL16">
        <v>54.744</v>
      </c>
      <c r="FM16">
        <v>55.006</v>
      </c>
      <c r="FN16">
        <v>55.1785</v>
      </c>
      <c r="FO16">
        <v>54.622500000000002</v>
      </c>
      <c r="FP16" t="s">
        <v>137</v>
      </c>
      <c r="FQ16" t="s">
        <v>137</v>
      </c>
      <c r="FR16">
        <v>54.859499999999997</v>
      </c>
      <c r="FS16">
        <v>54.857500000000002</v>
      </c>
      <c r="FT16">
        <v>54.883000000000003</v>
      </c>
      <c r="FU16">
        <v>54.884</v>
      </c>
      <c r="FV16">
        <v>54.884</v>
      </c>
      <c r="FW16" t="s">
        <v>137</v>
      </c>
      <c r="FX16" t="s">
        <v>137</v>
      </c>
      <c r="FY16">
        <v>54.884</v>
      </c>
      <c r="FZ16">
        <v>54.892499999999998</v>
      </c>
      <c r="GA16">
        <v>54.892499999999998</v>
      </c>
      <c r="GB16">
        <v>54.883499999999998</v>
      </c>
      <c r="GC16">
        <v>54.883499999999998</v>
      </c>
      <c r="GD16" t="s">
        <v>137</v>
      </c>
      <c r="GE16" t="s">
        <v>137</v>
      </c>
      <c r="GF16">
        <v>54.883499999999998</v>
      </c>
      <c r="GG16">
        <v>54.866500000000002</v>
      </c>
      <c r="GH16" s="4">
        <v>54.866500000000002</v>
      </c>
      <c r="GI16">
        <v>54.858499999999999</v>
      </c>
      <c r="GJ16">
        <v>54.858499999999999</v>
      </c>
      <c r="GK16" t="s">
        <v>137</v>
      </c>
      <c r="GL16" t="s">
        <v>137</v>
      </c>
      <c r="GM16">
        <v>54.858499999999999</v>
      </c>
      <c r="GN16">
        <v>41.612000000000002</v>
      </c>
      <c r="GO16">
        <v>40.988500000000002</v>
      </c>
      <c r="GP16">
        <v>37.8035</v>
      </c>
      <c r="GQ16">
        <v>37.210999999999999</v>
      </c>
      <c r="GR16" t="s">
        <v>137</v>
      </c>
      <c r="GS16" t="s">
        <v>137</v>
      </c>
      <c r="GT16">
        <v>33.966000000000001</v>
      </c>
      <c r="GU16">
        <v>33.750500000000002</v>
      </c>
      <c r="GV16">
        <v>28.646999999999998</v>
      </c>
      <c r="GW16">
        <v>28.445</v>
      </c>
      <c r="GX16">
        <v>28.092500000000001</v>
      </c>
      <c r="GY16" t="s">
        <v>137</v>
      </c>
      <c r="GZ16" t="s">
        <v>137</v>
      </c>
      <c r="HA16">
        <v>26.3</v>
      </c>
      <c r="HB16">
        <v>26.012</v>
      </c>
      <c r="HC16">
        <v>26.474</v>
      </c>
      <c r="HD16">
        <v>27.570499999999999</v>
      </c>
      <c r="HE16">
        <v>27.4345</v>
      </c>
      <c r="HF16" t="s">
        <v>137</v>
      </c>
      <c r="HG16" t="s">
        <v>137</v>
      </c>
      <c r="HH16">
        <v>28.036000000000001</v>
      </c>
      <c r="HI16">
        <v>29.198</v>
      </c>
      <c r="HJ16">
        <v>29.294499999999999</v>
      </c>
      <c r="HK16">
        <v>30.132999999999999</v>
      </c>
      <c r="HL16">
        <v>30.658000000000001</v>
      </c>
      <c r="HM16" t="s">
        <v>137</v>
      </c>
      <c r="HN16" t="s">
        <v>137</v>
      </c>
      <c r="HO16">
        <v>32.381</v>
      </c>
      <c r="HP16">
        <v>32.243499999999997</v>
      </c>
      <c r="HQ16">
        <v>31.296500000000002</v>
      </c>
      <c r="HR16">
        <v>30.918500000000002</v>
      </c>
      <c r="HS16">
        <v>30.918500000000002</v>
      </c>
      <c r="HT16" t="s">
        <v>137</v>
      </c>
      <c r="HU16" t="s">
        <v>137</v>
      </c>
      <c r="HV16">
        <v>30.75</v>
      </c>
      <c r="HW16">
        <v>30.7135</v>
      </c>
      <c r="HX16">
        <v>30.034500000000001</v>
      </c>
      <c r="HY16">
        <v>29.93</v>
      </c>
      <c r="HZ16">
        <v>32.576999999999998</v>
      </c>
      <c r="IA16" t="s">
        <v>137</v>
      </c>
      <c r="IB16" t="s">
        <v>137</v>
      </c>
      <c r="IC16">
        <v>33.298499999999997</v>
      </c>
      <c r="ID16">
        <v>32.372999999999998</v>
      </c>
      <c r="IE16">
        <v>31.601500000000001</v>
      </c>
      <c r="IF16">
        <v>31.163</v>
      </c>
      <c r="IG16">
        <v>29.042000000000002</v>
      </c>
      <c r="IH16" t="s">
        <v>137</v>
      </c>
      <c r="II16" t="s">
        <v>137</v>
      </c>
      <c r="IJ16">
        <v>29.351500000000001</v>
      </c>
      <c r="IK16">
        <v>29.618500000000001</v>
      </c>
      <c r="IL16">
        <v>29.770499999999998</v>
      </c>
      <c r="IM16">
        <v>28.987500000000001</v>
      </c>
      <c r="IN16">
        <v>28.738</v>
      </c>
      <c r="IO16" t="s">
        <v>137</v>
      </c>
      <c r="IP16" t="s">
        <v>137</v>
      </c>
      <c r="IQ16">
        <v>28.2865</v>
      </c>
      <c r="IR16">
        <v>29.529</v>
      </c>
      <c r="IS16">
        <v>30.292999999999999</v>
      </c>
      <c r="IT16">
        <v>30.642499999999998</v>
      </c>
      <c r="IU16">
        <v>30.606000000000002</v>
      </c>
      <c r="IV16" t="s">
        <v>137</v>
      </c>
      <c r="IW16" t="s">
        <v>137</v>
      </c>
      <c r="IX16">
        <v>32.651000000000003</v>
      </c>
      <c r="IY16">
        <v>34.762</v>
      </c>
      <c r="IZ16">
        <v>35.01</v>
      </c>
      <c r="JA16">
        <v>35.380499999999998</v>
      </c>
      <c r="JB16">
        <v>38.499000000000002</v>
      </c>
      <c r="JC16" t="s">
        <v>137</v>
      </c>
      <c r="JD16" t="s">
        <v>137</v>
      </c>
      <c r="JE16">
        <v>40.201500000000003</v>
      </c>
      <c r="JF16">
        <v>38.963000000000001</v>
      </c>
      <c r="JG16">
        <v>38.140999999999998</v>
      </c>
      <c r="JH16">
        <v>38.451500000000003</v>
      </c>
      <c r="JI16">
        <v>38.573</v>
      </c>
      <c r="JJ16" t="s">
        <v>137</v>
      </c>
      <c r="JK16" t="s">
        <v>137</v>
      </c>
      <c r="JL16">
        <v>38.798000000000002</v>
      </c>
      <c r="JM16">
        <v>39.8645</v>
      </c>
      <c r="JN16">
        <v>41.204500000000003</v>
      </c>
      <c r="JO16">
        <v>39.921500000000002</v>
      </c>
      <c r="JP16">
        <v>40.417999999999999</v>
      </c>
      <c r="JQ16" t="s">
        <v>137</v>
      </c>
      <c r="JR16" t="s">
        <v>137</v>
      </c>
      <c r="JS16">
        <v>41.625</v>
      </c>
      <c r="JT16">
        <v>41.096499999999999</v>
      </c>
      <c r="JU16">
        <v>41.730499999999999</v>
      </c>
      <c r="JV16">
        <v>41.274000000000001</v>
      </c>
      <c r="JW16">
        <v>40.8705</v>
      </c>
      <c r="JX16" t="s">
        <v>137</v>
      </c>
      <c r="JY16" t="s">
        <v>137</v>
      </c>
      <c r="JZ16">
        <v>41.572000000000003</v>
      </c>
      <c r="KA16">
        <v>40.183500000000002</v>
      </c>
      <c r="KB16">
        <v>40.814999999999998</v>
      </c>
      <c r="KC16">
        <v>41.164999999999999</v>
      </c>
      <c r="KD16">
        <v>41.646000000000001</v>
      </c>
      <c r="KE16" t="s">
        <v>137</v>
      </c>
      <c r="KF16" t="s">
        <v>137</v>
      </c>
      <c r="KG16">
        <v>41.042499999999997</v>
      </c>
      <c r="KH16">
        <v>42.249499999999998</v>
      </c>
      <c r="KI16">
        <v>41.976500000000001</v>
      </c>
      <c r="KJ16">
        <v>41.250999999999998</v>
      </c>
      <c r="KK16">
        <v>41.878999999999998</v>
      </c>
      <c r="KL16" t="s">
        <v>137</v>
      </c>
      <c r="KM16" t="s">
        <v>137</v>
      </c>
      <c r="KN16">
        <v>42.204500000000003</v>
      </c>
      <c r="KO16">
        <v>42.87</v>
      </c>
      <c r="KP16">
        <v>42.328499999999998</v>
      </c>
      <c r="KQ16">
        <v>42.536499999999997</v>
      </c>
      <c r="KR16">
        <v>41.481999999999999</v>
      </c>
      <c r="KS16" t="s">
        <v>137</v>
      </c>
      <c r="KT16" t="s">
        <v>137</v>
      </c>
      <c r="KU16">
        <v>42.371499999999997</v>
      </c>
      <c r="KV16">
        <v>41.994500000000002</v>
      </c>
      <c r="KW16">
        <v>41.947000000000003</v>
      </c>
      <c r="KX16">
        <v>41.795499999999997</v>
      </c>
      <c r="KY16">
        <v>41.661999999999999</v>
      </c>
      <c r="KZ16" t="s">
        <v>137</v>
      </c>
      <c r="LA16" t="s">
        <v>137</v>
      </c>
      <c r="LB16">
        <v>43.413499999999999</v>
      </c>
      <c r="LC16">
        <v>43.839500000000001</v>
      </c>
      <c r="LD16">
        <v>44.567500000000003</v>
      </c>
      <c r="LE16">
        <v>44.692</v>
      </c>
      <c r="LF16">
        <v>44.305</v>
      </c>
      <c r="LG16" t="s">
        <v>137</v>
      </c>
      <c r="LH16" t="s">
        <v>137</v>
      </c>
      <c r="LI16">
        <v>44.500500000000002</v>
      </c>
      <c r="LJ16">
        <v>43.900500000000001</v>
      </c>
      <c r="LK16">
        <v>43.649500000000003</v>
      </c>
      <c r="LL16">
        <v>43.933999999999997</v>
      </c>
      <c r="LM16">
        <v>43.649500000000003</v>
      </c>
      <c r="LN16" t="s">
        <v>137</v>
      </c>
      <c r="LO16" t="s">
        <v>137</v>
      </c>
      <c r="LP16">
        <v>43.688000000000002</v>
      </c>
      <c r="LQ16">
        <v>43.69</v>
      </c>
      <c r="LR16">
        <v>44.962000000000003</v>
      </c>
      <c r="LS16">
        <v>45.723500000000001</v>
      </c>
      <c r="LT16">
        <v>45.725499999999997</v>
      </c>
      <c r="LU16" t="s">
        <v>137</v>
      </c>
      <c r="LV16" t="s">
        <v>137</v>
      </c>
      <c r="LW16">
        <v>45.857999999999997</v>
      </c>
      <c r="LX16">
        <v>45.839500000000001</v>
      </c>
      <c r="LY16">
        <v>45.393000000000001</v>
      </c>
      <c r="LZ16">
        <v>45.353999999999999</v>
      </c>
      <c r="MA16">
        <v>45.5565</v>
      </c>
      <c r="MB16" t="s">
        <v>137</v>
      </c>
      <c r="MC16" t="s">
        <v>137</v>
      </c>
      <c r="MD16">
        <v>45.276499999999999</v>
      </c>
      <c r="ME16">
        <v>49.207999999999998</v>
      </c>
      <c r="MF16">
        <v>49.853499999999997</v>
      </c>
      <c r="MG16">
        <v>49.777000000000001</v>
      </c>
      <c r="MH16">
        <v>49.151000000000003</v>
      </c>
      <c r="MI16" t="s">
        <v>137</v>
      </c>
      <c r="MJ16" t="s">
        <v>137</v>
      </c>
      <c r="MK16">
        <v>49.085999999999999</v>
      </c>
      <c r="ML16">
        <v>49.227499999999999</v>
      </c>
      <c r="MM16">
        <v>49.087000000000003</v>
      </c>
      <c r="MN16">
        <v>49.150500000000001</v>
      </c>
      <c r="MO16">
        <v>49.042999999999999</v>
      </c>
      <c r="MP16" t="s">
        <v>137</v>
      </c>
      <c r="MQ16" t="s">
        <v>137</v>
      </c>
      <c r="MR16">
        <v>48.853000000000002</v>
      </c>
      <c r="MS16">
        <v>48.676499999999997</v>
      </c>
      <c r="MT16">
        <v>48.929000000000002</v>
      </c>
      <c r="MU16">
        <v>48.666499999999999</v>
      </c>
      <c r="MV16">
        <v>48.677999999999997</v>
      </c>
      <c r="MW16" t="s">
        <v>137</v>
      </c>
      <c r="MX16" t="s">
        <v>137</v>
      </c>
      <c r="MY16">
        <v>48.77</v>
      </c>
      <c r="MZ16">
        <v>48.798499999999997</v>
      </c>
      <c r="NA16">
        <v>48.859499999999997</v>
      </c>
      <c r="NB16">
        <v>48.841999999999999</v>
      </c>
      <c r="NC16">
        <v>48.865499999999997</v>
      </c>
      <c r="ND16" t="s">
        <v>137</v>
      </c>
      <c r="NE16" t="s">
        <v>137</v>
      </c>
      <c r="NF16">
        <v>48.807000000000002</v>
      </c>
      <c r="NG16">
        <v>49.408000000000001</v>
      </c>
      <c r="NH16">
        <v>49.362000000000002</v>
      </c>
      <c r="NI16">
        <v>51</v>
      </c>
      <c r="NJ16">
        <v>49.547499999999999</v>
      </c>
      <c r="NK16" t="s">
        <v>137</v>
      </c>
      <c r="NL16" t="s">
        <v>137</v>
      </c>
      <c r="NM16" t="s">
        <v>137</v>
      </c>
      <c r="NN16" t="s">
        <v>137</v>
      </c>
      <c r="NO16" t="s">
        <v>137</v>
      </c>
      <c r="NP16" t="s">
        <v>137</v>
      </c>
      <c r="NQ16" t="s">
        <v>137</v>
      </c>
      <c r="NR16" t="s">
        <v>137</v>
      </c>
      <c r="NS16" t="s">
        <v>137</v>
      </c>
      <c r="NT16" t="s">
        <v>137</v>
      </c>
      <c r="NU16" t="s">
        <v>137</v>
      </c>
      <c r="NV16" t="s">
        <v>137</v>
      </c>
      <c r="NW16" t="s">
        <v>137</v>
      </c>
      <c r="NX16" t="s">
        <v>137</v>
      </c>
      <c r="NY16" t="s">
        <v>137</v>
      </c>
      <c r="NZ16" t="s">
        <v>137</v>
      </c>
      <c r="OA16" t="s">
        <v>137</v>
      </c>
      <c r="OB16" t="s">
        <v>137</v>
      </c>
      <c r="OC16" t="s">
        <v>137</v>
      </c>
      <c r="OD16" t="s">
        <v>137</v>
      </c>
      <c r="OE16" t="s">
        <v>137</v>
      </c>
      <c r="OF16" t="s">
        <v>137</v>
      </c>
      <c r="OG16" t="s">
        <v>137</v>
      </c>
      <c r="OH16" t="s">
        <v>137</v>
      </c>
      <c r="OI16" t="s">
        <v>137</v>
      </c>
      <c r="OJ16" t="s">
        <v>137</v>
      </c>
      <c r="OK16" t="s">
        <v>137</v>
      </c>
      <c r="OL16" t="s">
        <v>137</v>
      </c>
      <c r="OM16" t="s">
        <v>137</v>
      </c>
      <c r="ON16" t="s">
        <v>137</v>
      </c>
      <c r="OO16" t="s">
        <v>137</v>
      </c>
      <c r="OP16" t="s">
        <v>137</v>
      </c>
      <c r="OQ16" t="s">
        <v>137</v>
      </c>
      <c r="OR16" t="s">
        <v>137</v>
      </c>
      <c r="OS16" t="s">
        <v>137</v>
      </c>
      <c r="OT16" t="s">
        <v>137</v>
      </c>
      <c r="OU16" t="s">
        <v>137</v>
      </c>
      <c r="OV16" t="s">
        <v>137</v>
      </c>
      <c r="OW16" t="s">
        <v>137</v>
      </c>
      <c r="OX16" t="s">
        <v>137</v>
      </c>
      <c r="OY16" t="s">
        <v>137</v>
      </c>
      <c r="OZ16" t="s">
        <v>137</v>
      </c>
      <c r="PA16" t="s">
        <v>137</v>
      </c>
      <c r="PB16" t="s">
        <v>137</v>
      </c>
      <c r="PC16" t="s">
        <v>137</v>
      </c>
      <c r="PD16" t="s">
        <v>137</v>
      </c>
      <c r="PE16" t="s">
        <v>137</v>
      </c>
      <c r="PF16" t="s">
        <v>137</v>
      </c>
      <c r="PG16" t="s">
        <v>137</v>
      </c>
      <c r="PH16" t="s">
        <v>137</v>
      </c>
      <c r="PI16" t="s">
        <v>137</v>
      </c>
      <c r="PJ16" t="s">
        <v>137</v>
      </c>
      <c r="PK16" t="s">
        <v>137</v>
      </c>
      <c r="PL16" t="s">
        <v>137</v>
      </c>
      <c r="PM16" t="s">
        <v>137</v>
      </c>
      <c r="PN16" t="s">
        <v>137</v>
      </c>
      <c r="PO16" t="s">
        <v>137</v>
      </c>
      <c r="PP16" t="s">
        <v>137</v>
      </c>
      <c r="PQ16" t="s">
        <v>137</v>
      </c>
      <c r="PR16" t="s">
        <v>137</v>
      </c>
      <c r="PS16" t="s">
        <v>137</v>
      </c>
      <c r="PT16" t="s">
        <v>137</v>
      </c>
      <c r="PU16" t="s">
        <v>137</v>
      </c>
      <c r="PV16" t="s">
        <v>137</v>
      </c>
      <c r="PW16" t="s">
        <v>137</v>
      </c>
      <c r="PX16" t="s">
        <v>137</v>
      </c>
      <c r="PY16" t="s">
        <v>137</v>
      </c>
      <c r="PZ16" t="s">
        <v>137</v>
      </c>
      <c r="QA16" t="s">
        <v>137</v>
      </c>
      <c r="QB16" t="s">
        <v>137</v>
      </c>
      <c r="QC16" t="s">
        <v>137</v>
      </c>
      <c r="QD16" t="s">
        <v>137</v>
      </c>
      <c r="QE16" t="s">
        <v>137</v>
      </c>
      <c r="QF16" t="s">
        <v>137</v>
      </c>
      <c r="QG16" t="s">
        <v>137</v>
      </c>
      <c r="QH16" t="s">
        <v>137</v>
      </c>
      <c r="QI16" t="s">
        <v>137</v>
      </c>
      <c r="QJ16" t="s">
        <v>137</v>
      </c>
      <c r="QK16" t="s">
        <v>137</v>
      </c>
      <c r="QL16" t="s">
        <v>137</v>
      </c>
      <c r="QM16" t="s">
        <v>137</v>
      </c>
      <c r="QN16" t="s">
        <v>137</v>
      </c>
      <c r="QO16" t="s">
        <v>137</v>
      </c>
    </row>
    <row r="17" spans="1:457" x14ac:dyDescent="0.2">
      <c r="A17" t="s">
        <v>118</v>
      </c>
      <c r="B17" s="3">
        <v>42761</v>
      </c>
      <c r="C17" t="s">
        <v>76</v>
      </c>
      <c r="E17" t="s">
        <v>137</v>
      </c>
      <c r="F17">
        <v>39.996499999999997</v>
      </c>
      <c r="G17">
        <v>39.792999999999999</v>
      </c>
      <c r="H17">
        <v>41.305999999999997</v>
      </c>
      <c r="I17">
        <v>43.985500000000002</v>
      </c>
      <c r="J17">
        <v>44.923499999999997</v>
      </c>
      <c r="K17" t="s">
        <v>137</v>
      </c>
      <c r="L17" t="s">
        <v>137</v>
      </c>
      <c r="M17">
        <v>47.591999999999999</v>
      </c>
      <c r="N17">
        <v>47.131</v>
      </c>
      <c r="O17">
        <v>46.896000000000001</v>
      </c>
      <c r="P17">
        <v>46.359000000000002</v>
      </c>
      <c r="Q17">
        <v>45.023499999999999</v>
      </c>
      <c r="R17" t="s">
        <v>137</v>
      </c>
      <c r="S17" t="s">
        <v>137</v>
      </c>
      <c r="T17">
        <v>44.186999999999998</v>
      </c>
      <c r="U17">
        <v>44.503</v>
      </c>
      <c r="V17">
        <v>45.733499999999999</v>
      </c>
      <c r="W17">
        <v>44.838000000000001</v>
      </c>
      <c r="X17">
        <v>45.283999999999999</v>
      </c>
      <c r="Y17" t="s">
        <v>137</v>
      </c>
      <c r="Z17" t="s">
        <v>137</v>
      </c>
      <c r="AA17">
        <v>44.155000000000001</v>
      </c>
      <c r="AB17">
        <v>42.613999999999997</v>
      </c>
      <c r="AC17">
        <v>42.274500000000003</v>
      </c>
      <c r="AD17">
        <v>42.465000000000003</v>
      </c>
      <c r="AE17">
        <v>43.1965</v>
      </c>
      <c r="AF17" t="s">
        <v>137</v>
      </c>
      <c r="AG17" t="s">
        <v>137</v>
      </c>
      <c r="AH17">
        <v>43.5105</v>
      </c>
      <c r="AI17">
        <v>43.472499999999997</v>
      </c>
      <c r="AJ17">
        <v>43.326999999999998</v>
      </c>
      <c r="AK17">
        <v>43.180999999999997</v>
      </c>
      <c r="AL17">
        <v>43.462000000000003</v>
      </c>
      <c r="AM17" t="s">
        <v>137</v>
      </c>
      <c r="AN17" t="s">
        <v>137</v>
      </c>
      <c r="AO17">
        <v>44.4925</v>
      </c>
      <c r="AP17">
        <v>44.771500000000003</v>
      </c>
      <c r="AQ17">
        <v>45.761499999999998</v>
      </c>
      <c r="AR17">
        <v>47.667000000000002</v>
      </c>
      <c r="AS17">
        <v>48.069000000000003</v>
      </c>
      <c r="AT17" t="s">
        <v>137</v>
      </c>
      <c r="AU17" t="s">
        <v>137</v>
      </c>
      <c r="AV17">
        <v>48.128</v>
      </c>
      <c r="AW17">
        <v>47.497500000000002</v>
      </c>
      <c r="AX17">
        <v>46.59</v>
      </c>
      <c r="AY17">
        <v>46.722000000000001</v>
      </c>
      <c r="AZ17">
        <v>46.217500000000001</v>
      </c>
      <c r="BA17" t="s">
        <v>137</v>
      </c>
      <c r="BB17" t="s">
        <v>137</v>
      </c>
      <c r="BC17">
        <v>45.027999999999999</v>
      </c>
      <c r="BD17">
        <v>44.024500000000003</v>
      </c>
      <c r="BE17">
        <v>43.967500000000001</v>
      </c>
      <c r="BF17">
        <v>45.258000000000003</v>
      </c>
      <c r="BG17">
        <v>45.024500000000003</v>
      </c>
      <c r="BH17" t="s">
        <v>137</v>
      </c>
      <c r="BI17" t="s">
        <v>137</v>
      </c>
      <c r="BJ17">
        <v>43.161499999999997</v>
      </c>
      <c r="BK17">
        <v>43.139499999999998</v>
      </c>
      <c r="BL17">
        <v>43.204999999999998</v>
      </c>
      <c r="BM17">
        <v>42.823500000000003</v>
      </c>
      <c r="BN17">
        <v>42.664999999999999</v>
      </c>
      <c r="BO17" t="s">
        <v>137</v>
      </c>
      <c r="BP17" t="s">
        <v>137</v>
      </c>
      <c r="BQ17">
        <v>42.3155</v>
      </c>
      <c r="BR17">
        <v>42.354500000000002</v>
      </c>
      <c r="BS17">
        <v>42.116500000000002</v>
      </c>
      <c r="BT17">
        <v>41.445999999999998</v>
      </c>
      <c r="BU17">
        <v>40.633000000000003</v>
      </c>
      <c r="BV17" t="s">
        <v>137</v>
      </c>
      <c r="BW17" t="s">
        <v>137</v>
      </c>
      <c r="BX17">
        <v>41.061</v>
      </c>
      <c r="BY17">
        <v>39.494999999999997</v>
      </c>
      <c r="BZ17">
        <v>39.0625</v>
      </c>
      <c r="CA17">
        <v>40.438499999999998</v>
      </c>
      <c r="CB17">
        <v>40.134</v>
      </c>
      <c r="CC17" t="s">
        <v>137</v>
      </c>
      <c r="CD17" t="s">
        <v>137</v>
      </c>
      <c r="CE17">
        <v>40.112499999999997</v>
      </c>
      <c r="CF17">
        <v>40.514000000000003</v>
      </c>
      <c r="CG17">
        <v>42.354999999999997</v>
      </c>
      <c r="CH17">
        <v>43.704000000000001</v>
      </c>
      <c r="CI17">
        <v>43.421500000000002</v>
      </c>
      <c r="CJ17" t="s">
        <v>137</v>
      </c>
      <c r="CK17" t="s">
        <v>137</v>
      </c>
      <c r="CL17">
        <v>42.921999999999997</v>
      </c>
      <c r="CM17">
        <v>42.830500000000001</v>
      </c>
      <c r="CN17">
        <v>42.929000000000002</v>
      </c>
      <c r="CO17">
        <v>42.555500000000002</v>
      </c>
      <c r="CP17">
        <v>42.811500000000002</v>
      </c>
      <c r="CQ17" t="s">
        <v>137</v>
      </c>
      <c r="CR17" t="s">
        <v>137</v>
      </c>
      <c r="CS17">
        <v>42.276499999999999</v>
      </c>
      <c r="CT17">
        <v>41.5535</v>
      </c>
      <c r="CU17">
        <v>42.134500000000003</v>
      </c>
      <c r="CV17">
        <v>41.997</v>
      </c>
      <c r="CW17">
        <v>42.575499999999998</v>
      </c>
      <c r="CX17" t="s">
        <v>137</v>
      </c>
      <c r="CY17" t="s">
        <v>137</v>
      </c>
      <c r="CZ17">
        <v>45.4465</v>
      </c>
      <c r="DA17">
        <v>46.582000000000001</v>
      </c>
      <c r="DB17">
        <v>46.701999999999998</v>
      </c>
      <c r="DC17">
        <v>48.232500000000002</v>
      </c>
      <c r="DD17">
        <v>47.834000000000003</v>
      </c>
      <c r="DE17" t="s">
        <v>137</v>
      </c>
      <c r="DF17" t="s">
        <v>137</v>
      </c>
      <c r="DG17">
        <v>47.351999999999997</v>
      </c>
      <c r="DH17">
        <v>47.533999999999999</v>
      </c>
      <c r="DI17">
        <v>50.4375</v>
      </c>
      <c r="DJ17">
        <v>49.621499999999997</v>
      </c>
      <c r="DK17">
        <v>49.064500000000002</v>
      </c>
      <c r="DL17" t="s">
        <v>137</v>
      </c>
      <c r="DM17" t="s">
        <v>137</v>
      </c>
      <c r="DN17">
        <v>49.152000000000001</v>
      </c>
      <c r="DO17">
        <v>50</v>
      </c>
      <c r="DP17">
        <v>50</v>
      </c>
      <c r="DQ17">
        <v>50.5</v>
      </c>
      <c r="DR17">
        <v>52.390500000000003</v>
      </c>
      <c r="DS17" t="s">
        <v>137</v>
      </c>
      <c r="DT17" t="s">
        <v>137</v>
      </c>
      <c r="DU17">
        <v>52.636499999999998</v>
      </c>
      <c r="DV17">
        <v>52.326999999999998</v>
      </c>
      <c r="DW17">
        <v>51.875</v>
      </c>
      <c r="DX17">
        <v>51.53</v>
      </c>
      <c r="DY17">
        <v>50.409500000000001</v>
      </c>
      <c r="DZ17" t="s">
        <v>137</v>
      </c>
      <c r="EA17" t="s">
        <v>137</v>
      </c>
      <c r="EB17">
        <v>48.849499999999999</v>
      </c>
      <c r="EC17">
        <v>49.997</v>
      </c>
      <c r="ED17">
        <v>49.71</v>
      </c>
      <c r="EE17">
        <v>51.866999999999997</v>
      </c>
      <c r="EF17">
        <v>51.491500000000002</v>
      </c>
      <c r="EG17" t="s">
        <v>137</v>
      </c>
      <c r="EH17" t="s">
        <v>137</v>
      </c>
      <c r="EI17">
        <v>51.588500000000003</v>
      </c>
      <c r="EJ17">
        <v>50.804000000000002</v>
      </c>
      <c r="EK17">
        <v>51.392499999999998</v>
      </c>
      <c r="EL17">
        <v>52.514000000000003</v>
      </c>
      <c r="EM17">
        <v>51.647500000000001</v>
      </c>
      <c r="EN17" t="s">
        <v>137</v>
      </c>
      <c r="EO17" t="s">
        <v>137</v>
      </c>
      <c r="EP17">
        <v>51.936</v>
      </c>
      <c r="EQ17">
        <v>50.630499999999998</v>
      </c>
      <c r="ER17">
        <v>49.551499999999997</v>
      </c>
      <c r="ES17">
        <v>49.356999999999999</v>
      </c>
      <c r="ET17">
        <v>49.128500000000003</v>
      </c>
      <c r="EU17" t="s">
        <v>137</v>
      </c>
      <c r="EV17" t="s">
        <v>137</v>
      </c>
      <c r="EW17">
        <v>47.266500000000001</v>
      </c>
      <c r="EX17">
        <v>48.272500000000001</v>
      </c>
      <c r="EY17">
        <v>50.064</v>
      </c>
      <c r="EZ17">
        <v>50.115000000000002</v>
      </c>
      <c r="FA17">
        <v>49.664000000000001</v>
      </c>
      <c r="FB17" t="s">
        <v>137</v>
      </c>
      <c r="FC17" t="s">
        <v>137</v>
      </c>
      <c r="FD17">
        <v>50.887999999999998</v>
      </c>
      <c r="FE17">
        <v>52.097999999999999</v>
      </c>
      <c r="FF17">
        <v>53.247</v>
      </c>
      <c r="FG17">
        <v>52.5505</v>
      </c>
      <c r="FH17">
        <v>54.119500000000002</v>
      </c>
      <c r="FI17" t="s">
        <v>137</v>
      </c>
      <c r="FJ17" t="s">
        <v>137</v>
      </c>
      <c r="FK17">
        <v>53.554499999999997</v>
      </c>
      <c r="FL17">
        <v>52.676000000000002</v>
      </c>
      <c r="FM17">
        <v>51.991999999999997</v>
      </c>
      <c r="FN17">
        <v>49.990499999999997</v>
      </c>
      <c r="FO17">
        <v>50.598999999999997</v>
      </c>
      <c r="FP17" t="s">
        <v>137</v>
      </c>
      <c r="FQ17" t="s">
        <v>137</v>
      </c>
      <c r="FR17">
        <v>50.115499999999997</v>
      </c>
      <c r="FS17">
        <v>50.281999999999996</v>
      </c>
      <c r="FT17">
        <v>49.788499999999999</v>
      </c>
      <c r="FU17">
        <v>48.811500000000002</v>
      </c>
      <c r="FV17">
        <v>49.892499999999998</v>
      </c>
      <c r="FW17" t="s">
        <v>137</v>
      </c>
      <c r="FX17" t="s">
        <v>137</v>
      </c>
      <c r="FY17">
        <v>49.505499999999998</v>
      </c>
      <c r="FZ17">
        <v>49.926499999999997</v>
      </c>
      <c r="GA17">
        <v>50.013500000000001</v>
      </c>
      <c r="GB17">
        <v>48.984499999999997</v>
      </c>
      <c r="GC17">
        <v>47.052500000000002</v>
      </c>
      <c r="GD17" t="s">
        <v>137</v>
      </c>
      <c r="GE17" t="s">
        <v>137</v>
      </c>
      <c r="GF17">
        <v>46.9255</v>
      </c>
      <c r="GG17">
        <v>48.435000000000002</v>
      </c>
      <c r="GH17" s="4">
        <v>48.823500000000003</v>
      </c>
      <c r="GI17">
        <v>47.732500000000002</v>
      </c>
      <c r="GJ17">
        <v>47.031500000000001</v>
      </c>
      <c r="GK17" t="s">
        <v>137</v>
      </c>
      <c r="GL17" t="s">
        <v>137</v>
      </c>
      <c r="GM17">
        <v>47.031500000000001</v>
      </c>
      <c r="GN17">
        <v>39.534999999999997</v>
      </c>
      <c r="GO17">
        <v>38.984999999999999</v>
      </c>
      <c r="GP17">
        <v>35.911499999999997</v>
      </c>
      <c r="GQ17">
        <v>36.189</v>
      </c>
      <c r="GR17" t="s">
        <v>137</v>
      </c>
      <c r="GS17" t="s">
        <v>137</v>
      </c>
      <c r="GT17">
        <v>33.037500000000001</v>
      </c>
      <c r="GU17">
        <v>31.030999999999999</v>
      </c>
      <c r="GV17">
        <v>31.2895</v>
      </c>
      <c r="GW17">
        <v>27.824000000000002</v>
      </c>
      <c r="GX17">
        <v>28.578499999999998</v>
      </c>
      <c r="GY17" t="s">
        <v>137</v>
      </c>
      <c r="GZ17" t="s">
        <v>137</v>
      </c>
      <c r="HA17">
        <v>26.484500000000001</v>
      </c>
      <c r="HB17">
        <v>26.795500000000001</v>
      </c>
      <c r="HC17">
        <v>27.062000000000001</v>
      </c>
      <c r="HD17">
        <v>27.846499999999999</v>
      </c>
      <c r="HE17">
        <v>27.773</v>
      </c>
      <c r="HF17" t="s">
        <v>137</v>
      </c>
      <c r="HG17" t="s">
        <v>137</v>
      </c>
      <c r="HH17">
        <v>28.0015</v>
      </c>
      <c r="HI17">
        <v>29.073499999999999</v>
      </c>
      <c r="HJ17">
        <v>29.434000000000001</v>
      </c>
      <c r="HK17">
        <v>30.027000000000001</v>
      </c>
      <c r="HL17">
        <v>30.970500000000001</v>
      </c>
      <c r="HM17" t="s">
        <v>137</v>
      </c>
      <c r="HN17" t="s">
        <v>137</v>
      </c>
      <c r="HO17">
        <v>32.478499999999997</v>
      </c>
      <c r="HP17">
        <v>32.231499999999997</v>
      </c>
      <c r="HQ17">
        <v>31.535499999999999</v>
      </c>
      <c r="HR17">
        <v>30.013500000000001</v>
      </c>
      <c r="HS17">
        <v>30.013500000000001</v>
      </c>
      <c r="HT17" t="s">
        <v>137</v>
      </c>
      <c r="HU17" t="s">
        <v>137</v>
      </c>
      <c r="HV17">
        <v>30.013500000000001</v>
      </c>
      <c r="HW17">
        <v>30.437999999999999</v>
      </c>
      <c r="HX17">
        <v>30.474499999999999</v>
      </c>
      <c r="HY17">
        <v>30.474499999999999</v>
      </c>
      <c r="HZ17">
        <v>30.474499999999999</v>
      </c>
      <c r="IA17" t="s">
        <v>137</v>
      </c>
      <c r="IB17" t="s">
        <v>137</v>
      </c>
      <c r="IC17">
        <v>33.235500000000002</v>
      </c>
      <c r="ID17">
        <v>31.3125</v>
      </c>
      <c r="IE17">
        <v>30.663499999999999</v>
      </c>
      <c r="IF17">
        <v>29.349</v>
      </c>
      <c r="IG17">
        <v>28.561499999999999</v>
      </c>
      <c r="IH17" t="s">
        <v>137</v>
      </c>
      <c r="II17" t="s">
        <v>137</v>
      </c>
      <c r="IJ17">
        <v>28.3705</v>
      </c>
      <c r="IK17">
        <v>28.687000000000001</v>
      </c>
      <c r="IL17">
        <v>29.491</v>
      </c>
      <c r="IM17">
        <v>28.424499999999998</v>
      </c>
      <c r="IN17">
        <v>28.137499999999999</v>
      </c>
      <c r="IO17" t="s">
        <v>137</v>
      </c>
      <c r="IP17" t="s">
        <v>137</v>
      </c>
      <c r="IQ17">
        <v>26.955500000000001</v>
      </c>
      <c r="IR17">
        <v>27.939</v>
      </c>
      <c r="IS17">
        <v>29.790500000000002</v>
      </c>
      <c r="IT17">
        <v>29.454999999999998</v>
      </c>
      <c r="IU17">
        <v>29.289000000000001</v>
      </c>
      <c r="IV17" t="s">
        <v>137</v>
      </c>
      <c r="IW17" t="s">
        <v>137</v>
      </c>
      <c r="IX17">
        <v>30.289000000000001</v>
      </c>
      <c r="IY17">
        <v>33.829000000000001</v>
      </c>
      <c r="IZ17">
        <v>33.997500000000002</v>
      </c>
      <c r="JA17">
        <v>33.542000000000002</v>
      </c>
      <c r="JB17">
        <v>36.432000000000002</v>
      </c>
      <c r="JC17" t="s">
        <v>137</v>
      </c>
      <c r="JD17" t="s">
        <v>137</v>
      </c>
      <c r="JE17">
        <v>38.740499999999997</v>
      </c>
      <c r="JF17">
        <v>38.826500000000003</v>
      </c>
      <c r="JG17">
        <v>37.298499999999997</v>
      </c>
      <c r="JH17">
        <v>37.085500000000003</v>
      </c>
      <c r="JI17">
        <v>36.667000000000002</v>
      </c>
      <c r="JJ17" t="s">
        <v>137</v>
      </c>
      <c r="JK17" t="s">
        <v>137</v>
      </c>
      <c r="JL17">
        <v>36.264499999999998</v>
      </c>
      <c r="JM17">
        <v>36.338500000000003</v>
      </c>
      <c r="JN17">
        <v>36.338500000000003</v>
      </c>
      <c r="JO17">
        <v>37.6995</v>
      </c>
      <c r="JP17">
        <v>38.927</v>
      </c>
      <c r="JQ17" t="s">
        <v>137</v>
      </c>
      <c r="JR17" t="s">
        <v>137</v>
      </c>
      <c r="JS17">
        <v>39.3705</v>
      </c>
      <c r="JT17">
        <v>40.442999999999998</v>
      </c>
      <c r="JU17">
        <v>40.689500000000002</v>
      </c>
      <c r="JV17">
        <v>41.714500000000001</v>
      </c>
      <c r="JW17">
        <v>41.182000000000002</v>
      </c>
      <c r="JX17" t="s">
        <v>137</v>
      </c>
      <c r="JY17" t="s">
        <v>137</v>
      </c>
      <c r="JZ17">
        <v>41.35</v>
      </c>
      <c r="KA17">
        <v>41.018999999999998</v>
      </c>
      <c r="KB17">
        <v>40.997500000000002</v>
      </c>
      <c r="KC17">
        <v>41.224499999999999</v>
      </c>
      <c r="KD17">
        <v>41.031999999999996</v>
      </c>
      <c r="KE17" t="s">
        <v>137</v>
      </c>
      <c r="KF17" t="s">
        <v>137</v>
      </c>
      <c r="KG17">
        <v>40.585500000000003</v>
      </c>
      <c r="KH17">
        <v>41.465000000000003</v>
      </c>
      <c r="KI17">
        <v>41.463999999999999</v>
      </c>
      <c r="KJ17">
        <v>40.497500000000002</v>
      </c>
      <c r="KK17">
        <v>41.043500000000002</v>
      </c>
      <c r="KL17" t="s">
        <v>137</v>
      </c>
      <c r="KM17" t="s">
        <v>137</v>
      </c>
      <c r="KN17">
        <v>41.594999999999999</v>
      </c>
      <c r="KO17">
        <v>42.389499999999998</v>
      </c>
      <c r="KP17">
        <v>41.67</v>
      </c>
      <c r="KQ17">
        <v>41.557000000000002</v>
      </c>
      <c r="KR17">
        <v>40.636499999999998</v>
      </c>
      <c r="KS17" t="s">
        <v>137</v>
      </c>
      <c r="KT17" t="s">
        <v>137</v>
      </c>
      <c r="KU17">
        <v>41.494</v>
      </c>
      <c r="KV17">
        <v>41.518000000000001</v>
      </c>
      <c r="KW17">
        <v>41.671999999999997</v>
      </c>
      <c r="KX17">
        <v>41.3035</v>
      </c>
      <c r="KY17">
        <v>41.308500000000002</v>
      </c>
      <c r="KZ17" t="s">
        <v>137</v>
      </c>
      <c r="LA17" t="s">
        <v>137</v>
      </c>
      <c r="LB17">
        <v>42.0565</v>
      </c>
      <c r="LC17">
        <v>42.555</v>
      </c>
      <c r="LD17">
        <v>44.031500000000001</v>
      </c>
      <c r="LE17">
        <v>43.205500000000001</v>
      </c>
      <c r="LF17">
        <v>43.219000000000001</v>
      </c>
      <c r="LG17" t="s">
        <v>137</v>
      </c>
      <c r="LH17" t="s">
        <v>137</v>
      </c>
      <c r="LI17">
        <v>43.877499999999998</v>
      </c>
      <c r="LJ17">
        <v>42.859000000000002</v>
      </c>
      <c r="LK17">
        <v>42.667499999999997</v>
      </c>
      <c r="LL17">
        <v>43.0625</v>
      </c>
      <c r="LM17">
        <v>42.8675</v>
      </c>
      <c r="LN17" t="s">
        <v>137</v>
      </c>
      <c r="LO17" t="s">
        <v>137</v>
      </c>
      <c r="LP17">
        <v>42.697499999999998</v>
      </c>
      <c r="LQ17">
        <v>43.018000000000001</v>
      </c>
      <c r="LR17">
        <v>43.656500000000001</v>
      </c>
      <c r="LS17">
        <v>45.119</v>
      </c>
      <c r="LT17">
        <v>44.442500000000003</v>
      </c>
      <c r="LU17" t="s">
        <v>137</v>
      </c>
      <c r="LV17" t="s">
        <v>137</v>
      </c>
      <c r="LW17">
        <v>45.189500000000002</v>
      </c>
      <c r="LX17">
        <v>44.759500000000003</v>
      </c>
      <c r="LY17">
        <v>44.493000000000002</v>
      </c>
      <c r="LZ17">
        <v>44.263500000000001</v>
      </c>
      <c r="MA17">
        <v>44.109499999999997</v>
      </c>
      <c r="MB17" t="s">
        <v>137</v>
      </c>
      <c r="MC17" t="s">
        <v>137</v>
      </c>
      <c r="MD17">
        <v>44.211500000000001</v>
      </c>
      <c r="ME17">
        <v>49.543500000000002</v>
      </c>
      <c r="MF17">
        <v>49.631999999999998</v>
      </c>
      <c r="MG17">
        <v>49.470999999999997</v>
      </c>
      <c r="MH17">
        <v>49.0595</v>
      </c>
      <c r="MI17" t="s">
        <v>137</v>
      </c>
      <c r="MJ17" t="s">
        <v>137</v>
      </c>
      <c r="MK17">
        <v>49.122999999999998</v>
      </c>
      <c r="ML17">
        <v>49.0535</v>
      </c>
      <c r="MM17">
        <v>48.8125</v>
      </c>
      <c r="MN17">
        <v>48.804499999999997</v>
      </c>
      <c r="MO17">
        <v>48.405999999999999</v>
      </c>
      <c r="MP17" t="s">
        <v>137</v>
      </c>
      <c r="MQ17" t="s">
        <v>137</v>
      </c>
      <c r="MR17">
        <v>48.468000000000004</v>
      </c>
      <c r="MS17">
        <v>48.197000000000003</v>
      </c>
      <c r="MT17">
        <v>48.531500000000001</v>
      </c>
      <c r="MU17">
        <v>48.319499999999998</v>
      </c>
      <c r="MV17">
        <v>48.256500000000003</v>
      </c>
      <c r="MW17" t="s">
        <v>137</v>
      </c>
      <c r="MX17" t="s">
        <v>137</v>
      </c>
      <c r="MY17">
        <v>46.503999999999998</v>
      </c>
      <c r="MZ17">
        <v>45.390500000000003</v>
      </c>
      <c r="NA17">
        <v>46.116500000000002</v>
      </c>
      <c r="NB17">
        <v>46.116500000000002</v>
      </c>
      <c r="NC17">
        <v>48.094499999999996</v>
      </c>
      <c r="ND17" t="s">
        <v>137</v>
      </c>
      <c r="NE17" t="s">
        <v>137</v>
      </c>
      <c r="NF17">
        <v>48.317500000000003</v>
      </c>
      <c r="NG17">
        <v>47.935000000000002</v>
      </c>
      <c r="NH17">
        <v>47.935000000000002</v>
      </c>
      <c r="NI17">
        <v>47.935000000000002</v>
      </c>
      <c r="NJ17">
        <v>47.935000000000002</v>
      </c>
      <c r="NK17" t="s">
        <v>137</v>
      </c>
      <c r="NL17" t="s">
        <v>137</v>
      </c>
      <c r="NM17" t="s">
        <v>137</v>
      </c>
      <c r="NN17" t="s">
        <v>137</v>
      </c>
      <c r="NO17" t="s">
        <v>137</v>
      </c>
      <c r="NP17" t="s">
        <v>137</v>
      </c>
      <c r="NQ17" t="s">
        <v>137</v>
      </c>
      <c r="NR17" t="s">
        <v>137</v>
      </c>
      <c r="NS17" t="s">
        <v>137</v>
      </c>
      <c r="NT17" t="s">
        <v>137</v>
      </c>
      <c r="NU17" t="s">
        <v>137</v>
      </c>
      <c r="NV17" t="s">
        <v>137</v>
      </c>
      <c r="NW17" t="s">
        <v>137</v>
      </c>
      <c r="NX17" t="s">
        <v>137</v>
      </c>
      <c r="NY17" t="s">
        <v>137</v>
      </c>
      <c r="NZ17" t="s">
        <v>137</v>
      </c>
      <c r="OA17" t="s">
        <v>137</v>
      </c>
      <c r="OB17" t="s">
        <v>137</v>
      </c>
      <c r="OC17" t="s">
        <v>137</v>
      </c>
      <c r="OD17" t="s">
        <v>137</v>
      </c>
      <c r="OE17" t="s">
        <v>137</v>
      </c>
      <c r="OF17" t="s">
        <v>137</v>
      </c>
      <c r="OG17" t="s">
        <v>137</v>
      </c>
      <c r="OH17" t="s">
        <v>137</v>
      </c>
      <c r="OI17" t="s">
        <v>137</v>
      </c>
      <c r="OJ17" t="s">
        <v>137</v>
      </c>
      <c r="OK17" t="s">
        <v>137</v>
      </c>
      <c r="OL17" t="s">
        <v>137</v>
      </c>
      <c r="OM17" t="s">
        <v>137</v>
      </c>
      <c r="ON17" t="s">
        <v>137</v>
      </c>
      <c r="OO17" t="s">
        <v>137</v>
      </c>
      <c r="OP17" t="s">
        <v>137</v>
      </c>
      <c r="OQ17" t="s">
        <v>137</v>
      </c>
      <c r="OR17" t="s">
        <v>137</v>
      </c>
      <c r="OS17" t="s">
        <v>137</v>
      </c>
      <c r="OT17" t="s">
        <v>137</v>
      </c>
      <c r="OU17" t="s">
        <v>137</v>
      </c>
      <c r="OV17" t="s">
        <v>137</v>
      </c>
      <c r="OW17" t="s">
        <v>137</v>
      </c>
      <c r="OX17" t="s">
        <v>137</v>
      </c>
      <c r="OY17" t="s">
        <v>137</v>
      </c>
      <c r="OZ17" t="s">
        <v>137</v>
      </c>
      <c r="PA17" t="s">
        <v>137</v>
      </c>
      <c r="PB17" t="s">
        <v>137</v>
      </c>
      <c r="PC17" t="s">
        <v>137</v>
      </c>
      <c r="PD17" t="s">
        <v>137</v>
      </c>
      <c r="PE17" t="s">
        <v>137</v>
      </c>
      <c r="PF17" t="s">
        <v>137</v>
      </c>
      <c r="PG17" t="s">
        <v>137</v>
      </c>
      <c r="PH17" t="s">
        <v>137</v>
      </c>
      <c r="PI17" t="s">
        <v>137</v>
      </c>
      <c r="PJ17" t="s">
        <v>137</v>
      </c>
      <c r="PK17" t="s">
        <v>137</v>
      </c>
      <c r="PL17" t="s">
        <v>137</v>
      </c>
      <c r="PM17" t="s">
        <v>137</v>
      </c>
      <c r="PN17" t="s">
        <v>137</v>
      </c>
      <c r="PO17" t="s">
        <v>137</v>
      </c>
      <c r="PP17" t="s">
        <v>137</v>
      </c>
      <c r="PQ17" t="s">
        <v>137</v>
      </c>
      <c r="PR17" t="s">
        <v>137</v>
      </c>
      <c r="PS17" t="s">
        <v>137</v>
      </c>
      <c r="PT17" t="s">
        <v>137</v>
      </c>
      <c r="PU17" t="s">
        <v>137</v>
      </c>
      <c r="PV17" t="s">
        <v>137</v>
      </c>
      <c r="PW17" t="s">
        <v>137</v>
      </c>
      <c r="PX17" t="s">
        <v>137</v>
      </c>
      <c r="PY17" t="s">
        <v>137</v>
      </c>
      <c r="PZ17" t="s">
        <v>137</v>
      </c>
      <c r="QA17" t="s">
        <v>137</v>
      </c>
      <c r="QB17" t="s">
        <v>137</v>
      </c>
      <c r="QC17" t="s">
        <v>137</v>
      </c>
      <c r="QD17" t="s">
        <v>137</v>
      </c>
      <c r="QE17" t="s">
        <v>137</v>
      </c>
      <c r="QF17" t="s">
        <v>137</v>
      </c>
      <c r="QG17" t="s">
        <v>137</v>
      </c>
      <c r="QH17" t="s">
        <v>137</v>
      </c>
      <c r="QI17" t="s">
        <v>137</v>
      </c>
      <c r="QJ17" t="s">
        <v>137</v>
      </c>
      <c r="QK17" t="s">
        <v>137</v>
      </c>
      <c r="QL17" t="s">
        <v>137</v>
      </c>
      <c r="QM17" t="s">
        <v>137</v>
      </c>
      <c r="QN17" t="s">
        <v>137</v>
      </c>
      <c r="QO17" t="s">
        <v>137</v>
      </c>
    </row>
    <row r="18" spans="1:457" x14ac:dyDescent="0.2">
      <c r="A18" t="s">
        <v>119</v>
      </c>
      <c r="B18" s="3">
        <v>43111</v>
      </c>
      <c r="C18" t="s">
        <v>32</v>
      </c>
      <c r="E18" t="s">
        <v>137</v>
      </c>
      <c r="F18">
        <v>39.375</v>
      </c>
      <c r="G18">
        <v>38.625</v>
      </c>
      <c r="H18">
        <v>40.091000000000001</v>
      </c>
      <c r="I18">
        <v>41.8125</v>
      </c>
      <c r="J18">
        <v>45.082000000000001</v>
      </c>
      <c r="K18" t="s">
        <v>137</v>
      </c>
      <c r="L18" t="s">
        <v>137</v>
      </c>
      <c r="M18">
        <v>45.531500000000001</v>
      </c>
      <c r="N18">
        <v>43.75</v>
      </c>
      <c r="O18">
        <v>44.886499999999998</v>
      </c>
      <c r="P18">
        <v>44.515500000000003</v>
      </c>
      <c r="Q18">
        <v>41.9375</v>
      </c>
      <c r="R18" t="s">
        <v>137</v>
      </c>
      <c r="S18" t="s">
        <v>137</v>
      </c>
      <c r="T18">
        <v>42.372500000000002</v>
      </c>
      <c r="U18">
        <v>98.875</v>
      </c>
      <c r="V18">
        <v>44.077500000000001</v>
      </c>
      <c r="W18">
        <v>43.125</v>
      </c>
      <c r="X18">
        <v>43.375</v>
      </c>
      <c r="Y18" t="s">
        <v>137</v>
      </c>
      <c r="Z18" t="s">
        <v>137</v>
      </c>
      <c r="AA18">
        <v>41.875</v>
      </c>
      <c r="AB18">
        <v>41.1875</v>
      </c>
      <c r="AC18">
        <v>40.765000000000001</v>
      </c>
      <c r="AD18">
        <v>41.49</v>
      </c>
      <c r="AE18">
        <v>42.337000000000003</v>
      </c>
      <c r="AF18" t="s">
        <v>137</v>
      </c>
      <c r="AG18" t="s">
        <v>137</v>
      </c>
      <c r="AH18">
        <v>42.375</v>
      </c>
      <c r="AI18">
        <v>42.555999999999997</v>
      </c>
      <c r="AJ18">
        <v>42.334499999999998</v>
      </c>
      <c r="AK18">
        <v>42.125</v>
      </c>
      <c r="AL18">
        <v>42.634999999999998</v>
      </c>
      <c r="AM18" t="s">
        <v>137</v>
      </c>
      <c r="AN18" t="s">
        <v>137</v>
      </c>
      <c r="AO18">
        <v>43.500500000000002</v>
      </c>
      <c r="AP18">
        <v>43.6875</v>
      </c>
      <c r="AQ18">
        <v>44.375</v>
      </c>
      <c r="AR18">
        <v>46.6875</v>
      </c>
      <c r="AS18">
        <v>46.5</v>
      </c>
      <c r="AT18" t="s">
        <v>137</v>
      </c>
      <c r="AU18" t="s">
        <v>137</v>
      </c>
      <c r="AV18">
        <v>46.477499999999999</v>
      </c>
      <c r="AW18">
        <v>45.75</v>
      </c>
      <c r="AX18">
        <v>44.625</v>
      </c>
      <c r="AY18">
        <v>44.75</v>
      </c>
      <c r="AZ18">
        <v>44.457500000000003</v>
      </c>
      <c r="BA18" t="s">
        <v>137</v>
      </c>
      <c r="BB18" t="s">
        <v>137</v>
      </c>
      <c r="BC18">
        <v>43</v>
      </c>
      <c r="BD18">
        <v>42.125</v>
      </c>
      <c r="BE18">
        <v>43.125</v>
      </c>
      <c r="BF18">
        <v>44.125</v>
      </c>
      <c r="BG18">
        <v>43</v>
      </c>
      <c r="BH18" t="s">
        <v>137</v>
      </c>
      <c r="BI18" t="s">
        <v>137</v>
      </c>
      <c r="BJ18">
        <v>40.75</v>
      </c>
      <c r="BK18">
        <v>41.625</v>
      </c>
      <c r="BL18">
        <v>41</v>
      </c>
      <c r="BM18">
        <v>40.25</v>
      </c>
      <c r="BN18">
        <v>41.225000000000001</v>
      </c>
      <c r="BO18" t="s">
        <v>137</v>
      </c>
      <c r="BP18" t="s">
        <v>137</v>
      </c>
      <c r="BQ18">
        <v>40.669499999999999</v>
      </c>
      <c r="BR18">
        <v>40.384999999999998</v>
      </c>
      <c r="BS18">
        <v>39.75</v>
      </c>
      <c r="BT18">
        <v>39.5</v>
      </c>
      <c r="BU18">
        <v>38.25</v>
      </c>
      <c r="BV18" t="s">
        <v>137</v>
      </c>
      <c r="BW18" t="s">
        <v>137</v>
      </c>
      <c r="BX18">
        <v>39.268000000000001</v>
      </c>
      <c r="BY18">
        <v>37.5625</v>
      </c>
      <c r="BZ18">
        <v>37.8125</v>
      </c>
      <c r="CA18">
        <v>38.5</v>
      </c>
      <c r="CB18">
        <v>38.25</v>
      </c>
      <c r="CC18" t="s">
        <v>137</v>
      </c>
      <c r="CD18" t="s">
        <v>137</v>
      </c>
      <c r="CE18">
        <v>38</v>
      </c>
      <c r="CF18">
        <v>39.375</v>
      </c>
      <c r="CG18">
        <v>40.778500000000001</v>
      </c>
      <c r="CH18">
        <v>41.419499999999999</v>
      </c>
      <c r="CI18">
        <v>41.167000000000002</v>
      </c>
      <c r="CJ18" t="s">
        <v>137</v>
      </c>
      <c r="CK18" t="s">
        <v>137</v>
      </c>
      <c r="CL18">
        <v>40.667999999999999</v>
      </c>
      <c r="CM18">
        <v>40.738</v>
      </c>
      <c r="CN18">
        <v>40.8035</v>
      </c>
      <c r="CO18">
        <v>40.47</v>
      </c>
      <c r="CP18">
        <v>40.563000000000002</v>
      </c>
      <c r="CQ18" t="s">
        <v>137</v>
      </c>
      <c r="CR18" t="s">
        <v>137</v>
      </c>
      <c r="CS18">
        <v>38.625</v>
      </c>
      <c r="CT18">
        <v>47.872500000000002</v>
      </c>
      <c r="CU18">
        <v>39.4375</v>
      </c>
      <c r="CV18">
        <v>39.665500000000002</v>
      </c>
      <c r="CW18">
        <v>40.3125</v>
      </c>
      <c r="CX18" t="s">
        <v>137</v>
      </c>
      <c r="CY18" t="s">
        <v>137</v>
      </c>
      <c r="CZ18">
        <v>42.564999999999998</v>
      </c>
      <c r="DA18">
        <v>43.8125</v>
      </c>
      <c r="DB18">
        <v>44.25</v>
      </c>
      <c r="DC18">
        <v>46.142499999999998</v>
      </c>
      <c r="DD18">
        <v>45.843000000000004</v>
      </c>
      <c r="DE18" t="s">
        <v>137</v>
      </c>
      <c r="DF18" t="s">
        <v>137</v>
      </c>
      <c r="DG18">
        <v>45.339500000000001</v>
      </c>
      <c r="DH18">
        <v>47.4375</v>
      </c>
      <c r="DI18">
        <v>48.1875</v>
      </c>
      <c r="DJ18">
        <v>47.621000000000002</v>
      </c>
      <c r="DK18">
        <v>47</v>
      </c>
      <c r="DL18" t="s">
        <v>137</v>
      </c>
      <c r="DM18" t="s">
        <v>137</v>
      </c>
      <c r="DN18">
        <v>47.25</v>
      </c>
      <c r="DO18">
        <v>48</v>
      </c>
      <c r="DP18">
        <v>48</v>
      </c>
      <c r="DQ18">
        <v>48.5</v>
      </c>
      <c r="DR18">
        <v>49.875</v>
      </c>
      <c r="DS18" t="s">
        <v>137</v>
      </c>
      <c r="DT18" t="s">
        <v>137</v>
      </c>
      <c r="DU18">
        <v>50.7575</v>
      </c>
      <c r="DV18">
        <v>49.625</v>
      </c>
      <c r="DW18">
        <v>49.625</v>
      </c>
      <c r="DX18">
        <v>49.625</v>
      </c>
      <c r="DY18">
        <v>47.875</v>
      </c>
      <c r="DZ18" t="s">
        <v>137</v>
      </c>
      <c r="EA18" t="s">
        <v>137</v>
      </c>
      <c r="EB18">
        <v>47</v>
      </c>
      <c r="EC18">
        <v>47.625</v>
      </c>
      <c r="ED18">
        <v>47.5</v>
      </c>
      <c r="EE18">
        <v>48.625</v>
      </c>
      <c r="EF18">
        <v>49</v>
      </c>
      <c r="EG18" t="s">
        <v>137</v>
      </c>
      <c r="EH18" t="s">
        <v>137</v>
      </c>
      <c r="EI18">
        <v>49</v>
      </c>
      <c r="EJ18">
        <v>48.04</v>
      </c>
      <c r="EK18">
        <v>48</v>
      </c>
      <c r="EL18">
        <v>49.47</v>
      </c>
      <c r="EM18">
        <v>48.375</v>
      </c>
      <c r="EN18" t="s">
        <v>137</v>
      </c>
      <c r="EO18" t="s">
        <v>137</v>
      </c>
      <c r="EP18">
        <v>48.271500000000003</v>
      </c>
      <c r="EQ18">
        <v>47.125</v>
      </c>
      <c r="ER18">
        <v>46.735500000000002</v>
      </c>
      <c r="ES18">
        <v>46.345999999999997</v>
      </c>
      <c r="ET18">
        <v>45.726999999999997</v>
      </c>
      <c r="EU18" t="s">
        <v>137</v>
      </c>
      <c r="EV18" t="s">
        <v>137</v>
      </c>
      <c r="EW18">
        <v>44.236499999999999</v>
      </c>
      <c r="EX18">
        <v>44.5</v>
      </c>
      <c r="EY18">
        <v>45.875</v>
      </c>
      <c r="EZ18">
        <v>46.628500000000003</v>
      </c>
      <c r="FA18">
        <v>45.875</v>
      </c>
      <c r="FB18" t="s">
        <v>137</v>
      </c>
      <c r="FC18" t="s">
        <v>137</v>
      </c>
      <c r="FD18">
        <v>47.375</v>
      </c>
      <c r="FE18">
        <v>48.75</v>
      </c>
      <c r="FF18">
        <v>49.25</v>
      </c>
      <c r="FG18">
        <v>49.375</v>
      </c>
      <c r="FH18">
        <v>50.5625</v>
      </c>
      <c r="FI18" t="s">
        <v>137</v>
      </c>
      <c r="FJ18" t="s">
        <v>137</v>
      </c>
      <c r="FK18">
        <v>50.25</v>
      </c>
      <c r="FL18">
        <v>49.789000000000001</v>
      </c>
      <c r="FM18">
        <v>48.625</v>
      </c>
      <c r="FN18">
        <v>47.25</v>
      </c>
      <c r="FO18">
        <v>48.391500000000001</v>
      </c>
      <c r="FP18" t="s">
        <v>137</v>
      </c>
      <c r="FQ18" t="s">
        <v>137</v>
      </c>
      <c r="FR18">
        <v>48.465499999999999</v>
      </c>
      <c r="FS18">
        <v>47.75</v>
      </c>
      <c r="FT18">
        <v>47.375</v>
      </c>
      <c r="FU18">
        <v>46.665999999999997</v>
      </c>
      <c r="FV18">
        <v>47.4375</v>
      </c>
      <c r="FW18" t="s">
        <v>137</v>
      </c>
      <c r="FX18" t="s">
        <v>137</v>
      </c>
      <c r="FY18">
        <v>47.87</v>
      </c>
      <c r="FZ18">
        <v>46.75</v>
      </c>
      <c r="GA18">
        <v>47</v>
      </c>
      <c r="GB18">
        <v>44.75</v>
      </c>
      <c r="GC18">
        <v>43.75</v>
      </c>
      <c r="GD18" t="s">
        <v>137</v>
      </c>
      <c r="GE18" t="s">
        <v>137</v>
      </c>
      <c r="GF18">
        <v>44.375</v>
      </c>
      <c r="GG18">
        <v>45.375</v>
      </c>
      <c r="GH18" s="4">
        <v>46.058500000000002</v>
      </c>
      <c r="GI18">
        <v>43.984999999999999</v>
      </c>
      <c r="GJ18">
        <v>42.671500000000002</v>
      </c>
      <c r="GK18" t="s">
        <v>137</v>
      </c>
      <c r="GL18" t="s">
        <v>137</v>
      </c>
      <c r="GM18">
        <v>37.375</v>
      </c>
      <c r="GN18">
        <v>37.724499999999999</v>
      </c>
      <c r="GO18">
        <v>35.625</v>
      </c>
      <c r="GP18">
        <v>33.625</v>
      </c>
      <c r="GQ18">
        <v>36.020499999999998</v>
      </c>
      <c r="GR18" t="s">
        <v>137</v>
      </c>
      <c r="GS18" t="s">
        <v>137</v>
      </c>
      <c r="GT18">
        <v>31</v>
      </c>
      <c r="GU18">
        <v>31.375</v>
      </c>
      <c r="GV18">
        <v>28.073499999999999</v>
      </c>
      <c r="GW18">
        <v>26.875</v>
      </c>
      <c r="GX18">
        <v>27.125</v>
      </c>
      <c r="GY18" t="s">
        <v>137</v>
      </c>
      <c r="GZ18" t="s">
        <v>137</v>
      </c>
      <c r="HA18">
        <v>25.5</v>
      </c>
      <c r="HB18">
        <v>27.202500000000001</v>
      </c>
      <c r="HC18">
        <v>26.5</v>
      </c>
      <c r="HD18">
        <v>26.75</v>
      </c>
      <c r="HE18">
        <v>26.625</v>
      </c>
      <c r="HF18" t="s">
        <v>137</v>
      </c>
      <c r="HG18" t="s">
        <v>137</v>
      </c>
      <c r="HH18">
        <v>28.686499999999999</v>
      </c>
      <c r="HI18">
        <v>28</v>
      </c>
      <c r="HJ18">
        <v>28.767499999999998</v>
      </c>
      <c r="HK18">
        <v>28.25</v>
      </c>
      <c r="HL18">
        <v>29.75</v>
      </c>
      <c r="HM18" t="s">
        <v>137</v>
      </c>
      <c r="HN18" t="s">
        <v>137</v>
      </c>
      <c r="HO18">
        <v>30.25</v>
      </c>
      <c r="HP18">
        <v>31.359000000000002</v>
      </c>
      <c r="HQ18">
        <v>29.875</v>
      </c>
      <c r="HR18">
        <v>29.698499999999999</v>
      </c>
      <c r="HS18">
        <v>28.75</v>
      </c>
      <c r="HT18" t="s">
        <v>137</v>
      </c>
      <c r="HU18" t="s">
        <v>137</v>
      </c>
      <c r="HV18">
        <v>29.125</v>
      </c>
      <c r="HW18">
        <v>30.125</v>
      </c>
      <c r="HX18">
        <v>28.875</v>
      </c>
      <c r="HY18">
        <v>29.197500000000002</v>
      </c>
      <c r="HZ18">
        <v>33.125</v>
      </c>
      <c r="IA18" t="s">
        <v>137</v>
      </c>
      <c r="IB18" t="s">
        <v>137</v>
      </c>
      <c r="IC18">
        <v>32.25</v>
      </c>
      <c r="ID18">
        <v>32</v>
      </c>
      <c r="IE18">
        <v>30.625</v>
      </c>
      <c r="IF18">
        <v>29.5</v>
      </c>
      <c r="IG18">
        <v>29</v>
      </c>
      <c r="IH18" t="s">
        <v>137</v>
      </c>
      <c r="II18" t="s">
        <v>137</v>
      </c>
      <c r="IJ18">
        <v>28.75</v>
      </c>
      <c r="IK18">
        <v>29.25</v>
      </c>
      <c r="IL18">
        <v>29.125</v>
      </c>
      <c r="IM18">
        <v>28.625</v>
      </c>
      <c r="IN18">
        <v>27.75</v>
      </c>
      <c r="IO18" t="s">
        <v>137</v>
      </c>
      <c r="IP18" t="s">
        <v>137</v>
      </c>
      <c r="IQ18">
        <v>40.268999999999998</v>
      </c>
      <c r="IR18">
        <v>29.5</v>
      </c>
      <c r="IS18">
        <v>30.339500000000001</v>
      </c>
      <c r="IT18">
        <v>30.125</v>
      </c>
      <c r="IU18">
        <v>30.125</v>
      </c>
      <c r="IV18" t="s">
        <v>137</v>
      </c>
      <c r="IW18" t="s">
        <v>137</v>
      </c>
      <c r="IX18">
        <v>32.375</v>
      </c>
      <c r="IY18">
        <v>33.5</v>
      </c>
      <c r="IZ18">
        <v>33.75</v>
      </c>
      <c r="JA18">
        <v>55.01</v>
      </c>
      <c r="JB18">
        <v>36.4405</v>
      </c>
      <c r="JC18" t="s">
        <v>137</v>
      </c>
      <c r="JD18" t="s">
        <v>137</v>
      </c>
      <c r="JE18">
        <v>38</v>
      </c>
      <c r="JF18">
        <v>38.706000000000003</v>
      </c>
      <c r="JG18">
        <v>37.25</v>
      </c>
      <c r="JH18">
        <v>37.5</v>
      </c>
      <c r="JI18">
        <v>37.1175</v>
      </c>
      <c r="JJ18" t="s">
        <v>137</v>
      </c>
      <c r="JK18" t="s">
        <v>137</v>
      </c>
      <c r="JL18">
        <v>57.344999999999999</v>
      </c>
      <c r="JM18">
        <v>40.625</v>
      </c>
      <c r="JN18">
        <v>40</v>
      </c>
      <c r="JO18">
        <v>38.860500000000002</v>
      </c>
      <c r="JP18">
        <v>40.125</v>
      </c>
      <c r="JQ18" t="s">
        <v>137</v>
      </c>
      <c r="JR18" t="s">
        <v>137</v>
      </c>
      <c r="JS18">
        <v>39.875</v>
      </c>
      <c r="JT18">
        <v>40.25</v>
      </c>
      <c r="JU18">
        <v>41.25</v>
      </c>
      <c r="JV18">
        <v>40.75</v>
      </c>
      <c r="JW18">
        <v>40.597000000000001</v>
      </c>
      <c r="JX18" t="s">
        <v>137</v>
      </c>
      <c r="JY18" t="s">
        <v>137</v>
      </c>
      <c r="JZ18">
        <v>41.5</v>
      </c>
      <c r="KA18">
        <v>39.5</v>
      </c>
      <c r="KB18">
        <v>40.875</v>
      </c>
      <c r="KC18">
        <v>40.25</v>
      </c>
      <c r="KD18">
        <v>41.375</v>
      </c>
      <c r="KE18" t="s">
        <v>137</v>
      </c>
      <c r="KF18" t="s">
        <v>137</v>
      </c>
      <c r="KG18">
        <v>40.75</v>
      </c>
      <c r="KH18">
        <v>41.75</v>
      </c>
      <c r="KI18">
        <v>41.5</v>
      </c>
      <c r="KJ18">
        <v>40.75</v>
      </c>
      <c r="KK18">
        <v>41.875</v>
      </c>
      <c r="KL18" t="s">
        <v>137</v>
      </c>
      <c r="KM18" t="s">
        <v>137</v>
      </c>
      <c r="KN18">
        <v>42.125</v>
      </c>
      <c r="KO18">
        <v>42.5</v>
      </c>
      <c r="KP18">
        <v>41.633499999999998</v>
      </c>
      <c r="KQ18">
        <v>41.875</v>
      </c>
      <c r="KR18">
        <v>41</v>
      </c>
      <c r="KS18" t="s">
        <v>137</v>
      </c>
      <c r="KT18" t="s">
        <v>137</v>
      </c>
      <c r="KU18">
        <v>42.25</v>
      </c>
      <c r="KV18">
        <v>42</v>
      </c>
      <c r="KW18">
        <v>41.75</v>
      </c>
      <c r="KX18">
        <v>41.625500000000002</v>
      </c>
      <c r="KY18">
        <v>41.616</v>
      </c>
      <c r="KZ18" t="s">
        <v>137</v>
      </c>
      <c r="LA18" t="s">
        <v>137</v>
      </c>
      <c r="LB18">
        <v>42.9895</v>
      </c>
      <c r="LC18">
        <v>43.375</v>
      </c>
      <c r="LD18">
        <v>44.5</v>
      </c>
      <c r="LE18">
        <v>43.75</v>
      </c>
      <c r="LF18">
        <v>44.125</v>
      </c>
      <c r="LG18" t="s">
        <v>137</v>
      </c>
      <c r="LH18" t="s">
        <v>137</v>
      </c>
      <c r="LI18">
        <v>44.354999999999997</v>
      </c>
      <c r="LJ18">
        <v>42.857999999999997</v>
      </c>
      <c r="LK18">
        <v>43.231999999999999</v>
      </c>
      <c r="LL18">
        <v>43.584000000000003</v>
      </c>
      <c r="LM18">
        <v>42.965499999999999</v>
      </c>
      <c r="LN18" t="s">
        <v>137</v>
      </c>
      <c r="LO18" t="s">
        <v>137</v>
      </c>
      <c r="LP18">
        <v>42.631</v>
      </c>
      <c r="LQ18">
        <v>43.25</v>
      </c>
      <c r="LR18">
        <v>44.180999999999997</v>
      </c>
      <c r="LS18">
        <v>45.334000000000003</v>
      </c>
      <c r="LT18">
        <v>45.0045</v>
      </c>
      <c r="LU18" t="s">
        <v>137</v>
      </c>
      <c r="LV18" t="s">
        <v>137</v>
      </c>
      <c r="LW18">
        <v>45.23</v>
      </c>
      <c r="LX18">
        <v>44.444000000000003</v>
      </c>
      <c r="LY18">
        <v>44.05</v>
      </c>
      <c r="LZ18">
        <v>44.023499999999999</v>
      </c>
      <c r="MA18">
        <v>44.625999999999998</v>
      </c>
      <c r="MB18" t="s">
        <v>137</v>
      </c>
      <c r="MC18" t="s">
        <v>137</v>
      </c>
      <c r="MD18">
        <v>44.1875</v>
      </c>
      <c r="ME18">
        <v>49.52</v>
      </c>
      <c r="MF18">
        <v>49.917499999999997</v>
      </c>
      <c r="MG18">
        <v>48.765000000000001</v>
      </c>
      <c r="MH18">
        <v>48.552999999999997</v>
      </c>
      <c r="MI18" t="s">
        <v>137</v>
      </c>
      <c r="MJ18" t="s">
        <v>137</v>
      </c>
      <c r="MK18">
        <v>48.643500000000003</v>
      </c>
      <c r="ML18">
        <v>48.688499999999998</v>
      </c>
      <c r="MM18">
        <v>48.573500000000003</v>
      </c>
      <c r="MN18">
        <v>48.472499999999997</v>
      </c>
      <c r="MO18">
        <v>48.406999999999996</v>
      </c>
      <c r="MP18" t="s">
        <v>137</v>
      </c>
      <c r="MQ18" t="s">
        <v>137</v>
      </c>
      <c r="MR18">
        <v>48.291499999999999</v>
      </c>
      <c r="MS18">
        <v>47.988</v>
      </c>
      <c r="MT18">
        <v>48.307499999999997</v>
      </c>
      <c r="MU18">
        <v>48.0015</v>
      </c>
      <c r="MV18">
        <v>48.04</v>
      </c>
      <c r="MW18" t="s">
        <v>137</v>
      </c>
      <c r="MX18" t="s">
        <v>137</v>
      </c>
      <c r="MY18">
        <v>45.959000000000003</v>
      </c>
      <c r="MZ18">
        <v>46.327500000000001</v>
      </c>
      <c r="NA18">
        <v>46.03</v>
      </c>
      <c r="NB18">
        <v>46.822499999999998</v>
      </c>
      <c r="NC18">
        <v>45.509</v>
      </c>
      <c r="ND18" t="s">
        <v>137</v>
      </c>
      <c r="NE18" t="s">
        <v>137</v>
      </c>
      <c r="NF18">
        <v>46.609000000000002</v>
      </c>
      <c r="NG18">
        <v>47.508499999999998</v>
      </c>
      <c r="NH18">
        <v>47.634999999999998</v>
      </c>
      <c r="NI18">
        <v>47.763500000000001</v>
      </c>
      <c r="NJ18">
        <v>47.763500000000001</v>
      </c>
      <c r="NK18" t="s">
        <v>137</v>
      </c>
      <c r="NL18" t="s">
        <v>137</v>
      </c>
      <c r="NM18" t="s">
        <v>137</v>
      </c>
      <c r="NN18" t="s">
        <v>137</v>
      </c>
      <c r="NO18" t="s">
        <v>137</v>
      </c>
      <c r="NP18" t="s">
        <v>137</v>
      </c>
      <c r="NQ18" t="s">
        <v>137</v>
      </c>
      <c r="NR18" t="s">
        <v>137</v>
      </c>
      <c r="NS18" t="s">
        <v>137</v>
      </c>
      <c r="NT18" t="s">
        <v>137</v>
      </c>
      <c r="NU18" t="s">
        <v>137</v>
      </c>
      <c r="NV18" t="s">
        <v>137</v>
      </c>
      <c r="NW18" t="s">
        <v>137</v>
      </c>
      <c r="NX18" t="s">
        <v>137</v>
      </c>
      <c r="NY18" t="s">
        <v>137</v>
      </c>
      <c r="NZ18" t="s">
        <v>137</v>
      </c>
      <c r="OA18" t="s">
        <v>137</v>
      </c>
      <c r="OB18" t="s">
        <v>137</v>
      </c>
      <c r="OC18" t="s">
        <v>137</v>
      </c>
      <c r="OD18" t="s">
        <v>137</v>
      </c>
      <c r="OE18" t="s">
        <v>137</v>
      </c>
      <c r="OF18" t="s">
        <v>137</v>
      </c>
      <c r="OG18" t="s">
        <v>137</v>
      </c>
      <c r="OH18" t="s">
        <v>137</v>
      </c>
      <c r="OI18" t="s">
        <v>137</v>
      </c>
      <c r="OJ18" t="s">
        <v>137</v>
      </c>
      <c r="OK18" t="s">
        <v>137</v>
      </c>
      <c r="OL18" t="s">
        <v>137</v>
      </c>
      <c r="OM18" t="s">
        <v>137</v>
      </c>
      <c r="ON18" t="s">
        <v>137</v>
      </c>
      <c r="OO18" t="s">
        <v>137</v>
      </c>
      <c r="OP18" t="s">
        <v>137</v>
      </c>
      <c r="OQ18" t="s">
        <v>137</v>
      </c>
      <c r="OR18" t="s">
        <v>137</v>
      </c>
      <c r="OS18" t="s">
        <v>137</v>
      </c>
      <c r="OT18" t="s">
        <v>137</v>
      </c>
      <c r="OU18" t="s">
        <v>137</v>
      </c>
      <c r="OV18" t="s">
        <v>137</v>
      </c>
      <c r="OW18" t="s">
        <v>137</v>
      </c>
      <c r="OX18" t="s">
        <v>137</v>
      </c>
      <c r="OY18" t="s">
        <v>137</v>
      </c>
      <c r="OZ18" t="s">
        <v>137</v>
      </c>
      <c r="PA18" t="s">
        <v>137</v>
      </c>
      <c r="PB18" t="s">
        <v>137</v>
      </c>
      <c r="PC18" t="s">
        <v>137</v>
      </c>
      <c r="PD18" t="s">
        <v>137</v>
      </c>
      <c r="PE18" t="s">
        <v>137</v>
      </c>
      <c r="PF18" t="s">
        <v>137</v>
      </c>
      <c r="PG18" t="s">
        <v>137</v>
      </c>
      <c r="PH18" t="s">
        <v>137</v>
      </c>
      <c r="PI18" t="s">
        <v>137</v>
      </c>
      <c r="PJ18" t="s">
        <v>137</v>
      </c>
      <c r="PK18" t="s">
        <v>137</v>
      </c>
      <c r="PL18" t="s">
        <v>137</v>
      </c>
      <c r="PM18" t="s">
        <v>137</v>
      </c>
      <c r="PN18" t="s">
        <v>137</v>
      </c>
      <c r="PO18" t="s">
        <v>137</v>
      </c>
      <c r="PP18" t="s">
        <v>137</v>
      </c>
      <c r="PQ18" t="s">
        <v>137</v>
      </c>
      <c r="PR18" t="s">
        <v>137</v>
      </c>
      <c r="PS18" t="s">
        <v>137</v>
      </c>
      <c r="PT18" t="s">
        <v>137</v>
      </c>
      <c r="PU18" t="s">
        <v>137</v>
      </c>
      <c r="PV18" t="s">
        <v>137</v>
      </c>
      <c r="PW18" t="s">
        <v>137</v>
      </c>
      <c r="PX18" t="s">
        <v>137</v>
      </c>
      <c r="PY18" t="s">
        <v>137</v>
      </c>
      <c r="PZ18" t="s">
        <v>137</v>
      </c>
      <c r="QA18" t="s">
        <v>137</v>
      </c>
      <c r="QB18" t="s">
        <v>137</v>
      </c>
      <c r="QC18" t="s">
        <v>137</v>
      </c>
      <c r="QD18" t="s">
        <v>137</v>
      </c>
      <c r="QE18" t="s">
        <v>137</v>
      </c>
      <c r="QF18" t="s">
        <v>137</v>
      </c>
      <c r="QG18" t="s">
        <v>137</v>
      </c>
      <c r="QH18" t="s">
        <v>137</v>
      </c>
      <c r="QI18" t="s">
        <v>137</v>
      </c>
      <c r="QJ18" t="s">
        <v>137</v>
      </c>
      <c r="QK18" t="s">
        <v>137</v>
      </c>
      <c r="QL18" t="s">
        <v>137</v>
      </c>
      <c r="QM18" t="s">
        <v>137</v>
      </c>
      <c r="QN18" t="s">
        <v>137</v>
      </c>
      <c r="QO18" t="s">
        <v>137</v>
      </c>
    </row>
    <row r="19" spans="1:457" x14ac:dyDescent="0.2">
      <c r="A19" t="s">
        <v>120</v>
      </c>
      <c r="B19" s="3">
        <v>42482</v>
      </c>
      <c r="C19" t="s">
        <v>78</v>
      </c>
      <c r="E19" t="s">
        <v>137</v>
      </c>
      <c r="F19">
        <v>38.25</v>
      </c>
      <c r="G19">
        <v>38.759</v>
      </c>
      <c r="H19">
        <v>40.99</v>
      </c>
      <c r="I19">
        <v>43.476999999999997</v>
      </c>
      <c r="J19">
        <v>45.426000000000002</v>
      </c>
      <c r="K19" t="s">
        <v>137</v>
      </c>
      <c r="L19" t="s">
        <v>137</v>
      </c>
      <c r="M19">
        <v>46.023499999999999</v>
      </c>
      <c r="N19">
        <v>44.1265</v>
      </c>
      <c r="O19">
        <v>45.567</v>
      </c>
      <c r="P19">
        <v>45.281999999999996</v>
      </c>
      <c r="Q19">
        <v>43.901000000000003</v>
      </c>
      <c r="R19" t="s">
        <v>137</v>
      </c>
      <c r="S19" t="s">
        <v>137</v>
      </c>
      <c r="T19">
        <v>43.268500000000003</v>
      </c>
      <c r="U19">
        <v>43.988999999999997</v>
      </c>
      <c r="V19">
        <v>45.423499999999997</v>
      </c>
      <c r="W19">
        <v>44.953000000000003</v>
      </c>
      <c r="X19">
        <v>45.308500000000002</v>
      </c>
      <c r="Y19" t="s">
        <v>137</v>
      </c>
      <c r="Z19" t="s">
        <v>137</v>
      </c>
      <c r="AA19">
        <v>44.41</v>
      </c>
      <c r="AB19">
        <v>43.261000000000003</v>
      </c>
      <c r="AC19">
        <v>42.753</v>
      </c>
      <c r="AD19">
        <v>42.986499999999999</v>
      </c>
      <c r="AE19">
        <v>43.856499999999997</v>
      </c>
      <c r="AF19" t="s">
        <v>137</v>
      </c>
      <c r="AG19" t="s">
        <v>137</v>
      </c>
      <c r="AH19">
        <v>43.947000000000003</v>
      </c>
      <c r="AI19">
        <v>44.335000000000001</v>
      </c>
      <c r="AJ19">
        <v>44.298000000000002</v>
      </c>
      <c r="AK19">
        <v>43.991500000000002</v>
      </c>
      <c r="AL19">
        <v>44.035499999999999</v>
      </c>
      <c r="AM19" t="s">
        <v>137</v>
      </c>
      <c r="AN19" t="s">
        <v>137</v>
      </c>
      <c r="AO19">
        <v>44.987499999999997</v>
      </c>
      <c r="AP19">
        <v>45.182000000000002</v>
      </c>
      <c r="AQ19">
        <v>45.985999999999997</v>
      </c>
      <c r="AR19">
        <v>48.262999999999998</v>
      </c>
      <c r="AS19">
        <v>48.262</v>
      </c>
      <c r="AT19" t="s">
        <v>137</v>
      </c>
      <c r="AU19" t="s">
        <v>137</v>
      </c>
      <c r="AV19">
        <v>48.551499999999997</v>
      </c>
      <c r="AW19">
        <v>47.756999999999998</v>
      </c>
      <c r="AX19">
        <v>46.701000000000001</v>
      </c>
      <c r="AY19">
        <v>46.765999999999998</v>
      </c>
      <c r="AZ19">
        <v>46.000500000000002</v>
      </c>
      <c r="BA19" t="s">
        <v>137</v>
      </c>
      <c r="BB19" t="s">
        <v>137</v>
      </c>
      <c r="BC19">
        <v>45.219000000000001</v>
      </c>
      <c r="BD19">
        <v>43.771500000000003</v>
      </c>
      <c r="BE19">
        <v>44.445500000000003</v>
      </c>
      <c r="BF19">
        <v>45.395499999999998</v>
      </c>
      <c r="BG19">
        <v>44.959499999999998</v>
      </c>
      <c r="BH19" t="s">
        <v>137</v>
      </c>
      <c r="BI19" t="s">
        <v>137</v>
      </c>
      <c r="BJ19">
        <v>43.003500000000003</v>
      </c>
      <c r="BK19">
        <v>42.732500000000002</v>
      </c>
      <c r="BL19">
        <v>43.063000000000002</v>
      </c>
      <c r="BM19">
        <v>42.639499999999998</v>
      </c>
      <c r="BN19">
        <v>42.447499999999998</v>
      </c>
      <c r="BO19" t="s">
        <v>137</v>
      </c>
      <c r="BP19" t="s">
        <v>137</v>
      </c>
      <c r="BQ19">
        <v>42.448500000000003</v>
      </c>
      <c r="BR19">
        <v>42.133499999999998</v>
      </c>
      <c r="BS19">
        <v>41.582999999999998</v>
      </c>
      <c r="BT19">
        <v>41.420499999999997</v>
      </c>
      <c r="BU19">
        <v>40.460999999999999</v>
      </c>
      <c r="BV19" t="s">
        <v>137</v>
      </c>
      <c r="BW19" t="s">
        <v>137</v>
      </c>
      <c r="BX19">
        <v>40.340000000000003</v>
      </c>
      <c r="BY19">
        <v>39.483499999999999</v>
      </c>
      <c r="BZ19">
        <v>39.131999999999998</v>
      </c>
      <c r="CA19">
        <v>40.07</v>
      </c>
      <c r="CB19">
        <v>40.139499999999998</v>
      </c>
      <c r="CC19" t="s">
        <v>137</v>
      </c>
      <c r="CD19" t="s">
        <v>137</v>
      </c>
      <c r="CE19">
        <v>40.26</v>
      </c>
      <c r="CF19">
        <v>40.783000000000001</v>
      </c>
      <c r="CG19">
        <v>42.93</v>
      </c>
      <c r="CH19">
        <v>44.15</v>
      </c>
      <c r="CI19">
        <v>43.689500000000002</v>
      </c>
      <c r="CJ19" t="s">
        <v>137</v>
      </c>
      <c r="CK19" t="s">
        <v>137</v>
      </c>
      <c r="CL19">
        <v>42.657499999999999</v>
      </c>
      <c r="CM19">
        <v>42.972499999999997</v>
      </c>
      <c r="CN19">
        <v>43.701000000000001</v>
      </c>
      <c r="CO19">
        <v>43.981999999999999</v>
      </c>
      <c r="CP19">
        <v>43.777000000000001</v>
      </c>
      <c r="CQ19" t="s">
        <v>137</v>
      </c>
      <c r="CR19" t="s">
        <v>137</v>
      </c>
      <c r="CS19">
        <v>42.633499999999998</v>
      </c>
      <c r="CT19">
        <v>41.546500000000002</v>
      </c>
      <c r="CU19">
        <v>42.728999999999999</v>
      </c>
      <c r="CV19">
        <v>42.021999999999998</v>
      </c>
      <c r="CW19">
        <v>42.915999999999997</v>
      </c>
      <c r="CX19" t="s">
        <v>137</v>
      </c>
      <c r="CY19" t="s">
        <v>137</v>
      </c>
      <c r="CZ19">
        <v>45.543999999999997</v>
      </c>
      <c r="DA19">
        <v>45.707000000000001</v>
      </c>
      <c r="DB19">
        <v>45.671500000000002</v>
      </c>
      <c r="DC19">
        <v>46.381</v>
      </c>
      <c r="DD19">
        <v>46.045499999999997</v>
      </c>
      <c r="DE19" t="s">
        <v>137</v>
      </c>
      <c r="DF19" t="s">
        <v>137</v>
      </c>
      <c r="DG19">
        <v>46.185000000000002</v>
      </c>
      <c r="DH19">
        <v>47.583500000000001</v>
      </c>
      <c r="DI19">
        <v>49.944000000000003</v>
      </c>
      <c r="DJ19">
        <v>48.891500000000001</v>
      </c>
      <c r="DK19">
        <v>48.9985</v>
      </c>
      <c r="DL19" t="s">
        <v>137</v>
      </c>
      <c r="DM19" t="s">
        <v>137</v>
      </c>
      <c r="DN19">
        <v>49.5655</v>
      </c>
      <c r="DO19">
        <v>50.148499999999999</v>
      </c>
      <c r="DP19">
        <v>50.361499999999999</v>
      </c>
      <c r="DQ19">
        <v>51.305999999999997</v>
      </c>
      <c r="DR19">
        <v>52.166499999999999</v>
      </c>
      <c r="DS19" t="s">
        <v>137</v>
      </c>
      <c r="DT19" t="s">
        <v>137</v>
      </c>
      <c r="DU19">
        <v>52.756500000000003</v>
      </c>
      <c r="DV19">
        <v>52.1935</v>
      </c>
      <c r="DW19">
        <v>52.1875</v>
      </c>
      <c r="DX19">
        <v>51.447499999999998</v>
      </c>
      <c r="DY19">
        <v>51.222499999999997</v>
      </c>
      <c r="DZ19" t="s">
        <v>137</v>
      </c>
      <c r="EA19" t="s">
        <v>137</v>
      </c>
      <c r="EB19">
        <v>48.273000000000003</v>
      </c>
      <c r="EC19">
        <v>48.9465</v>
      </c>
      <c r="ED19">
        <v>48.534999999999997</v>
      </c>
      <c r="EE19">
        <v>49.713500000000003</v>
      </c>
      <c r="EF19">
        <v>50.094499999999996</v>
      </c>
      <c r="EG19" t="s">
        <v>137</v>
      </c>
      <c r="EH19" t="s">
        <v>137</v>
      </c>
      <c r="EI19">
        <v>50.188000000000002</v>
      </c>
      <c r="EJ19">
        <v>50.216999999999999</v>
      </c>
      <c r="EK19">
        <v>50.648499999999999</v>
      </c>
      <c r="EL19">
        <v>51.237499999999997</v>
      </c>
      <c r="EM19">
        <v>50.786000000000001</v>
      </c>
      <c r="EN19" t="s">
        <v>137</v>
      </c>
      <c r="EO19" t="s">
        <v>137</v>
      </c>
      <c r="EP19">
        <v>50.655999999999999</v>
      </c>
      <c r="EQ19">
        <v>49.570999999999998</v>
      </c>
      <c r="ER19">
        <v>47.901000000000003</v>
      </c>
      <c r="ES19">
        <v>47.468000000000004</v>
      </c>
      <c r="ET19">
        <v>46.326000000000001</v>
      </c>
      <c r="EU19" t="s">
        <v>137</v>
      </c>
      <c r="EV19" t="s">
        <v>137</v>
      </c>
      <c r="EW19">
        <v>44.639499999999998</v>
      </c>
      <c r="EX19">
        <v>45.055</v>
      </c>
      <c r="EY19">
        <v>46.533499999999997</v>
      </c>
      <c r="EZ19">
        <v>46.329000000000001</v>
      </c>
      <c r="FA19">
        <v>46.143999999999998</v>
      </c>
      <c r="FB19" t="s">
        <v>137</v>
      </c>
      <c r="FC19" t="s">
        <v>137</v>
      </c>
      <c r="FD19">
        <v>47.313000000000002</v>
      </c>
      <c r="FE19">
        <v>48.813000000000002</v>
      </c>
      <c r="FF19">
        <v>49.551499999999997</v>
      </c>
      <c r="FG19">
        <v>48.965000000000003</v>
      </c>
      <c r="FH19">
        <v>51.103499999999997</v>
      </c>
      <c r="FI19" t="s">
        <v>137</v>
      </c>
      <c r="FJ19" t="s">
        <v>137</v>
      </c>
      <c r="FK19">
        <v>50.363999999999997</v>
      </c>
      <c r="FL19">
        <v>49.356999999999999</v>
      </c>
      <c r="FM19">
        <v>48.845500000000001</v>
      </c>
      <c r="FN19">
        <v>47.9285</v>
      </c>
      <c r="FO19">
        <v>47.46</v>
      </c>
      <c r="FP19" t="s">
        <v>137</v>
      </c>
      <c r="FQ19" t="s">
        <v>137</v>
      </c>
      <c r="FR19">
        <v>47.280999999999999</v>
      </c>
      <c r="FS19">
        <v>47.997999999999998</v>
      </c>
      <c r="FT19">
        <v>47.282499999999999</v>
      </c>
      <c r="FU19">
        <v>46.331000000000003</v>
      </c>
      <c r="FV19">
        <v>46.705500000000001</v>
      </c>
      <c r="FW19" t="s">
        <v>137</v>
      </c>
      <c r="FX19" t="s">
        <v>137</v>
      </c>
      <c r="FY19">
        <v>46.838500000000003</v>
      </c>
      <c r="FZ19">
        <v>46.831000000000003</v>
      </c>
      <c r="GA19">
        <v>46.856499999999997</v>
      </c>
      <c r="GB19">
        <v>45.588500000000003</v>
      </c>
      <c r="GC19">
        <v>44.03</v>
      </c>
      <c r="GD19" t="s">
        <v>137</v>
      </c>
      <c r="GE19" t="s">
        <v>137</v>
      </c>
      <c r="GF19">
        <v>44.233499999999999</v>
      </c>
      <c r="GG19">
        <v>45.645000000000003</v>
      </c>
      <c r="GH19" s="4">
        <v>45.93</v>
      </c>
      <c r="GI19">
        <v>44.820500000000003</v>
      </c>
      <c r="GJ19">
        <v>42.615000000000002</v>
      </c>
      <c r="GK19" t="s">
        <v>137</v>
      </c>
      <c r="GL19" t="s">
        <v>137</v>
      </c>
      <c r="GM19">
        <v>41.286000000000001</v>
      </c>
      <c r="GN19">
        <v>37.073</v>
      </c>
      <c r="GO19">
        <v>36.453499999999998</v>
      </c>
      <c r="GP19">
        <v>33.714500000000001</v>
      </c>
      <c r="GQ19">
        <v>33.985999999999997</v>
      </c>
      <c r="GR19" t="s">
        <v>137</v>
      </c>
      <c r="GS19" t="s">
        <v>137</v>
      </c>
      <c r="GT19">
        <v>33.290500000000002</v>
      </c>
      <c r="GU19">
        <v>30.023</v>
      </c>
      <c r="GV19">
        <v>28.873000000000001</v>
      </c>
      <c r="GW19">
        <v>26.411000000000001</v>
      </c>
      <c r="GX19">
        <v>27.009</v>
      </c>
      <c r="GY19" t="s">
        <v>137</v>
      </c>
      <c r="GZ19" t="s">
        <v>137</v>
      </c>
      <c r="HA19">
        <v>24.844000000000001</v>
      </c>
      <c r="HB19">
        <v>25.452500000000001</v>
      </c>
      <c r="HC19">
        <v>25.408999999999999</v>
      </c>
      <c r="HD19">
        <v>26.196000000000002</v>
      </c>
      <c r="HE19">
        <v>26.562999999999999</v>
      </c>
      <c r="HF19" t="s">
        <v>137</v>
      </c>
      <c r="HG19" t="s">
        <v>137</v>
      </c>
      <c r="HH19">
        <v>26.770499999999998</v>
      </c>
      <c r="HI19">
        <v>27.905999999999999</v>
      </c>
      <c r="HJ19">
        <v>28.112500000000001</v>
      </c>
      <c r="HK19">
        <v>28.443000000000001</v>
      </c>
      <c r="HL19">
        <v>29.051500000000001</v>
      </c>
      <c r="HM19" t="s">
        <v>137</v>
      </c>
      <c r="HN19" t="s">
        <v>137</v>
      </c>
      <c r="HO19">
        <v>30.114999999999998</v>
      </c>
      <c r="HP19">
        <v>29.797499999999999</v>
      </c>
      <c r="HQ19">
        <v>28.2895</v>
      </c>
      <c r="HR19">
        <v>28</v>
      </c>
      <c r="HS19">
        <v>27.903500000000001</v>
      </c>
      <c r="HT19" t="s">
        <v>137</v>
      </c>
      <c r="HU19" t="s">
        <v>137</v>
      </c>
      <c r="HV19">
        <v>27.6875</v>
      </c>
      <c r="HW19">
        <v>27.902999999999999</v>
      </c>
      <c r="HX19">
        <v>27.111000000000001</v>
      </c>
      <c r="HY19">
        <v>26.557500000000001</v>
      </c>
      <c r="HZ19">
        <v>29.7575</v>
      </c>
      <c r="IA19" t="s">
        <v>137</v>
      </c>
      <c r="IB19" t="s">
        <v>137</v>
      </c>
      <c r="IC19">
        <v>32.482500000000002</v>
      </c>
      <c r="ID19">
        <v>30.609000000000002</v>
      </c>
      <c r="IE19">
        <v>29.547499999999999</v>
      </c>
      <c r="IF19">
        <v>28.0075</v>
      </c>
      <c r="IG19">
        <v>27.523</v>
      </c>
      <c r="IH19" t="s">
        <v>137</v>
      </c>
      <c r="II19" t="s">
        <v>137</v>
      </c>
      <c r="IJ19">
        <v>27.589500000000001</v>
      </c>
      <c r="IK19">
        <v>27.827000000000002</v>
      </c>
      <c r="IL19">
        <v>28.207999999999998</v>
      </c>
      <c r="IM19">
        <v>27.305499999999999</v>
      </c>
      <c r="IN19">
        <v>26.6585</v>
      </c>
      <c r="IO19" t="s">
        <v>137</v>
      </c>
      <c r="IP19" t="s">
        <v>137</v>
      </c>
      <c r="IQ19">
        <v>26.083500000000001</v>
      </c>
      <c r="IR19">
        <v>27.356000000000002</v>
      </c>
      <c r="IS19">
        <v>28.278500000000001</v>
      </c>
      <c r="IT19">
        <v>28.240500000000001</v>
      </c>
      <c r="IU19">
        <v>28.215</v>
      </c>
      <c r="IV19" t="s">
        <v>137</v>
      </c>
      <c r="IW19" t="s">
        <v>137</v>
      </c>
      <c r="IX19">
        <v>30.161000000000001</v>
      </c>
      <c r="IY19">
        <v>32.113999999999997</v>
      </c>
      <c r="IZ19">
        <v>31.884</v>
      </c>
      <c r="JA19">
        <v>31.423999999999999</v>
      </c>
      <c r="JB19">
        <v>34.11</v>
      </c>
      <c r="JC19" t="s">
        <v>137</v>
      </c>
      <c r="JD19" t="s">
        <v>137</v>
      </c>
      <c r="JE19">
        <v>35.674500000000002</v>
      </c>
      <c r="JF19">
        <v>35.113999999999997</v>
      </c>
      <c r="JG19">
        <v>34.439500000000002</v>
      </c>
      <c r="JH19">
        <v>34.666499999999999</v>
      </c>
      <c r="JI19">
        <v>34.963999999999999</v>
      </c>
      <c r="JJ19" t="s">
        <v>137</v>
      </c>
      <c r="JK19" t="s">
        <v>137</v>
      </c>
      <c r="JL19">
        <v>35.076500000000003</v>
      </c>
      <c r="JM19">
        <v>37.762999999999998</v>
      </c>
      <c r="JN19">
        <v>38.338500000000003</v>
      </c>
      <c r="JO19">
        <v>37.308500000000002</v>
      </c>
      <c r="JP19">
        <v>38.162500000000001</v>
      </c>
      <c r="JQ19" t="s">
        <v>137</v>
      </c>
      <c r="JR19" t="s">
        <v>137</v>
      </c>
      <c r="JS19">
        <v>38.3125</v>
      </c>
      <c r="JT19">
        <v>38.191499999999998</v>
      </c>
      <c r="JU19">
        <v>39.655500000000004</v>
      </c>
      <c r="JV19">
        <v>39.479500000000002</v>
      </c>
      <c r="JW19">
        <v>39.18</v>
      </c>
      <c r="JX19" t="s">
        <v>137</v>
      </c>
      <c r="JY19" t="s">
        <v>137</v>
      </c>
      <c r="JZ19">
        <v>39.772500000000001</v>
      </c>
      <c r="KA19">
        <v>39.063499999999998</v>
      </c>
      <c r="KB19">
        <v>39.219000000000001</v>
      </c>
      <c r="KC19">
        <v>38.917499999999997</v>
      </c>
      <c r="KD19">
        <v>39.151000000000003</v>
      </c>
      <c r="KE19" t="s">
        <v>137</v>
      </c>
      <c r="KF19" t="s">
        <v>137</v>
      </c>
      <c r="KG19">
        <v>38.719499999999996</v>
      </c>
      <c r="KH19">
        <v>40.31</v>
      </c>
      <c r="KI19">
        <v>40.2485</v>
      </c>
      <c r="KJ19">
        <v>39.179499999999997</v>
      </c>
      <c r="KK19">
        <v>40.244999999999997</v>
      </c>
      <c r="KL19" t="s">
        <v>137</v>
      </c>
      <c r="KM19" t="s">
        <v>137</v>
      </c>
      <c r="KN19">
        <v>41.063499999999998</v>
      </c>
      <c r="KO19">
        <v>42.037500000000001</v>
      </c>
      <c r="KP19">
        <v>41.24</v>
      </c>
      <c r="KQ19">
        <v>41.021000000000001</v>
      </c>
      <c r="KR19">
        <v>40.125999999999998</v>
      </c>
      <c r="KS19" t="s">
        <v>137</v>
      </c>
      <c r="KT19" t="s">
        <v>137</v>
      </c>
      <c r="KU19">
        <v>40.894500000000001</v>
      </c>
      <c r="KV19">
        <v>40.667000000000002</v>
      </c>
      <c r="KW19">
        <v>40.831000000000003</v>
      </c>
      <c r="KX19">
        <v>40.406500000000001</v>
      </c>
      <c r="KY19">
        <v>40.1995</v>
      </c>
      <c r="KZ19" t="s">
        <v>137</v>
      </c>
      <c r="LA19" t="s">
        <v>137</v>
      </c>
      <c r="LB19">
        <v>41.541499999999999</v>
      </c>
      <c r="LC19">
        <v>41.857500000000002</v>
      </c>
      <c r="LD19">
        <v>42.86</v>
      </c>
      <c r="LE19">
        <v>41.933500000000002</v>
      </c>
      <c r="LF19">
        <v>42.15</v>
      </c>
      <c r="LG19" t="s">
        <v>137</v>
      </c>
      <c r="LH19" t="s">
        <v>137</v>
      </c>
      <c r="LI19">
        <v>42.283999999999999</v>
      </c>
      <c r="LJ19">
        <v>41.458500000000001</v>
      </c>
      <c r="LK19">
        <v>41.404499999999999</v>
      </c>
      <c r="LL19">
        <v>41.987000000000002</v>
      </c>
      <c r="LM19">
        <v>41.402000000000001</v>
      </c>
      <c r="LN19" t="s">
        <v>137</v>
      </c>
      <c r="LO19" t="s">
        <v>137</v>
      </c>
      <c r="LP19">
        <v>41.304000000000002</v>
      </c>
      <c r="LQ19">
        <v>41.725499999999997</v>
      </c>
      <c r="LR19">
        <v>43.084000000000003</v>
      </c>
      <c r="LS19">
        <v>43.863</v>
      </c>
      <c r="LT19">
        <v>43.904499999999999</v>
      </c>
      <c r="LU19" t="s">
        <v>137</v>
      </c>
      <c r="LV19" t="s">
        <v>137</v>
      </c>
      <c r="LW19">
        <v>43.973999999999997</v>
      </c>
      <c r="LX19">
        <v>43.465000000000003</v>
      </c>
      <c r="LY19">
        <v>42.855499999999999</v>
      </c>
      <c r="LZ19">
        <v>42.727499999999999</v>
      </c>
      <c r="MA19">
        <v>43.297499999999999</v>
      </c>
      <c r="MB19" t="s">
        <v>137</v>
      </c>
      <c r="MC19" t="s">
        <v>137</v>
      </c>
      <c r="MD19">
        <v>42.816499999999998</v>
      </c>
      <c r="ME19">
        <v>47.944000000000003</v>
      </c>
      <c r="MF19">
        <v>48.34</v>
      </c>
      <c r="MG19">
        <v>47.601999999999997</v>
      </c>
      <c r="MH19">
        <v>47.202500000000001</v>
      </c>
      <c r="MI19" t="s">
        <v>137</v>
      </c>
      <c r="MJ19" t="s">
        <v>137</v>
      </c>
      <c r="MK19">
        <v>47.147500000000001</v>
      </c>
      <c r="ML19">
        <v>47.234000000000002</v>
      </c>
      <c r="MM19">
        <v>46.9465</v>
      </c>
      <c r="MN19">
        <v>46.73</v>
      </c>
      <c r="MO19">
        <v>46.66</v>
      </c>
      <c r="MP19" t="s">
        <v>137</v>
      </c>
      <c r="MQ19" t="s">
        <v>137</v>
      </c>
      <c r="MR19">
        <v>46.579000000000001</v>
      </c>
      <c r="MS19">
        <v>46.381</v>
      </c>
      <c r="MT19">
        <v>46.439500000000002</v>
      </c>
      <c r="MU19">
        <v>46.279000000000003</v>
      </c>
      <c r="MV19">
        <v>46.198500000000003</v>
      </c>
      <c r="MW19" t="s">
        <v>137</v>
      </c>
      <c r="MX19" t="s">
        <v>137</v>
      </c>
      <c r="MY19">
        <v>46.172499999999999</v>
      </c>
      <c r="MZ19">
        <v>46.087000000000003</v>
      </c>
      <c r="NA19">
        <v>46.076999999999998</v>
      </c>
      <c r="NB19">
        <v>46.075499999999998</v>
      </c>
      <c r="NC19">
        <v>45.819499999999998</v>
      </c>
      <c r="ND19" t="s">
        <v>137</v>
      </c>
      <c r="NE19" t="s">
        <v>137</v>
      </c>
      <c r="NF19">
        <v>45.787500000000001</v>
      </c>
      <c r="NG19">
        <v>46.685000000000002</v>
      </c>
      <c r="NH19">
        <v>46.441000000000003</v>
      </c>
      <c r="NI19">
        <v>45.893999999999998</v>
      </c>
      <c r="NJ19">
        <v>46.234999999999999</v>
      </c>
      <c r="NK19" t="s">
        <v>137</v>
      </c>
      <c r="NL19" t="s">
        <v>137</v>
      </c>
      <c r="NM19" t="s">
        <v>137</v>
      </c>
      <c r="NN19" t="s">
        <v>137</v>
      </c>
      <c r="NO19" t="s">
        <v>137</v>
      </c>
      <c r="NP19" t="s">
        <v>137</v>
      </c>
      <c r="NQ19" t="s">
        <v>137</v>
      </c>
      <c r="NR19" t="s">
        <v>137</v>
      </c>
      <c r="NS19" t="s">
        <v>137</v>
      </c>
      <c r="NT19" t="s">
        <v>137</v>
      </c>
      <c r="NU19" t="s">
        <v>137</v>
      </c>
      <c r="NV19" t="s">
        <v>137</v>
      </c>
      <c r="NW19" t="s">
        <v>137</v>
      </c>
      <c r="NX19" t="s">
        <v>137</v>
      </c>
      <c r="NY19" t="s">
        <v>137</v>
      </c>
      <c r="NZ19" t="s">
        <v>137</v>
      </c>
      <c r="OA19" t="s">
        <v>137</v>
      </c>
      <c r="OB19" t="s">
        <v>137</v>
      </c>
      <c r="OC19" t="s">
        <v>137</v>
      </c>
      <c r="OD19" t="s">
        <v>137</v>
      </c>
      <c r="OE19" t="s">
        <v>137</v>
      </c>
      <c r="OF19" t="s">
        <v>137</v>
      </c>
      <c r="OG19" t="s">
        <v>137</v>
      </c>
      <c r="OH19" t="s">
        <v>137</v>
      </c>
      <c r="OI19" t="s">
        <v>137</v>
      </c>
      <c r="OJ19" t="s">
        <v>137</v>
      </c>
      <c r="OK19" t="s">
        <v>137</v>
      </c>
      <c r="OL19" t="s">
        <v>137</v>
      </c>
      <c r="OM19" t="s">
        <v>137</v>
      </c>
      <c r="ON19" t="s">
        <v>137</v>
      </c>
      <c r="OO19" t="s">
        <v>137</v>
      </c>
      <c r="OP19" t="s">
        <v>137</v>
      </c>
      <c r="OQ19" t="s">
        <v>137</v>
      </c>
      <c r="OR19" t="s">
        <v>137</v>
      </c>
      <c r="OS19" t="s">
        <v>137</v>
      </c>
      <c r="OT19" t="s">
        <v>137</v>
      </c>
      <c r="OU19" t="s">
        <v>137</v>
      </c>
      <c r="OV19" t="s">
        <v>137</v>
      </c>
      <c r="OW19" t="s">
        <v>137</v>
      </c>
      <c r="OX19" t="s">
        <v>137</v>
      </c>
      <c r="OY19" t="s">
        <v>137</v>
      </c>
      <c r="OZ19" t="s">
        <v>137</v>
      </c>
      <c r="PA19" t="s">
        <v>137</v>
      </c>
      <c r="PB19" t="s">
        <v>137</v>
      </c>
      <c r="PC19" t="s">
        <v>137</v>
      </c>
      <c r="PD19" t="s">
        <v>137</v>
      </c>
      <c r="PE19" t="s">
        <v>137</v>
      </c>
      <c r="PF19" t="s">
        <v>137</v>
      </c>
      <c r="PG19" t="s">
        <v>137</v>
      </c>
      <c r="PH19" t="s">
        <v>137</v>
      </c>
      <c r="PI19" t="s">
        <v>137</v>
      </c>
      <c r="PJ19" t="s">
        <v>137</v>
      </c>
      <c r="PK19" t="s">
        <v>137</v>
      </c>
      <c r="PL19" t="s">
        <v>137</v>
      </c>
      <c r="PM19" t="s">
        <v>137</v>
      </c>
      <c r="PN19" t="s">
        <v>137</v>
      </c>
      <c r="PO19" t="s">
        <v>137</v>
      </c>
      <c r="PP19" t="s">
        <v>137</v>
      </c>
      <c r="PQ19" t="s">
        <v>137</v>
      </c>
      <c r="PR19" t="s">
        <v>137</v>
      </c>
      <c r="PS19" t="s">
        <v>137</v>
      </c>
      <c r="PT19" t="s">
        <v>137</v>
      </c>
      <c r="PU19" t="s">
        <v>137</v>
      </c>
      <c r="PV19" t="s">
        <v>137</v>
      </c>
      <c r="PW19" t="s">
        <v>137</v>
      </c>
      <c r="PX19" t="s">
        <v>137</v>
      </c>
      <c r="PY19" t="s">
        <v>137</v>
      </c>
      <c r="PZ19" t="s">
        <v>137</v>
      </c>
      <c r="QA19" t="s">
        <v>137</v>
      </c>
      <c r="QB19" t="s">
        <v>137</v>
      </c>
      <c r="QC19" t="s">
        <v>137</v>
      </c>
      <c r="QD19" t="s">
        <v>137</v>
      </c>
      <c r="QE19" t="s">
        <v>137</v>
      </c>
      <c r="QF19" t="s">
        <v>137</v>
      </c>
      <c r="QG19" t="s">
        <v>137</v>
      </c>
      <c r="QH19" t="s">
        <v>137</v>
      </c>
      <c r="QI19" t="s">
        <v>137</v>
      </c>
      <c r="QJ19" t="s">
        <v>137</v>
      </c>
      <c r="QK19" t="s">
        <v>137</v>
      </c>
      <c r="QL19" t="s">
        <v>137</v>
      </c>
      <c r="QM19" t="s">
        <v>137</v>
      </c>
      <c r="QN19" t="s">
        <v>137</v>
      </c>
      <c r="QO19" t="s">
        <v>137</v>
      </c>
    </row>
    <row r="20" spans="1:457" x14ac:dyDescent="0.2">
      <c r="A20" t="s">
        <v>121</v>
      </c>
      <c r="B20" s="3">
        <v>42761</v>
      </c>
      <c r="C20" t="s">
        <v>81</v>
      </c>
      <c r="E20" t="s">
        <v>137</v>
      </c>
      <c r="F20">
        <v>37.75</v>
      </c>
      <c r="G20">
        <v>37.533000000000001</v>
      </c>
      <c r="H20">
        <v>39.3125</v>
      </c>
      <c r="I20">
        <v>41.8125</v>
      </c>
      <c r="J20">
        <v>44.375</v>
      </c>
      <c r="K20" t="s">
        <v>137</v>
      </c>
      <c r="L20" t="s">
        <v>137</v>
      </c>
      <c r="M20">
        <v>44.3125</v>
      </c>
      <c r="N20">
        <v>43.1875</v>
      </c>
      <c r="O20">
        <v>43.5625</v>
      </c>
      <c r="P20">
        <v>43.25</v>
      </c>
      <c r="Q20">
        <v>41.625</v>
      </c>
      <c r="R20" t="s">
        <v>137</v>
      </c>
      <c r="S20" t="s">
        <v>137</v>
      </c>
      <c r="T20">
        <v>41.25</v>
      </c>
      <c r="U20">
        <v>41.5</v>
      </c>
      <c r="V20">
        <v>43.48</v>
      </c>
      <c r="W20">
        <v>42.6875</v>
      </c>
      <c r="X20">
        <v>43</v>
      </c>
      <c r="Y20" t="s">
        <v>137</v>
      </c>
      <c r="Z20" t="s">
        <v>137</v>
      </c>
      <c r="AA20">
        <v>42.125</v>
      </c>
      <c r="AB20">
        <v>41.375</v>
      </c>
      <c r="AC20">
        <v>40.856999999999999</v>
      </c>
      <c r="AD20">
        <v>41.1875</v>
      </c>
      <c r="AE20">
        <v>42.1875</v>
      </c>
      <c r="AF20" t="s">
        <v>137</v>
      </c>
      <c r="AG20" t="s">
        <v>137</v>
      </c>
      <c r="AH20">
        <v>42.375</v>
      </c>
      <c r="AI20">
        <v>42.3125</v>
      </c>
      <c r="AJ20">
        <v>42.125</v>
      </c>
      <c r="AK20">
        <v>42.0625</v>
      </c>
      <c r="AL20">
        <v>42.25</v>
      </c>
      <c r="AM20" t="s">
        <v>137</v>
      </c>
      <c r="AN20" t="s">
        <v>137</v>
      </c>
      <c r="AO20">
        <v>43.375</v>
      </c>
      <c r="AP20">
        <v>43.5</v>
      </c>
      <c r="AQ20">
        <v>44.1875</v>
      </c>
      <c r="AR20">
        <v>47</v>
      </c>
      <c r="AS20">
        <v>46.75</v>
      </c>
      <c r="AT20" t="s">
        <v>137</v>
      </c>
      <c r="AU20" t="s">
        <v>137</v>
      </c>
      <c r="AV20">
        <v>46.5</v>
      </c>
      <c r="AW20">
        <v>46.25</v>
      </c>
      <c r="AX20">
        <v>45</v>
      </c>
      <c r="AY20">
        <v>45.125</v>
      </c>
      <c r="AZ20">
        <v>44.5</v>
      </c>
      <c r="BA20" t="s">
        <v>137</v>
      </c>
      <c r="BB20" t="s">
        <v>137</v>
      </c>
      <c r="BC20">
        <v>43.625</v>
      </c>
      <c r="BD20">
        <v>41.5625</v>
      </c>
      <c r="BE20">
        <v>42.375</v>
      </c>
      <c r="BF20">
        <v>43.375</v>
      </c>
      <c r="BG20">
        <v>42.125</v>
      </c>
      <c r="BH20" t="s">
        <v>137</v>
      </c>
      <c r="BI20" t="s">
        <v>137</v>
      </c>
      <c r="BJ20">
        <v>40.5</v>
      </c>
      <c r="BK20">
        <v>40.75</v>
      </c>
      <c r="BL20">
        <v>40.484999999999999</v>
      </c>
      <c r="BM20">
        <v>40.11</v>
      </c>
      <c r="BN20">
        <v>39.5</v>
      </c>
      <c r="BO20" t="s">
        <v>137</v>
      </c>
      <c r="BP20" t="s">
        <v>137</v>
      </c>
      <c r="BQ20">
        <v>39.5</v>
      </c>
      <c r="BR20">
        <v>39</v>
      </c>
      <c r="BS20">
        <v>38.5</v>
      </c>
      <c r="BT20">
        <v>38.3125</v>
      </c>
      <c r="BU20">
        <v>37.631999999999998</v>
      </c>
      <c r="BV20" t="s">
        <v>137</v>
      </c>
      <c r="BW20" t="s">
        <v>137</v>
      </c>
      <c r="BX20">
        <v>37.375</v>
      </c>
      <c r="BY20">
        <v>36.375</v>
      </c>
      <c r="BZ20">
        <v>36.375</v>
      </c>
      <c r="CA20">
        <v>37.002499999999998</v>
      </c>
      <c r="CB20">
        <v>37.375</v>
      </c>
      <c r="CC20" t="s">
        <v>137</v>
      </c>
      <c r="CD20" t="s">
        <v>137</v>
      </c>
      <c r="CE20">
        <v>37.25</v>
      </c>
      <c r="CF20">
        <v>38.875</v>
      </c>
      <c r="CG20">
        <v>40.4375</v>
      </c>
      <c r="CH20">
        <v>41.25</v>
      </c>
      <c r="CI20">
        <v>41.125</v>
      </c>
      <c r="CJ20" t="s">
        <v>137</v>
      </c>
      <c r="CK20" t="s">
        <v>137</v>
      </c>
      <c r="CL20">
        <v>40.4375</v>
      </c>
      <c r="CM20">
        <v>40.75</v>
      </c>
      <c r="CN20">
        <v>40.932499999999997</v>
      </c>
      <c r="CO20">
        <v>40.75</v>
      </c>
      <c r="CP20">
        <v>40.869999999999997</v>
      </c>
      <c r="CQ20" t="s">
        <v>137</v>
      </c>
      <c r="CR20" t="s">
        <v>137</v>
      </c>
      <c r="CS20">
        <v>40.5</v>
      </c>
      <c r="CT20">
        <v>38.716500000000003</v>
      </c>
      <c r="CU20">
        <v>38.948999999999998</v>
      </c>
      <c r="CV20">
        <v>39.4375</v>
      </c>
      <c r="CW20">
        <v>39.875</v>
      </c>
      <c r="CX20" t="s">
        <v>137</v>
      </c>
      <c r="CY20" t="s">
        <v>137</v>
      </c>
      <c r="CZ20">
        <v>40.231000000000002</v>
      </c>
      <c r="DA20">
        <v>40.231000000000002</v>
      </c>
      <c r="DB20">
        <v>40.231000000000002</v>
      </c>
      <c r="DC20">
        <v>40.231000000000002</v>
      </c>
      <c r="DD20">
        <v>43.8125</v>
      </c>
      <c r="DE20" t="s">
        <v>137</v>
      </c>
      <c r="DF20" t="s">
        <v>137</v>
      </c>
      <c r="DG20">
        <v>43.8125</v>
      </c>
      <c r="DH20">
        <v>44.02</v>
      </c>
      <c r="DI20">
        <v>47.3125</v>
      </c>
      <c r="DJ20">
        <v>46.875</v>
      </c>
      <c r="DK20">
        <v>46.5</v>
      </c>
      <c r="DL20" t="s">
        <v>137</v>
      </c>
      <c r="DM20" t="s">
        <v>137</v>
      </c>
      <c r="DN20">
        <v>47.375</v>
      </c>
      <c r="DO20">
        <v>47.875</v>
      </c>
      <c r="DP20">
        <v>47.875</v>
      </c>
      <c r="DQ20">
        <v>47.875</v>
      </c>
      <c r="DR20">
        <v>50.1875</v>
      </c>
      <c r="DS20" t="s">
        <v>137</v>
      </c>
      <c r="DT20" t="s">
        <v>137</v>
      </c>
      <c r="DU20">
        <v>50.125</v>
      </c>
      <c r="DV20">
        <v>50</v>
      </c>
      <c r="DW20">
        <v>50</v>
      </c>
      <c r="DX20">
        <v>49.5</v>
      </c>
      <c r="DY20">
        <v>48.46</v>
      </c>
      <c r="DZ20" t="s">
        <v>137</v>
      </c>
      <c r="EA20" t="s">
        <v>137</v>
      </c>
      <c r="EB20">
        <v>46.125</v>
      </c>
      <c r="EC20">
        <v>46.5</v>
      </c>
      <c r="ED20">
        <v>46.52</v>
      </c>
      <c r="EE20">
        <v>47.75</v>
      </c>
      <c r="EF20">
        <v>48.125</v>
      </c>
      <c r="EG20" t="s">
        <v>137</v>
      </c>
      <c r="EH20" t="s">
        <v>137</v>
      </c>
      <c r="EI20">
        <v>48.25</v>
      </c>
      <c r="EJ20">
        <v>48</v>
      </c>
      <c r="EK20">
        <v>48.375</v>
      </c>
      <c r="EL20">
        <v>49.125</v>
      </c>
      <c r="EM20">
        <v>48.625</v>
      </c>
      <c r="EN20" t="s">
        <v>137</v>
      </c>
      <c r="EO20" t="s">
        <v>137</v>
      </c>
      <c r="EP20">
        <v>48.125</v>
      </c>
      <c r="EQ20">
        <v>47.0625</v>
      </c>
      <c r="ER20">
        <v>46.125</v>
      </c>
      <c r="ES20">
        <v>45.625</v>
      </c>
      <c r="ET20">
        <v>44.5625</v>
      </c>
      <c r="EU20" t="s">
        <v>137</v>
      </c>
      <c r="EV20" t="s">
        <v>137</v>
      </c>
      <c r="EW20">
        <v>45</v>
      </c>
      <c r="EX20">
        <v>43.125</v>
      </c>
      <c r="EY20">
        <v>45.375</v>
      </c>
      <c r="EZ20">
        <v>45.625</v>
      </c>
      <c r="FA20">
        <v>45.392499999999998</v>
      </c>
      <c r="FB20" t="s">
        <v>137</v>
      </c>
      <c r="FC20" t="s">
        <v>137</v>
      </c>
      <c r="FD20">
        <v>46.75</v>
      </c>
      <c r="FE20">
        <v>48.25</v>
      </c>
      <c r="FF20">
        <v>48.8125</v>
      </c>
      <c r="FG20">
        <v>48.8125</v>
      </c>
      <c r="FH20">
        <v>49.6875</v>
      </c>
      <c r="FI20" t="s">
        <v>137</v>
      </c>
      <c r="FJ20" t="s">
        <v>137</v>
      </c>
      <c r="FK20">
        <v>49.4375</v>
      </c>
      <c r="FL20">
        <v>48.948</v>
      </c>
      <c r="FM20">
        <v>47.625</v>
      </c>
      <c r="FN20">
        <v>47.625</v>
      </c>
      <c r="FO20">
        <v>46.375</v>
      </c>
      <c r="FP20" t="s">
        <v>137</v>
      </c>
      <c r="FQ20" t="s">
        <v>137</v>
      </c>
      <c r="FR20">
        <v>46.4375</v>
      </c>
      <c r="FS20">
        <v>45.625</v>
      </c>
      <c r="FT20">
        <v>45.875</v>
      </c>
      <c r="FU20">
        <v>45.125</v>
      </c>
      <c r="FV20">
        <v>45.5625</v>
      </c>
      <c r="FW20" t="s">
        <v>137</v>
      </c>
      <c r="FX20" t="s">
        <v>137</v>
      </c>
      <c r="FY20">
        <v>45.75</v>
      </c>
      <c r="FZ20">
        <v>46</v>
      </c>
      <c r="GA20">
        <v>45.5625</v>
      </c>
      <c r="GB20">
        <v>44.375</v>
      </c>
      <c r="GC20">
        <v>43.0625</v>
      </c>
      <c r="GD20" t="s">
        <v>137</v>
      </c>
      <c r="GE20" t="s">
        <v>137</v>
      </c>
      <c r="GF20">
        <v>43.8125</v>
      </c>
      <c r="GG20">
        <v>44.5</v>
      </c>
      <c r="GH20" s="4">
        <v>44.875</v>
      </c>
      <c r="GI20">
        <v>43.625</v>
      </c>
      <c r="GJ20">
        <v>41.875</v>
      </c>
      <c r="GK20" t="s">
        <v>137</v>
      </c>
      <c r="GL20" t="s">
        <v>137</v>
      </c>
      <c r="GM20">
        <v>39.125</v>
      </c>
      <c r="GN20">
        <v>36.9375</v>
      </c>
      <c r="GO20">
        <v>35.875</v>
      </c>
      <c r="GP20">
        <v>32.875</v>
      </c>
      <c r="GQ20">
        <v>34.25</v>
      </c>
      <c r="GR20" t="s">
        <v>137</v>
      </c>
      <c r="GS20" t="s">
        <v>137</v>
      </c>
      <c r="GT20">
        <v>31</v>
      </c>
      <c r="GU20">
        <v>29.8125</v>
      </c>
      <c r="GV20">
        <v>26.625</v>
      </c>
      <c r="GW20">
        <v>26.375</v>
      </c>
      <c r="GX20">
        <v>26.375</v>
      </c>
      <c r="GY20" t="s">
        <v>137</v>
      </c>
      <c r="GZ20" t="s">
        <v>137</v>
      </c>
      <c r="HA20">
        <v>24.5</v>
      </c>
      <c r="HB20">
        <v>25.125</v>
      </c>
      <c r="HC20">
        <v>25.375</v>
      </c>
      <c r="HD20">
        <v>25.875</v>
      </c>
      <c r="HE20">
        <v>25.875</v>
      </c>
      <c r="HF20" t="s">
        <v>137</v>
      </c>
      <c r="HG20" t="s">
        <v>137</v>
      </c>
      <c r="HH20">
        <v>26.933499999999999</v>
      </c>
      <c r="HI20">
        <v>27.75</v>
      </c>
      <c r="HJ20">
        <v>27.949000000000002</v>
      </c>
      <c r="HK20">
        <v>28.625</v>
      </c>
      <c r="HL20">
        <v>29.375</v>
      </c>
      <c r="HM20" t="s">
        <v>137</v>
      </c>
      <c r="HN20" t="s">
        <v>137</v>
      </c>
      <c r="HO20">
        <v>29.875</v>
      </c>
      <c r="HP20">
        <v>29.75</v>
      </c>
      <c r="HQ20">
        <v>29.375</v>
      </c>
      <c r="HR20">
        <v>29.385000000000002</v>
      </c>
      <c r="HS20">
        <v>28.375</v>
      </c>
      <c r="HT20" t="s">
        <v>137</v>
      </c>
      <c r="HU20" t="s">
        <v>137</v>
      </c>
      <c r="HV20">
        <v>28.125</v>
      </c>
      <c r="HW20">
        <v>28.125</v>
      </c>
      <c r="HX20">
        <v>27.5</v>
      </c>
      <c r="HY20">
        <v>27.375</v>
      </c>
      <c r="HZ20">
        <v>31.125</v>
      </c>
      <c r="IA20" t="s">
        <v>137</v>
      </c>
      <c r="IB20" t="s">
        <v>137</v>
      </c>
      <c r="IC20">
        <v>31.25</v>
      </c>
      <c r="ID20">
        <v>30.25</v>
      </c>
      <c r="IE20">
        <v>28.375</v>
      </c>
      <c r="IF20">
        <v>27.375</v>
      </c>
      <c r="IG20">
        <v>26</v>
      </c>
      <c r="IH20" t="s">
        <v>137</v>
      </c>
      <c r="II20" t="s">
        <v>137</v>
      </c>
      <c r="IJ20">
        <v>26.125</v>
      </c>
      <c r="IK20">
        <v>26.375</v>
      </c>
      <c r="IL20">
        <v>26.25</v>
      </c>
      <c r="IM20">
        <v>25.625</v>
      </c>
      <c r="IN20">
        <v>25</v>
      </c>
      <c r="IO20" t="s">
        <v>137</v>
      </c>
      <c r="IP20" t="s">
        <v>137</v>
      </c>
      <c r="IQ20">
        <v>24.375</v>
      </c>
      <c r="IR20">
        <v>25.625</v>
      </c>
      <c r="IS20">
        <v>26.5</v>
      </c>
      <c r="IT20">
        <v>27</v>
      </c>
      <c r="IU20">
        <v>26.6525</v>
      </c>
      <c r="IV20" t="s">
        <v>137</v>
      </c>
      <c r="IW20" t="s">
        <v>137</v>
      </c>
      <c r="IX20">
        <v>28.875</v>
      </c>
      <c r="IY20">
        <v>30</v>
      </c>
      <c r="IZ20">
        <v>29.25</v>
      </c>
      <c r="JA20">
        <v>29</v>
      </c>
      <c r="JB20">
        <v>30.875</v>
      </c>
      <c r="JC20" t="s">
        <v>137</v>
      </c>
      <c r="JD20" t="s">
        <v>137</v>
      </c>
      <c r="JE20">
        <v>32.375</v>
      </c>
      <c r="JF20">
        <v>32.25</v>
      </c>
      <c r="JG20">
        <v>31.625</v>
      </c>
      <c r="JH20">
        <v>32.75</v>
      </c>
      <c r="JI20">
        <v>32.405000000000001</v>
      </c>
      <c r="JJ20" t="s">
        <v>137</v>
      </c>
      <c r="JK20" t="s">
        <v>137</v>
      </c>
      <c r="JL20">
        <v>32.625</v>
      </c>
      <c r="JM20">
        <v>36.75</v>
      </c>
      <c r="JN20">
        <v>36.125</v>
      </c>
      <c r="JO20">
        <v>35.298000000000002</v>
      </c>
      <c r="JP20">
        <v>36.25</v>
      </c>
      <c r="JQ20" t="s">
        <v>137</v>
      </c>
      <c r="JR20" t="s">
        <v>137</v>
      </c>
      <c r="JS20">
        <v>37.25</v>
      </c>
      <c r="JT20">
        <v>37.25</v>
      </c>
      <c r="JU20">
        <v>39.5</v>
      </c>
      <c r="JV20">
        <v>38.75</v>
      </c>
      <c r="JW20">
        <v>38.25</v>
      </c>
      <c r="JX20" t="s">
        <v>137</v>
      </c>
      <c r="JY20" t="s">
        <v>137</v>
      </c>
      <c r="JZ20">
        <v>39.625</v>
      </c>
      <c r="KA20">
        <v>38.125</v>
      </c>
      <c r="KB20">
        <v>39.375</v>
      </c>
      <c r="KC20">
        <v>38.5</v>
      </c>
      <c r="KD20">
        <v>39</v>
      </c>
      <c r="KE20" t="s">
        <v>137</v>
      </c>
      <c r="KF20" t="s">
        <v>137</v>
      </c>
      <c r="KG20">
        <v>38.75</v>
      </c>
      <c r="KH20">
        <v>40.125</v>
      </c>
      <c r="KI20">
        <v>40</v>
      </c>
      <c r="KJ20">
        <v>39.125</v>
      </c>
      <c r="KK20">
        <v>40.125</v>
      </c>
      <c r="KL20" t="s">
        <v>137</v>
      </c>
      <c r="KM20" t="s">
        <v>137</v>
      </c>
      <c r="KN20">
        <v>40.75</v>
      </c>
      <c r="KO20">
        <v>41.625</v>
      </c>
      <c r="KP20">
        <v>40.375</v>
      </c>
      <c r="KQ20">
        <v>40.25</v>
      </c>
      <c r="KR20">
        <v>39.837499999999999</v>
      </c>
      <c r="KS20" t="s">
        <v>137</v>
      </c>
      <c r="KT20" t="s">
        <v>137</v>
      </c>
      <c r="KU20">
        <v>40.25</v>
      </c>
      <c r="KV20">
        <v>39.875</v>
      </c>
      <c r="KW20">
        <v>40.298499999999997</v>
      </c>
      <c r="KX20">
        <v>40.055500000000002</v>
      </c>
      <c r="KY20">
        <v>39.875</v>
      </c>
      <c r="KZ20" t="s">
        <v>137</v>
      </c>
      <c r="LA20" t="s">
        <v>137</v>
      </c>
      <c r="LB20">
        <v>41.25</v>
      </c>
      <c r="LC20">
        <v>41.875</v>
      </c>
      <c r="LD20">
        <v>42.25</v>
      </c>
      <c r="LE20">
        <v>41.625</v>
      </c>
      <c r="LF20">
        <v>41.625</v>
      </c>
      <c r="LG20" t="s">
        <v>137</v>
      </c>
      <c r="LH20" t="s">
        <v>137</v>
      </c>
      <c r="LI20">
        <v>42.01</v>
      </c>
      <c r="LJ20">
        <v>41.4375</v>
      </c>
      <c r="LK20">
        <v>40.957500000000003</v>
      </c>
      <c r="LL20">
        <v>41.271000000000001</v>
      </c>
      <c r="LM20">
        <v>40.74</v>
      </c>
      <c r="LN20" t="s">
        <v>137</v>
      </c>
      <c r="LO20" t="s">
        <v>137</v>
      </c>
      <c r="LP20">
        <v>40.515000000000001</v>
      </c>
      <c r="LQ20">
        <v>40.837499999999999</v>
      </c>
      <c r="LR20">
        <v>41.87</v>
      </c>
      <c r="LS20">
        <v>42.887500000000003</v>
      </c>
      <c r="LT20">
        <v>42.744999999999997</v>
      </c>
      <c r="LU20" t="s">
        <v>137</v>
      </c>
      <c r="LV20" t="s">
        <v>137</v>
      </c>
      <c r="LW20">
        <v>42.8825</v>
      </c>
      <c r="LX20">
        <v>42.528500000000001</v>
      </c>
      <c r="LY20">
        <v>42.1</v>
      </c>
      <c r="LZ20">
        <v>41.908999999999999</v>
      </c>
      <c r="MA20">
        <v>42.335500000000003</v>
      </c>
      <c r="MB20" t="s">
        <v>137</v>
      </c>
      <c r="MC20" t="s">
        <v>137</v>
      </c>
      <c r="MD20">
        <v>41.78</v>
      </c>
      <c r="ME20">
        <v>46.662500000000001</v>
      </c>
      <c r="MF20">
        <v>46.8</v>
      </c>
      <c r="MG20">
        <v>46.267499999999998</v>
      </c>
      <c r="MH20">
        <v>45.893000000000001</v>
      </c>
      <c r="MI20" t="s">
        <v>137</v>
      </c>
      <c r="MJ20" t="s">
        <v>137</v>
      </c>
      <c r="MK20">
        <v>45.637999999999998</v>
      </c>
      <c r="ML20">
        <v>45.727499999999999</v>
      </c>
      <c r="MM20">
        <v>45.639000000000003</v>
      </c>
      <c r="MN20">
        <v>45.519500000000001</v>
      </c>
      <c r="MO20">
        <v>45.587499999999999</v>
      </c>
      <c r="MP20" t="s">
        <v>137</v>
      </c>
      <c r="MQ20" t="s">
        <v>137</v>
      </c>
      <c r="MR20">
        <v>45.652000000000001</v>
      </c>
      <c r="MS20">
        <v>45.452500000000001</v>
      </c>
      <c r="MT20">
        <v>45.555</v>
      </c>
      <c r="MU20">
        <v>45.137500000000003</v>
      </c>
      <c r="MV20">
        <v>43.46</v>
      </c>
      <c r="MW20" t="s">
        <v>137</v>
      </c>
      <c r="MX20" t="s">
        <v>137</v>
      </c>
      <c r="MY20">
        <v>43.676000000000002</v>
      </c>
      <c r="MZ20">
        <v>43.590499999999999</v>
      </c>
      <c r="NA20">
        <v>44.75</v>
      </c>
      <c r="NB20">
        <v>42.875</v>
      </c>
      <c r="NC20">
        <v>43.375</v>
      </c>
      <c r="ND20" t="s">
        <v>137</v>
      </c>
      <c r="NE20" t="s">
        <v>137</v>
      </c>
      <c r="NF20">
        <v>44.625</v>
      </c>
      <c r="NG20">
        <v>46</v>
      </c>
      <c r="NH20">
        <v>46</v>
      </c>
      <c r="NI20">
        <v>47</v>
      </c>
      <c r="NJ20">
        <v>47</v>
      </c>
      <c r="NK20" t="s">
        <v>137</v>
      </c>
      <c r="NL20" t="s">
        <v>137</v>
      </c>
      <c r="NM20" t="s">
        <v>137</v>
      </c>
      <c r="NN20" t="s">
        <v>137</v>
      </c>
      <c r="NO20" t="s">
        <v>137</v>
      </c>
      <c r="NP20" t="s">
        <v>137</v>
      </c>
      <c r="NQ20" t="s">
        <v>137</v>
      </c>
      <c r="NR20" t="s">
        <v>137</v>
      </c>
      <c r="NS20" t="s">
        <v>137</v>
      </c>
      <c r="NT20" t="s">
        <v>137</v>
      </c>
      <c r="NU20" t="s">
        <v>137</v>
      </c>
      <c r="NV20" t="s">
        <v>137</v>
      </c>
      <c r="NW20" t="s">
        <v>137</v>
      </c>
      <c r="NX20" t="s">
        <v>137</v>
      </c>
      <c r="NY20" t="s">
        <v>137</v>
      </c>
      <c r="NZ20" t="s">
        <v>137</v>
      </c>
      <c r="OA20" t="s">
        <v>137</v>
      </c>
      <c r="OB20" t="s">
        <v>137</v>
      </c>
      <c r="OC20" t="s">
        <v>137</v>
      </c>
      <c r="OD20" t="s">
        <v>137</v>
      </c>
      <c r="OE20" t="s">
        <v>137</v>
      </c>
      <c r="OF20" t="s">
        <v>137</v>
      </c>
      <c r="OG20" t="s">
        <v>137</v>
      </c>
      <c r="OH20" t="s">
        <v>137</v>
      </c>
      <c r="OI20" t="s">
        <v>137</v>
      </c>
      <c r="OJ20" t="s">
        <v>137</v>
      </c>
      <c r="OK20" t="s">
        <v>137</v>
      </c>
      <c r="OL20" t="s">
        <v>137</v>
      </c>
      <c r="OM20" t="s">
        <v>137</v>
      </c>
      <c r="ON20" t="s">
        <v>137</v>
      </c>
      <c r="OO20" t="s">
        <v>137</v>
      </c>
      <c r="OP20" t="s">
        <v>137</v>
      </c>
      <c r="OQ20" t="s">
        <v>137</v>
      </c>
      <c r="OR20" t="s">
        <v>137</v>
      </c>
      <c r="OS20" t="s">
        <v>137</v>
      </c>
      <c r="OT20" t="s">
        <v>137</v>
      </c>
      <c r="OU20" t="s">
        <v>137</v>
      </c>
      <c r="OV20" t="s">
        <v>137</v>
      </c>
      <c r="OW20" t="s">
        <v>137</v>
      </c>
      <c r="OX20" t="s">
        <v>137</v>
      </c>
      <c r="OY20" t="s">
        <v>137</v>
      </c>
      <c r="OZ20" t="s">
        <v>137</v>
      </c>
      <c r="PA20" t="s">
        <v>137</v>
      </c>
      <c r="PB20" t="s">
        <v>137</v>
      </c>
      <c r="PC20" t="s">
        <v>137</v>
      </c>
      <c r="PD20" t="s">
        <v>137</v>
      </c>
      <c r="PE20" t="s">
        <v>137</v>
      </c>
      <c r="PF20" t="s">
        <v>137</v>
      </c>
      <c r="PG20" t="s">
        <v>137</v>
      </c>
      <c r="PH20" t="s">
        <v>137</v>
      </c>
      <c r="PI20" t="s">
        <v>137</v>
      </c>
      <c r="PJ20" t="s">
        <v>137</v>
      </c>
      <c r="PK20" t="s">
        <v>137</v>
      </c>
      <c r="PL20" t="s">
        <v>137</v>
      </c>
      <c r="PM20" t="s">
        <v>137</v>
      </c>
      <c r="PN20" t="s">
        <v>137</v>
      </c>
      <c r="PO20" t="s">
        <v>137</v>
      </c>
      <c r="PP20" t="s">
        <v>137</v>
      </c>
      <c r="PQ20" t="s">
        <v>137</v>
      </c>
      <c r="PR20" t="s">
        <v>137</v>
      </c>
      <c r="PS20" t="s">
        <v>137</v>
      </c>
      <c r="PT20" t="s">
        <v>137</v>
      </c>
      <c r="PU20" t="s">
        <v>137</v>
      </c>
      <c r="PV20" t="s">
        <v>137</v>
      </c>
      <c r="PW20" t="s">
        <v>137</v>
      </c>
      <c r="PX20" t="s">
        <v>137</v>
      </c>
      <c r="PY20" t="s">
        <v>137</v>
      </c>
      <c r="PZ20" t="s">
        <v>137</v>
      </c>
      <c r="QA20" t="s">
        <v>137</v>
      </c>
      <c r="QB20" t="s">
        <v>137</v>
      </c>
      <c r="QC20" t="s">
        <v>137</v>
      </c>
      <c r="QD20" t="s">
        <v>137</v>
      </c>
      <c r="QE20" t="s">
        <v>137</v>
      </c>
      <c r="QF20" t="s">
        <v>137</v>
      </c>
      <c r="QG20" t="s">
        <v>137</v>
      </c>
      <c r="QH20" t="s">
        <v>137</v>
      </c>
      <c r="QI20" t="s">
        <v>137</v>
      </c>
      <c r="QJ20" t="s">
        <v>137</v>
      </c>
      <c r="QK20" t="s">
        <v>137</v>
      </c>
      <c r="QL20" t="s">
        <v>137</v>
      </c>
      <c r="QM20" t="s">
        <v>137</v>
      </c>
      <c r="QN20" t="s">
        <v>137</v>
      </c>
      <c r="QO20" t="s">
        <v>137</v>
      </c>
    </row>
    <row r="21" spans="1:457" x14ac:dyDescent="0.2">
      <c r="A21" t="s">
        <v>122</v>
      </c>
      <c r="B21" s="3">
        <v>43111</v>
      </c>
      <c r="C21" t="s">
        <v>43</v>
      </c>
      <c r="E21" t="s">
        <v>137</v>
      </c>
      <c r="F21">
        <v>37.924999999999997</v>
      </c>
      <c r="G21">
        <v>37.125</v>
      </c>
      <c r="H21">
        <v>39.375</v>
      </c>
      <c r="I21">
        <v>41</v>
      </c>
      <c r="J21">
        <v>43.5625</v>
      </c>
      <c r="K21" t="s">
        <v>137</v>
      </c>
      <c r="L21" t="s">
        <v>137</v>
      </c>
      <c r="M21">
        <v>43.25</v>
      </c>
      <c r="N21">
        <v>41.875</v>
      </c>
      <c r="O21">
        <v>42.4375</v>
      </c>
      <c r="P21">
        <v>41.9375</v>
      </c>
      <c r="Q21">
        <v>40.125</v>
      </c>
      <c r="R21" t="s">
        <v>137</v>
      </c>
      <c r="S21" t="s">
        <v>137</v>
      </c>
      <c r="T21">
        <v>40.343000000000004</v>
      </c>
      <c r="U21">
        <v>40.5745</v>
      </c>
      <c r="V21">
        <v>42.186500000000002</v>
      </c>
      <c r="W21">
        <v>41.5</v>
      </c>
      <c r="X21">
        <v>41.8125</v>
      </c>
      <c r="Y21" t="s">
        <v>137</v>
      </c>
      <c r="Z21" t="s">
        <v>137</v>
      </c>
      <c r="AA21">
        <v>40.875</v>
      </c>
      <c r="AB21">
        <v>40.25</v>
      </c>
      <c r="AC21">
        <v>40</v>
      </c>
      <c r="AD21">
        <v>39.875</v>
      </c>
      <c r="AE21">
        <v>40.625</v>
      </c>
      <c r="AF21" t="s">
        <v>137</v>
      </c>
      <c r="AG21" t="s">
        <v>137</v>
      </c>
      <c r="AH21">
        <v>41.25</v>
      </c>
      <c r="AI21">
        <v>41</v>
      </c>
      <c r="AJ21">
        <v>40.875</v>
      </c>
      <c r="AK21">
        <v>40.625</v>
      </c>
      <c r="AL21">
        <v>40.875</v>
      </c>
      <c r="AM21" t="s">
        <v>137</v>
      </c>
      <c r="AN21" t="s">
        <v>137</v>
      </c>
      <c r="AO21">
        <v>41.5</v>
      </c>
      <c r="AP21">
        <v>41.75</v>
      </c>
      <c r="AQ21">
        <v>42.375</v>
      </c>
      <c r="AR21">
        <v>44.9375</v>
      </c>
      <c r="AS21">
        <v>44.9375</v>
      </c>
      <c r="AT21" t="s">
        <v>137</v>
      </c>
      <c r="AU21" t="s">
        <v>137</v>
      </c>
      <c r="AV21">
        <v>44.866500000000002</v>
      </c>
      <c r="AW21">
        <v>44.3125</v>
      </c>
      <c r="AX21">
        <v>43.125</v>
      </c>
      <c r="AY21">
        <v>43.32</v>
      </c>
      <c r="AZ21">
        <v>42.375</v>
      </c>
      <c r="BA21" t="s">
        <v>137</v>
      </c>
      <c r="BB21" t="s">
        <v>137</v>
      </c>
      <c r="BC21">
        <v>40.875</v>
      </c>
      <c r="BD21">
        <v>40.375</v>
      </c>
      <c r="BE21">
        <v>41.375</v>
      </c>
      <c r="BF21">
        <v>41.875</v>
      </c>
      <c r="BG21">
        <v>40.875</v>
      </c>
      <c r="BH21" t="s">
        <v>137</v>
      </c>
      <c r="BI21" t="s">
        <v>137</v>
      </c>
      <c r="BJ21">
        <v>38.6875</v>
      </c>
      <c r="BK21">
        <v>39.375</v>
      </c>
      <c r="BL21">
        <v>38.544499999999999</v>
      </c>
      <c r="BM21">
        <v>38.25</v>
      </c>
      <c r="BN21">
        <v>38.375</v>
      </c>
      <c r="BO21" t="s">
        <v>137</v>
      </c>
      <c r="BP21" t="s">
        <v>137</v>
      </c>
      <c r="BQ21">
        <v>38.429499999999997</v>
      </c>
      <c r="BR21">
        <v>38.179000000000002</v>
      </c>
      <c r="BS21">
        <v>37.625</v>
      </c>
      <c r="BT21">
        <v>37.5</v>
      </c>
      <c r="BU21">
        <v>36.545499999999997</v>
      </c>
      <c r="BV21" t="s">
        <v>137</v>
      </c>
      <c r="BW21" t="s">
        <v>137</v>
      </c>
      <c r="BX21">
        <v>36.5625</v>
      </c>
      <c r="BY21">
        <v>35.6875</v>
      </c>
      <c r="BZ21">
        <v>36.125</v>
      </c>
      <c r="CA21">
        <v>36.875</v>
      </c>
      <c r="CB21">
        <v>36.875</v>
      </c>
      <c r="CC21" t="s">
        <v>137</v>
      </c>
      <c r="CD21" t="s">
        <v>137</v>
      </c>
      <c r="CE21">
        <v>36.795000000000002</v>
      </c>
      <c r="CF21">
        <v>38</v>
      </c>
      <c r="CG21">
        <v>39.8125</v>
      </c>
      <c r="CH21">
        <v>40.5</v>
      </c>
      <c r="CI21">
        <v>40.375</v>
      </c>
      <c r="CJ21" t="s">
        <v>137</v>
      </c>
      <c r="CK21" t="s">
        <v>137</v>
      </c>
      <c r="CL21">
        <v>39.5</v>
      </c>
      <c r="CM21">
        <v>39.875</v>
      </c>
      <c r="CN21">
        <v>39.625</v>
      </c>
      <c r="CO21">
        <v>40.075000000000003</v>
      </c>
      <c r="CP21">
        <v>39.984999999999999</v>
      </c>
      <c r="CQ21" t="s">
        <v>137</v>
      </c>
      <c r="CR21" t="s">
        <v>137</v>
      </c>
      <c r="CS21">
        <v>37.875</v>
      </c>
      <c r="CT21">
        <v>38.25</v>
      </c>
      <c r="CU21">
        <v>38.6875</v>
      </c>
      <c r="CV21">
        <v>38.5</v>
      </c>
      <c r="CW21">
        <v>38.8125</v>
      </c>
      <c r="CX21" t="s">
        <v>137</v>
      </c>
      <c r="CY21" t="s">
        <v>137</v>
      </c>
      <c r="CZ21">
        <v>40.7575</v>
      </c>
      <c r="DA21">
        <v>40.5</v>
      </c>
      <c r="DB21">
        <v>40.895000000000003</v>
      </c>
      <c r="DC21">
        <v>42.0625</v>
      </c>
      <c r="DD21">
        <v>41.9375</v>
      </c>
      <c r="DE21" t="s">
        <v>137</v>
      </c>
      <c r="DF21" t="s">
        <v>137</v>
      </c>
      <c r="DG21">
        <v>41.625</v>
      </c>
      <c r="DH21">
        <v>44</v>
      </c>
      <c r="DI21">
        <v>44.8125</v>
      </c>
      <c r="DJ21">
        <v>44.1875</v>
      </c>
      <c r="DK21">
        <v>43.625</v>
      </c>
      <c r="DL21" t="s">
        <v>137</v>
      </c>
      <c r="DM21" t="s">
        <v>137</v>
      </c>
      <c r="DN21">
        <v>44.875</v>
      </c>
      <c r="DO21">
        <v>45.5</v>
      </c>
      <c r="DP21">
        <v>45.5</v>
      </c>
      <c r="DQ21">
        <v>45.75</v>
      </c>
      <c r="DR21">
        <v>47.1875</v>
      </c>
      <c r="DS21" t="s">
        <v>137</v>
      </c>
      <c r="DT21" t="s">
        <v>137</v>
      </c>
      <c r="DU21">
        <v>48.155000000000001</v>
      </c>
      <c r="DV21">
        <v>47.25</v>
      </c>
      <c r="DW21">
        <v>47.25</v>
      </c>
      <c r="DX21">
        <v>46.875</v>
      </c>
      <c r="DY21">
        <v>44.625</v>
      </c>
      <c r="DZ21" t="s">
        <v>137</v>
      </c>
      <c r="EA21" t="s">
        <v>137</v>
      </c>
      <c r="EB21">
        <v>44.25</v>
      </c>
      <c r="EC21">
        <v>45.375</v>
      </c>
      <c r="ED21">
        <v>44.75</v>
      </c>
      <c r="EE21">
        <v>46.105499999999999</v>
      </c>
      <c r="EF21">
        <v>46.75</v>
      </c>
      <c r="EG21" t="s">
        <v>137</v>
      </c>
      <c r="EH21" t="s">
        <v>137</v>
      </c>
      <c r="EI21">
        <v>46.5</v>
      </c>
      <c r="EJ21">
        <v>46.134</v>
      </c>
      <c r="EK21">
        <v>46.625</v>
      </c>
      <c r="EL21">
        <v>47.403500000000001</v>
      </c>
      <c r="EM21">
        <v>46.685000000000002</v>
      </c>
      <c r="EN21" t="s">
        <v>137</v>
      </c>
      <c r="EO21" t="s">
        <v>137</v>
      </c>
      <c r="EP21">
        <v>46.111499999999999</v>
      </c>
      <c r="EQ21">
        <v>45.125</v>
      </c>
      <c r="ER21">
        <v>44.375</v>
      </c>
      <c r="ES21">
        <v>44.125</v>
      </c>
      <c r="ET21">
        <v>43.1875</v>
      </c>
      <c r="EU21" t="s">
        <v>137</v>
      </c>
      <c r="EV21" t="s">
        <v>137</v>
      </c>
      <c r="EW21">
        <v>42.0625</v>
      </c>
      <c r="EX21">
        <v>42.5</v>
      </c>
      <c r="EY21">
        <v>44.375</v>
      </c>
      <c r="EZ21">
        <v>44.4375</v>
      </c>
      <c r="FA21">
        <v>43.875</v>
      </c>
      <c r="FB21" t="s">
        <v>137</v>
      </c>
      <c r="FC21" t="s">
        <v>137</v>
      </c>
      <c r="FD21">
        <v>45.375</v>
      </c>
      <c r="FE21">
        <v>46.875</v>
      </c>
      <c r="FF21">
        <v>47.25</v>
      </c>
      <c r="FG21">
        <v>47.0625</v>
      </c>
      <c r="FH21">
        <v>47.9375</v>
      </c>
      <c r="FI21" t="s">
        <v>137</v>
      </c>
      <c r="FJ21" t="s">
        <v>137</v>
      </c>
      <c r="FK21">
        <v>47.5625</v>
      </c>
      <c r="FL21">
        <v>45.375</v>
      </c>
      <c r="FM21">
        <v>45.75</v>
      </c>
      <c r="FN21">
        <v>44.25</v>
      </c>
      <c r="FO21">
        <v>44.625</v>
      </c>
      <c r="FP21" t="s">
        <v>137</v>
      </c>
      <c r="FQ21" t="s">
        <v>137</v>
      </c>
      <c r="FR21">
        <v>44.75</v>
      </c>
      <c r="FS21">
        <v>43.875</v>
      </c>
      <c r="FT21">
        <v>43.875</v>
      </c>
      <c r="FU21">
        <v>43.0625</v>
      </c>
      <c r="FV21">
        <v>43.8125</v>
      </c>
      <c r="FW21" t="s">
        <v>137</v>
      </c>
      <c r="FX21" t="s">
        <v>137</v>
      </c>
      <c r="FY21">
        <v>43.875</v>
      </c>
      <c r="FZ21">
        <v>43.75</v>
      </c>
      <c r="GA21">
        <v>42.9375</v>
      </c>
      <c r="GB21">
        <v>41.3125</v>
      </c>
      <c r="GC21">
        <v>41</v>
      </c>
      <c r="GD21" t="s">
        <v>137</v>
      </c>
      <c r="GE21" t="s">
        <v>137</v>
      </c>
      <c r="GF21">
        <v>41.4375</v>
      </c>
      <c r="GG21">
        <v>42.1875</v>
      </c>
      <c r="GH21" s="4">
        <v>42.5</v>
      </c>
      <c r="GI21">
        <v>40.6875</v>
      </c>
      <c r="GJ21">
        <v>39.5625</v>
      </c>
      <c r="GK21" t="s">
        <v>137</v>
      </c>
      <c r="GL21" t="s">
        <v>137</v>
      </c>
      <c r="GM21">
        <v>35.25</v>
      </c>
      <c r="GN21">
        <v>35.262500000000003</v>
      </c>
      <c r="GO21">
        <v>35.183999999999997</v>
      </c>
      <c r="GP21">
        <v>31.852</v>
      </c>
      <c r="GQ21">
        <v>32.1755</v>
      </c>
      <c r="GR21" t="s">
        <v>137</v>
      </c>
      <c r="GS21" t="s">
        <v>137</v>
      </c>
      <c r="GT21">
        <v>32.1755</v>
      </c>
      <c r="GU21">
        <v>32.1755</v>
      </c>
      <c r="GV21">
        <v>32.1755</v>
      </c>
      <c r="GW21">
        <v>26.122499999999999</v>
      </c>
      <c r="GX21">
        <v>26.467500000000001</v>
      </c>
      <c r="GY21" t="s">
        <v>137</v>
      </c>
      <c r="GZ21" t="s">
        <v>137</v>
      </c>
      <c r="HA21">
        <v>24.308499999999999</v>
      </c>
      <c r="HB21">
        <v>24.746500000000001</v>
      </c>
      <c r="HC21">
        <v>24.745000000000001</v>
      </c>
      <c r="HD21">
        <v>25.245000000000001</v>
      </c>
      <c r="HE21">
        <v>25.188500000000001</v>
      </c>
      <c r="HF21" t="s">
        <v>137</v>
      </c>
      <c r="HG21" t="s">
        <v>137</v>
      </c>
      <c r="HH21">
        <v>25.321999999999999</v>
      </c>
      <c r="HI21">
        <v>26.47</v>
      </c>
      <c r="HJ21">
        <v>26.799499999999998</v>
      </c>
      <c r="HK21">
        <v>27.460999999999999</v>
      </c>
      <c r="HL21">
        <v>28.111999999999998</v>
      </c>
      <c r="HM21" t="s">
        <v>137</v>
      </c>
      <c r="HN21" t="s">
        <v>137</v>
      </c>
      <c r="HO21">
        <v>29.305</v>
      </c>
      <c r="HP21">
        <v>29.609000000000002</v>
      </c>
      <c r="HQ21">
        <v>28.6065</v>
      </c>
      <c r="HR21">
        <v>28.071000000000002</v>
      </c>
      <c r="HS21">
        <v>27.631499999999999</v>
      </c>
      <c r="HT21" t="s">
        <v>137</v>
      </c>
      <c r="HU21" t="s">
        <v>137</v>
      </c>
      <c r="HV21">
        <v>27.25</v>
      </c>
      <c r="HW21">
        <v>27.908000000000001</v>
      </c>
      <c r="HX21">
        <v>27.286999999999999</v>
      </c>
      <c r="HY21">
        <v>27.572500000000002</v>
      </c>
      <c r="HZ21">
        <v>28.893000000000001</v>
      </c>
      <c r="IA21" t="s">
        <v>137</v>
      </c>
      <c r="IB21" t="s">
        <v>137</v>
      </c>
      <c r="IC21">
        <v>31.018000000000001</v>
      </c>
      <c r="ID21">
        <v>29.686499999999999</v>
      </c>
      <c r="IE21">
        <v>28.646000000000001</v>
      </c>
      <c r="IF21">
        <v>27.479500000000002</v>
      </c>
      <c r="IG21">
        <v>26.4755</v>
      </c>
      <c r="IH21" t="s">
        <v>137</v>
      </c>
      <c r="II21" t="s">
        <v>137</v>
      </c>
      <c r="IJ21">
        <v>26.195</v>
      </c>
      <c r="IK21">
        <v>25.984999999999999</v>
      </c>
      <c r="IL21">
        <v>26.565999999999999</v>
      </c>
      <c r="IM21">
        <v>26.098500000000001</v>
      </c>
      <c r="IN21">
        <v>24.625</v>
      </c>
      <c r="IO21" t="s">
        <v>137</v>
      </c>
      <c r="IP21" t="s">
        <v>137</v>
      </c>
      <c r="IQ21">
        <v>24.1145</v>
      </c>
      <c r="IR21">
        <v>25.125499999999999</v>
      </c>
      <c r="IS21">
        <v>26.571999999999999</v>
      </c>
      <c r="IT21">
        <v>26.763999999999999</v>
      </c>
      <c r="IU21">
        <v>26.573</v>
      </c>
      <c r="IV21" t="s">
        <v>137</v>
      </c>
      <c r="IW21" t="s">
        <v>137</v>
      </c>
      <c r="IX21">
        <v>27.111000000000001</v>
      </c>
      <c r="IY21">
        <v>30.408999999999999</v>
      </c>
      <c r="IZ21">
        <v>29.7395</v>
      </c>
      <c r="JA21">
        <v>29.061</v>
      </c>
      <c r="JB21">
        <v>31.624500000000001</v>
      </c>
      <c r="JC21" t="s">
        <v>137</v>
      </c>
      <c r="JD21" t="s">
        <v>137</v>
      </c>
      <c r="JE21">
        <v>32.959000000000003</v>
      </c>
      <c r="JF21">
        <v>33.113</v>
      </c>
      <c r="JG21">
        <v>32.230499999999999</v>
      </c>
      <c r="JH21">
        <v>32.464500000000001</v>
      </c>
      <c r="JI21">
        <v>32.027000000000001</v>
      </c>
      <c r="JJ21" t="s">
        <v>137</v>
      </c>
      <c r="JK21" t="s">
        <v>137</v>
      </c>
      <c r="JL21">
        <v>32.726500000000001</v>
      </c>
      <c r="JM21">
        <v>36.313000000000002</v>
      </c>
      <c r="JN21">
        <v>36.5625</v>
      </c>
      <c r="JO21">
        <v>34.755000000000003</v>
      </c>
      <c r="JP21">
        <v>36.130000000000003</v>
      </c>
      <c r="JQ21" t="s">
        <v>137</v>
      </c>
      <c r="JR21" t="s">
        <v>137</v>
      </c>
      <c r="JS21">
        <v>37.155999999999999</v>
      </c>
      <c r="JT21">
        <v>37.256999999999998</v>
      </c>
      <c r="JU21">
        <v>38.658999999999999</v>
      </c>
      <c r="JV21">
        <v>39.570999999999998</v>
      </c>
      <c r="JW21">
        <v>38.558500000000002</v>
      </c>
      <c r="JX21" t="s">
        <v>137</v>
      </c>
      <c r="JY21" t="s">
        <v>137</v>
      </c>
      <c r="JZ21">
        <v>39.197499999999998</v>
      </c>
      <c r="KA21">
        <v>38.968000000000004</v>
      </c>
      <c r="KB21">
        <v>39.302</v>
      </c>
      <c r="KC21">
        <v>39.188000000000002</v>
      </c>
      <c r="KD21">
        <v>38.851500000000001</v>
      </c>
      <c r="KE21" t="s">
        <v>137</v>
      </c>
      <c r="KF21" t="s">
        <v>137</v>
      </c>
      <c r="KG21">
        <v>38.176499999999997</v>
      </c>
      <c r="KH21">
        <v>39.86</v>
      </c>
      <c r="KI21">
        <v>39.793500000000002</v>
      </c>
      <c r="KJ21">
        <v>38.7515</v>
      </c>
      <c r="KK21">
        <v>39.363500000000002</v>
      </c>
      <c r="KL21" t="s">
        <v>137</v>
      </c>
      <c r="KM21" t="s">
        <v>137</v>
      </c>
      <c r="KN21">
        <v>39.966500000000003</v>
      </c>
      <c r="KO21">
        <v>41.82</v>
      </c>
      <c r="KP21">
        <v>40.773000000000003</v>
      </c>
      <c r="KQ21">
        <v>40.586500000000001</v>
      </c>
      <c r="KR21">
        <v>39.8125</v>
      </c>
      <c r="KS21" t="s">
        <v>137</v>
      </c>
      <c r="KT21" t="s">
        <v>137</v>
      </c>
      <c r="KU21">
        <v>40.356499999999997</v>
      </c>
      <c r="KV21">
        <v>40.234000000000002</v>
      </c>
      <c r="KW21">
        <v>40.246000000000002</v>
      </c>
      <c r="KX21">
        <v>39.436</v>
      </c>
      <c r="KY21">
        <v>39.499499999999998</v>
      </c>
      <c r="KZ21" t="s">
        <v>137</v>
      </c>
      <c r="LA21" t="s">
        <v>137</v>
      </c>
      <c r="LB21">
        <v>41.153500000000001</v>
      </c>
      <c r="LC21">
        <v>41.247</v>
      </c>
      <c r="LD21">
        <v>42.2</v>
      </c>
      <c r="LE21">
        <v>41.606499999999997</v>
      </c>
      <c r="LF21">
        <v>41.528500000000001</v>
      </c>
      <c r="LG21" t="s">
        <v>137</v>
      </c>
      <c r="LH21" t="s">
        <v>137</v>
      </c>
      <c r="LI21">
        <v>41.838999999999999</v>
      </c>
      <c r="LJ21">
        <v>40.948</v>
      </c>
      <c r="LK21">
        <v>40.797499999999999</v>
      </c>
      <c r="LL21">
        <v>41.02</v>
      </c>
      <c r="LM21">
        <v>40.826999999999998</v>
      </c>
      <c r="LN21" t="s">
        <v>137</v>
      </c>
      <c r="LO21" t="s">
        <v>137</v>
      </c>
      <c r="LP21">
        <v>40.465000000000003</v>
      </c>
      <c r="LQ21">
        <v>40.677999999999997</v>
      </c>
      <c r="LR21">
        <v>41.643000000000001</v>
      </c>
      <c r="LS21">
        <v>42.826500000000003</v>
      </c>
      <c r="LT21">
        <v>42.66</v>
      </c>
      <c r="LU21" t="s">
        <v>137</v>
      </c>
      <c r="LV21" t="s">
        <v>137</v>
      </c>
      <c r="LW21">
        <v>42.908499999999997</v>
      </c>
      <c r="LX21">
        <v>42.478000000000002</v>
      </c>
      <c r="LY21">
        <v>41.88</v>
      </c>
      <c r="LZ21">
        <v>41.671500000000002</v>
      </c>
      <c r="MA21">
        <v>42.448999999999998</v>
      </c>
      <c r="MB21" t="s">
        <v>137</v>
      </c>
      <c r="MC21" t="s">
        <v>137</v>
      </c>
      <c r="MD21">
        <v>42.156999999999996</v>
      </c>
      <c r="ME21">
        <v>47.595500000000001</v>
      </c>
      <c r="MF21">
        <v>47.527500000000003</v>
      </c>
      <c r="MG21">
        <v>45.791499999999999</v>
      </c>
      <c r="MH21">
        <v>45.346499999999999</v>
      </c>
      <c r="MI21" t="s">
        <v>137</v>
      </c>
      <c r="MJ21" t="s">
        <v>137</v>
      </c>
      <c r="MK21">
        <v>45.564</v>
      </c>
      <c r="ML21">
        <v>45.536499999999997</v>
      </c>
      <c r="MM21">
        <v>45.408499999999997</v>
      </c>
      <c r="MN21">
        <v>45.438000000000002</v>
      </c>
      <c r="MO21">
        <v>45.36</v>
      </c>
      <c r="MP21" t="s">
        <v>137</v>
      </c>
      <c r="MQ21" t="s">
        <v>137</v>
      </c>
      <c r="MR21">
        <v>45.284999999999997</v>
      </c>
      <c r="MS21">
        <v>45.061999999999998</v>
      </c>
      <c r="MT21">
        <v>45.258499999999998</v>
      </c>
      <c r="MU21">
        <v>44.886499999999998</v>
      </c>
      <c r="MV21">
        <v>44.802999999999997</v>
      </c>
      <c r="MW21" t="s">
        <v>137</v>
      </c>
      <c r="MX21" t="s">
        <v>137</v>
      </c>
      <c r="MY21">
        <v>43.68</v>
      </c>
      <c r="MZ21">
        <v>43.808999999999997</v>
      </c>
      <c r="NA21">
        <v>44.164999999999999</v>
      </c>
      <c r="NB21">
        <v>44.241500000000002</v>
      </c>
      <c r="NC21">
        <v>39.8035</v>
      </c>
      <c r="ND21" t="s">
        <v>137</v>
      </c>
      <c r="NE21" t="s">
        <v>137</v>
      </c>
      <c r="NF21">
        <v>40.211500000000001</v>
      </c>
      <c r="NG21">
        <v>43.926499999999997</v>
      </c>
      <c r="NH21">
        <v>46.0015</v>
      </c>
      <c r="NI21">
        <v>45.875</v>
      </c>
      <c r="NJ21">
        <v>45.375</v>
      </c>
      <c r="NK21" t="s">
        <v>137</v>
      </c>
      <c r="NL21" t="s">
        <v>137</v>
      </c>
      <c r="NM21" t="s">
        <v>137</v>
      </c>
      <c r="NN21" t="s">
        <v>137</v>
      </c>
      <c r="NO21" t="s">
        <v>137</v>
      </c>
      <c r="NP21" t="s">
        <v>137</v>
      </c>
      <c r="NQ21" t="s">
        <v>137</v>
      </c>
      <c r="NR21" t="s">
        <v>137</v>
      </c>
      <c r="NS21" t="s">
        <v>137</v>
      </c>
      <c r="NT21" t="s">
        <v>137</v>
      </c>
      <c r="NU21" t="s">
        <v>137</v>
      </c>
      <c r="NV21" t="s">
        <v>137</v>
      </c>
      <c r="NW21" t="s">
        <v>137</v>
      </c>
      <c r="NX21" t="s">
        <v>137</v>
      </c>
      <c r="NY21" t="s">
        <v>137</v>
      </c>
      <c r="NZ21" t="s">
        <v>137</v>
      </c>
      <c r="OA21" t="s">
        <v>137</v>
      </c>
      <c r="OB21" t="s">
        <v>137</v>
      </c>
      <c r="OC21" t="s">
        <v>137</v>
      </c>
      <c r="OD21" t="s">
        <v>137</v>
      </c>
      <c r="OE21" t="s">
        <v>137</v>
      </c>
      <c r="OF21" t="s">
        <v>137</v>
      </c>
      <c r="OG21" t="s">
        <v>137</v>
      </c>
      <c r="OH21" t="s">
        <v>137</v>
      </c>
      <c r="OI21" t="s">
        <v>137</v>
      </c>
      <c r="OJ21" t="s">
        <v>137</v>
      </c>
      <c r="OK21" t="s">
        <v>137</v>
      </c>
      <c r="OL21" t="s">
        <v>137</v>
      </c>
      <c r="OM21" t="s">
        <v>137</v>
      </c>
      <c r="ON21" t="s">
        <v>137</v>
      </c>
      <c r="OO21" t="s">
        <v>137</v>
      </c>
      <c r="OP21" t="s">
        <v>137</v>
      </c>
      <c r="OQ21" t="s">
        <v>137</v>
      </c>
      <c r="OR21" t="s">
        <v>137</v>
      </c>
      <c r="OS21" t="s">
        <v>137</v>
      </c>
      <c r="OT21" t="s">
        <v>137</v>
      </c>
      <c r="OU21" t="s">
        <v>137</v>
      </c>
      <c r="OV21" t="s">
        <v>137</v>
      </c>
      <c r="OW21" t="s">
        <v>137</v>
      </c>
      <c r="OX21" t="s">
        <v>137</v>
      </c>
      <c r="OY21" t="s">
        <v>137</v>
      </c>
      <c r="OZ21" t="s">
        <v>137</v>
      </c>
      <c r="PA21" t="s">
        <v>137</v>
      </c>
      <c r="PB21" t="s">
        <v>137</v>
      </c>
      <c r="PC21" t="s">
        <v>137</v>
      </c>
      <c r="PD21" t="s">
        <v>137</v>
      </c>
      <c r="PE21" t="s">
        <v>137</v>
      </c>
      <c r="PF21" t="s">
        <v>137</v>
      </c>
      <c r="PG21" t="s">
        <v>137</v>
      </c>
      <c r="PH21" t="s">
        <v>137</v>
      </c>
      <c r="PI21" t="s">
        <v>137</v>
      </c>
      <c r="PJ21" t="s">
        <v>137</v>
      </c>
      <c r="PK21" t="s">
        <v>137</v>
      </c>
      <c r="PL21" t="s">
        <v>137</v>
      </c>
      <c r="PM21" t="s">
        <v>137</v>
      </c>
      <c r="PN21" t="s">
        <v>137</v>
      </c>
      <c r="PO21" t="s">
        <v>137</v>
      </c>
      <c r="PP21" t="s">
        <v>137</v>
      </c>
      <c r="PQ21" t="s">
        <v>137</v>
      </c>
      <c r="PR21" t="s">
        <v>137</v>
      </c>
      <c r="PS21" t="s">
        <v>137</v>
      </c>
      <c r="PT21" t="s">
        <v>137</v>
      </c>
      <c r="PU21" t="s">
        <v>137</v>
      </c>
      <c r="PV21" t="s">
        <v>137</v>
      </c>
      <c r="PW21" t="s">
        <v>137</v>
      </c>
      <c r="PX21" t="s">
        <v>137</v>
      </c>
      <c r="PY21" t="s">
        <v>137</v>
      </c>
      <c r="PZ21" t="s">
        <v>137</v>
      </c>
      <c r="QA21" t="s">
        <v>137</v>
      </c>
      <c r="QB21" t="s">
        <v>137</v>
      </c>
      <c r="QC21" t="s">
        <v>137</v>
      </c>
      <c r="QD21" t="s">
        <v>137</v>
      </c>
      <c r="QE21" t="s">
        <v>137</v>
      </c>
      <c r="QF21" t="s">
        <v>137</v>
      </c>
      <c r="QG21" t="s">
        <v>137</v>
      </c>
      <c r="QH21" t="s">
        <v>137</v>
      </c>
      <c r="QI21" t="s">
        <v>137</v>
      </c>
      <c r="QJ21" t="s">
        <v>137</v>
      </c>
      <c r="QK21" t="s">
        <v>137</v>
      </c>
      <c r="QL21" t="s">
        <v>137</v>
      </c>
      <c r="QM21" t="s">
        <v>137</v>
      </c>
      <c r="QN21" t="s">
        <v>137</v>
      </c>
      <c r="QO21" t="s">
        <v>137</v>
      </c>
    </row>
    <row r="22" spans="1:457" x14ac:dyDescent="0.2">
      <c r="A22" t="s">
        <v>123</v>
      </c>
      <c r="B22" s="3">
        <v>42557</v>
      </c>
      <c r="C22" t="s">
        <v>83</v>
      </c>
      <c r="E22" t="s">
        <v>137</v>
      </c>
      <c r="F22">
        <v>38.5</v>
      </c>
      <c r="G22">
        <v>37.488999999999997</v>
      </c>
      <c r="H22">
        <v>39.2395</v>
      </c>
      <c r="I22">
        <v>41.768000000000001</v>
      </c>
      <c r="J22">
        <v>43.325000000000003</v>
      </c>
      <c r="K22" t="s">
        <v>137</v>
      </c>
      <c r="L22" t="s">
        <v>137</v>
      </c>
      <c r="M22">
        <v>43.218000000000004</v>
      </c>
      <c r="N22">
        <v>42.444000000000003</v>
      </c>
      <c r="O22">
        <v>42.875</v>
      </c>
      <c r="P22">
        <v>42.655500000000004</v>
      </c>
      <c r="Q22">
        <v>40.838999999999999</v>
      </c>
      <c r="R22" t="s">
        <v>137</v>
      </c>
      <c r="S22" t="s">
        <v>137</v>
      </c>
      <c r="T22">
        <v>40.512</v>
      </c>
      <c r="U22">
        <v>41.5</v>
      </c>
      <c r="V22">
        <v>42.261000000000003</v>
      </c>
      <c r="W22">
        <v>42</v>
      </c>
      <c r="X22">
        <v>42.011000000000003</v>
      </c>
      <c r="Y22" t="s">
        <v>137</v>
      </c>
      <c r="Z22" t="s">
        <v>137</v>
      </c>
      <c r="AA22">
        <v>41.3095</v>
      </c>
      <c r="AB22">
        <v>40.941000000000003</v>
      </c>
      <c r="AC22">
        <v>40.575499999999998</v>
      </c>
      <c r="AD22">
        <v>40.8005</v>
      </c>
      <c r="AE22">
        <v>41.761000000000003</v>
      </c>
      <c r="AF22" t="s">
        <v>137</v>
      </c>
      <c r="AG22" t="s">
        <v>137</v>
      </c>
      <c r="AH22">
        <v>41.5</v>
      </c>
      <c r="AI22">
        <v>41.767000000000003</v>
      </c>
      <c r="AJ22">
        <v>41.875</v>
      </c>
      <c r="AK22">
        <v>41.725000000000001</v>
      </c>
      <c r="AL22">
        <v>41.674999999999997</v>
      </c>
      <c r="AM22" t="s">
        <v>137</v>
      </c>
      <c r="AN22" t="s">
        <v>137</v>
      </c>
      <c r="AO22">
        <v>42.54</v>
      </c>
      <c r="AP22">
        <v>42.905500000000004</v>
      </c>
      <c r="AQ22">
        <v>43.625</v>
      </c>
      <c r="AR22">
        <v>46.142000000000003</v>
      </c>
      <c r="AS22">
        <v>46.46</v>
      </c>
      <c r="AT22" t="s">
        <v>137</v>
      </c>
      <c r="AU22" t="s">
        <v>137</v>
      </c>
      <c r="AV22">
        <v>46.5</v>
      </c>
      <c r="AW22">
        <v>44.987000000000002</v>
      </c>
      <c r="AX22">
        <v>44.042999999999999</v>
      </c>
      <c r="AY22">
        <v>43.578499999999998</v>
      </c>
      <c r="AZ22">
        <v>42.858499999999999</v>
      </c>
      <c r="BA22" t="s">
        <v>137</v>
      </c>
      <c r="BB22" t="s">
        <v>137</v>
      </c>
      <c r="BC22">
        <v>42.125</v>
      </c>
      <c r="BD22">
        <v>40.911499999999997</v>
      </c>
      <c r="BE22">
        <v>41.85</v>
      </c>
      <c r="BF22">
        <v>42.25</v>
      </c>
      <c r="BG22">
        <v>41.988999999999997</v>
      </c>
      <c r="BH22" t="s">
        <v>137</v>
      </c>
      <c r="BI22" t="s">
        <v>137</v>
      </c>
      <c r="BJ22">
        <v>39.393000000000001</v>
      </c>
      <c r="BK22">
        <v>40.125</v>
      </c>
      <c r="BL22">
        <v>39.662999999999997</v>
      </c>
      <c r="BM22">
        <v>39.213000000000001</v>
      </c>
      <c r="BN22">
        <v>39.26</v>
      </c>
      <c r="BO22" t="s">
        <v>137</v>
      </c>
      <c r="BP22" t="s">
        <v>137</v>
      </c>
      <c r="BQ22">
        <v>39.01</v>
      </c>
      <c r="BR22">
        <v>39.176499999999997</v>
      </c>
      <c r="BS22">
        <v>38.433500000000002</v>
      </c>
      <c r="BT22">
        <v>38.274500000000003</v>
      </c>
      <c r="BU22">
        <v>37.045000000000002</v>
      </c>
      <c r="BV22" t="s">
        <v>137</v>
      </c>
      <c r="BW22" t="s">
        <v>137</v>
      </c>
      <c r="BX22">
        <v>37.125</v>
      </c>
      <c r="BY22">
        <v>36.201500000000003</v>
      </c>
      <c r="BZ22">
        <v>36.424999999999997</v>
      </c>
      <c r="CA22">
        <v>36.924999999999997</v>
      </c>
      <c r="CB22">
        <v>37.131</v>
      </c>
      <c r="CC22" t="s">
        <v>137</v>
      </c>
      <c r="CD22" t="s">
        <v>137</v>
      </c>
      <c r="CE22">
        <v>37.127499999999998</v>
      </c>
      <c r="CF22">
        <v>38.5625</v>
      </c>
      <c r="CG22">
        <v>40.4</v>
      </c>
      <c r="CH22">
        <v>40.6175</v>
      </c>
      <c r="CI22">
        <v>40.406999999999996</v>
      </c>
      <c r="CJ22" t="s">
        <v>137</v>
      </c>
      <c r="CK22" t="s">
        <v>137</v>
      </c>
      <c r="CL22">
        <v>39.744</v>
      </c>
      <c r="CM22">
        <v>40.200000000000003</v>
      </c>
      <c r="CN22">
        <v>40.31</v>
      </c>
      <c r="CO22">
        <v>40.305</v>
      </c>
      <c r="CP22">
        <v>40.325000000000003</v>
      </c>
      <c r="CQ22" t="s">
        <v>137</v>
      </c>
      <c r="CR22" t="s">
        <v>137</v>
      </c>
      <c r="CS22">
        <v>39.052500000000002</v>
      </c>
      <c r="CT22">
        <v>38.725000000000001</v>
      </c>
      <c r="CU22">
        <v>39.200000000000003</v>
      </c>
      <c r="CV22">
        <v>38.797499999999999</v>
      </c>
      <c r="CW22">
        <v>39.222000000000001</v>
      </c>
      <c r="CX22" t="s">
        <v>137</v>
      </c>
      <c r="CY22" t="s">
        <v>137</v>
      </c>
      <c r="CZ22">
        <v>42.040999999999997</v>
      </c>
      <c r="DA22">
        <v>41.908999999999999</v>
      </c>
      <c r="DB22">
        <v>42.182499999999997</v>
      </c>
      <c r="DC22">
        <v>42.5</v>
      </c>
      <c r="DD22">
        <v>42.462499999999999</v>
      </c>
      <c r="DE22" t="s">
        <v>137</v>
      </c>
      <c r="DF22" t="s">
        <v>137</v>
      </c>
      <c r="DG22">
        <v>42.125</v>
      </c>
      <c r="DH22">
        <v>44.274999999999999</v>
      </c>
      <c r="DI22">
        <v>45.494999999999997</v>
      </c>
      <c r="DJ22">
        <v>44.75</v>
      </c>
      <c r="DK22">
        <v>45</v>
      </c>
      <c r="DL22" t="s">
        <v>137</v>
      </c>
      <c r="DM22" t="s">
        <v>137</v>
      </c>
      <c r="DN22">
        <v>45.9255</v>
      </c>
      <c r="DO22">
        <v>46.125</v>
      </c>
      <c r="DP22">
        <v>46.125</v>
      </c>
      <c r="DQ22">
        <v>46.5</v>
      </c>
      <c r="DR22">
        <v>47.255000000000003</v>
      </c>
      <c r="DS22" t="s">
        <v>137</v>
      </c>
      <c r="DT22" t="s">
        <v>137</v>
      </c>
      <c r="DU22">
        <v>48.125</v>
      </c>
      <c r="DV22">
        <v>47.875</v>
      </c>
      <c r="DW22">
        <v>47.875</v>
      </c>
      <c r="DX22">
        <v>47.877499999999998</v>
      </c>
      <c r="DY22">
        <v>47.92</v>
      </c>
      <c r="DZ22" t="s">
        <v>137</v>
      </c>
      <c r="EA22" t="s">
        <v>137</v>
      </c>
      <c r="EB22">
        <v>45.25</v>
      </c>
      <c r="EC22">
        <v>46.125</v>
      </c>
      <c r="ED22">
        <v>45.597999999999999</v>
      </c>
      <c r="EE22">
        <v>46.625</v>
      </c>
      <c r="EF22">
        <v>47.408999999999999</v>
      </c>
      <c r="EG22" t="s">
        <v>137</v>
      </c>
      <c r="EH22" t="s">
        <v>137</v>
      </c>
      <c r="EI22">
        <v>47.25</v>
      </c>
      <c r="EJ22">
        <v>47.125</v>
      </c>
      <c r="EK22">
        <v>47.375</v>
      </c>
      <c r="EL22">
        <v>48</v>
      </c>
      <c r="EM22">
        <v>47.625</v>
      </c>
      <c r="EN22" t="s">
        <v>137</v>
      </c>
      <c r="EO22" t="s">
        <v>137</v>
      </c>
      <c r="EP22">
        <v>47.419499999999999</v>
      </c>
      <c r="EQ22">
        <v>46.0625</v>
      </c>
      <c r="ER22">
        <v>45.25</v>
      </c>
      <c r="ES22">
        <v>44.9375</v>
      </c>
      <c r="ET22">
        <v>44.0625</v>
      </c>
      <c r="EU22" t="s">
        <v>137</v>
      </c>
      <c r="EV22" t="s">
        <v>137</v>
      </c>
      <c r="EW22">
        <v>42.9375</v>
      </c>
      <c r="EX22">
        <v>43.125</v>
      </c>
      <c r="EY22">
        <v>45.125</v>
      </c>
      <c r="EZ22">
        <v>45</v>
      </c>
      <c r="FA22">
        <v>44.75</v>
      </c>
      <c r="FB22" t="s">
        <v>137</v>
      </c>
      <c r="FC22" t="s">
        <v>137</v>
      </c>
      <c r="FD22">
        <v>46</v>
      </c>
      <c r="FE22">
        <v>47.5</v>
      </c>
      <c r="FF22">
        <v>48.0625</v>
      </c>
      <c r="FG22">
        <v>47.9375</v>
      </c>
      <c r="FH22">
        <v>48.625</v>
      </c>
      <c r="FI22" t="s">
        <v>137</v>
      </c>
      <c r="FJ22" t="s">
        <v>137</v>
      </c>
      <c r="FK22">
        <v>48.5</v>
      </c>
      <c r="FL22">
        <v>46.4375</v>
      </c>
      <c r="FM22">
        <v>47.125</v>
      </c>
      <c r="FN22">
        <v>45.825499999999998</v>
      </c>
      <c r="FO22">
        <v>46</v>
      </c>
      <c r="FP22" t="s">
        <v>137</v>
      </c>
      <c r="FQ22" t="s">
        <v>137</v>
      </c>
      <c r="FR22">
        <v>46.244999999999997</v>
      </c>
      <c r="FS22">
        <v>46.25</v>
      </c>
      <c r="FT22">
        <v>45.75</v>
      </c>
      <c r="FU22">
        <v>44.25</v>
      </c>
      <c r="FV22">
        <v>44.875</v>
      </c>
      <c r="FW22" t="s">
        <v>137</v>
      </c>
      <c r="FX22" t="s">
        <v>137</v>
      </c>
      <c r="FY22">
        <v>45.375</v>
      </c>
      <c r="FZ22">
        <v>46</v>
      </c>
      <c r="GA22">
        <v>45.6875</v>
      </c>
      <c r="GB22">
        <v>46.125</v>
      </c>
      <c r="GC22">
        <v>43</v>
      </c>
      <c r="GD22" t="s">
        <v>137</v>
      </c>
      <c r="GE22" t="s">
        <v>137</v>
      </c>
      <c r="GF22">
        <v>43.625</v>
      </c>
      <c r="GG22">
        <v>44.375</v>
      </c>
      <c r="GH22" s="4">
        <v>44.625</v>
      </c>
      <c r="GI22">
        <v>44.375</v>
      </c>
      <c r="GJ22">
        <v>41.125</v>
      </c>
      <c r="GK22" t="s">
        <v>137</v>
      </c>
      <c r="GL22" t="s">
        <v>137</v>
      </c>
      <c r="GM22">
        <v>41.108499999999999</v>
      </c>
      <c r="GN22">
        <v>41.108499999999999</v>
      </c>
      <c r="GO22">
        <v>41.108499999999999</v>
      </c>
      <c r="GP22">
        <v>32.8125</v>
      </c>
      <c r="GQ22">
        <v>34.5625</v>
      </c>
      <c r="GR22" t="s">
        <v>137</v>
      </c>
      <c r="GS22" t="s">
        <v>137</v>
      </c>
      <c r="GT22">
        <v>31.8005</v>
      </c>
      <c r="GU22">
        <v>30.3125</v>
      </c>
      <c r="GV22">
        <v>27</v>
      </c>
      <c r="GW22">
        <v>25.805</v>
      </c>
      <c r="GX22">
        <v>27.375</v>
      </c>
      <c r="GY22" t="s">
        <v>137</v>
      </c>
      <c r="GZ22" t="s">
        <v>137</v>
      </c>
      <c r="HA22">
        <v>24.196000000000002</v>
      </c>
      <c r="HB22">
        <v>25.25</v>
      </c>
      <c r="HC22">
        <v>25.75</v>
      </c>
      <c r="HD22">
        <v>25.796500000000002</v>
      </c>
      <c r="HE22">
        <v>21.736000000000001</v>
      </c>
      <c r="HF22" t="s">
        <v>137</v>
      </c>
      <c r="HG22" t="s">
        <v>137</v>
      </c>
      <c r="HH22">
        <v>26.458500000000001</v>
      </c>
      <c r="HI22">
        <v>28.25</v>
      </c>
      <c r="HJ22">
        <v>27.274000000000001</v>
      </c>
      <c r="HK22">
        <v>28.75</v>
      </c>
      <c r="HL22">
        <v>29.5</v>
      </c>
      <c r="HM22" t="s">
        <v>137</v>
      </c>
      <c r="HN22" t="s">
        <v>137</v>
      </c>
      <c r="HO22">
        <v>30</v>
      </c>
      <c r="HP22">
        <v>29.875</v>
      </c>
      <c r="HQ22">
        <v>27.875</v>
      </c>
      <c r="HR22">
        <v>27.960999999999999</v>
      </c>
      <c r="HS22">
        <v>28.375</v>
      </c>
      <c r="HT22" t="s">
        <v>137</v>
      </c>
      <c r="HU22" t="s">
        <v>137</v>
      </c>
      <c r="HV22">
        <v>28.125</v>
      </c>
      <c r="HW22">
        <v>28.625</v>
      </c>
      <c r="HX22">
        <v>27.375</v>
      </c>
      <c r="HY22">
        <v>27.344000000000001</v>
      </c>
      <c r="HZ22">
        <v>29.125</v>
      </c>
      <c r="IA22" t="s">
        <v>137</v>
      </c>
      <c r="IB22" t="s">
        <v>137</v>
      </c>
      <c r="IC22">
        <v>31.25</v>
      </c>
      <c r="ID22">
        <v>29.041499999999999</v>
      </c>
      <c r="IE22">
        <v>28.75</v>
      </c>
      <c r="IF22">
        <v>27</v>
      </c>
      <c r="IG22">
        <v>27</v>
      </c>
      <c r="IH22" t="s">
        <v>137</v>
      </c>
      <c r="II22" t="s">
        <v>137</v>
      </c>
      <c r="IJ22">
        <v>27</v>
      </c>
      <c r="IK22">
        <v>26.545999999999999</v>
      </c>
      <c r="IL22">
        <v>26.875</v>
      </c>
      <c r="IM22">
        <v>26.75</v>
      </c>
      <c r="IN22">
        <v>25.5</v>
      </c>
      <c r="IO22" t="s">
        <v>137</v>
      </c>
      <c r="IP22" t="s">
        <v>137</v>
      </c>
      <c r="IQ22">
        <v>24.625</v>
      </c>
      <c r="IR22">
        <v>25.875</v>
      </c>
      <c r="IS22">
        <v>26.625</v>
      </c>
      <c r="IT22">
        <v>27.25</v>
      </c>
      <c r="IU22">
        <v>26.875</v>
      </c>
      <c r="IV22" t="s">
        <v>137</v>
      </c>
      <c r="IW22" t="s">
        <v>137</v>
      </c>
      <c r="IX22">
        <v>29.25</v>
      </c>
      <c r="IY22">
        <v>29.875</v>
      </c>
      <c r="IZ22">
        <v>29.25</v>
      </c>
      <c r="JA22">
        <v>28.935500000000001</v>
      </c>
      <c r="JB22">
        <v>31.125</v>
      </c>
      <c r="JC22" t="s">
        <v>137</v>
      </c>
      <c r="JD22" t="s">
        <v>137</v>
      </c>
      <c r="JE22">
        <v>33.625</v>
      </c>
      <c r="JF22">
        <v>32.5</v>
      </c>
      <c r="JG22">
        <v>32.25</v>
      </c>
      <c r="JH22">
        <v>32.5</v>
      </c>
      <c r="JI22">
        <v>32.977499999999999</v>
      </c>
      <c r="JJ22" t="s">
        <v>137</v>
      </c>
      <c r="JK22" t="s">
        <v>137</v>
      </c>
      <c r="JL22">
        <v>32.735500000000002</v>
      </c>
      <c r="JM22">
        <v>37.75</v>
      </c>
      <c r="JN22">
        <v>35.875</v>
      </c>
      <c r="JO22">
        <v>35.137</v>
      </c>
      <c r="JP22">
        <v>36.625</v>
      </c>
      <c r="JQ22" t="s">
        <v>137</v>
      </c>
      <c r="JR22" t="s">
        <v>137</v>
      </c>
      <c r="JS22">
        <v>37.5</v>
      </c>
      <c r="JT22">
        <v>37.625</v>
      </c>
      <c r="JU22">
        <v>39.5</v>
      </c>
      <c r="JV22">
        <v>39.25</v>
      </c>
      <c r="JW22">
        <v>38.375</v>
      </c>
      <c r="JX22" t="s">
        <v>137</v>
      </c>
      <c r="JY22" t="s">
        <v>137</v>
      </c>
      <c r="JZ22">
        <v>39.875</v>
      </c>
      <c r="KA22">
        <v>38.125</v>
      </c>
      <c r="KB22">
        <v>39.375</v>
      </c>
      <c r="KC22">
        <v>38.625</v>
      </c>
      <c r="KD22">
        <v>38.875</v>
      </c>
      <c r="KE22" t="s">
        <v>137</v>
      </c>
      <c r="KF22" t="s">
        <v>137</v>
      </c>
      <c r="KG22">
        <v>38.75</v>
      </c>
      <c r="KH22">
        <v>40.25</v>
      </c>
      <c r="KI22">
        <v>39.875</v>
      </c>
      <c r="KJ22">
        <v>39.25</v>
      </c>
      <c r="KK22">
        <v>40.125</v>
      </c>
      <c r="KL22" t="s">
        <v>137</v>
      </c>
      <c r="KM22" t="s">
        <v>137</v>
      </c>
      <c r="KN22">
        <v>40.875</v>
      </c>
      <c r="KO22">
        <v>41.875</v>
      </c>
      <c r="KP22">
        <v>40.753999999999998</v>
      </c>
      <c r="KQ22">
        <v>40.875</v>
      </c>
      <c r="KR22">
        <v>40</v>
      </c>
      <c r="KS22" t="s">
        <v>137</v>
      </c>
      <c r="KT22" t="s">
        <v>137</v>
      </c>
      <c r="KU22">
        <v>40.625</v>
      </c>
      <c r="KV22">
        <v>40</v>
      </c>
      <c r="KW22">
        <v>40.232500000000002</v>
      </c>
      <c r="KX22">
        <v>39.587499999999999</v>
      </c>
      <c r="KY22">
        <v>39.643500000000003</v>
      </c>
      <c r="KZ22" t="s">
        <v>137</v>
      </c>
      <c r="LA22" t="s">
        <v>137</v>
      </c>
      <c r="LB22">
        <v>41.325000000000003</v>
      </c>
      <c r="LC22">
        <v>42.125</v>
      </c>
      <c r="LD22">
        <v>42.5</v>
      </c>
      <c r="LE22">
        <v>41.75</v>
      </c>
      <c r="LF22">
        <v>41.875</v>
      </c>
      <c r="LG22" t="s">
        <v>137</v>
      </c>
      <c r="LH22" t="s">
        <v>137</v>
      </c>
      <c r="LI22">
        <v>41.846499999999999</v>
      </c>
      <c r="LJ22">
        <v>40.890999999999998</v>
      </c>
      <c r="LK22">
        <v>40.920499999999997</v>
      </c>
      <c r="LL22">
        <v>41.142499999999998</v>
      </c>
      <c r="LM22">
        <v>40.591999999999999</v>
      </c>
      <c r="LN22" t="s">
        <v>137</v>
      </c>
      <c r="LO22" t="s">
        <v>137</v>
      </c>
      <c r="LP22">
        <v>40.470500000000001</v>
      </c>
      <c r="LQ22">
        <v>40.972999999999999</v>
      </c>
      <c r="LR22">
        <v>41.980499999999999</v>
      </c>
      <c r="LS22">
        <v>43.064</v>
      </c>
      <c r="LT22">
        <v>42.968000000000004</v>
      </c>
      <c r="LU22" t="s">
        <v>137</v>
      </c>
      <c r="LV22" t="s">
        <v>137</v>
      </c>
      <c r="LW22">
        <v>43.097000000000001</v>
      </c>
      <c r="LX22">
        <v>42.591000000000001</v>
      </c>
      <c r="LY22">
        <v>41.898499999999999</v>
      </c>
      <c r="LZ22">
        <v>41.924999999999997</v>
      </c>
      <c r="MA22">
        <v>42.532499999999999</v>
      </c>
      <c r="MB22" t="s">
        <v>137</v>
      </c>
      <c r="MC22" t="s">
        <v>137</v>
      </c>
      <c r="MD22">
        <v>41.777000000000001</v>
      </c>
      <c r="ME22">
        <v>47.344000000000001</v>
      </c>
      <c r="MF22">
        <v>47.031999999999996</v>
      </c>
      <c r="MG22">
        <v>46.3</v>
      </c>
      <c r="MH22">
        <v>45.906500000000001</v>
      </c>
      <c r="MI22" t="s">
        <v>137</v>
      </c>
      <c r="MJ22" t="s">
        <v>137</v>
      </c>
      <c r="MK22">
        <v>46.01</v>
      </c>
      <c r="ML22">
        <v>46.103000000000002</v>
      </c>
      <c r="MM22">
        <v>45.9315</v>
      </c>
      <c r="MN22">
        <v>45.805</v>
      </c>
      <c r="MO22">
        <v>45.621499999999997</v>
      </c>
      <c r="MP22" t="s">
        <v>137</v>
      </c>
      <c r="MQ22" t="s">
        <v>137</v>
      </c>
      <c r="MR22">
        <v>45.511499999999998</v>
      </c>
      <c r="MS22">
        <v>45.215000000000003</v>
      </c>
      <c r="MT22">
        <v>45.453000000000003</v>
      </c>
      <c r="MU22">
        <v>45.195</v>
      </c>
      <c r="MV22">
        <v>45.087000000000003</v>
      </c>
      <c r="MW22" t="s">
        <v>137</v>
      </c>
      <c r="MX22" t="s">
        <v>137</v>
      </c>
      <c r="MY22">
        <v>44.991999999999997</v>
      </c>
      <c r="MZ22">
        <v>45.055</v>
      </c>
      <c r="NA22">
        <v>45.103000000000002</v>
      </c>
      <c r="NB22">
        <v>44.211500000000001</v>
      </c>
      <c r="NC22">
        <v>45.076999999999998</v>
      </c>
      <c r="ND22" t="s">
        <v>137</v>
      </c>
      <c r="NE22" t="s">
        <v>137</v>
      </c>
      <c r="NF22">
        <v>45.012999999999998</v>
      </c>
      <c r="NG22">
        <v>46.4435</v>
      </c>
      <c r="NH22">
        <v>46.767000000000003</v>
      </c>
      <c r="NI22">
        <v>46.646999999999998</v>
      </c>
      <c r="NJ22">
        <v>46.646999999999998</v>
      </c>
      <c r="NK22" t="s">
        <v>137</v>
      </c>
      <c r="NL22" t="s">
        <v>137</v>
      </c>
      <c r="NM22" t="s">
        <v>137</v>
      </c>
      <c r="NN22" t="s">
        <v>137</v>
      </c>
      <c r="NO22" t="s">
        <v>137</v>
      </c>
      <c r="NP22" t="s">
        <v>137</v>
      </c>
      <c r="NQ22" t="s">
        <v>137</v>
      </c>
      <c r="NR22" t="s">
        <v>137</v>
      </c>
      <c r="NS22" t="s">
        <v>137</v>
      </c>
      <c r="NT22" t="s">
        <v>137</v>
      </c>
      <c r="NU22" t="s">
        <v>137</v>
      </c>
      <c r="NV22" t="s">
        <v>137</v>
      </c>
      <c r="NW22" t="s">
        <v>137</v>
      </c>
      <c r="NX22" t="s">
        <v>137</v>
      </c>
      <c r="NY22" t="s">
        <v>137</v>
      </c>
      <c r="NZ22" t="s">
        <v>137</v>
      </c>
      <c r="OA22" t="s">
        <v>137</v>
      </c>
      <c r="OB22" t="s">
        <v>137</v>
      </c>
      <c r="OC22" t="s">
        <v>137</v>
      </c>
      <c r="OD22" t="s">
        <v>137</v>
      </c>
      <c r="OE22" t="s">
        <v>137</v>
      </c>
      <c r="OF22" t="s">
        <v>137</v>
      </c>
      <c r="OG22" t="s">
        <v>137</v>
      </c>
      <c r="OH22" t="s">
        <v>137</v>
      </c>
      <c r="OI22" t="s">
        <v>137</v>
      </c>
      <c r="OJ22" t="s">
        <v>137</v>
      </c>
      <c r="OK22" t="s">
        <v>137</v>
      </c>
      <c r="OL22" t="s">
        <v>137</v>
      </c>
      <c r="OM22" t="s">
        <v>137</v>
      </c>
      <c r="ON22" t="s">
        <v>137</v>
      </c>
      <c r="OO22" t="s">
        <v>137</v>
      </c>
      <c r="OP22" t="s">
        <v>137</v>
      </c>
      <c r="OQ22" t="s">
        <v>137</v>
      </c>
      <c r="OR22" t="s">
        <v>137</v>
      </c>
      <c r="OS22" t="s">
        <v>137</v>
      </c>
      <c r="OT22" t="s">
        <v>137</v>
      </c>
      <c r="OU22" t="s">
        <v>137</v>
      </c>
      <c r="OV22" t="s">
        <v>137</v>
      </c>
      <c r="OW22" t="s">
        <v>137</v>
      </c>
      <c r="OX22" t="s">
        <v>137</v>
      </c>
      <c r="OY22" t="s">
        <v>137</v>
      </c>
      <c r="OZ22" t="s">
        <v>137</v>
      </c>
      <c r="PA22" t="s">
        <v>137</v>
      </c>
      <c r="PB22" t="s">
        <v>137</v>
      </c>
      <c r="PC22" t="s">
        <v>137</v>
      </c>
      <c r="PD22" t="s">
        <v>137</v>
      </c>
      <c r="PE22" t="s">
        <v>137</v>
      </c>
      <c r="PF22" t="s">
        <v>137</v>
      </c>
      <c r="PG22" t="s">
        <v>137</v>
      </c>
      <c r="PH22" t="s">
        <v>137</v>
      </c>
      <c r="PI22" t="s">
        <v>137</v>
      </c>
      <c r="PJ22" t="s">
        <v>137</v>
      </c>
      <c r="PK22" t="s">
        <v>137</v>
      </c>
      <c r="PL22" t="s">
        <v>137</v>
      </c>
      <c r="PM22" t="s">
        <v>137</v>
      </c>
      <c r="PN22" t="s">
        <v>137</v>
      </c>
      <c r="PO22" t="s">
        <v>137</v>
      </c>
      <c r="PP22" t="s">
        <v>137</v>
      </c>
      <c r="PQ22" t="s">
        <v>137</v>
      </c>
      <c r="PR22" t="s">
        <v>137</v>
      </c>
      <c r="PS22" t="s">
        <v>137</v>
      </c>
      <c r="PT22" t="s">
        <v>137</v>
      </c>
      <c r="PU22" t="s">
        <v>137</v>
      </c>
      <c r="PV22" t="s">
        <v>137</v>
      </c>
      <c r="PW22" t="s">
        <v>137</v>
      </c>
      <c r="PX22" t="s">
        <v>137</v>
      </c>
      <c r="PY22" t="s">
        <v>137</v>
      </c>
      <c r="PZ22" t="s">
        <v>137</v>
      </c>
      <c r="QA22" t="s">
        <v>137</v>
      </c>
      <c r="QB22" t="s">
        <v>137</v>
      </c>
      <c r="QC22" t="s">
        <v>137</v>
      </c>
      <c r="QD22" t="s">
        <v>137</v>
      </c>
      <c r="QE22" t="s">
        <v>137</v>
      </c>
      <c r="QF22" t="s">
        <v>137</v>
      </c>
      <c r="QG22" t="s">
        <v>137</v>
      </c>
      <c r="QH22" t="s">
        <v>137</v>
      </c>
      <c r="QI22" t="s">
        <v>137</v>
      </c>
      <c r="QJ22" t="s">
        <v>137</v>
      </c>
      <c r="QK22" t="s">
        <v>137</v>
      </c>
      <c r="QL22" t="s">
        <v>137</v>
      </c>
      <c r="QM22" t="s">
        <v>137</v>
      </c>
      <c r="QN22" t="s">
        <v>137</v>
      </c>
      <c r="QO22" t="s">
        <v>137</v>
      </c>
    </row>
    <row r="23" spans="1:457" x14ac:dyDescent="0.2">
      <c r="A23" t="s">
        <v>124</v>
      </c>
      <c r="B23" s="3">
        <v>42557</v>
      </c>
      <c r="C23" t="s">
        <v>85</v>
      </c>
      <c r="E23" t="s">
        <v>137</v>
      </c>
      <c r="F23">
        <v>37.521000000000001</v>
      </c>
      <c r="G23">
        <v>37.396000000000001</v>
      </c>
      <c r="H23">
        <v>40.25</v>
      </c>
      <c r="I23">
        <v>42</v>
      </c>
      <c r="J23">
        <v>44.75</v>
      </c>
      <c r="K23" t="s">
        <v>137</v>
      </c>
      <c r="L23" t="s">
        <v>137</v>
      </c>
      <c r="M23">
        <v>44.5625</v>
      </c>
      <c r="N23">
        <v>43.625</v>
      </c>
      <c r="O23">
        <v>43.9375</v>
      </c>
      <c r="P23">
        <v>43.6875</v>
      </c>
      <c r="Q23">
        <v>42</v>
      </c>
      <c r="R23" t="s">
        <v>137</v>
      </c>
      <c r="S23" t="s">
        <v>137</v>
      </c>
      <c r="T23">
        <v>41.365000000000002</v>
      </c>
      <c r="U23">
        <v>42.25</v>
      </c>
      <c r="V23">
        <v>44.289499999999997</v>
      </c>
      <c r="W23">
        <v>43.6875</v>
      </c>
      <c r="X23">
        <v>43.875</v>
      </c>
      <c r="Y23" t="s">
        <v>137</v>
      </c>
      <c r="Z23" t="s">
        <v>137</v>
      </c>
      <c r="AA23">
        <v>43.0625</v>
      </c>
      <c r="AB23">
        <v>42.3125</v>
      </c>
      <c r="AC23">
        <v>42.057499999999997</v>
      </c>
      <c r="AD23">
        <v>42</v>
      </c>
      <c r="AE23">
        <v>43</v>
      </c>
      <c r="AF23" t="s">
        <v>137</v>
      </c>
      <c r="AG23" t="s">
        <v>137</v>
      </c>
      <c r="AH23">
        <v>43.1875</v>
      </c>
      <c r="AI23">
        <v>43.1875</v>
      </c>
      <c r="AJ23">
        <v>43.125</v>
      </c>
      <c r="AK23">
        <v>42.9375</v>
      </c>
      <c r="AL23">
        <v>43.125</v>
      </c>
      <c r="AM23" t="s">
        <v>137</v>
      </c>
      <c r="AN23" t="s">
        <v>137</v>
      </c>
      <c r="AO23">
        <v>43.6875</v>
      </c>
      <c r="AP23">
        <v>43.9375</v>
      </c>
      <c r="AQ23">
        <v>44.5625</v>
      </c>
      <c r="AR23">
        <v>47.375</v>
      </c>
      <c r="AS23">
        <v>47.0625</v>
      </c>
      <c r="AT23" t="s">
        <v>137</v>
      </c>
      <c r="AU23" t="s">
        <v>137</v>
      </c>
      <c r="AV23">
        <v>47.07</v>
      </c>
      <c r="AW23">
        <v>46.375</v>
      </c>
      <c r="AX23">
        <v>44.25</v>
      </c>
      <c r="AY23">
        <v>44.875</v>
      </c>
      <c r="AZ23">
        <v>43.875</v>
      </c>
      <c r="BA23" t="s">
        <v>137</v>
      </c>
      <c r="BB23" t="s">
        <v>137</v>
      </c>
      <c r="BC23">
        <v>42.125</v>
      </c>
      <c r="BD23">
        <v>40.75</v>
      </c>
      <c r="BE23">
        <v>41.4375</v>
      </c>
      <c r="BF23">
        <v>42.375</v>
      </c>
      <c r="BG23">
        <v>41.125</v>
      </c>
      <c r="BH23" t="s">
        <v>137</v>
      </c>
      <c r="BI23" t="s">
        <v>137</v>
      </c>
      <c r="BJ23">
        <v>39.5</v>
      </c>
      <c r="BK23">
        <v>40</v>
      </c>
      <c r="BL23">
        <v>40.125</v>
      </c>
      <c r="BM23">
        <v>39.25</v>
      </c>
      <c r="BN23">
        <v>39.5</v>
      </c>
      <c r="BO23" t="s">
        <v>137</v>
      </c>
      <c r="BP23" t="s">
        <v>137</v>
      </c>
      <c r="BQ23">
        <v>39.5</v>
      </c>
      <c r="BR23">
        <v>39.25</v>
      </c>
      <c r="BS23">
        <v>38.75</v>
      </c>
      <c r="BT23">
        <v>38.5</v>
      </c>
      <c r="BU23">
        <v>37.5</v>
      </c>
      <c r="BV23" t="s">
        <v>137</v>
      </c>
      <c r="BW23" t="s">
        <v>137</v>
      </c>
      <c r="BX23">
        <v>37.625</v>
      </c>
      <c r="BY23">
        <v>37.5</v>
      </c>
      <c r="BZ23">
        <v>36.5</v>
      </c>
      <c r="CA23">
        <v>37.625</v>
      </c>
      <c r="CB23">
        <v>37.75</v>
      </c>
      <c r="CC23" t="s">
        <v>137</v>
      </c>
      <c r="CD23" t="s">
        <v>137</v>
      </c>
      <c r="CE23">
        <v>37.625</v>
      </c>
      <c r="CF23">
        <v>38.25</v>
      </c>
      <c r="CG23">
        <v>40</v>
      </c>
      <c r="CH23">
        <v>41.5</v>
      </c>
      <c r="CI23">
        <v>41.125</v>
      </c>
      <c r="CJ23" t="s">
        <v>137</v>
      </c>
      <c r="CK23" t="s">
        <v>137</v>
      </c>
      <c r="CL23">
        <v>40.75</v>
      </c>
      <c r="CM23">
        <v>40.125</v>
      </c>
      <c r="CN23">
        <v>40.625</v>
      </c>
      <c r="CO23">
        <v>40.25</v>
      </c>
      <c r="CP23">
        <v>40.625</v>
      </c>
      <c r="CQ23" t="s">
        <v>137</v>
      </c>
      <c r="CR23" t="s">
        <v>137</v>
      </c>
      <c r="CS23">
        <v>38.75</v>
      </c>
      <c r="CT23">
        <v>38.125</v>
      </c>
      <c r="CU23">
        <v>39.375</v>
      </c>
      <c r="CV23">
        <v>38.375</v>
      </c>
      <c r="CW23">
        <v>38.375</v>
      </c>
      <c r="CX23" t="s">
        <v>137</v>
      </c>
      <c r="CY23" t="s">
        <v>137</v>
      </c>
      <c r="CZ23">
        <v>41</v>
      </c>
      <c r="DA23">
        <v>40.25</v>
      </c>
      <c r="DB23">
        <v>40.125</v>
      </c>
      <c r="DC23">
        <v>40.375</v>
      </c>
      <c r="DD23">
        <v>40.25</v>
      </c>
      <c r="DE23" t="s">
        <v>137</v>
      </c>
      <c r="DF23" t="s">
        <v>137</v>
      </c>
      <c r="DG23">
        <v>40.5</v>
      </c>
      <c r="DH23">
        <v>42.625</v>
      </c>
      <c r="DI23">
        <v>44.25</v>
      </c>
      <c r="DJ23">
        <v>44.125</v>
      </c>
      <c r="DK23">
        <v>44.125</v>
      </c>
      <c r="DL23" t="s">
        <v>137</v>
      </c>
      <c r="DM23" t="s">
        <v>137</v>
      </c>
      <c r="DN23">
        <v>45.75</v>
      </c>
      <c r="DO23">
        <v>46.625</v>
      </c>
      <c r="DP23">
        <v>46.625</v>
      </c>
      <c r="DQ23">
        <v>48</v>
      </c>
      <c r="DR23">
        <v>47.75</v>
      </c>
      <c r="DS23" t="s">
        <v>137</v>
      </c>
      <c r="DT23" t="s">
        <v>137</v>
      </c>
      <c r="DU23">
        <v>48.125</v>
      </c>
      <c r="DV23">
        <v>48.125</v>
      </c>
      <c r="DW23">
        <v>48.125</v>
      </c>
      <c r="DX23">
        <v>48.125</v>
      </c>
      <c r="DY23">
        <v>45.375</v>
      </c>
      <c r="DZ23" t="s">
        <v>137</v>
      </c>
      <c r="EA23" t="s">
        <v>137</v>
      </c>
      <c r="EB23">
        <v>44.625</v>
      </c>
      <c r="EC23">
        <v>45.875</v>
      </c>
      <c r="ED23">
        <v>45.25</v>
      </c>
      <c r="EE23">
        <v>46.625</v>
      </c>
      <c r="EF23">
        <v>46.875</v>
      </c>
      <c r="EG23" t="s">
        <v>137</v>
      </c>
      <c r="EH23" t="s">
        <v>137</v>
      </c>
      <c r="EI23">
        <v>47.125</v>
      </c>
      <c r="EJ23">
        <v>46.75</v>
      </c>
      <c r="EK23">
        <v>47.25</v>
      </c>
      <c r="EL23">
        <v>47.875</v>
      </c>
      <c r="EM23">
        <v>47.5</v>
      </c>
      <c r="EN23" t="s">
        <v>137</v>
      </c>
      <c r="EO23" t="s">
        <v>137</v>
      </c>
      <c r="EP23">
        <v>47.25</v>
      </c>
      <c r="EQ23">
        <v>46.25</v>
      </c>
      <c r="ER23">
        <v>45.25</v>
      </c>
      <c r="ES23">
        <v>44.875</v>
      </c>
      <c r="ET23">
        <v>44.75</v>
      </c>
      <c r="EU23" t="s">
        <v>137</v>
      </c>
      <c r="EV23" t="s">
        <v>137</v>
      </c>
      <c r="EW23">
        <v>42.125</v>
      </c>
      <c r="EX23">
        <v>42.625</v>
      </c>
      <c r="EY23">
        <v>44</v>
      </c>
      <c r="EZ23">
        <v>44</v>
      </c>
      <c r="FA23">
        <v>43.375</v>
      </c>
      <c r="FB23" t="s">
        <v>137</v>
      </c>
      <c r="FC23" t="s">
        <v>137</v>
      </c>
      <c r="FD23">
        <v>44.875</v>
      </c>
      <c r="FE23">
        <v>46.5</v>
      </c>
      <c r="FF23">
        <v>46.75</v>
      </c>
      <c r="FG23">
        <v>46.125</v>
      </c>
      <c r="FH23">
        <v>46.75</v>
      </c>
      <c r="FI23" t="s">
        <v>137</v>
      </c>
      <c r="FJ23" t="s">
        <v>137</v>
      </c>
      <c r="FK23">
        <v>46.25</v>
      </c>
      <c r="FL23">
        <v>45.5</v>
      </c>
      <c r="FM23">
        <v>44.625</v>
      </c>
      <c r="FN23">
        <v>43</v>
      </c>
      <c r="FO23">
        <v>43.375</v>
      </c>
      <c r="FP23" t="s">
        <v>137</v>
      </c>
      <c r="FQ23" t="s">
        <v>137</v>
      </c>
      <c r="FR23">
        <v>45</v>
      </c>
      <c r="FS23">
        <v>42.625</v>
      </c>
      <c r="FT23">
        <v>43.125</v>
      </c>
      <c r="FU23">
        <v>42.125</v>
      </c>
      <c r="FV23">
        <v>43.125</v>
      </c>
      <c r="FW23" t="s">
        <v>137</v>
      </c>
      <c r="FX23" t="s">
        <v>137</v>
      </c>
      <c r="FY23">
        <v>43</v>
      </c>
      <c r="FZ23">
        <v>43.25</v>
      </c>
      <c r="GA23">
        <v>43.375</v>
      </c>
      <c r="GB23">
        <v>42</v>
      </c>
      <c r="GC23">
        <v>41.5</v>
      </c>
      <c r="GD23" t="s">
        <v>137</v>
      </c>
      <c r="GE23" t="s">
        <v>137</v>
      </c>
      <c r="GF23">
        <v>40.875</v>
      </c>
      <c r="GG23">
        <v>42.625</v>
      </c>
      <c r="GH23" s="4">
        <v>42.75</v>
      </c>
      <c r="GI23">
        <v>42.25</v>
      </c>
      <c r="GJ23">
        <v>41.375</v>
      </c>
      <c r="GK23" t="s">
        <v>137</v>
      </c>
      <c r="GL23" t="s">
        <v>137</v>
      </c>
      <c r="GM23">
        <v>38.625</v>
      </c>
      <c r="GN23">
        <v>36.75</v>
      </c>
      <c r="GO23">
        <v>34.5</v>
      </c>
      <c r="GP23">
        <v>33.125</v>
      </c>
      <c r="GQ23">
        <v>31.75</v>
      </c>
      <c r="GR23" t="s">
        <v>137</v>
      </c>
      <c r="GS23" t="s">
        <v>137</v>
      </c>
      <c r="GT23">
        <v>29.625</v>
      </c>
      <c r="GU23">
        <v>29.125</v>
      </c>
      <c r="GV23">
        <v>27.75</v>
      </c>
      <c r="GW23">
        <v>25.5</v>
      </c>
      <c r="GX23">
        <v>25.875</v>
      </c>
      <c r="GY23" t="s">
        <v>137</v>
      </c>
      <c r="GZ23" t="s">
        <v>137</v>
      </c>
      <c r="HA23">
        <v>24.5</v>
      </c>
      <c r="HB23">
        <v>24.625</v>
      </c>
      <c r="HC23">
        <v>25.125</v>
      </c>
      <c r="HD23">
        <v>24.625</v>
      </c>
      <c r="HE23">
        <v>25</v>
      </c>
      <c r="HF23" t="s">
        <v>137</v>
      </c>
      <c r="HG23" t="s">
        <v>137</v>
      </c>
      <c r="HH23">
        <v>25.25</v>
      </c>
      <c r="HI23">
        <v>26.25</v>
      </c>
      <c r="HJ23">
        <v>26.125</v>
      </c>
      <c r="HK23">
        <v>26.5</v>
      </c>
      <c r="HL23">
        <v>27.125</v>
      </c>
      <c r="HM23" t="s">
        <v>137</v>
      </c>
      <c r="HN23" t="s">
        <v>137</v>
      </c>
      <c r="HO23">
        <v>27.875</v>
      </c>
      <c r="HP23">
        <v>28</v>
      </c>
      <c r="HQ23">
        <v>26.625</v>
      </c>
      <c r="HR23">
        <v>26.375</v>
      </c>
      <c r="HS23">
        <v>26.375</v>
      </c>
      <c r="HT23" t="s">
        <v>137</v>
      </c>
      <c r="HU23" t="s">
        <v>137</v>
      </c>
      <c r="HV23">
        <v>27</v>
      </c>
      <c r="HW23">
        <v>27.125</v>
      </c>
      <c r="HX23">
        <v>26.25</v>
      </c>
      <c r="HY23">
        <v>26.5</v>
      </c>
      <c r="HZ23">
        <v>30.25</v>
      </c>
      <c r="IA23" t="s">
        <v>137</v>
      </c>
      <c r="IB23" t="s">
        <v>137</v>
      </c>
      <c r="IC23">
        <v>29.25</v>
      </c>
      <c r="ID23">
        <v>30.125</v>
      </c>
      <c r="IE23">
        <v>28.25</v>
      </c>
      <c r="IF23">
        <v>26.625</v>
      </c>
      <c r="IG23">
        <v>26</v>
      </c>
      <c r="IH23" t="s">
        <v>137</v>
      </c>
      <c r="II23" t="s">
        <v>137</v>
      </c>
      <c r="IJ23">
        <v>26.25</v>
      </c>
      <c r="IK23">
        <v>25.75</v>
      </c>
      <c r="IL23">
        <v>26</v>
      </c>
      <c r="IM23">
        <v>25.375</v>
      </c>
      <c r="IN23">
        <v>24.5</v>
      </c>
      <c r="IO23" t="s">
        <v>137</v>
      </c>
      <c r="IP23" t="s">
        <v>137</v>
      </c>
      <c r="IQ23">
        <v>24</v>
      </c>
      <c r="IR23">
        <v>25.625</v>
      </c>
      <c r="IS23">
        <v>26.625</v>
      </c>
      <c r="IT23">
        <v>26.875</v>
      </c>
      <c r="IU23">
        <v>26.875</v>
      </c>
      <c r="IV23" t="s">
        <v>137</v>
      </c>
      <c r="IW23" t="s">
        <v>137</v>
      </c>
      <c r="IX23">
        <v>28.75</v>
      </c>
      <c r="IY23">
        <v>30</v>
      </c>
      <c r="IZ23">
        <v>29.375</v>
      </c>
      <c r="JA23">
        <v>29</v>
      </c>
      <c r="JB23">
        <v>29.75</v>
      </c>
      <c r="JC23" t="s">
        <v>137</v>
      </c>
      <c r="JD23" t="s">
        <v>137</v>
      </c>
      <c r="JE23">
        <v>31.875</v>
      </c>
      <c r="JF23">
        <v>31.625</v>
      </c>
      <c r="JG23">
        <v>31.25</v>
      </c>
      <c r="JH23">
        <v>31.625</v>
      </c>
      <c r="JI23">
        <v>31.5</v>
      </c>
      <c r="JJ23" t="s">
        <v>137</v>
      </c>
      <c r="JK23" t="s">
        <v>137</v>
      </c>
      <c r="JL23">
        <v>31.5</v>
      </c>
      <c r="JM23">
        <v>36.375</v>
      </c>
      <c r="JN23">
        <v>36.125</v>
      </c>
      <c r="JO23">
        <v>35.75</v>
      </c>
      <c r="JP23">
        <v>37</v>
      </c>
      <c r="JQ23" t="s">
        <v>137</v>
      </c>
      <c r="JR23" t="s">
        <v>137</v>
      </c>
      <c r="JS23">
        <v>37.5</v>
      </c>
      <c r="JT23">
        <v>37.875</v>
      </c>
      <c r="JU23">
        <v>39.75</v>
      </c>
      <c r="JV23">
        <v>39.375</v>
      </c>
      <c r="JW23">
        <v>38.75</v>
      </c>
      <c r="JX23" t="s">
        <v>137</v>
      </c>
      <c r="JY23" t="s">
        <v>137</v>
      </c>
      <c r="JZ23">
        <v>40</v>
      </c>
      <c r="KA23">
        <v>38.25</v>
      </c>
      <c r="KB23">
        <v>39.5</v>
      </c>
      <c r="KC23">
        <v>38.625</v>
      </c>
      <c r="KD23">
        <v>38.75</v>
      </c>
      <c r="KE23" t="s">
        <v>137</v>
      </c>
      <c r="KF23" t="s">
        <v>137</v>
      </c>
      <c r="KG23">
        <v>38.875</v>
      </c>
      <c r="KH23">
        <v>39.75</v>
      </c>
      <c r="KI23">
        <v>39.375</v>
      </c>
      <c r="KJ23">
        <v>38.625</v>
      </c>
      <c r="KK23">
        <v>40</v>
      </c>
      <c r="KL23" t="s">
        <v>137</v>
      </c>
      <c r="KM23" t="s">
        <v>137</v>
      </c>
      <c r="KN23">
        <v>40.375</v>
      </c>
      <c r="KO23">
        <v>41.375</v>
      </c>
      <c r="KP23">
        <v>40.375</v>
      </c>
      <c r="KQ23">
        <v>40.375</v>
      </c>
      <c r="KR23">
        <v>39.625</v>
      </c>
      <c r="KS23" t="s">
        <v>137</v>
      </c>
      <c r="KT23" t="s">
        <v>137</v>
      </c>
      <c r="KU23">
        <v>40.375</v>
      </c>
      <c r="KV23">
        <v>39.75</v>
      </c>
      <c r="KW23">
        <v>39.75</v>
      </c>
      <c r="KX23">
        <v>39.625</v>
      </c>
      <c r="KY23">
        <v>39.625</v>
      </c>
      <c r="KZ23" t="s">
        <v>137</v>
      </c>
      <c r="LA23" t="s">
        <v>137</v>
      </c>
      <c r="LB23">
        <v>41.5</v>
      </c>
      <c r="LC23">
        <v>41.75</v>
      </c>
      <c r="LD23">
        <v>42.125</v>
      </c>
      <c r="LE23">
        <v>41.75</v>
      </c>
      <c r="LF23">
        <v>42</v>
      </c>
      <c r="LG23" t="s">
        <v>137</v>
      </c>
      <c r="LH23" t="s">
        <v>137</v>
      </c>
      <c r="LI23">
        <v>42</v>
      </c>
      <c r="LJ23">
        <v>40.9465</v>
      </c>
      <c r="LK23">
        <v>41.003500000000003</v>
      </c>
      <c r="LL23">
        <v>41.124499999999998</v>
      </c>
      <c r="LM23">
        <v>40.465000000000003</v>
      </c>
      <c r="LN23" t="s">
        <v>137</v>
      </c>
      <c r="LO23" t="s">
        <v>137</v>
      </c>
      <c r="LP23">
        <v>40.525500000000001</v>
      </c>
      <c r="LQ23">
        <v>40.985500000000002</v>
      </c>
      <c r="LR23">
        <v>42.026499999999999</v>
      </c>
      <c r="LS23">
        <v>43.387999999999998</v>
      </c>
      <c r="LT23">
        <v>42.966500000000003</v>
      </c>
      <c r="LU23" t="s">
        <v>137</v>
      </c>
      <c r="LV23" t="s">
        <v>137</v>
      </c>
      <c r="LW23">
        <v>43.26</v>
      </c>
      <c r="LX23">
        <v>42.89</v>
      </c>
      <c r="LY23">
        <v>42.796999999999997</v>
      </c>
      <c r="LZ23">
        <v>42.006500000000003</v>
      </c>
      <c r="MA23">
        <v>42.936500000000002</v>
      </c>
      <c r="MB23" t="s">
        <v>137</v>
      </c>
      <c r="MC23" t="s">
        <v>137</v>
      </c>
      <c r="MD23">
        <v>42.715000000000003</v>
      </c>
      <c r="ME23">
        <v>48.091500000000003</v>
      </c>
      <c r="MF23">
        <v>47.512500000000003</v>
      </c>
      <c r="MG23">
        <v>46.685000000000002</v>
      </c>
      <c r="MH23">
        <v>46.142499999999998</v>
      </c>
      <c r="MI23" t="s">
        <v>137</v>
      </c>
      <c r="MJ23" t="s">
        <v>137</v>
      </c>
      <c r="MK23">
        <v>46.278500000000001</v>
      </c>
      <c r="ML23">
        <v>46.284999999999997</v>
      </c>
      <c r="MM23">
        <v>45.835000000000001</v>
      </c>
      <c r="MN23">
        <v>45.6785</v>
      </c>
      <c r="MO23">
        <v>45.31</v>
      </c>
      <c r="MP23" t="s">
        <v>137</v>
      </c>
      <c r="MQ23" t="s">
        <v>137</v>
      </c>
      <c r="MR23">
        <v>45.282499999999999</v>
      </c>
      <c r="MS23">
        <v>45.032499999999999</v>
      </c>
      <c r="MT23">
        <v>45.094999999999999</v>
      </c>
      <c r="MU23">
        <v>44.917499999999997</v>
      </c>
      <c r="MV23">
        <v>44.965000000000003</v>
      </c>
      <c r="MW23" t="s">
        <v>137</v>
      </c>
      <c r="MX23" t="s">
        <v>137</v>
      </c>
      <c r="MY23">
        <v>44.606499999999997</v>
      </c>
      <c r="MZ23">
        <v>44.470500000000001</v>
      </c>
      <c r="NA23">
        <v>44.566499999999998</v>
      </c>
      <c r="NB23">
        <v>43.746000000000002</v>
      </c>
      <c r="NC23">
        <v>44.875</v>
      </c>
      <c r="ND23" t="s">
        <v>137</v>
      </c>
      <c r="NE23" t="s">
        <v>137</v>
      </c>
      <c r="NF23">
        <v>44.875</v>
      </c>
      <c r="NG23">
        <v>46.375</v>
      </c>
      <c r="NH23">
        <v>46.375</v>
      </c>
      <c r="NI23">
        <v>46.375</v>
      </c>
      <c r="NJ23">
        <v>47.875</v>
      </c>
      <c r="NK23" t="s">
        <v>137</v>
      </c>
      <c r="NL23" t="s">
        <v>137</v>
      </c>
      <c r="NM23" t="s">
        <v>137</v>
      </c>
      <c r="NN23" t="s">
        <v>137</v>
      </c>
      <c r="NO23" t="s">
        <v>137</v>
      </c>
      <c r="NP23" t="s">
        <v>137</v>
      </c>
      <c r="NQ23" t="s">
        <v>137</v>
      </c>
      <c r="NR23" t="s">
        <v>137</v>
      </c>
      <c r="NS23" t="s">
        <v>137</v>
      </c>
      <c r="NT23" t="s">
        <v>137</v>
      </c>
      <c r="NU23" t="s">
        <v>137</v>
      </c>
      <c r="NV23" t="s">
        <v>137</v>
      </c>
      <c r="NW23" t="s">
        <v>137</v>
      </c>
      <c r="NX23" t="s">
        <v>137</v>
      </c>
      <c r="NY23" t="s">
        <v>137</v>
      </c>
      <c r="NZ23" t="s">
        <v>137</v>
      </c>
      <c r="OA23" t="s">
        <v>137</v>
      </c>
      <c r="OB23" t="s">
        <v>137</v>
      </c>
      <c r="OC23" t="s">
        <v>137</v>
      </c>
      <c r="OD23" t="s">
        <v>137</v>
      </c>
      <c r="OE23" t="s">
        <v>137</v>
      </c>
      <c r="OF23" t="s">
        <v>137</v>
      </c>
      <c r="OG23" t="s">
        <v>137</v>
      </c>
      <c r="OH23" t="s">
        <v>137</v>
      </c>
      <c r="OI23" t="s">
        <v>137</v>
      </c>
      <c r="OJ23" t="s">
        <v>137</v>
      </c>
      <c r="OK23" t="s">
        <v>137</v>
      </c>
      <c r="OL23" t="s">
        <v>137</v>
      </c>
      <c r="OM23" t="s">
        <v>137</v>
      </c>
      <c r="ON23" t="s">
        <v>137</v>
      </c>
      <c r="OO23" t="s">
        <v>137</v>
      </c>
      <c r="OP23" t="s">
        <v>137</v>
      </c>
      <c r="OQ23" t="s">
        <v>137</v>
      </c>
      <c r="OR23" t="s">
        <v>137</v>
      </c>
      <c r="OS23" t="s">
        <v>137</v>
      </c>
      <c r="OT23" t="s">
        <v>137</v>
      </c>
      <c r="OU23" t="s">
        <v>137</v>
      </c>
      <c r="OV23" t="s">
        <v>137</v>
      </c>
      <c r="OW23" t="s">
        <v>137</v>
      </c>
      <c r="OX23" t="s">
        <v>137</v>
      </c>
      <c r="OY23" t="s">
        <v>137</v>
      </c>
      <c r="OZ23" t="s">
        <v>137</v>
      </c>
      <c r="PA23" t="s">
        <v>137</v>
      </c>
      <c r="PB23" t="s">
        <v>137</v>
      </c>
      <c r="PC23" t="s">
        <v>137</v>
      </c>
      <c r="PD23" t="s">
        <v>137</v>
      </c>
      <c r="PE23" t="s">
        <v>137</v>
      </c>
      <c r="PF23" t="s">
        <v>137</v>
      </c>
      <c r="PG23" t="s">
        <v>137</v>
      </c>
      <c r="PH23" t="s">
        <v>137</v>
      </c>
      <c r="PI23" t="s">
        <v>137</v>
      </c>
      <c r="PJ23" t="s">
        <v>137</v>
      </c>
      <c r="PK23" t="s">
        <v>137</v>
      </c>
      <c r="PL23" t="s">
        <v>137</v>
      </c>
      <c r="PM23" t="s">
        <v>137</v>
      </c>
      <c r="PN23" t="s">
        <v>137</v>
      </c>
      <c r="PO23" t="s">
        <v>137</v>
      </c>
      <c r="PP23" t="s">
        <v>137</v>
      </c>
      <c r="PQ23" t="s">
        <v>137</v>
      </c>
      <c r="PR23" t="s">
        <v>137</v>
      </c>
      <c r="PS23" t="s">
        <v>137</v>
      </c>
      <c r="PT23" t="s">
        <v>137</v>
      </c>
      <c r="PU23" t="s">
        <v>137</v>
      </c>
      <c r="PV23" t="s">
        <v>137</v>
      </c>
      <c r="PW23" t="s">
        <v>137</v>
      </c>
      <c r="PX23" t="s">
        <v>137</v>
      </c>
      <c r="PY23" t="s">
        <v>137</v>
      </c>
      <c r="PZ23" t="s">
        <v>137</v>
      </c>
      <c r="QA23" t="s">
        <v>137</v>
      </c>
      <c r="QB23" t="s">
        <v>137</v>
      </c>
      <c r="QC23" t="s">
        <v>137</v>
      </c>
      <c r="QD23" t="s">
        <v>137</v>
      </c>
      <c r="QE23" t="s">
        <v>137</v>
      </c>
      <c r="QF23" t="s">
        <v>137</v>
      </c>
      <c r="QG23" t="s">
        <v>137</v>
      </c>
      <c r="QH23" t="s">
        <v>137</v>
      </c>
      <c r="QI23" t="s">
        <v>137</v>
      </c>
      <c r="QJ23" t="s">
        <v>137</v>
      </c>
      <c r="QK23" t="s">
        <v>137</v>
      </c>
      <c r="QL23" t="s">
        <v>137</v>
      </c>
      <c r="QM23" t="s">
        <v>137</v>
      </c>
      <c r="QN23" t="s">
        <v>137</v>
      </c>
      <c r="QO23" t="s">
        <v>137</v>
      </c>
    </row>
    <row r="24" spans="1:457" x14ac:dyDescent="0.2">
      <c r="A24" t="s">
        <v>125</v>
      </c>
      <c r="B24" s="3">
        <v>42482</v>
      </c>
      <c r="C24" t="s">
        <v>88</v>
      </c>
      <c r="E24" t="s">
        <v>137</v>
      </c>
      <c r="F24">
        <v>38.634</v>
      </c>
      <c r="G24">
        <v>38.802500000000002</v>
      </c>
      <c r="H24">
        <v>40.973500000000001</v>
      </c>
      <c r="I24">
        <v>43.283999999999999</v>
      </c>
      <c r="J24">
        <v>45.609499999999997</v>
      </c>
      <c r="K24" t="s">
        <v>137</v>
      </c>
      <c r="L24" t="s">
        <v>137</v>
      </c>
      <c r="M24">
        <v>46.027999999999999</v>
      </c>
      <c r="N24">
        <v>43.994</v>
      </c>
      <c r="O24">
        <v>44.6905</v>
      </c>
      <c r="P24">
        <v>44.6995</v>
      </c>
      <c r="Q24">
        <v>43.624499999999998</v>
      </c>
      <c r="R24" t="s">
        <v>137</v>
      </c>
      <c r="S24" t="s">
        <v>137</v>
      </c>
      <c r="T24">
        <v>42.233499999999999</v>
      </c>
      <c r="U24">
        <v>42.878500000000003</v>
      </c>
      <c r="V24">
        <v>44.676000000000002</v>
      </c>
      <c r="W24">
        <v>44.395499999999998</v>
      </c>
      <c r="X24">
        <v>44.878999999999998</v>
      </c>
      <c r="Y24" t="s">
        <v>137</v>
      </c>
      <c r="Z24" t="s">
        <v>137</v>
      </c>
      <c r="AA24">
        <v>44.263500000000001</v>
      </c>
      <c r="AB24">
        <v>43.005000000000003</v>
      </c>
      <c r="AC24">
        <v>42.709000000000003</v>
      </c>
      <c r="AD24">
        <v>43.166499999999999</v>
      </c>
      <c r="AE24">
        <v>43.621000000000002</v>
      </c>
      <c r="AF24" t="s">
        <v>137</v>
      </c>
      <c r="AG24" t="s">
        <v>137</v>
      </c>
      <c r="AH24">
        <v>43.75</v>
      </c>
      <c r="AI24">
        <v>43.906999999999996</v>
      </c>
      <c r="AJ24">
        <v>43.674500000000002</v>
      </c>
      <c r="AK24">
        <v>43.521999999999998</v>
      </c>
      <c r="AL24">
        <v>43.901499999999999</v>
      </c>
      <c r="AM24" t="s">
        <v>137</v>
      </c>
      <c r="AN24" t="s">
        <v>137</v>
      </c>
      <c r="AO24">
        <v>44.682499999999997</v>
      </c>
      <c r="AP24">
        <v>44.789499999999997</v>
      </c>
      <c r="AQ24">
        <v>45.52</v>
      </c>
      <c r="AR24">
        <v>48.417499999999997</v>
      </c>
      <c r="AS24">
        <v>48.179499999999997</v>
      </c>
      <c r="AT24" t="s">
        <v>137</v>
      </c>
      <c r="AU24" t="s">
        <v>137</v>
      </c>
      <c r="AV24">
        <v>48.097499999999997</v>
      </c>
      <c r="AW24">
        <v>47.5075</v>
      </c>
      <c r="AX24">
        <v>45.856499999999997</v>
      </c>
      <c r="AY24">
        <v>45.488</v>
      </c>
      <c r="AZ24">
        <v>44.654000000000003</v>
      </c>
      <c r="BA24" t="s">
        <v>137</v>
      </c>
      <c r="BB24" t="s">
        <v>137</v>
      </c>
      <c r="BC24">
        <v>43.335999999999999</v>
      </c>
      <c r="BD24">
        <v>42.045000000000002</v>
      </c>
      <c r="BE24">
        <v>42.316000000000003</v>
      </c>
      <c r="BF24">
        <v>43.972000000000001</v>
      </c>
      <c r="BG24">
        <v>42.969499999999996</v>
      </c>
      <c r="BH24" t="s">
        <v>137</v>
      </c>
      <c r="BI24" t="s">
        <v>137</v>
      </c>
      <c r="BJ24">
        <v>40.496000000000002</v>
      </c>
      <c r="BK24">
        <v>40.801499999999997</v>
      </c>
      <c r="BL24">
        <v>41.027500000000003</v>
      </c>
      <c r="BM24">
        <v>40.649500000000003</v>
      </c>
      <c r="BN24">
        <v>40.6325</v>
      </c>
      <c r="BO24" t="s">
        <v>137</v>
      </c>
      <c r="BP24" t="s">
        <v>137</v>
      </c>
      <c r="BQ24">
        <v>40.377499999999998</v>
      </c>
      <c r="BR24">
        <v>40.483499999999999</v>
      </c>
      <c r="BS24">
        <v>39.741</v>
      </c>
      <c r="BT24">
        <v>39.406500000000001</v>
      </c>
      <c r="BU24">
        <v>38.972000000000001</v>
      </c>
      <c r="BV24" t="s">
        <v>137</v>
      </c>
      <c r="BW24" t="s">
        <v>137</v>
      </c>
      <c r="BX24">
        <v>38.682499999999997</v>
      </c>
      <c r="BY24">
        <v>38.220500000000001</v>
      </c>
      <c r="BZ24">
        <v>38.137999999999998</v>
      </c>
      <c r="CA24">
        <v>39.536999999999999</v>
      </c>
      <c r="CB24">
        <v>39.433</v>
      </c>
      <c r="CC24" t="s">
        <v>137</v>
      </c>
      <c r="CD24" t="s">
        <v>137</v>
      </c>
      <c r="CE24">
        <v>39.639000000000003</v>
      </c>
      <c r="CF24">
        <v>39.951500000000003</v>
      </c>
      <c r="CG24">
        <v>42.183999999999997</v>
      </c>
      <c r="CH24">
        <v>43.179499999999997</v>
      </c>
      <c r="CI24">
        <v>43.042499999999997</v>
      </c>
      <c r="CJ24" t="s">
        <v>137</v>
      </c>
      <c r="CK24" t="s">
        <v>137</v>
      </c>
      <c r="CL24">
        <v>42.2575</v>
      </c>
      <c r="CM24">
        <v>42.354500000000002</v>
      </c>
      <c r="CN24">
        <v>42.561500000000002</v>
      </c>
      <c r="CO24">
        <v>42.5625</v>
      </c>
      <c r="CP24">
        <v>42.709499999999998</v>
      </c>
      <c r="CQ24" t="s">
        <v>137</v>
      </c>
      <c r="CR24" t="s">
        <v>137</v>
      </c>
      <c r="CS24">
        <v>41.095500000000001</v>
      </c>
      <c r="CT24">
        <v>40.390500000000003</v>
      </c>
      <c r="CU24">
        <v>41.311999999999998</v>
      </c>
      <c r="CV24">
        <v>40.659500000000001</v>
      </c>
      <c r="CW24">
        <v>41.262500000000003</v>
      </c>
      <c r="CX24" t="s">
        <v>137</v>
      </c>
      <c r="CY24" t="s">
        <v>137</v>
      </c>
      <c r="CZ24">
        <v>43.240499999999997</v>
      </c>
      <c r="DA24">
        <v>42.7425</v>
      </c>
      <c r="DB24">
        <v>42.661499999999997</v>
      </c>
      <c r="DC24">
        <v>43.400500000000001</v>
      </c>
      <c r="DD24">
        <v>43.203000000000003</v>
      </c>
      <c r="DE24" t="s">
        <v>137</v>
      </c>
      <c r="DF24" t="s">
        <v>137</v>
      </c>
      <c r="DG24">
        <v>43.177500000000002</v>
      </c>
      <c r="DH24">
        <v>44.015500000000003</v>
      </c>
      <c r="DI24">
        <v>47.317</v>
      </c>
      <c r="DJ24">
        <v>46.718499999999999</v>
      </c>
      <c r="DK24">
        <v>46.744</v>
      </c>
      <c r="DL24" t="s">
        <v>137</v>
      </c>
      <c r="DM24" t="s">
        <v>137</v>
      </c>
      <c r="DN24">
        <v>47.984000000000002</v>
      </c>
      <c r="DO24">
        <v>49.279499999999999</v>
      </c>
      <c r="DP24">
        <v>49.301499999999997</v>
      </c>
      <c r="DQ24">
        <v>49.756999999999998</v>
      </c>
      <c r="DR24">
        <v>50.098500000000001</v>
      </c>
      <c r="DS24" t="s">
        <v>137</v>
      </c>
      <c r="DT24" t="s">
        <v>137</v>
      </c>
      <c r="DU24">
        <v>50.734000000000002</v>
      </c>
      <c r="DV24">
        <v>50.674500000000002</v>
      </c>
      <c r="DW24">
        <v>50.694499999999998</v>
      </c>
      <c r="DX24">
        <v>50.118000000000002</v>
      </c>
      <c r="DY24">
        <v>49.794499999999999</v>
      </c>
      <c r="DZ24" t="s">
        <v>137</v>
      </c>
      <c r="EA24" t="s">
        <v>137</v>
      </c>
      <c r="EB24">
        <v>46.365499999999997</v>
      </c>
      <c r="EC24">
        <v>47.554499999999997</v>
      </c>
      <c r="ED24">
        <v>46.663499999999999</v>
      </c>
      <c r="EE24">
        <v>48.195500000000003</v>
      </c>
      <c r="EF24">
        <v>48.738500000000002</v>
      </c>
      <c r="EG24" t="s">
        <v>137</v>
      </c>
      <c r="EH24" t="s">
        <v>137</v>
      </c>
      <c r="EI24">
        <v>48.371499999999997</v>
      </c>
      <c r="EJ24">
        <v>48.262</v>
      </c>
      <c r="EK24">
        <v>48.095999999999997</v>
      </c>
      <c r="EL24">
        <v>48.582500000000003</v>
      </c>
      <c r="EM24">
        <v>47.976999999999997</v>
      </c>
      <c r="EN24" t="s">
        <v>137</v>
      </c>
      <c r="EO24" t="s">
        <v>137</v>
      </c>
      <c r="EP24">
        <v>48.121000000000002</v>
      </c>
      <c r="EQ24">
        <v>46.74</v>
      </c>
      <c r="ER24">
        <v>45.26</v>
      </c>
      <c r="ES24">
        <v>44.914000000000001</v>
      </c>
      <c r="ET24">
        <v>44.280999999999999</v>
      </c>
      <c r="EU24" t="s">
        <v>137</v>
      </c>
      <c r="EV24" t="s">
        <v>137</v>
      </c>
      <c r="EW24">
        <v>42.01</v>
      </c>
      <c r="EX24">
        <v>42.325499999999998</v>
      </c>
      <c r="EY24">
        <v>43.834499999999998</v>
      </c>
      <c r="EZ24">
        <v>43.426000000000002</v>
      </c>
      <c r="FA24">
        <v>43.322499999999998</v>
      </c>
      <c r="FB24" t="s">
        <v>137</v>
      </c>
      <c r="FC24" t="s">
        <v>137</v>
      </c>
      <c r="FD24">
        <v>44.182000000000002</v>
      </c>
      <c r="FE24">
        <v>45.011000000000003</v>
      </c>
      <c r="FF24">
        <v>45.950499999999998</v>
      </c>
      <c r="FG24">
        <v>45.067</v>
      </c>
      <c r="FH24">
        <v>45.814999999999998</v>
      </c>
      <c r="FI24" t="s">
        <v>137</v>
      </c>
      <c r="FJ24" t="s">
        <v>137</v>
      </c>
      <c r="FK24">
        <v>45.481499999999997</v>
      </c>
      <c r="FL24">
        <v>44.481000000000002</v>
      </c>
      <c r="FM24">
        <v>43.679000000000002</v>
      </c>
      <c r="FN24">
        <v>42.901000000000003</v>
      </c>
      <c r="FO24">
        <v>42.9375</v>
      </c>
      <c r="FP24" t="s">
        <v>137</v>
      </c>
      <c r="FQ24" t="s">
        <v>137</v>
      </c>
      <c r="FR24">
        <v>43.034999999999997</v>
      </c>
      <c r="FS24">
        <v>42.5075</v>
      </c>
      <c r="FT24">
        <v>42.625999999999998</v>
      </c>
      <c r="FU24">
        <v>42.222999999999999</v>
      </c>
      <c r="FV24">
        <v>42.9405</v>
      </c>
      <c r="FW24" t="s">
        <v>137</v>
      </c>
      <c r="FX24" t="s">
        <v>137</v>
      </c>
      <c r="FY24">
        <v>43.079500000000003</v>
      </c>
      <c r="FZ24">
        <v>43.275500000000001</v>
      </c>
      <c r="GA24">
        <v>43.159500000000001</v>
      </c>
      <c r="GB24">
        <v>42.616500000000002</v>
      </c>
      <c r="GC24">
        <v>41.982500000000002</v>
      </c>
      <c r="GD24" t="s">
        <v>137</v>
      </c>
      <c r="GE24" t="s">
        <v>137</v>
      </c>
      <c r="GF24">
        <v>41.982500000000002</v>
      </c>
      <c r="GG24">
        <v>42.283499999999997</v>
      </c>
      <c r="GH24" s="4">
        <v>42.8215</v>
      </c>
      <c r="GI24">
        <v>42.140999999999998</v>
      </c>
      <c r="GJ24">
        <v>41.636499999999998</v>
      </c>
      <c r="GK24" t="s">
        <v>137</v>
      </c>
      <c r="GL24" t="s">
        <v>137</v>
      </c>
      <c r="GM24">
        <v>36.718000000000004</v>
      </c>
      <c r="GN24">
        <v>35.956499999999998</v>
      </c>
      <c r="GO24">
        <v>35.767499999999998</v>
      </c>
      <c r="GP24">
        <v>35.767499999999998</v>
      </c>
      <c r="GQ24">
        <v>30.926500000000001</v>
      </c>
      <c r="GR24" t="s">
        <v>137</v>
      </c>
      <c r="GS24" t="s">
        <v>137</v>
      </c>
      <c r="GT24">
        <v>30.926500000000001</v>
      </c>
      <c r="GU24">
        <v>30.926500000000001</v>
      </c>
      <c r="GV24">
        <v>30.926500000000001</v>
      </c>
      <c r="GW24">
        <v>24.96</v>
      </c>
      <c r="GX24">
        <v>25.062000000000001</v>
      </c>
      <c r="GY24" t="s">
        <v>137</v>
      </c>
      <c r="GZ24" t="s">
        <v>137</v>
      </c>
      <c r="HA24">
        <v>23.402999999999999</v>
      </c>
      <c r="HB24">
        <v>24.17</v>
      </c>
      <c r="HC24">
        <v>24.233000000000001</v>
      </c>
      <c r="HD24">
        <v>24.594999999999999</v>
      </c>
      <c r="HE24">
        <v>24.625</v>
      </c>
      <c r="HF24" t="s">
        <v>137</v>
      </c>
      <c r="HG24" t="s">
        <v>137</v>
      </c>
      <c r="HH24">
        <v>24.895</v>
      </c>
      <c r="HI24">
        <v>25.929500000000001</v>
      </c>
      <c r="HJ24">
        <v>25.573499999999999</v>
      </c>
      <c r="HK24">
        <v>26.201499999999999</v>
      </c>
      <c r="HL24">
        <v>26.860499999999998</v>
      </c>
      <c r="HM24" t="s">
        <v>137</v>
      </c>
      <c r="HN24" t="s">
        <v>137</v>
      </c>
      <c r="HO24">
        <v>27.88</v>
      </c>
      <c r="HP24">
        <v>28.445</v>
      </c>
      <c r="HQ24">
        <v>26.859000000000002</v>
      </c>
      <c r="HR24">
        <v>26.137499999999999</v>
      </c>
      <c r="HS24">
        <v>25.632000000000001</v>
      </c>
      <c r="HT24" t="s">
        <v>137</v>
      </c>
      <c r="HU24" t="s">
        <v>137</v>
      </c>
      <c r="HV24">
        <v>26.375</v>
      </c>
      <c r="HW24">
        <v>26.703499999999998</v>
      </c>
      <c r="HX24">
        <v>25.57</v>
      </c>
      <c r="HY24">
        <v>25.352</v>
      </c>
      <c r="HZ24">
        <v>27.850999999999999</v>
      </c>
      <c r="IA24" t="s">
        <v>137</v>
      </c>
      <c r="IB24" t="s">
        <v>137</v>
      </c>
      <c r="IC24">
        <v>31.047499999999999</v>
      </c>
      <c r="ID24">
        <v>30.281500000000001</v>
      </c>
      <c r="IE24">
        <v>28.382999999999999</v>
      </c>
      <c r="IF24">
        <v>26.27</v>
      </c>
      <c r="IG24">
        <v>25.871500000000001</v>
      </c>
      <c r="IH24" t="s">
        <v>137</v>
      </c>
      <c r="II24" t="s">
        <v>137</v>
      </c>
      <c r="IJ24">
        <v>25.648499999999999</v>
      </c>
      <c r="IK24">
        <v>25.916499999999999</v>
      </c>
      <c r="IL24">
        <v>26.0685</v>
      </c>
      <c r="IM24">
        <v>24.9785</v>
      </c>
      <c r="IN24">
        <v>24.783000000000001</v>
      </c>
      <c r="IO24" t="s">
        <v>137</v>
      </c>
      <c r="IP24" t="s">
        <v>137</v>
      </c>
      <c r="IQ24">
        <v>23.65</v>
      </c>
      <c r="IR24">
        <v>25.477499999999999</v>
      </c>
      <c r="IS24">
        <v>26.808499999999999</v>
      </c>
      <c r="IT24">
        <v>27.088000000000001</v>
      </c>
      <c r="IU24">
        <v>27.533000000000001</v>
      </c>
      <c r="IV24" t="s">
        <v>137</v>
      </c>
      <c r="IW24" t="s">
        <v>137</v>
      </c>
      <c r="IX24">
        <v>28.527999999999999</v>
      </c>
      <c r="IY24">
        <v>30.8735</v>
      </c>
      <c r="IZ24">
        <v>30.331499999999998</v>
      </c>
      <c r="JA24">
        <v>29.579000000000001</v>
      </c>
      <c r="JB24">
        <v>32.712499999999999</v>
      </c>
      <c r="JC24" t="s">
        <v>137</v>
      </c>
      <c r="JD24" t="s">
        <v>137</v>
      </c>
      <c r="JE24">
        <v>33.97</v>
      </c>
      <c r="JF24">
        <v>33.351500000000001</v>
      </c>
      <c r="JG24">
        <v>32.499000000000002</v>
      </c>
      <c r="JH24">
        <v>32.366</v>
      </c>
      <c r="JI24">
        <v>32.526499999999999</v>
      </c>
      <c r="JJ24" t="s">
        <v>137</v>
      </c>
      <c r="JK24" t="s">
        <v>137</v>
      </c>
      <c r="JL24">
        <v>32.8675</v>
      </c>
      <c r="JM24">
        <v>36.115499999999997</v>
      </c>
      <c r="JN24">
        <v>36.725000000000001</v>
      </c>
      <c r="JO24">
        <v>35.984999999999999</v>
      </c>
      <c r="JP24">
        <v>37.096499999999999</v>
      </c>
      <c r="JQ24" t="s">
        <v>137</v>
      </c>
      <c r="JR24" t="s">
        <v>137</v>
      </c>
      <c r="JS24">
        <v>37.25</v>
      </c>
      <c r="JT24">
        <v>37.342500000000001</v>
      </c>
      <c r="JU24">
        <v>38.11</v>
      </c>
      <c r="JV24">
        <v>38.163499999999999</v>
      </c>
      <c r="JW24">
        <v>37.702500000000001</v>
      </c>
      <c r="JX24" t="s">
        <v>137</v>
      </c>
      <c r="JY24" t="s">
        <v>137</v>
      </c>
      <c r="JZ24">
        <v>38.689</v>
      </c>
      <c r="KA24">
        <v>38.302999999999997</v>
      </c>
      <c r="KB24">
        <v>38.235500000000002</v>
      </c>
      <c r="KC24">
        <v>37.975999999999999</v>
      </c>
      <c r="KD24">
        <v>37.655000000000001</v>
      </c>
      <c r="KE24" t="s">
        <v>137</v>
      </c>
      <c r="KF24" t="s">
        <v>137</v>
      </c>
      <c r="KG24">
        <v>37.179000000000002</v>
      </c>
      <c r="KH24">
        <v>38.103499999999997</v>
      </c>
      <c r="KI24">
        <v>37.726500000000001</v>
      </c>
      <c r="KJ24">
        <v>36.841500000000003</v>
      </c>
      <c r="KK24">
        <v>38.063000000000002</v>
      </c>
      <c r="KL24" t="s">
        <v>137</v>
      </c>
      <c r="KM24" t="s">
        <v>137</v>
      </c>
      <c r="KN24">
        <v>38.7485</v>
      </c>
      <c r="KO24">
        <v>40.081000000000003</v>
      </c>
      <c r="KP24">
        <v>39.201000000000001</v>
      </c>
      <c r="KQ24">
        <v>39.152500000000003</v>
      </c>
      <c r="KR24">
        <v>38.485999999999997</v>
      </c>
      <c r="KS24" t="s">
        <v>137</v>
      </c>
      <c r="KT24" t="s">
        <v>137</v>
      </c>
      <c r="KU24">
        <v>39.320999999999998</v>
      </c>
      <c r="KV24">
        <v>39.372</v>
      </c>
      <c r="KW24">
        <v>39.313499999999998</v>
      </c>
      <c r="KX24">
        <v>38.851500000000001</v>
      </c>
      <c r="KY24">
        <v>38.8035</v>
      </c>
      <c r="KZ24" t="s">
        <v>137</v>
      </c>
      <c r="LA24" t="s">
        <v>137</v>
      </c>
      <c r="LB24">
        <v>40.51</v>
      </c>
      <c r="LC24">
        <v>40.738999999999997</v>
      </c>
      <c r="LD24">
        <v>41.901000000000003</v>
      </c>
      <c r="LE24">
        <v>41.128999999999998</v>
      </c>
      <c r="LF24">
        <v>41.500500000000002</v>
      </c>
      <c r="LG24" t="s">
        <v>137</v>
      </c>
      <c r="LH24" t="s">
        <v>137</v>
      </c>
      <c r="LI24">
        <v>41.674999999999997</v>
      </c>
      <c r="LJ24">
        <v>40.770499999999998</v>
      </c>
      <c r="LK24">
        <v>40.69</v>
      </c>
      <c r="LL24">
        <v>40.981499999999997</v>
      </c>
      <c r="LM24">
        <v>40.506500000000003</v>
      </c>
      <c r="LN24" t="s">
        <v>137</v>
      </c>
      <c r="LO24" t="s">
        <v>137</v>
      </c>
      <c r="LP24">
        <v>40.3765</v>
      </c>
      <c r="LQ24">
        <v>40.827500000000001</v>
      </c>
      <c r="LR24">
        <v>41.692999999999998</v>
      </c>
      <c r="LS24">
        <v>42.865499999999997</v>
      </c>
      <c r="LT24">
        <v>42.863500000000002</v>
      </c>
      <c r="LU24" t="s">
        <v>137</v>
      </c>
      <c r="LV24" t="s">
        <v>137</v>
      </c>
      <c r="LW24">
        <v>43.151499999999999</v>
      </c>
      <c r="LX24">
        <v>42.951500000000003</v>
      </c>
      <c r="LY24">
        <v>42.551499999999997</v>
      </c>
      <c r="LZ24">
        <v>42.277999999999999</v>
      </c>
      <c r="MA24">
        <v>42.907499999999999</v>
      </c>
      <c r="MB24" t="s">
        <v>137</v>
      </c>
      <c r="MC24" t="s">
        <v>137</v>
      </c>
      <c r="MD24">
        <v>42.558500000000002</v>
      </c>
      <c r="ME24">
        <v>47.826000000000001</v>
      </c>
      <c r="MF24">
        <v>47.612499999999997</v>
      </c>
      <c r="MG24">
        <v>46.817500000000003</v>
      </c>
      <c r="MH24">
        <v>46.1815</v>
      </c>
      <c r="MI24" t="s">
        <v>137</v>
      </c>
      <c r="MJ24" t="s">
        <v>137</v>
      </c>
      <c r="MK24">
        <v>46.204999999999998</v>
      </c>
      <c r="ML24">
        <v>46.0685</v>
      </c>
      <c r="MM24">
        <v>45.765000000000001</v>
      </c>
      <c r="MN24">
        <v>45.336500000000001</v>
      </c>
      <c r="MO24">
        <v>45.256</v>
      </c>
      <c r="MP24" t="s">
        <v>137</v>
      </c>
      <c r="MQ24" t="s">
        <v>137</v>
      </c>
      <c r="MR24">
        <v>45.035499999999999</v>
      </c>
      <c r="MS24">
        <v>44.887500000000003</v>
      </c>
      <c r="MT24">
        <v>45.191499999999998</v>
      </c>
      <c r="MU24">
        <v>44.907499999999999</v>
      </c>
      <c r="MV24">
        <v>45.104999999999997</v>
      </c>
      <c r="MW24" t="s">
        <v>137</v>
      </c>
      <c r="MX24" t="s">
        <v>137</v>
      </c>
      <c r="MY24">
        <v>44.468499999999999</v>
      </c>
      <c r="MZ24">
        <v>44.3765</v>
      </c>
      <c r="NA24">
        <v>44.121499999999997</v>
      </c>
      <c r="NB24">
        <v>43.976500000000001</v>
      </c>
      <c r="NC24">
        <v>44.122</v>
      </c>
      <c r="ND24" t="s">
        <v>137</v>
      </c>
      <c r="NE24" t="s">
        <v>137</v>
      </c>
      <c r="NF24">
        <v>44.216500000000003</v>
      </c>
      <c r="NG24">
        <v>45.182000000000002</v>
      </c>
      <c r="NH24">
        <v>45.302999999999997</v>
      </c>
      <c r="NI24">
        <v>45.448999999999998</v>
      </c>
      <c r="NJ24">
        <v>46.75</v>
      </c>
      <c r="NK24" t="s">
        <v>137</v>
      </c>
      <c r="NL24" t="s">
        <v>137</v>
      </c>
      <c r="NM24" t="s">
        <v>137</v>
      </c>
      <c r="NN24" t="s">
        <v>137</v>
      </c>
      <c r="NO24" t="s">
        <v>137</v>
      </c>
      <c r="NP24" t="s">
        <v>137</v>
      </c>
      <c r="NQ24" t="s">
        <v>137</v>
      </c>
      <c r="NR24" t="s">
        <v>137</v>
      </c>
      <c r="NS24" t="s">
        <v>137</v>
      </c>
      <c r="NT24" t="s">
        <v>137</v>
      </c>
      <c r="NU24" t="s">
        <v>137</v>
      </c>
      <c r="NV24" t="s">
        <v>137</v>
      </c>
      <c r="NW24" t="s">
        <v>137</v>
      </c>
      <c r="NX24" t="s">
        <v>137</v>
      </c>
      <c r="NY24" t="s">
        <v>137</v>
      </c>
      <c r="NZ24" t="s">
        <v>137</v>
      </c>
      <c r="OA24" t="s">
        <v>137</v>
      </c>
      <c r="OB24" t="s">
        <v>137</v>
      </c>
      <c r="OC24" t="s">
        <v>137</v>
      </c>
      <c r="OD24" t="s">
        <v>137</v>
      </c>
      <c r="OE24" t="s">
        <v>137</v>
      </c>
      <c r="OF24" t="s">
        <v>137</v>
      </c>
      <c r="OG24" t="s">
        <v>137</v>
      </c>
      <c r="OH24" t="s">
        <v>137</v>
      </c>
      <c r="OI24" t="s">
        <v>137</v>
      </c>
      <c r="OJ24" t="s">
        <v>137</v>
      </c>
      <c r="OK24" t="s">
        <v>137</v>
      </c>
      <c r="OL24" t="s">
        <v>137</v>
      </c>
      <c r="OM24" t="s">
        <v>137</v>
      </c>
      <c r="ON24" t="s">
        <v>137</v>
      </c>
      <c r="OO24" t="s">
        <v>137</v>
      </c>
      <c r="OP24" t="s">
        <v>137</v>
      </c>
      <c r="OQ24" t="s">
        <v>137</v>
      </c>
      <c r="OR24" t="s">
        <v>137</v>
      </c>
      <c r="OS24" t="s">
        <v>137</v>
      </c>
      <c r="OT24" t="s">
        <v>137</v>
      </c>
      <c r="OU24" t="s">
        <v>137</v>
      </c>
      <c r="OV24" t="s">
        <v>137</v>
      </c>
      <c r="OW24" t="s">
        <v>137</v>
      </c>
      <c r="OX24" t="s">
        <v>137</v>
      </c>
      <c r="OY24" t="s">
        <v>137</v>
      </c>
      <c r="OZ24" t="s">
        <v>137</v>
      </c>
      <c r="PA24" t="s">
        <v>137</v>
      </c>
      <c r="PB24" t="s">
        <v>137</v>
      </c>
      <c r="PC24" t="s">
        <v>137</v>
      </c>
      <c r="PD24" t="s">
        <v>137</v>
      </c>
      <c r="PE24" t="s">
        <v>137</v>
      </c>
      <c r="PF24" t="s">
        <v>137</v>
      </c>
      <c r="PG24" t="s">
        <v>137</v>
      </c>
      <c r="PH24" t="s">
        <v>137</v>
      </c>
      <c r="PI24" t="s">
        <v>137</v>
      </c>
      <c r="PJ24" t="s">
        <v>137</v>
      </c>
      <c r="PK24" t="s">
        <v>137</v>
      </c>
      <c r="PL24" t="s">
        <v>137</v>
      </c>
      <c r="PM24" t="s">
        <v>137</v>
      </c>
      <c r="PN24" t="s">
        <v>137</v>
      </c>
      <c r="PO24" t="s">
        <v>137</v>
      </c>
      <c r="PP24" t="s">
        <v>137</v>
      </c>
      <c r="PQ24" t="s">
        <v>137</v>
      </c>
      <c r="PR24" t="s">
        <v>137</v>
      </c>
      <c r="PS24" t="s">
        <v>137</v>
      </c>
      <c r="PT24" t="s">
        <v>137</v>
      </c>
      <c r="PU24" t="s">
        <v>137</v>
      </c>
      <c r="PV24" t="s">
        <v>137</v>
      </c>
      <c r="PW24" t="s">
        <v>137</v>
      </c>
      <c r="PX24" t="s">
        <v>137</v>
      </c>
      <c r="PY24" t="s">
        <v>137</v>
      </c>
      <c r="PZ24" t="s">
        <v>137</v>
      </c>
      <c r="QA24" t="s">
        <v>137</v>
      </c>
      <c r="QB24" t="s">
        <v>137</v>
      </c>
      <c r="QC24" t="s">
        <v>137</v>
      </c>
      <c r="QD24" t="s">
        <v>137</v>
      </c>
      <c r="QE24" t="s">
        <v>137</v>
      </c>
      <c r="QF24" t="s">
        <v>137</v>
      </c>
      <c r="QG24" t="s">
        <v>137</v>
      </c>
      <c r="QH24" t="s">
        <v>137</v>
      </c>
      <c r="QI24" t="s">
        <v>137</v>
      </c>
      <c r="QJ24" t="s">
        <v>137</v>
      </c>
      <c r="QK24" t="s">
        <v>137</v>
      </c>
      <c r="QL24" t="s">
        <v>137</v>
      </c>
      <c r="QM24" t="s">
        <v>137</v>
      </c>
      <c r="QN24" t="s">
        <v>137</v>
      </c>
      <c r="QO24" t="s">
        <v>137</v>
      </c>
    </row>
    <row r="25" spans="1:457" x14ac:dyDescent="0.2">
      <c r="A25" t="s">
        <v>126</v>
      </c>
      <c r="B25" s="3">
        <v>43111</v>
      </c>
      <c r="C25" t="s">
        <v>52</v>
      </c>
      <c r="E25" t="s">
        <v>137</v>
      </c>
      <c r="F25">
        <v>37.625</v>
      </c>
      <c r="G25">
        <v>37.862499999999997</v>
      </c>
      <c r="H25">
        <v>39.814</v>
      </c>
      <c r="I25">
        <v>42.39</v>
      </c>
      <c r="J25">
        <v>42.511000000000003</v>
      </c>
      <c r="K25" t="s">
        <v>137</v>
      </c>
      <c r="L25" t="s">
        <v>137</v>
      </c>
      <c r="M25">
        <v>44.154499999999999</v>
      </c>
      <c r="N25">
        <v>43.091500000000003</v>
      </c>
      <c r="O25">
        <v>43.591999999999999</v>
      </c>
      <c r="P25">
        <v>43.377000000000002</v>
      </c>
      <c r="Q25">
        <v>41.011000000000003</v>
      </c>
      <c r="R25" t="s">
        <v>137</v>
      </c>
      <c r="S25" t="s">
        <v>137</v>
      </c>
      <c r="T25">
        <v>40.273000000000003</v>
      </c>
      <c r="U25">
        <v>42.01</v>
      </c>
      <c r="V25">
        <v>42.641500000000001</v>
      </c>
      <c r="W25">
        <v>42.59</v>
      </c>
      <c r="X25">
        <v>42.935499999999998</v>
      </c>
      <c r="Y25" t="s">
        <v>137</v>
      </c>
      <c r="Z25" t="s">
        <v>137</v>
      </c>
      <c r="AA25">
        <v>42.274999999999999</v>
      </c>
      <c r="AB25">
        <v>41.625</v>
      </c>
      <c r="AC25">
        <v>41.625</v>
      </c>
      <c r="AD25">
        <v>41.350499999999997</v>
      </c>
      <c r="AE25">
        <v>41.878</v>
      </c>
      <c r="AF25" t="s">
        <v>137</v>
      </c>
      <c r="AG25" t="s">
        <v>137</v>
      </c>
      <c r="AH25">
        <v>42.75</v>
      </c>
      <c r="AI25">
        <v>42.211500000000001</v>
      </c>
      <c r="AJ25">
        <v>42.055</v>
      </c>
      <c r="AK25">
        <v>42.125</v>
      </c>
      <c r="AL25">
        <v>42.634500000000003</v>
      </c>
      <c r="AM25" t="s">
        <v>137</v>
      </c>
      <c r="AN25" t="s">
        <v>137</v>
      </c>
      <c r="AO25">
        <v>43.35</v>
      </c>
      <c r="AP25">
        <v>43.554499999999997</v>
      </c>
      <c r="AQ25">
        <v>44.488500000000002</v>
      </c>
      <c r="AR25">
        <v>46.735500000000002</v>
      </c>
      <c r="AS25">
        <v>46.238500000000002</v>
      </c>
      <c r="AT25" t="s">
        <v>137</v>
      </c>
      <c r="AU25" t="s">
        <v>137</v>
      </c>
      <c r="AV25">
        <v>46.453499999999998</v>
      </c>
      <c r="AW25">
        <v>45.255000000000003</v>
      </c>
      <c r="AX25">
        <v>43.725000000000001</v>
      </c>
      <c r="AY25">
        <v>43.661999999999999</v>
      </c>
      <c r="AZ25">
        <v>42.966999999999999</v>
      </c>
      <c r="BA25" t="s">
        <v>137</v>
      </c>
      <c r="BB25" t="s">
        <v>137</v>
      </c>
      <c r="BC25">
        <v>41.375</v>
      </c>
      <c r="BD25">
        <v>40.225000000000001</v>
      </c>
      <c r="BE25">
        <v>40.957000000000001</v>
      </c>
      <c r="BF25">
        <v>41.825000000000003</v>
      </c>
      <c r="BG25">
        <v>41.05</v>
      </c>
      <c r="BH25" t="s">
        <v>137</v>
      </c>
      <c r="BI25" t="s">
        <v>137</v>
      </c>
      <c r="BJ25">
        <v>40.0565</v>
      </c>
      <c r="BK25">
        <v>40.133000000000003</v>
      </c>
      <c r="BL25">
        <v>39.705500000000001</v>
      </c>
      <c r="BM25">
        <v>39.587000000000003</v>
      </c>
      <c r="BN25">
        <v>39.353499999999997</v>
      </c>
      <c r="BO25" t="s">
        <v>137</v>
      </c>
      <c r="BP25" t="s">
        <v>137</v>
      </c>
      <c r="BQ25">
        <v>39.130000000000003</v>
      </c>
      <c r="BR25">
        <v>39.097999999999999</v>
      </c>
      <c r="BS25">
        <v>38.174999999999997</v>
      </c>
      <c r="BT25">
        <v>37.900500000000001</v>
      </c>
      <c r="BU25">
        <v>36.954000000000001</v>
      </c>
      <c r="BV25" t="s">
        <v>137</v>
      </c>
      <c r="BW25" t="s">
        <v>137</v>
      </c>
      <c r="BX25">
        <v>37.273000000000003</v>
      </c>
      <c r="BY25">
        <v>36.128</v>
      </c>
      <c r="BZ25">
        <v>36.663499999999999</v>
      </c>
      <c r="CA25">
        <v>37.448999999999998</v>
      </c>
      <c r="CB25">
        <v>37.700000000000003</v>
      </c>
      <c r="CC25" t="s">
        <v>137</v>
      </c>
      <c r="CD25" t="s">
        <v>137</v>
      </c>
      <c r="CE25">
        <v>37.299999999999997</v>
      </c>
      <c r="CF25">
        <v>38.817500000000003</v>
      </c>
      <c r="CG25">
        <v>40.724499999999999</v>
      </c>
      <c r="CH25">
        <v>40.9</v>
      </c>
      <c r="CI25">
        <v>40.585000000000001</v>
      </c>
      <c r="CJ25" t="s">
        <v>137</v>
      </c>
      <c r="CK25" t="s">
        <v>137</v>
      </c>
      <c r="CL25">
        <v>39.919499999999999</v>
      </c>
      <c r="CM25">
        <v>40.2605</v>
      </c>
      <c r="CN25">
        <v>40.25</v>
      </c>
      <c r="CO25">
        <v>40.07</v>
      </c>
      <c r="CP25">
        <v>40.454999999999998</v>
      </c>
      <c r="CQ25" t="s">
        <v>137</v>
      </c>
      <c r="CR25" t="s">
        <v>137</v>
      </c>
      <c r="CS25">
        <v>38.988500000000002</v>
      </c>
      <c r="CT25">
        <v>37.862499999999997</v>
      </c>
      <c r="CU25">
        <v>38.542499999999997</v>
      </c>
      <c r="CV25">
        <v>37.997</v>
      </c>
      <c r="CW25">
        <v>38.036000000000001</v>
      </c>
      <c r="CX25" t="s">
        <v>137</v>
      </c>
      <c r="CY25" t="s">
        <v>137</v>
      </c>
      <c r="CZ25">
        <v>39.734999999999999</v>
      </c>
      <c r="DA25">
        <v>39.497500000000002</v>
      </c>
      <c r="DB25">
        <v>39.872</v>
      </c>
      <c r="DC25">
        <v>40.369</v>
      </c>
      <c r="DD25">
        <v>40.225000000000001</v>
      </c>
      <c r="DE25" t="s">
        <v>137</v>
      </c>
      <c r="DF25" t="s">
        <v>137</v>
      </c>
      <c r="DG25">
        <v>39.798000000000002</v>
      </c>
      <c r="DH25">
        <v>42.325000000000003</v>
      </c>
      <c r="DI25">
        <v>43.933999999999997</v>
      </c>
      <c r="DJ25">
        <v>43.709499999999998</v>
      </c>
      <c r="DK25">
        <v>44.317999999999998</v>
      </c>
      <c r="DL25" t="s">
        <v>137</v>
      </c>
      <c r="DM25" t="s">
        <v>137</v>
      </c>
      <c r="DN25">
        <v>45.383499999999998</v>
      </c>
      <c r="DO25">
        <v>45.75</v>
      </c>
      <c r="DP25">
        <v>45.881500000000003</v>
      </c>
      <c r="DQ25">
        <v>47.1325</v>
      </c>
      <c r="DR25">
        <v>47.02</v>
      </c>
      <c r="DS25" t="s">
        <v>137</v>
      </c>
      <c r="DT25" t="s">
        <v>137</v>
      </c>
      <c r="DU25">
        <v>48.38</v>
      </c>
      <c r="DV25">
        <v>47.982500000000002</v>
      </c>
      <c r="DW25">
        <v>47.375</v>
      </c>
      <c r="DX25">
        <v>47.741500000000002</v>
      </c>
      <c r="DY25">
        <v>47.707999999999998</v>
      </c>
      <c r="DZ25" t="s">
        <v>137</v>
      </c>
      <c r="EA25" t="s">
        <v>137</v>
      </c>
      <c r="EB25">
        <v>43.642499999999998</v>
      </c>
      <c r="EC25">
        <v>44.625</v>
      </c>
      <c r="ED25">
        <v>44.375</v>
      </c>
      <c r="EE25">
        <v>45.5</v>
      </c>
      <c r="EF25">
        <v>45.710500000000003</v>
      </c>
      <c r="EG25" t="s">
        <v>137</v>
      </c>
      <c r="EH25" t="s">
        <v>137</v>
      </c>
      <c r="EI25">
        <v>46.5</v>
      </c>
      <c r="EJ25">
        <v>46.125</v>
      </c>
      <c r="EK25">
        <v>46.25</v>
      </c>
      <c r="EL25">
        <v>46.79</v>
      </c>
      <c r="EM25">
        <v>46.375</v>
      </c>
      <c r="EN25" t="s">
        <v>137</v>
      </c>
      <c r="EO25" t="s">
        <v>137</v>
      </c>
      <c r="EP25">
        <v>45.875</v>
      </c>
      <c r="EQ25">
        <v>44.6875</v>
      </c>
      <c r="ER25">
        <v>43.8125</v>
      </c>
      <c r="ES25">
        <v>43.8125</v>
      </c>
      <c r="ET25">
        <v>42.9375</v>
      </c>
      <c r="EU25" t="s">
        <v>137</v>
      </c>
      <c r="EV25" t="s">
        <v>137</v>
      </c>
      <c r="EW25">
        <v>42.310499999999998</v>
      </c>
      <c r="EX25">
        <v>41.625</v>
      </c>
      <c r="EY25">
        <v>43.5</v>
      </c>
      <c r="EZ25">
        <v>42.585000000000001</v>
      </c>
      <c r="FA25">
        <v>42.625</v>
      </c>
      <c r="FB25" t="s">
        <v>137</v>
      </c>
      <c r="FC25" t="s">
        <v>137</v>
      </c>
      <c r="FD25">
        <v>43.625</v>
      </c>
      <c r="FE25">
        <v>45.375</v>
      </c>
      <c r="FF25">
        <v>45.125</v>
      </c>
      <c r="FG25">
        <v>44.4375</v>
      </c>
      <c r="FH25">
        <v>44.875</v>
      </c>
      <c r="FI25" t="s">
        <v>137</v>
      </c>
      <c r="FJ25" t="s">
        <v>137</v>
      </c>
      <c r="FK25">
        <v>44.8125</v>
      </c>
      <c r="FL25">
        <v>42.9375</v>
      </c>
      <c r="FM25">
        <v>43.416499999999999</v>
      </c>
      <c r="FN25">
        <v>42.308999999999997</v>
      </c>
      <c r="FO25">
        <v>42.375</v>
      </c>
      <c r="FP25" t="s">
        <v>137</v>
      </c>
      <c r="FQ25" t="s">
        <v>137</v>
      </c>
      <c r="FR25">
        <v>42.4375</v>
      </c>
      <c r="FS25">
        <v>42.158000000000001</v>
      </c>
      <c r="FT25">
        <v>42.158000000000001</v>
      </c>
      <c r="FU25">
        <v>42.158000000000001</v>
      </c>
      <c r="FV25">
        <v>42.375</v>
      </c>
      <c r="FW25" t="s">
        <v>137</v>
      </c>
      <c r="FX25" t="s">
        <v>137</v>
      </c>
      <c r="FY25">
        <v>42.375</v>
      </c>
      <c r="FZ25">
        <v>42.625</v>
      </c>
      <c r="GA25">
        <v>42.438000000000002</v>
      </c>
      <c r="GB25">
        <v>42.438000000000002</v>
      </c>
      <c r="GC25">
        <v>42.438000000000002</v>
      </c>
      <c r="GD25" t="s">
        <v>137</v>
      </c>
      <c r="GE25" t="s">
        <v>137</v>
      </c>
      <c r="GF25">
        <v>42.438000000000002</v>
      </c>
      <c r="GG25">
        <v>42.438000000000002</v>
      </c>
      <c r="GH25" s="4">
        <v>42.438000000000002</v>
      </c>
      <c r="GI25">
        <v>39.75</v>
      </c>
      <c r="GJ25">
        <v>39.75</v>
      </c>
      <c r="GK25" t="s">
        <v>137</v>
      </c>
      <c r="GL25" t="s">
        <v>137</v>
      </c>
      <c r="GM25">
        <v>39.75</v>
      </c>
      <c r="GN25">
        <v>39.75</v>
      </c>
      <c r="GO25">
        <v>34.783999999999999</v>
      </c>
      <c r="GP25">
        <v>34.783999999999999</v>
      </c>
      <c r="GQ25">
        <v>30.625</v>
      </c>
      <c r="GR25" t="s">
        <v>137</v>
      </c>
      <c r="GS25" t="s">
        <v>137</v>
      </c>
      <c r="GT25">
        <v>30.625</v>
      </c>
      <c r="GU25">
        <v>30.625</v>
      </c>
      <c r="GV25">
        <v>30.625</v>
      </c>
      <c r="GW25">
        <v>30.625</v>
      </c>
      <c r="GX25">
        <v>25.625</v>
      </c>
      <c r="GY25" t="s">
        <v>137</v>
      </c>
      <c r="GZ25" t="s">
        <v>137</v>
      </c>
      <c r="HA25">
        <v>25.48</v>
      </c>
      <c r="HB25">
        <v>23.375</v>
      </c>
      <c r="HC25">
        <v>24.125</v>
      </c>
      <c r="HD25">
        <v>24.75</v>
      </c>
      <c r="HE25">
        <v>24.625</v>
      </c>
      <c r="HF25" t="s">
        <v>137</v>
      </c>
      <c r="HG25" t="s">
        <v>137</v>
      </c>
      <c r="HH25">
        <v>25.175000000000001</v>
      </c>
      <c r="HI25">
        <v>26.125</v>
      </c>
      <c r="HJ25">
        <v>25.991499999999998</v>
      </c>
      <c r="HK25">
        <v>26.125</v>
      </c>
      <c r="HL25">
        <v>27</v>
      </c>
      <c r="HM25" t="s">
        <v>137</v>
      </c>
      <c r="HN25" t="s">
        <v>137</v>
      </c>
      <c r="HO25">
        <v>27.553000000000001</v>
      </c>
      <c r="HP25">
        <v>27.5</v>
      </c>
      <c r="HQ25">
        <v>26.625</v>
      </c>
      <c r="HR25">
        <v>26.714500000000001</v>
      </c>
      <c r="HS25">
        <v>26.25</v>
      </c>
      <c r="HT25" t="s">
        <v>137</v>
      </c>
      <c r="HU25" t="s">
        <v>137</v>
      </c>
      <c r="HV25">
        <v>26.125</v>
      </c>
      <c r="HW25">
        <v>26.375</v>
      </c>
      <c r="HX25">
        <v>26</v>
      </c>
      <c r="HY25">
        <v>25.875</v>
      </c>
      <c r="HZ25">
        <v>26.504999999999999</v>
      </c>
      <c r="IA25" t="s">
        <v>137</v>
      </c>
      <c r="IB25" t="s">
        <v>137</v>
      </c>
      <c r="IC25">
        <v>29.875</v>
      </c>
      <c r="ID25">
        <v>29.875</v>
      </c>
      <c r="IE25">
        <v>28.75</v>
      </c>
      <c r="IF25">
        <v>28.75</v>
      </c>
      <c r="IG25">
        <v>28.75</v>
      </c>
      <c r="IH25" t="s">
        <v>137</v>
      </c>
      <c r="II25" t="s">
        <v>137</v>
      </c>
      <c r="IJ25">
        <v>28.75</v>
      </c>
      <c r="IK25">
        <v>24.5</v>
      </c>
      <c r="IL25">
        <v>24.375</v>
      </c>
      <c r="IM25">
        <v>24.125</v>
      </c>
      <c r="IN25">
        <v>23</v>
      </c>
      <c r="IO25" t="s">
        <v>137</v>
      </c>
      <c r="IP25" t="s">
        <v>137</v>
      </c>
      <c r="IQ25">
        <v>22.875</v>
      </c>
      <c r="IR25">
        <v>24.5</v>
      </c>
      <c r="IS25">
        <v>25.375</v>
      </c>
      <c r="IT25">
        <v>25.5</v>
      </c>
      <c r="IU25">
        <v>25.875</v>
      </c>
      <c r="IV25" t="s">
        <v>137</v>
      </c>
      <c r="IW25" t="s">
        <v>137</v>
      </c>
      <c r="IX25">
        <v>27.5</v>
      </c>
      <c r="IY25">
        <v>28.5</v>
      </c>
      <c r="IZ25">
        <v>27.875</v>
      </c>
      <c r="JA25">
        <v>27.375</v>
      </c>
      <c r="JB25">
        <v>29.25</v>
      </c>
      <c r="JC25" t="s">
        <v>137</v>
      </c>
      <c r="JD25" t="s">
        <v>137</v>
      </c>
      <c r="JE25">
        <v>31.125</v>
      </c>
      <c r="JF25">
        <v>29.75</v>
      </c>
      <c r="JG25">
        <v>29.5</v>
      </c>
      <c r="JH25">
        <v>30.25</v>
      </c>
      <c r="JI25">
        <v>30.125</v>
      </c>
      <c r="JJ25" t="s">
        <v>137</v>
      </c>
      <c r="JK25" t="s">
        <v>137</v>
      </c>
      <c r="JL25">
        <v>30.125</v>
      </c>
      <c r="JM25">
        <v>35.625</v>
      </c>
      <c r="JN25">
        <v>34.75</v>
      </c>
      <c r="JO25">
        <v>34.25</v>
      </c>
      <c r="JP25">
        <v>36.25</v>
      </c>
      <c r="JQ25" t="s">
        <v>137</v>
      </c>
      <c r="JR25" t="s">
        <v>137</v>
      </c>
      <c r="JS25">
        <v>36.125</v>
      </c>
      <c r="JT25">
        <v>36.5</v>
      </c>
      <c r="JU25">
        <v>38.125</v>
      </c>
      <c r="JV25">
        <v>37.625</v>
      </c>
      <c r="JW25">
        <v>37.375</v>
      </c>
      <c r="JX25" t="s">
        <v>137</v>
      </c>
      <c r="JY25" t="s">
        <v>137</v>
      </c>
      <c r="JZ25">
        <v>38.875</v>
      </c>
      <c r="KA25">
        <v>37.375</v>
      </c>
      <c r="KB25">
        <v>38.375</v>
      </c>
      <c r="KC25">
        <v>37.25</v>
      </c>
      <c r="KD25">
        <v>37.5</v>
      </c>
      <c r="KE25" t="s">
        <v>137</v>
      </c>
      <c r="KF25" t="s">
        <v>137</v>
      </c>
      <c r="KG25">
        <v>37.375</v>
      </c>
      <c r="KH25">
        <v>38.125</v>
      </c>
      <c r="KI25">
        <v>37.75</v>
      </c>
      <c r="KJ25">
        <v>36.875</v>
      </c>
      <c r="KK25">
        <v>38.125</v>
      </c>
      <c r="KL25" t="s">
        <v>137</v>
      </c>
      <c r="KM25" t="s">
        <v>137</v>
      </c>
      <c r="KN25">
        <v>38.875</v>
      </c>
      <c r="KO25">
        <v>39.875</v>
      </c>
      <c r="KP25">
        <v>39</v>
      </c>
      <c r="KQ25">
        <v>38.5</v>
      </c>
      <c r="KR25">
        <v>38</v>
      </c>
      <c r="KS25" t="s">
        <v>137</v>
      </c>
      <c r="KT25" t="s">
        <v>137</v>
      </c>
      <c r="KU25">
        <v>39.375</v>
      </c>
      <c r="KV25">
        <v>39.125</v>
      </c>
      <c r="KW25">
        <v>39</v>
      </c>
      <c r="KX25">
        <v>39</v>
      </c>
      <c r="KY25">
        <v>39</v>
      </c>
      <c r="KZ25" t="s">
        <v>137</v>
      </c>
      <c r="LA25" t="s">
        <v>137</v>
      </c>
      <c r="LB25">
        <v>40.375</v>
      </c>
      <c r="LC25">
        <v>40.875</v>
      </c>
      <c r="LD25">
        <v>41.375</v>
      </c>
      <c r="LE25">
        <v>41</v>
      </c>
      <c r="LF25">
        <v>40.875</v>
      </c>
      <c r="LG25" t="s">
        <v>137</v>
      </c>
      <c r="LH25" t="s">
        <v>137</v>
      </c>
      <c r="LI25">
        <v>40.875</v>
      </c>
      <c r="LJ25">
        <v>40.836500000000001</v>
      </c>
      <c r="LK25">
        <v>40.021000000000001</v>
      </c>
      <c r="LL25">
        <v>40.404000000000003</v>
      </c>
      <c r="LM25">
        <v>40.198999999999998</v>
      </c>
      <c r="LN25" t="s">
        <v>137</v>
      </c>
      <c r="LO25" t="s">
        <v>137</v>
      </c>
      <c r="LP25">
        <v>40.164999999999999</v>
      </c>
      <c r="LQ25">
        <v>40.325000000000003</v>
      </c>
      <c r="LR25">
        <v>41.593499999999999</v>
      </c>
      <c r="LS25">
        <v>42.546500000000002</v>
      </c>
      <c r="LT25">
        <v>42.243000000000002</v>
      </c>
      <c r="LU25" t="s">
        <v>137</v>
      </c>
      <c r="LV25" t="s">
        <v>137</v>
      </c>
      <c r="LW25">
        <v>42.346499999999999</v>
      </c>
      <c r="LX25">
        <v>41.905000000000001</v>
      </c>
      <c r="LY25">
        <v>41.378500000000003</v>
      </c>
      <c r="LZ25">
        <v>41.363500000000002</v>
      </c>
      <c r="MA25">
        <v>41.4985</v>
      </c>
      <c r="MB25" t="s">
        <v>137</v>
      </c>
      <c r="MC25" t="s">
        <v>137</v>
      </c>
      <c r="MD25">
        <v>41.682000000000002</v>
      </c>
      <c r="ME25">
        <v>46.223500000000001</v>
      </c>
      <c r="MF25">
        <v>46.603000000000002</v>
      </c>
      <c r="MG25">
        <v>45.402999999999999</v>
      </c>
      <c r="MH25">
        <v>45.258499999999998</v>
      </c>
      <c r="MI25" t="s">
        <v>137</v>
      </c>
      <c r="MJ25" t="s">
        <v>137</v>
      </c>
      <c r="MK25">
        <v>44.691499999999998</v>
      </c>
      <c r="ML25">
        <v>45.332000000000001</v>
      </c>
      <c r="MM25">
        <v>44.954999999999998</v>
      </c>
      <c r="MN25">
        <v>44.546999999999997</v>
      </c>
      <c r="MO25">
        <v>44.243499999999997</v>
      </c>
      <c r="MP25" t="s">
        <v>137</v>
      </c>
      <c r="MQ25" t="s">
        <v>137</v>
      </c>
      <c r="MR25">
        <v>44.094499999999996</v>
      </c>
      <c r="MS25">
        <v>43.911999999999999</v>
      </c>
      <c r="MT25">
        <v>43.454999999999998</v>
      </c>
      <c r="MU25">
        <v>43.862499999999997</v>
      </c>
      <c r="MV25">
        <v>43.2515</v>
      </c>
      <c r="MW25" t="s">
        <v>137</v>
      </c>
      <c r="MX25" t="s">
        <v>137</v>
      </c>
      <c r="MY25">
        <v>42.933</v>
      </c>
      <c r="MZ25">
        <v>42.625</v>
      </c>
      <c r="NA25">
        <v>43.16</v>
      </c>
      <c r="NB25">
        <v>42.832000000000001</v>
      </c>
      <c r="NC25">
        <v>42.603000000000002</v>
      </c>
      <c r="ND25" t="s">
        <v>137</v>
      </c>
      <c r="NE25" t="s">
        <v>137</v>
      </c>
      <c r="NF25">
        <v>42.9375</v>
      </c>
      <c r="NG25">
        <v>43.5</v>
      </c>
      <c r="NH25">
        <v>44.625</v>
      </c>
      <c r="NI25">
        <v>45.484499999999997</v>
      </c>
      <c r="NJ25">
        <v>44.772500000000001</v>
      </c>
      <c r="NK25" t="s">
        <v>137</v>
      </c>
      <c r="NL25" t="s">
        <v>137</v>
      </c>
      <c r="NM25" t="s">
        <v>137</v>
      </c>
      <c r="NN25" t="s">
        <v>137</v>
      </c>
      <c r="NO25" t="s">
        <v>137</v>
      </c>
      <c r="NP25" t="s">
        <v>137</v>
      </c>
      <c r="NQ25" t="s">
        <v>137</v>
      </c>
      <c r="NR25" t="s">
        <v>137</v>
      </c>
      <c r="NS25" t="s">
        <v>137</v>
      </c>
      <c r="NT25" t="s">
        <v>137</v>
      </c>
      <c r="NU25" t="s">
        <v>137</v>
      </c>
      <c r="NV25" t="s">
        <v>137</v>
      </c>
      <c r="NW25" t="s">
        <v>137</v>
      </c>
      <c r="NX25" t="s">
        <v>137</v>
      </c>
      <c r="NY25" t="s">
        <v>137</v>
      </c>
      <c r="NZ25" t="s">
        <v>137</v>
      </c>
      <c r="OA25" t="s">
        <v>137</v>
      </c>
      <c r="OB25" t="s">
        <v>137</v>
      </c>
      <c r="OC25" t="s">
        <v>137</v>
      </c>
      <c r="OD25" t="s">
        <v>137</v>
      </c>
      <c r="OE25" t="s">
        <v>137</v>
      </c>
      <c r="OF25" t="s">
        <v>137</v>
      </c>
      <c r="OG25" t="s">
        <v>137</v>
      </c>
      <c r="OH25" t="s">
        <v>137</v>
      </c>
      <c r="OI25" t="s">
        <v>137</v>
      </c>
      <c r="OJ25" t="s">
        <v>137</v>
      </c>
      <c r="OK25" t="s">
        <v>137</v>
      </c>
      <c r="OL25" t="s">
        <v>137</v>
      </c>
      <c r="OM25" t="s">
        <v>137</v>
      </c>
      <c r="ON25" t="s">
        <v>137</v>
      </c>
      <c r="OO25" t="s">
        <v>137</v>
      </c>
      <c r="OP25" t="s">
        <v>137</v>
      </c>
      <c r="OQ25" t="s">
        <v>137</v>
      </c>
      <c r="OR25" t="s">
        <v>137</v>
      </c>
      <c r="OS25" t="s">
        <v>137</v>
      </c>
      <c r="OT25" t="s">
        <v>137</v>
      </c>
      <c r="OU25" t="s">
        <v>137</v>
      </c>
      <c r="OV25" t="s">
        <v>137</v>
      </c>
      <c r="OW25" t="s">
        <v>137</v>
      </c>
      <c r="OX25" t="s">
        <v>137</v>
      </c>
      <c r="OY25" t="s">
        <v>137</v>
      </c>
      <c r="OZ25" t="s">
        <v>137</v>
      </c>
      <c r="PA25" t="s">
        <v>137</v>
      </c>
      <c r="PB25" t="s">
        <v>137</v>
      </c>
      <c r="PC25" t="s">
        <v>137</v>
      </c>
      <c r="PD25" t="s">
        <v>137</v>
      </c>
      <c r="PE25" t="s">
        <v>137</v>
      </c>
      <c r="PF25" t="s">
        <v>137</v>
      </c>
      <c r="PG25" t="s">
        <v>137</v>
      </c>
      <c r="PH25" t="s">
        <v>137</v>
      </c>
      <c r="PI25" t="s">
        <v>137</v>
      </c>
      <c r="PJ25" t="s">
        <v>137</v>
      </c>
      <c r="PK25" t="s">
        <v>137</v>
      </c>
      <c r="PL25" t="s">
        <v>137</v>
      </c>
      <c r="PM25" t="s">
        <v>137</v>
      </c>
      <c r="PN25" t="s">
        <v>137</v>
      </c>
      <c r="PO25" t="s">
        <v>137</v>
      </c>
      <c r="PP25" t="s">
        <v>137</v>
      </c>
      <c r="PQ25" t="s">
        <v>137</v>
      </c>
      <c r="PR25" t="s">
        <v>137</v>
      </c>
      <c r="PS25" t="s">
        <v>137</v>
      </c>
      <c r="PT25" t="s">
        <v>137</v>
      </c>
      <c r="PU25" t="s">
        <v>137</v>
      </c>
      <c r="PV25" t="s">
        <v>137</v>
      </c>
      <c r="PW25" t="s">
        <v>137</v>
      </c>
      <c r="PX25" t="s">
        <v>137</v>
      </c>
      <c r="PY25" t="s">
        <v>137</v>
      </c>
      <c r="PZ25" t="s">
        <v>137</v>
      </c>
      <c r="QA25" t="s">
        <v>137</v>
      </c>
      <c r="QB25" t="s">
        <v>137</v>
      </c>
      <c r="QC25" t="s">
        <v>137</v>
      </c>
      <c r="QD25" t="s">
        <v>137</v>
      </c>
      <c r="QE25" t="s">
        <v>137</v>
      </c>
      <c r="QF25" t="s">
        <v>137</v>
      </c>
      <c r="QG25" t="s">
        <v>137</v>
      </c>
      <c r="QH25" t="s">
        <v>137</v>
      </c>
      <c r="QI25" t="s">
        <v>137</v>
      </c>
      <c r="QJ25" t="s">
        <v>137</v>
      </c>
      <c r="QK25" t="s">
        <v>137</v>
      </c>
      <c r="QL25" t="s">
        <v>137</v>
      </c>
      <c r="QM25" t="s">
        <v>137</v>
      </c>
      <c r="QN25" t="s">
        <v>137</v>
      </c>
      <c r="QO25" t="s">
        <v>137</v>
      </c>
    </row>
    <row r="26" spans="1:457" x14ac:dyDescent="0.2">
      <c r="A26" t="s">
        <v>127</v>
      </c>
      <c r="B26" s="3">
        <v>42914</v>
      </c>
      <c r="C26" t="s">
        <v>92</v>
      </c>
      <c r="E26" t="s">
        <v>137</v>
      </c>
      <c r="F26">
        <v>37.75</v>
      </c>
      <c r="G26">
        <v>38.25</v>
      </c>
      <c r="H26">
        <v>41</v>
      </c>
      <c r="I26">
        <v>42</v>
      </c>
      <c r="J26">
        <v>45.25</v>
      </c>
      <c r="K26" t="s">
        <v>137</v>
      </c>
      <c r="L26" t="s">
        <v>137</v>
      </c>
      <c r="M26">
        <v>47.25</v>
      </c>
      <c r="N26">
        <v>43.25</v>
      </c>
      <c r="O26">
        <v>44.75</v>
      </c>
      <c r="P26">
        <v>44.25</v>
      </c>
      <c r="Q26">
        <v>42.25</v>
      </c>
      <c r="R26" t="s">
        <v>137</v>
      </c>
      <c r="S26" t="s">
        <v>137</v>
      </c>
      <c r="T26">
        <v>42</v>
      </c>
      <c r="U26">
        <v>42.25</v>
      </c>
      <c r="V26">
        <v>44.25</v>
      </c>
      <c r="W26">
        <v>43.5</v>
      </c>
      <c r="X26">
        <v>43.5</v>
      </c>
      <c r="Y26" t="s">
        <v>137</v>
      </c>
      <c r="Z26" t="s">
        <v>137</v>
      </c>
      <c r="AA26">
        <v>43.25</v>
      </c>
      <c r="AB26">
        <v>42</v>
      </c>
      <c r="AC26">
        <v>41.5</v>
      </c>
      <c r="AD26">
        <v>42.25</v>
      </c>
      <c r="AE26">
        <v>43</v>
      </c>
      <c r="AF26" t="s">
        <v>137</v>
      </c>
      <c r="AG26" t="s">
        <v>137</v>
      </c>
      <c r="AH26">
        <v>43.5</v>
      </c>
      <c r="AI26">
        <v>43.25</v>
      </c>
      <c r="AJ26">
        <v>43.5</v>
      </c>
      <c r="AK26">
        <v>42.875</v>
      </c>
      <c r="AL26">
        <v>43.375</v>
      </c>
      <c r="AM26" t="s">
        <v>137</v>
      </c>
      <c r="AN26" t="s">
        <v>137</v>
      </c>
      <c r="AO26">
        <v>44.25</v>
      </c>
      <c r="AP26">
        <v>43.875</v>
      </c>
      <c r="AQ26">
        <v>44.75</v>
      </c>
      <c r="AR26">
        <v>47.5</v>
      </c>
      <c r="AS26">
        <v>47.25</v>
      </c>
      <c r="AT26" t="s">
        <v>137</v>
      </c>
      <c r="AU26" t="s">
        <v>137</v>
      </c>
      <c r="AV26">
        <v>46.75</v>
      </c>
      <c r="AW26">
        <v>46.25</v>
      </c>
      <c r="AX26">
        <v>44.5</v>
      </c>
      <c r="AY26">
        <v>44.625</v>
      </c>
      <c r="AZ26">
        <v>43.875</v>
      </c>
      <c r="BA26" t="s">
        <v>137</v>
      </c>
      <c r="BB26" t="s">
        <v>137</v>
      </c>
      <c r="BC26">
        <v>42.75</v>
      </c>
      <c r="BD26">
        <v>41.75</v>
      </c>
      <c r="BE26">
        <v>42.125</v>
      </c>
      <c r="BF26">
        <v>43.25</v>
      </c>
      <c r="BG26">
        <v>42.375</v>
      </c>
      <c r="BH26" t="s">
        <v>137</v>
      </c>
      <c r="BI26" t="s">
        <v>137</v>
      </c>
      <c r="BJ26">
        <v>40</v>
      </c>
      <c r="BK26">
        <v>40.75</v>
      </c>
      <c r="BL26">
        <v>40.625</v>
      </c>
      <c r="BM26">
        <v>40</v>
      </c>
      <c r="BN26">
        <v>40.25</v>
      </c>
      <c r="BO26" t="s">
        <v>137</v>
      </c>
      <c r="BP26" t="s">
        <v>137</v>
      </c>
      <c r="BQ26">
        <v>40</v>
      </c>
      <c r="BR26">
        <v>39.875</v>
      </c>
      <c r="BS26">
        <v>39.5</v>
      </c>
      <c r="BT26">
        <v>38.75</v>
      </c>
      <c r="BU26">
        <v>38.125</v>
      </c>
      <c r="BV26" t="s">
        <v>137</v>
      </c>
      <c r="BW26" t="s">
        <v>137</v>
      </c>
      <c r="BX26">
        <v>37.875</v>
      </c>
      <c r="BY26">
        <v>37.75</v>
      </c>
      <c r="BZ26">
        <v>37</v>
      </c>
      <c r="CA26">
        <v>38.625</v>
      </c>
      <c r="CB26">
        <v>38.375</v>
      </c>
      <c r="CC26" t="s">
        <v>137</v>
      </c>
      <c r="CD26" t="s">
        <v>137</v>
      </c>
      <c r="CE26">
        <v>38.25</v>
      </c>
      <c r="CF26">
        <v>38.375</v>
      </c>
      <c r="CG26">
        <v>41.25</v>
      </c>
      <c r="CH26">
        <v>42.25</v>
      </c>
      <c r="CI26">
        <v>42.375</v>
      </c>
      <c r="CJ26" t="s">
        <v>137</v>
      </c>
      <c r="CK26" t="s">
        <v>137</v>
      </c>
      <c r="CL26">
        <v>41.125</v>
      </c>
      <c r="CM26">
        <v>40.75</v>
      </c>
      <c r="CN26">
        <v>41.5</v>
      </c>
      <c r="CO26">
        <v>41</v>
      </c>
      <c r="CP26">
        <v>41.25</v>
      </c>
      <c r="CQ26" t="s">
        <v>137</v>
      </c>
      <c r="CR26" t="s">
        <v>137</v>
      </c>
      <c r="CS26">
        <v>40.25</v>
      </c>
      <c r="CT26">
        <v>39.25</v>
      </c>
      <c r="CU26">
        <v>40.5</v>
      </c>
      <c r="CV26">
        <v>39.375</v>
      </c>
      <c r="CW26">
        <v>39.375</v>
      </c>
      <c r="CX26" t="s">
        <v>137</v>
      </c>
      <c r="CY26" t="s">
        <v>137</v>
      </c>
      <c r="CZ26">
        <v>41.875</v>
      </c>
      <c r="DA26">
        <v>41.125</v>
      </c>
      <c r="DB26">
        <v>41.625</v>
      </c>
      <c r="DC26">
        <v>41.625</v>
      </c>
      <c r="DD26">
        <v>41.5</v>
      </c>
      <c r="DE26" t="s">
        <v>137</v>
      </c>
      <c r="DF26" t="s">
        <v>137</v>
      </c>
      <c r="DG26">
        <v>41.5</v>
      </c>
      <c r="DH26">
        <v>43.5</v>
      </c>
      <c r="DI26">
        <v>45.375</v>
      </c>
      <c r="DJ26">
        <v>45.625</v>
      </c>
      <c r="DK26">
        <v>45.75</v>
      </c>
      <c r="DL26" t="s">
        <v>137</v>
      </c>
      <c r="DM26" t="s">
        <v>137</v>
      </c>
      <c r="DN26">
        <v>46.75</v>
      </c>
      <c r="DO26">
        <v>48.25</v>
      </c>
      <c r="DP26">
        <v>48.25</v>
      </c>
      <c r="DQ26">
        <v>48.25</v>
      </c>
      <c r="DR26">
        <v>49.625</v>
      </c>
      <c r="DS26" t="s">
        <v>137</v>
      </c>
      <c r="DT26" t="s">
        <v>137</v>
      </c>
      <c r="DU26">
        <v>50.25</v>
      </c>
      <c r="DV26">
        <v>50.25</v>
      </c>
      <c r="DW26">
        <v>50.25</v>
      </c>
      <c r="DX26">
        <v>49</v>
      </c>
      <c r="DY26">
        <v>47.25</v>
      </c>
      <c r="DZ26" t="s">
        <v>137</v>
      </c>
      <c r="EA26" t="s">
        <v>137</v>
      </c>
      <c r="EB26">
        <v>45.875</v>
      </c>
      <c r="EC26">
        <v>47.375</v>
      </c>
      <c r="ED26">
        <v>46.625</v>
      </c>
      <c r="EE26">
        <v>48</v>
      </c>
      <c r="EF26">
        <v>48.875</v>
      </c>
      <c r="EG26" t="s">
        <v>137</v>
      </c>
      <c r="EH26" t="s">
        <v>137</v>
      </c>
      <c r="EI26">
        <v>48.5</v>
      </c>
      <c r="EJ26">
        <v>47.75</v>
      </c>
      <c r="EK26">
        <v>48</v>
      </c>
      <c r="EL26">
        <v>48.5</v>
      </c>
      <c r="EM26">
        <v>47.875</v>
      </c>
      <c r="EN26" t="s">
        <v>137</v>
      </c>
      <c r="EO26" t="s">
        <v>137</v>
      </c>
      <c r="EP26">
        <v>47.875</v>
      </c>
      <c r="EQ26">
        <v>46.5</v>
      </c>
      <c r="ER26">
        <v>44.625</v>
      </c>
      <c r="ES26">
        <v>44.75</v>
      </c>
      <c r="ET26">
        <v>44.625</v>
      </c>
      <c r="EU26" t="s">
        <v>137</v>
      </c>
      <c r="EV26" t="s">
        <v>137</v>
      </c>
      <c r="EW26">
        <v>43.25</v>
      </c>
      <c r="EX26">
        <v>42.625</v>
      </c>
      <c r="EY26">
        <v>44.25</v>
      </c>
      <c r="EZ26">
        <v>43.75</v>
      </c>
      <c r="FA26">
        <v>43.25</v>
      </c>
      <c r="FB26" t="s">
        <v>137</v>
      </c>
      <c r="FC26" t="s">
        <v>137</v>
      </c>
      <c r="FD26">
        <v>44.875</v>
      </c>
      <c r="FE26">
        <v>45.5</v>
      </c>
      <c r="FF26">
        <v>46.375</v>
      </c>
      <c r="FG26">
        <v>45.25</v>
      </c>
      <c r="FH26">
        <v>45.75</v>
      </c>
      <c r="FI26" t="s">
        <v>137</v>
      </c>
      <c r="FJ26" t="s">
        <v>137</v>
      </c>
      <c r="FK26">
        <v>45.375</v>
      </c>
      <c r="FL26">
        <v>44.375</v>
      </c>
      <c r="FM26">
        <v>43.875</v>
      </c>
      <c r="FN26">
        <v>42.5</v>
      </c>
      <c r="FO26">
        <v>43.125</v>
      </c>
      <c r="FP26" t="s">
        <v>137</v>
      </c>
      <c r="FQ26" t="s">
        <v>137</v>
      </c>
      <c r="FR26">
        <v>43.5</v>
      </c>
      <c r="FS26">
        <v>42.5</v>
      </c>
      <c r="FT26">
        <v>42.875</v>
      </c>
      <c r="FU26">
        <v>42</v>
      </c>
      <c r="FV26">
        <v>43.125</v>
      </c>
      <c r="FW26" t="s">
        <v>137</v>
      </c>
      <c r="FX26" t="s">
        <v>137</v>
      </c>
      <c r="FY26">
        <v>43.25</v>
      </c>
      <c r="FZ26">
        <v>43.625</v>
      </c>
      <c r="GA26">
        <v>43.125</v>
      </c>
      <c r="GB26">
        <v>41.5</v>
      </c>
      <c r="GC26">
        <v>40.375</v>
      </c>
      <c r="GD26" t="s">
        <v>137</v>
      </c>
      <c r="GE26" t="s">
        <v>137</v>
      </c>
      <c r="GF26">
        <v>40.5</v>
      </c>
      <c r="GG26">
        <v>41.75</v>
      </c>
      <c r="GH26" s="4">
        <v>42.25</v>
      </c>
      <c r="GI26">
        <v>40.375</v>
      </c>
      <c r="GJ26">
        <v>38.625</v>
      </c>
      <c r="GK26" t="s">
        <v>137</v>
      </c>
      <c r="GL26" t="s">
        <v>137</v>
      </c>
      <c r="GM26">
        <v>35.5</v>
      </c>
      <c r="GN26">
        <v>35.5</v>
      </c>
      <c r="GO26">
        <v>34.75</v>
      </c>
      <c r="GP26">
        <v>31.5</v>
      </c>
      <c r="GQ26">
        <v>31</v>
      </c>
      <c r="GR26" t="s">
        <v>137</v>
      </c>
      <c r="GS26" t="s">
        <v>137</v>
      </c>
      <c r="GT26">
        <v>30.25</v>
      </c>
      <c r="GU26">
        <v>28.75</v>
      </c>
      <c r="GV26">
        <v>26.5</v>
      </c>
      <c r="GW26">
        <v>24.75</v>
      </c>
      <c r="GX26">
        <v>25.75</v>
      </c>
      <c r="GY26" t="s">
        <v>137</v>
      </c>
      <c r="GZ26" t="s">
        <v>137</v>
      </c>
      <c r="HA26">
        <v>24</v>
      </c>
      <c r="HB26">
        <v>24</v>
      </c>
      <c r="HC26">
        <v>24.375</v>
      </c>
      <c r="HD26">
        <v>25</v>
      </c>
      <c r="HE26">
        <v>24.625</v>
      </c>
      <c r="HF26" t="s">
        <v>137</v>
      </c>
      <c r="HG26" t="s">
        <v>137</v>
      </c>
      <c r="HH26">
        <v>24.625</v>
      </c>
      <c r="HI26">
        <v>25.5</v>
      </c>
      <c r="HJ26">
        <v>25.75</v>
      </c>
      <c r="HK26">
        <v>26.25</v>
      </c>
      <c r="HL26">
        <v>27</v>
      </c>
      <c r="HM26" t="s">
        <v>137</v>
      </c>
      <c r="HN26" t="s">
        <v>137</v>
      </c>
      <c r="HO26">
        <v>28.125</v>
      </c>
      <c r="HP26">
        <v>28.125</v>
      </c>
      <c r="HQ26">
        <v>26.25</v>
      </c>
      <c r="HR26">
        <v>26</v>
      </c>
      <c r="HS26">
        <v>26</v>
      </c>
      <c r="HT26" t="s">
        <v>137</v>
      </c>
      <c r="HU26" t="s">
        <v>137</v>
      </c>
      <c r="HV26">
        <v>26.25</v>
      </c>
      <c r="HW26">
        <v>26.5</v>
      </c>
      <c r="HX26">
        <v>25.375</v>
      </c>
      <c r="HY26">
        <v>25.875</v>
      </c>
      <c r="HZ26">
        <v>28.375</v>
      </c>
      <c r="IA26" t="s">
        <v>137</v>
      </c>
      <c r="IB26" t="s">
        <v>137</v>
      </c>
      <c r="IC26">
        <v>30</v>
      </c>
      <c r="ID26">
        <v>29.125</v>
      </c>
      <c r="IE26">
        <v>27</v>
      </c>
      <c r="IF26">
        <v>26.25</v>
      </c>
      <c r="IG26">
        <v>24.5</v>
      </c>
      <c r="IH26" t="s">
        <v>137</v>
      </c>
      <c r="II26" t="s">
        <v>137</v>
      </c>
      <c r="IJ26">
        <v>24.5</v>
      </c>
      <c r="IK26">
        <v>24.625</v>
      </c>
      <c r="IL26">
        <v>24.5</v>
      </c>
      <c r="IM26">
        <v>24.5</v>
      </c>
      <c r="IN26">
        <v>23.25</v>
      </c>
      <c r="IO26" t="s">
        <v>137</v>
      </c>
      <c r="IP26" t="s">
        <v>137</v>
      </c>
      <c r="IQ26">
        <v>22.75</v>
      </c>
      <c r="IR26">
        <v>24.5</v>
      </c>
      <c r="IS26">
        <v>25.25</v>
      </c>
      <c r="IT26">
        <v>25.75</v>
      </c>
      <c r="IU26">
        <v>25.75</v>
      </c>
      <c r="IV26" t="s">
        <v>137</v>
      </c>
      <c r="IW26" t="s">
        <v>137</v>
      </c>
      <c r="IX26">
        <v>27.5</v>
      </c>
      <c r="IY26">
        <v>29</v>
      </c>
      <c r="IZ26">
        <v>28</v>
      </c>
      <c r="JA26">
        <v>27.25</v>
      </c>
      <c r="JB26">
        <v>29.25</v>
      </c>
      <c r="JC26" t="s">
        <v>137</v>
      </c>
      <c r="JD26" t="s">
        <v>137</v>
      </c>
      <c r="JE26">
        <v>30.625</v>
      </c>
      <c r="JF26">
        <v>30</v>
      </c>
      <c r="JG26">
        <v>29.125</v>
      </c>
      <c r="JH26">
        <v>29.625</v>
      </c>
      <c r="JI26">
        <v>29.75</v>
      </c>
      <c r="JJ26" t="s">
        <v>137</v>
      </c>
      <c r="JK26" t="s">
        <v>137</v>
      </c>
      <c r="JL26">
        <v>29.75</v>
      </c>
      <c r="JM26">
        <v>35.25</v>
      </c>
      <c r="JN26">
        <v>34.625</v>
      </c>
      <c r="JO26">
        <v>34.375</v>
      </c>
      <c r="JP26">
        <v>36.125</v>
      </c>
      <c r="JQ26" t="s">
        <v>137</v>
      </c>
      <c r="JR26" t="s">
        <v>137</v>
      </c>
      <c r="JS26">
        <v>36</v>
      </c>
      <c r="JT26">
        <v>36.5</v>
      </c>
      <c r="JU26">
        <v>38.25</v>
      </c>
      <c r="JV26">
        <v>38</v>
      </c>
      <c r="JW26">
        <v>37.5</v>
      </c>
      <c r="JX26" t="s">
        <v>137</v>
      </c>
      <c r="JY26" t="s">
        <v>137</v>
      </c>
      <c r="JZ26">
        <v>39.125</v>
      </c>
      <c r="KA26">
        <v>37.5</v>
      </c>
      <c r="KB26">
        <v>38.375</v>
      </c>
      <c r="KC26">
        <v>37.25</v>
      </c>
      <c r="KD26">
        <v>37.625</v>
      </c>
      <c r="KE26" t="s">
        <v>137</v>
      </c>
      <c r="KF26" t="s">
        <v>137</v>
      </c>
      <c r="KG26">
        <v>37.25</v>
      </c>
      <c r="KH26">
        <v>38.125</v>
      </c>
      <c r="KI26">
        <v>37.625</v>
      </c>
      <c r="KJ26">
        <v>36.875</v>
      </c>
      <c r="KK26">
        <v>38</v>
      </c>
      <c r="KL26" t="s">
        <v>137</v>
      </c>
      <c r="KM26" t="s">
        <v>137</v>
      </c>
      <c r="KN26">
        <v>38.875</v>
      </c>
      <c r="KO26">
        <v>39.75</v>
      </c>
      <c r="KP26">
        <v>38.75</v>
      </c>
      <c r="KQ26">
        <v>38.75</v>
      </c>
      <c r="KR26">
        <v>37.875</v>
      </c>
      <c r="KS26" t="s">
        <v>137</v>
      </c>
      <c r="KT26" t="s">
        <v>137</v>
      </c>
      <c r="KU26">
        <v>39.25</v>
      </c>
      <c r="KV26">
        <v>38.875</v>
      </c>
      <c r="KW26">
        <v>38.625</v>
      </c>
      <c r="KX26">
        <v>39</v>
      </c>
      <c r="KY26">
        <v>39</v>
      </c>
      <c r="KZ26" t="s">
        <v>137</v>
      </c>
      <c r="LA26" t="s">
        <v>137</v>
      </c>
      <c r="LB26">
        <v>40.25</v>
      </c>
      <c r="LC26">
        <v>40.625</v>
      </c>
      <c r="LD26">
        <v>41.75</v>
      </c>
      <c r="LE26">
        <v>41.25</v>
      </c>
      <c r="LF26">
        <v>41.125</v>
      </c>
      <c r="LG26" t="s">
        <v>137</v>
      </c>
      <c r="LH26" t="s">
        <v>137</v>
      </c>
      <c r="LI26">
        <v>41.125</v>
      </c>
      <c r="LJ26">
        <v>41.125</v>
      </c>
      <c r="LK26">
        <v>39.75</v>
      </c>
      <c r="LL26">
        <v>40.5</v>
      </c>
      <c r="LM26">
        <v>40.125</v>
      </c>
      <c r="LN26" t="s">
        <v>137</v>
      </c>
      <c r="LO26" t="s">
        <v>137</v>
      </c>
      <c r="LP26">
        <v>40</v>
      </c>
      <c r="LQ26">
        <v>40.875</v>
      </c>
      <c r="LR26">
        <v>41.625</v>
      </c>
      <c r="LS26">
        <v>42.5</v>
      </c>
      <c r="LT26">
        <v>41.875</v>
      </c>
      <c r="LU26" t="s">
        <v>137</v>
      </c>
      <c r="LV26" t="s">
        <v>137</v>
      </c>
      <c r="LW26">
        <v>42.375</v>
      </c>
      <c r="LX26">
        <v>41.5</v>
      </c>
      <c r="LY26">
        <v>41.25</v>
      </c>
      <c r="LZ26">
        <v>41</v>
      </c>
      <c r="MA26">
        <v>41.5</v>
      </c>
      <c r="MB26" t="s">
        <v>137</v>
      </c>
      <c r="MC26" t="s">
        <v>137</v>
      </c>
      <c r="MD26">
        <v>41.375</v>
      </c>
      <c r="ME26">
        <v>46</v>
      </c>
      <c r="MF26">
        <v>46</v>
      </c>
      <c r="MG26">
        <v>45.25</v>
      </c>
      <c r="MH26">
        <v>45.25</v>
      </c>
      <c r="MI26" t="s">
        <v>137</v>
      </c>
      <c r="MJ26" t="s">
        <v>137</v>
      </c>
      <c r="MK26">
        <v>44.75</v>
      </c>
      <c r="ML26">
        <v>44.75</v>
      </c>
      <c r="MM26">
        <v>44.625</v>
      </c>
      <c r="MN26">
        <v>44.125</v>
      </c>
      <c r="MO26">
        <v>43.875</v>
      </c>
      <c r="MP26" t="s">
        <v>137</v>
      </c>
      <c r="MQ26" t="s">
        <v>137</v>
      </c>
      <c r="MR26">
        <v>44</v>
      </c>
      <c r="MS26">
        <v>43.625</v>
      </c>
      <c r="MT26">
        <v>43.75</v>
      </c>
      <c r="MU26">
        <v>43.25</v>
      </c>
      <c r="MV26">
        <v>43.25</v>
      </c>
      <c r="MW26" t="s">
        <v>137</v>
      </c>
      <c r="MX26" t="s">
        <v>137</v>
      </c>
      <c r="MY26">
        <v>43.25</v>
      </c>
      <c r="MZ26">
        <v>43.25</v>
      </c>
      <c r="NA26">
        <v>43.125</v>
      </c>
      <c r="NB26">
        <v>41.125</v>
      </c>
      <c r="NC26">
        <v>43.25</v>
      </c>
      <c r="ND26" t="s">
        <v>137</v>
      </c>
      <c r="NE26" t="s">
        <v>137</v>
      </c>
      <c r="NF26">
        <v>43.375</v>
      </c>
      <c r="NG26">
        <v>43.5</v>
      </c>
      <c r="NH26">
        <v>43.5</v>
      </c>
      <c r="NI26">
        <v>43.375</v>
      </c>
      <c r="NJ26">
        <v>42.375</v>
      </c>
      <c r="NK26" t="s">
        <v>137</v>
      </c>
      <c r="NL26" t="s">
        <v>137</v>
      </c>
      <c r="NM26" t="s">
        <v>137</v>
      </c>
      <c r="NN26" t="s">
        <v>137</v>
      </c>
      <c r="NO26" t="s">
        <v>137</v>
      </c>
      <c r="NP26" t="s">
        <v>137</v>
      </c>
      <c r="NQ26" t="s">
        <v>137</v>
      </c>
      <c r="NR26" t="s">
        <v>137</v>
      </c>
      <c r="NS26" t="s">
        <v>137</v>
      </c>
      <c r="NT26" t="s">
        <v>137</v>
      </c>
      <c r="NU26" t="s">
        <v>137</v>
      </c>
      <c r="NV26" t="s">
        <v>137</v>
      </c>
      <c r="NW26" t="s">
        <v>137</v>
      </c>
      <c r="NX26" t="s">
        <v>137</v>
      </c>
      <c r="NY26" t="s">
        <v>137</v>
      </c>
      <c r="NZ26" t="s">
        <v>137</v>
      </c>
      <c r="OA26" t="s">
        <v>137</v>
      </c>
      <c r="OB26" t="s">
        <v>137</v>
      </c>
      <c r="OC26" t="s">
        <v>137</v>
      </c>
      <c r="OD26" t="s">
        <v>137</v>
      </c>
      <c r="OE26" t="s">
        <v>137</v>
      </c>
      <c r="OF26" t="s">
        <v>137</v>
      </c>
      <c r="OG26" t="s">
        <v>137</v>
      </c>
      <c r="OH26" t="s">
        <v>137</v>
      </c>
      <c r="OI26" t="s">
        <v>137</v>
      </c>
      <c r="OJ26" t="s">
        <v>137</v>
      </c>
      <c r="OK26" t="s">
        <v>137</v>
      </c>
      <c r="OL26" t="s">
        <v>137</v>
      </c>
      <c r="OM26" t="s">
        <v>137</v>
      </c>
      <c r="ON26" t="s">
        <v>137</v>
      </c>
      <c r="OO26" t="s">
        <v>137</v>
      </c>
      <c r="OP26" t="s">
        <v>137</v>
      </c>
      <c r="OQ26" t="s">
        <v>137</v>
      </c>
      <c r="OR26" t="s">
        <v>137</v>
      </c>
      <c r="OS26" t="s">
        <v>137</v>
      </c>
      <c r="OT26" t="s">
        <v>137</v>
      </c>
      <c r="OU26" t="s">
        <v>137</v>
      </c>
      <c r="OV26" t="s">
        <v>137</v>
      </c>
      <c r="OW26" t="s">
        <v>137</v>
      </c>
      <c r="OX26" t="s">
        <v>137</v>
      </c>
      <c r="OY26" t="s">
        <v>137</v>
      </c>
      <c r="OZ26" t="s">
        <v>137</v>
      </c>
      <c r="PA26" t="s">
        <v>137</v>
      </c>
      <c r="PB26" t="s">
        <v>137</v>
      </c>
      <c r="PC26" t="s">
        <v>137</v>
      </c>
      <c r="PD26" t="s">
        <v>137</v>
      </c>
      <c r="PE26" t="s">
        <v>137</v>
      </c>
      <c r="PF26" t="s">
        <v>137</v>
      </c>
      <c r="PG26" t="s">
        <v>137</v>
      </c>
      <c r="PH26" t="s">
        <v>137</v>
      </c>
      <c r="PI26" t="s">
        <v>137</v>
      </c>
      <c r="PJ26" t="s">
        <v>137</v>
      </c>
      <c r="PK26" t="s">
        <v>137</v>
      </c>
      <c r="PL26" t="s">
        <v>137</v>
      </c>
      <c r="PM26" t="s">
        <v>137</v>
      </c>
      <c r="PN26" t="s">
        <v>137</v>
      </c>
      <c r="PO26" t="s">
        <v>137</v>
      </c>
      <c r="PP26" t="s">
        <v>137</v>
      </c>
      <c r="PQ26" t="s">
        <v>137</v>
      </c>
      <c r="PR26" t="s">
        <v>137</v>
      </c>
      <c r="PS26" t="s">
        <v>137</v>
      </c>
      <c r="PT26" t="s">
        <v>137</v>
      </c>
      <c r="PU26" t="s">
        <v>137</v>
      </c>
      <c r="PV26" t="s">
        <v>137</v>
      </c>
      <c r="PW26" t="s">
        <v>137</v>
      </c>
      <c r="PX26" t="s">
        <v>137</v>
      </c>
      <c r="PY26" t="s">
        <v>137</v>
      </c>
      <c r="PZ26" t="s">
        <v>137</v>
      </c>
      <c r="QA26" t="s">
        <v>137</v>
      </c>
      <c r="QB26" t="s">
        <v>137</v>
      </c>
      <c r="QC26" t="s">
        <v>137</v>
      </c>
      <c r="QD26" t="s">
        <v>137</v>
      </c>
      <c r="QE26" t="s">
        <v>137</v>
      </c>
      <c r="QF26" t="s">
        <v>137</v>
      </c>
      <c r="QG26" t="s">
        <v>137</v>
      </c>
      <c r="QH26" t="s">
        <v>137</v>
      </c>
      <c r="QI26" t="s">
        <v>137</v>
      </c>
      <c r="QJ26" t="s">
        <v>137</v>
      </c>
      <c r="QK26" t="s">
        <v>137</v>
      </c>
      <c r="QL26" t="s">
        <v>137</v>
      </c>
      <c r="QM26" t="s">
        <v>137</v>
      </c>
      <c r="QN26" t="s">
        <v>137</v>
      </c>
      <c r="QO26" t="s">
        <v>137</v>
      </c>
    </row>
    <row r="27" spans="1:457" x14ac:dyDescent="0.2">
      <c r="A27" t="s">
        <v>128</v>
      </c>
      <c r="B27" s="3">
        <v>42655</v>
      </c>
      <c r="C27" t="s">
        <v>34</v>
      </c>
      <c r="E27" t="s">
        <v>137</v>
      </c>
      <c r="F27">
        <v>37.18</v>
      </c>
      <c r="G27">
        <v>37.25</v>
      </c>
      <c r="H27">
        <v>37.924500000000002</v>
      </c>
      <c r="I27">
        <v>40.25</v>
      </c>
      <c r="J27">
        <v>42.4375</v>
      </c>
      <c r="K27" t="s">
        <v>137</v>
      </c>
      <c r="L27" t="s">
        <v>137</v>
      </c>
      <c r="M27">
        <v>42.5</v>
      </c>
      <c r="N27">
        <v>40.8125</v>
      </c>
      <c r="O27">
        <v>41.4375</v>
      </c>
      <c r="P27">
        <v>41.1875</v>
      </c>
      <c r="Q27">
        <v>40.0625</v>
      </c>
      <c r="R27" t="s">
        <v>137</v>
      </c>
      <c r="S27" t="s">
        <v>137</v>
      </c>
      <c r="T27">
        <v>39.5</v>
      </c>
      <c r="U27">
        <v>40</v>
      </c>
      <c r="V27">
        <v>41.244999999999997</v>
      </c>
      <c r="W27">
        <v>40.625</v>
      </c>
      <c r="X27">
        <v>41.03</v>
      </c>
      <c r="Y27" t="s">
        <v>137</v>
      </c>
      <c r="Z27" t="s">
        <v>137</v>
      </c>
      <c r="AA27">
        <v>40.125</v>
      </c>
      <c r="AB27">
        <v>39.1875</v>
      </c>
      <c r="AC27">
        <v>38.729999999999997</v>
      </c>
      <c r="AD27">
        <v>38.9375</v>
      </c>
      <c r="AE27">
        <v>39.9</v>
      </c>
      <c r="AF27" t="s">
        <v>137</v>
      </c>
      <c r="AG27" t="s">
        <v>137</v>
      </c>
      <c r="AH27">
        <v>39.875</v>
      </c>
      <c r="AI27">
        <v>40.25</v>
      </c>
      <c r="AJ27">
        <v>40.1875</v>
      </c>
      <c r="AK27">
        <v>40.25</v>
      </c>
      <c r="AL27">
        <v>40.375</v>
      </c>
      <c r="AM27" t="s">
        <v>137</v>
      </c>
      <c r="AN27" t="s">
        <v>137</v>
      </c>
      <c r="AO27">
        <v>41.25</v>
      </c>
      <c r="AP27">
        <v>41.75</v>
      </c>
      <c r="AQ27">
        <v>42.25</v>
      </c>
      <c r="AR27">
        <v>43.996000000000002</v>
      </c>
      <c r="AS27">
        <v>44.625</v>
      </c>
      <c r="AT27" t="s">
        <v>137</v>
      </c>
      <c r="AU27" t="s">
        <v>137</v>
      </c>
      <c r="AV27">
        <v>44.56</v>
      </c>
      <c r="AW27">
        <v>43.9375</v>
      </c>
      <c r="AX27">
        <v>43.567</v>
      </c>
      <c r="AY27">
        <v>42.749000000000002</v>
      </c>
      <c r="AZ27">
        <v>42.375</v>
      </c>
      <c r="BA27" t="s">
        <v>137</v>
      </c>
      <c r="BB27" t="s">
        <v>137</v>
      </c>
      <c r="BC27">
        <v>42.015000000000001</v>
      </c>
      <c r="BD27">
        <v>40.3125</v>
      </c>
      <c r="BE27">
        <v>41</v>
      </c>
      <c r="BF27">
        <v>42.25</v>
      </c>
      <c r="BG27">
        <v>42.575499999999998</v>
      </c>
      <c r="BH27" t="s">
        <v>137</v>
      </c>
      <c r="BI27" t="s">
        <v>137</v>
      </c>
      <c r="BJ27">
        <v>39.75</v>
      </c>
      <c r="BK27">
        <v>40.375</v>
      </c>
      <c r="BL27">
        <v>40.44</v>
      </c>
      <c r="BM27">
        <v>40.24</v>
      </c>
      <c r="BN27">
        <v>40.174999999999997</v>
      </c>
      <c r="BO27" t="s">
        <v>137</v>
      </c>
      <c r="BP27" t="s">
        <v>137</v>
      </c>
      <c r="BQ27">
        <v>39.75</v>
      </c>
      <c r="BR27">
        <v>40.314999999999998</v>
      </c>
      <c r="BS27">
        <v>40.25</v>
      </c>
      <c r="BT27">
        <v>38.9375</v>
      </c>
      <c r="BU27">
        <v>39.06</v>
      </c>
      <c r="BV27" t="s">
        <v>137</v>
      </c>
      <c r="BW27" t="s">
        <v>137</v>
      </c>
      <c r="BX27">
        <v>38.25</v>
      </c>
      <c r="BY27">
        <v>37.6875</v>
      </c>
      <c r="BZ27">
        <v>36.875</v>
      </c>
      <c r="CA27">
        <v>37.75</v>
      </c>
      <c r="CB27">
        <v>37.8125</v>
      </c>
      <c r="CC27" t="s">
        <v>137</v>
      </c>
      <c r="CD27" t="s">
        <v>137</v>
      </c>
      <c r="CE27">
        <v>37.86</v>
      </c>
      <c r="CF27">
        <v>38.4375</v>
      </c>
      <c r="CG27">
        <v>40.25</v>
      </c>
      <c r="CH27">
        <v>39.5</v>
      </c>
      <c r="CI27">
        <v>39.875</v>
      </c>
      <c r="CJ27" t="s">
        <v>137</v>
      </c>
      <c r="CK27" t="s">
        <v>137</v>
      </c>
      <c r="CL27">
        <v>39.549999999999997</v>
      </c>
      <c r="CM27">
        <v>39</v>
      </c>
      <c r="CN27">
        <v>39.549999999999997</v>
      </c>
      <c r="CO27">
        <v>40.06</v>
      </c>
      <c r="CP27">
        <v>40.075000000000003</v>
      </c>
      <c r="CQ27" t="s">
        <v>137</v>
      </c>
      <c r="CR27" t="s">
        <v>137</v>
      </c>
      <c r="CS27">
        <v>38.9</v>
      </c>
      <c r="CT27">
        <v>39.777500000000003</v>
      </c>
      <c r="CU27">
        <v>39.966000000000001</v>
      </c>
      <c r="CV27">
        <v>40.533999999999999</v>
      </c>
      <c r="CW27">
        <v>40.143000000000001</v>
      </c>
      <c r="CX27" t="s">
        <v>137</v>
      </c>
      <c r="CY27" t="s">
        <v>137</v>
      </c>
      <c r="CZ27">
        <v>42.14</v>
      </c>
      <c r="DA27">
        <v>42.664999999999999</v>
      </c>
      <c r="DB27">
        <v>42.219499999999996</v>
      </c>
      <c r="DC27">
        <v>41.093000000000004</v>
      </c>
      <c r="DD27">
        <v>41.143000000000001</v>
      </c>
      <c r="DE27" t="s">
        <v>137</v>
      </c>
      <c r="DF27" t="s">
        <v>137</v>
      </c>
      <c r="DG27">
        <v>42.326999999999998</v>
      </c>
      <c r="DH27">
        <v>41.246000000000002</v>
      </c>
      <c r="DI27">
        <v>41.246000000000002</v>
      </c>
      <c r="DJ27">
        <v>47.715499999999999</v>
      </c>
      <c r="DK27">
        <v>45.878500000000003</v>
      </c>
      <c r="DL27" t="s">
        <v>137</v>
      </c>
      <c r="DM27" t="s">
        <v>137</v>
      </c>
      <c r="DN27">
        <v>47</v>
      </c>
      <c r="DO27">
        <v>45.8</v>
      </c>
      <c r="DP27">
        <v>46.643999999999998</v>
      </c>
      <c r="DQ27">
        <v>46.643999999999998</v>
      </c>
      <c r="DR27">
        <v>48.35</v>
      </c>
      <c r="DS27" t="s">
        <v>137</v>
      </c>
      <c r="DT27" t="s">
        <v>137</v>
      </c>
      <c r="DU27">
        <v>48.75</v>
      </c>
      <c r="DV27">
        <v>48.74</v>
      </c>
      <c r="DW27">
        <v>48.75</v>
      </c>
      <c r="DX27">
        <v>48.15</v>
      </c>
      <c r="DY27">
        <v>48.487000000000002</v>
      </c>
      <c r="DZ27" t="s">
        <v>137</v>
      </c>
      <c r="EA27" t="s">
        <v>137</v>
      </c>
      <c r="EB27">
        <v>47.046999999999997</v>
      </c>
      <c r="EC27">
        <v>47.593499999999999</v>
      </c>
      <c r="ED27">
        <v>47.238999999999997</v>
      </c>
      <c r="EE27">
        <v>48.247</v>
      </c>
      <c r="EF27">
        <v>49.42</v>
      </c>
      <c r="EG27" t="s">
        <v>137</v>
      </c>
      <c r="EH27" t="s">
        <v>137</v>
      </c>
      <c r="EI27">
        <v>49.026000000000003</v>
      </c>
      <c r="EJ27">
        <v>48.581000000000003</v>
      </c>
      <c r="EK27">
        <v>48.9</v>
      </c>
      <c r="EL27">
        <v>49.22</v>
      </c>
      <c r="EM27">
        <v>49.156999999999996</v>
      </c>
      <c r="EN27" t="s">
        <v>137</v>
      </c>
      <c r="EO27" t="s">
        <v>137</v>
      </c>
      <c r="EP27">
        <v>49.156999999999996</v>
      </c>
      <c r="EQ27">
        <v>48.491</v>
      </c>
      <c r="ER27">
        <v>46.76</v>
      </c>
      <c r="ES27">
        <v>45.969499999999996</v>
      </c>
      <c r="ET27">
        <v>46.134500000000003</v>
      </c>
      <c r="EU27" t="s">
        <v>137</v>
      </c>
      <c r="EV27" t="s">
        <v>137</v>
      </c>
      <c r="EW27">
        <v>44.375500000000002</v>
      </c>
      <c r="EX27">
        <v>45.16</v>
      </c>
      <c r="EY27">
        <v>46.91</v>
      </c>
      <c r="EZ27">
        <v>46.744999999999997</v>
      </c>
      <c r="FA27">
        <v>46.779499999999999</v>
      </c>
      <c r="FB27" t="s">
        <v>137</v>
      </c>
      <c r="FC27" t="s">
        <v>137</v>
      </c>
      <c r="FD27">
        <v>47.5</v>
      </c>
      <c r="FE27">
        <v>48.936500000000002</v>
      </c>
      <c r="FF27">
        <v>50.875</v>
      </c>
      <c r="FG27">
        <v>49.25</v>
      </c>
      <c r="FH27">
        <v>50.4</v>
      </c>
      <c r="FI27" t="s">
        <v>137</v>
      </c>
      <c r="FJ27" t="s">
        <v>137</v>
      </c>
      <c r="FK27">
        <v>50.64</v>
      </c>
      <c r="FL27">
        <v>50.034999999999997</v>
      </c>
      <c r="FM27">
        <v>49.6</v>
      </c>
      <c r="FN27">
        <v>48.524999999999999</v>
      </c>
      <c r="FO27">
        <v>48.954999999999998</v>
      </c>
      <c r="FP27" t="s">
        <v>137</v>
      </c>
      <c r="FQ27" t="s">
        <v>137</v>
      </c>
      <c r="FR27">
        <v>47.975000000000001</v>
      </c>
      <c r="FS27">
        <v>47.4</v>
      </c>
      <c r="FT27">
        <v>48.575000000000003</v>
      </c>
      <c r="FU27">
        <v>46.585000000000001</v>
      </c>
      <c r="FV27">
        <v>47.4</v>
      </c>
      <c r="FW27" t="s">
        <v>137</v>
      </c>
      <c r="FX27" t="s">
        <v>137</v>
      </c>
      <c r="FY27">
        <v>48</v>
      </c>
      <c r="FZ27">
        <v>48.04</v>
      </c>
      <c r="GA27">
        <v>47.45</v>
      </c>
      <c r="GB27">
        <v>48.24</v>
      </c>
      <c r="GC27">
        <v>45</v>
      </c>
      <c r="GD27" t="s">
        <v>137</v>
      </c>
      <c r="GE27" t="s">
        <v>137</v>
      </c>
      <c r="GF27">
        <v>44.95</v>
      </c>
      <c r="GG27">
        <v>46.1</v>
      </c>
      <c r="GH27">
        <v>46.131500000000003</v>
      </c>
      <c r="GI27">
        <v>46.024999999999999</v>
      </c>
      <c r="GJ27">
        <v>46.75</v>
      </c>
      <c r="GK27" t="s">
        <v>137</v>
      </c>
      <c r="GL27" t="s">
        <v>137</v>
      </c>
      <c r="GM27">
        <v>43.41</v>
      </c>
      <c r="GN27">
        <v>39.475000000000001</v>
      </c>
      <c r="GO27">
        <v>37.85</v>
      </c>
      <c r="GP27">
        <v>35.21</v>
      </c>
      <c r="GQ27">
        <v>36.85</v>
      </c>
      <c r="GR27" t="s">
        <v>137</v>
      </c>
      <c r="GS27" t="s">
        <v>137</v>
      </c>
      <c r="GT27">
        <v>36.35</v>
      </c>
      <c r="GU27">
        <v>35.25</v>
      </c>
      <c r="GV27">
        <v>33.85</v>
      </c>
      <c r="GW27">
        <v>33.85</v>
      </c>
      <c r="GX27">
        <v>28.85</v>
      </c>
      <c r="GY27" t="s">
        <v>137</v>
      </c>
      <c r="GZ27" t="s">
        <v>137</v>
      </c>
      <c r="HA27">
        <v>24.5</v>
      </c>
      <c r="HB27">
        <v>24.315999999999999</v>
      </c>
      <c r="HC27">
        <v>23.05</v>
      </c>
      <c r="HD27">
        <v>23.540500000000002</v>
      </c>
      <c r="HE27">
        <v>22.56</v>
      </c>
      <c r="HF27" t="s">
        <v>137</v>
      </c>
      <c r="HG27" t="s">
        <v>137</v>
      </c>
      <c r="HH27">
        <v>23.059000000000001</v>
      </c>
      <c r="HI27">
        <v>24.48</v>
      </c>
      <c r="HJ27">
        <v>24.687000000000001</v>
      </c>
      <c r="HK27">
        <v>25.145</v>
      </c>
      <c r="HL27">
        <v>26.48</v>
      </c>
      <c r="HM27" t="s">
        <v>137</v>
      </c>
      <c r="HN27" t="s">
        <v>137</v>
      </c>
      <c r="HO27">
        <v>27.61</v>
      </c>
      <c r="HP27">
        <v>26.8855</v>
      </c>
      <c r="HQ27">
        <v>26.789000000000001</v>
      </c>
      <c r="HR27">
        <v>27.23</v>
      </c>
      <c r="HS27">
        <v>28.75</v>
      </c>
      <c r="HT27" t="s">
        <v>137</v>
      </c>
      <c r="HU27" t="s">
        <v>137</v>
      </c>
      <c r="HV27">
        <v>28.75</v>
      </c>
      <c r="HW27">
        <v>27.59</v>
      </c>
      <c r="HX27">
        <v>26.172000000000001</v>
      </c>
      <c r="HY27">
        <v>27.514500000000002</v>
      </c>
      <c r="HZ27">
        <v>29.1</v>
      </c>
      <c r="IA27" t="s">
        <v>137</v>
      </c>
      <c r="IB27" t="s">
        <v>137</v>
      </c>
      <c r="IC27">
        <v>30.324999999999999</v>
      </c>
      <c r="ID27">
        <v>29.177</v>
      </c>
      <c r="IE27">
        <v>28.77</v>
      </c>
      <c r="IF27">
        <v>26.948</v>
      </c>
      <c r="IG27">
        <v>27.25</v>
      </c>
      <c r="IH27" t="s">
        <v>137</v>
      </c>
      <c r="II27" t="s">
        <v>137</v>
      </c>
      <c r="IJ27">
        <v>24.99</v>
      </c>
      <c r="IK27">
        <v>25.66</v>
      </c>
      <c r="IL27">
        <v>25.35</v>
      </c>
      <c r="IM27">
        <v>24.57</v>
      </c>
      <c r="IN27">
        <v>26.75</v>
      </c>
      <c r="IO27" t="s">
        <v>137</v>
      </c>
      <c r="IP27" t="s">
        <v>137</v>
      </c>
      <c r="IQ27">
        <v>22.2685</v>
      </c>
      <c r="IR27">
        <v>23.459</v>
      </c>
      <c r="IS27">
        <v>26.105</v>
      </c>
      <c r="IT27">
        <v>26.526</v>
      </c>
      <c r="IU27">
        <v>26.170999999999999</v>
      </c>
      <c r="IV27" t="s">
        <v>137</v>
      </c>
      <c r="IW27" t="s">
        <v>137</v>
      </c>
      <c r="IX27">
        <v>27.3005</v>
      </c>
      <c r="IY27">
        <v>29.318000000000001</v>
      </c>
      <c r="IZ27">
        <v>29.298999999999999</v>
      </c>
      <c r="JA27">
        <v>29.9575</v>
      </c>
      <c r="JB27">
        <v>30.697500000000002</v>
      </c>
      <c r="JC27" t="s">
        <v>137</v>
      </c>
      <c r="JD27" t="s">
        <v>137</v>
      </c>
      <c r="JE27">
        <v>33.192</v>
      </c>
      <c r="JF27">
        <v>32.762</v>
      </c>
      <c r="JG27">
        <v>32.628999999999998</v>
      </c>
      <c r="JH27">
        <v>32.945999999999998</v>
      </c>
      <c r="JI27">
        <v>32.408999999999999</v>
      </c>
      <c r="JJ27" t="s">
        <v>137</v>
      </c>
      <c r="JK27" t="s">
        <v>137</v>
      </c>
      <c r="JL27">
        <v>32.408999999999999</v>
      </c>
      <c r="JM27">
        <v>34</v>
      </c>
      <c r="JN27">
        <v>36.274999999999999</v>
      </c>
      <c r="JO27">
        <v>33.902000000000001</v>
      </c>
      <c r="JP27">
        <v>38.247</v>
      </c>
      <c r="JQ27" t="s">
        <v>137</v>
      </c>
      <c r="JR27" t="s">
        <v>137</v>
      </c>
      <c r="JS27">
        <v>36.4</v>
      </c>
      <c r="JT27">
        <v>38.442500000000003</v>
      </c>
      <c r="JU27">
        <v>39.390999999999998</v>
      </c>
      <c r="JV27">
        <v>39.320500000000003</v>
      </c>
      <c r="JW27">
        <v>38.929000000000002</v>
      </c>
      <c r="JX27" t="s">
        <v>137</v>
      </c>
      <c r="JY27" t="s">
        <v>137</v>
      </c>
      <c r="JZ27">
        <v>39.202500000000001</v>
      </c>
      <c r="KA27">
        <v>39.182000000000002</v>
      </c>
      <c r="KB27">
        <v>38.991</v>
      </c>
      <c r="KC27">
        <v>38.9925</v>
      </c>
      <c r="KD27">
        <v>38.954000000000001</v>
      </c>
      <c r="KE27" t="s">
        <v>137</v>
      </c>
      <c r="KF27" t="s">
        <v>137</v>
      </c>
      <c r="KG27">
        <v>38.402000000000001</v>
      </c>
      <c r="KH27">
        <v>39.125500000000002</v>
      </c>
      <c r="KI27">
        <v>38.423499999999997</v>
      </c>
      <c r="KJ27">
        <v>37.525500000000001</v>
      </c>
      <c r="KK27">
        <v>38.994999999999997</v>
      </c>
      <c r="KL27" t="s">
        <v>137</v>
      </c>
      <c r="KM27" t="s">
        <v>137</v>
      </c>
      <c r="KN27">
        <v>39.454999999999998</v>
      </c>
      <c r="KO27">
        <v>40.515000000000001</v>
      </c>
      <c r="KP27">
        <v>40.154499999999999</v>
      </c>
      <c r="KQ27">
        <v>40.314</v>
      </c>
      <c r="KR27">
        <v>39.311999999999998</v>
      </c>
      <c r="KS27" t="s">
        <v>137</v>
      </c>
      <c r="KT27" t="s">
        <v>137</v>
      </c>
      <c r="KU27">
        <v>39.948</v>
      </c>
      <c r="KV27">
        <v>39.664000000000001</v>
      </c>
      <c r="KW27">
        <v>40.090499999999999</v>
      </c>
      <c r="KX27">
        <v>39.415999999999997</v>
      </c>
      <c r="KY27">
        <v>39.526499999999999</v>
      </c>
      <c r="KZ27" t="s">
        <v>137</v>
      </c>
      <c r="LA27" t="s">
        <v>137</v>
      </c>
      <c r="LB27">
        <v>40.844999999999999</v>
      </c>
      <c r="LC27">
        <v>41.093000000000004</v>
      </c>
      <c r="LD27">
        <v>41.542999999999999</v>
      </c>
      <c r="LE27">
        <v>41.274500000000003</v>
      </c>
      <c r="LF27">
        <v>41.263500000000001</v>
      </c>
      <c r="LG27" t="s">
        <v>137</v>
      </c>
      <c r="LH27" t="s">
        <v>137</v>
      </c>
      <c r="LI27">
        <v>41.582999999999998</v>
      </c>
      <c r="LJ27">
        <v>40.317</v>
      </c>
      <c r="LK27">
        <v>40.445500000000003</v>
      </c>
      <c r="LL27">
        <v>40.703499999999998</v>
      </c>
      <c r="LM27">
        <v>40.573999999999998</v>
      </c>
      <c r="LN27" t="s">
        <v>137</v>
      </c>
      <c r="LO27" t="s">
        <v>137</v>
      </c>
      <c r="LP27">
        <v>39.674999999999997</v>
      </c>
      <c r="LQ27">
        <v>40.456000000000003</v>
      </c>
      <c r="LR27">
        <v>41.316000000000003</v>
      </c>
      <c r="LS27">
        <v>43.19</v>
      </c>
      <c r="LT27">
        <v>43.718000000000004</v>
      </c>
      <c r="LU27" t="s">
        <v>137</v>
      </c>
      <c r="LV27" t="s">
        <v>137</v>
      </c>
      <c r="LW27">
        <v>43.71</v>
      </c>
      <c r="LX27">
        <v>43.125500000000002</v>
      </c>
      <c r="LY27">
        <v>42.724499999999999</v>
      </c>
      <c r="LZ27">
        <v>42.581000000000003</v>
      </c>
      <c r="MA27">
        <v>42.707500000000003</v>
      </c>
      <c r="MB27" t="s">
        <v>137</v>
      </c>
      <c r="MC27" t="s">
        <v>137</v>
      </c>
      <c r="MD27">
        <v>42.37</v>
      </c>
      <c r="ME27">
        <v>48.04</v>
      </c>
      <c r="MF27">
        <v>48.22</v>
      </c>
      <c r="MG27">
        <v>48.064999999999998</v>
      </c>
      <c r="MH27">
        <v>48.454999999999998</v>
      </c>
      <c r="MI27" t="s">
        <v>137</v>
      </c>
      <c r="MJ27" t="s">
        <v>137</v>
      </c>
      <c r="MK27">
        <v>47.924999999999997</v>
      </c>
      <c r="ML27">
        <v>48.12</v>
      </c>
      <c r="MM27">
        <v>47.66</v>
      </c>
      <c r="MN27">
        <v>47.43</v>
      </c>
      <c r="MO27">
        <v>47.3</v>
      </c>
      <c r="MP27" t="s">
        <v>137</v>
      </c>
      <c r="MQ27" t="s">
        <v>137</v>
      </c>
      <c r="MR27">
        <v>48.25</v>
      </c>
      <c r="MS27">
        <v>46.664999999999999</v>
      </c>
      <c r="MT27">
        <v>47.185000000000002</v>
      </c>
      <c r="MU27">
        <v>46.78</v>
      </c>
      <c r="MV27">
        <v>46.74</v>
      </c>
      <c r="MW27" t="s">
        <v>137</v>
      </c>
      <c r="MX27" t="s">
        <v>137</v>
      </c>
      <c r="MY27">
        <v>46.7</v>
      </c>
      <c r="MZ27">
        <v>49.7</v>
      </c>
      <c r="NA27">
        <v>47.594999999999999</v>
      </c>
      <c r="NB27">
        <v>46.07</v>
      </c>
      <c r="NC27">
        <v>46.38</v>
      </c>
      <c r="ND27" t="s">
        <v>137</v>
      </c>
      <c r="NE27" t="s">
        <v>137</v>
      </c>
      <c r="NF27">
        <v>42</v>
      </c>
      <c r="NG27">
        <v>47.5</v>
      </c>
      <c r="NH27">
        <v>46.634999999999998</v>
      </c>
      <c r="NI27">
        <v>49.5</v>
      </c>
      <c r="NJ27">
        <v>52</v>
      </c>
      <c r="NK27" t="s">
        <v>137</v>
      </c>
      <c r="NL27" t="s">
        <v>137</v>
      </c>
      <c r="NM27" t="s">
        <v>137</v>
      </c>
      <c r="NN27" t="s">
        <v>137</v>
      </c>
      <c r="NO27" t="s">
        <v>137</v>
      </c>
      <c r="NP27" t="s">
        <v>137</v>
      </c>
      <c r="NQ27" t="s">
        <v>137</v>
      </c>
      <c r="NR27" t="s">
        <v>137</v>
      </c>
      <c r="NS27" t="s">
        <v>137</v>
      </c>
      <c r="NT27" t="s">
        <v>137</v>
      </c>
      <c r="NU27" t="s">
        <v>137</v>
      </c>
      <c r="NV27" t="s">
        <v>137</v>
      </c>
      <c r="NW27" t="s">
        <v>137</v>
      </c>
      <c r="NX27" t="s">
        <v>137</v>
      </c>
      <c r="NY27" t="s">
        <v>137</v>
      </c>
      <c r="NZ27" t="s">
        <v>137</v>
      </c>
      <c r="OA27" t="s">
        <v>137</v>
      </c>
      <c r="OB27" t="s">
        <v>137</v>
      </c>
      <c r="OC27" t="s">
        <v>137</v>
      </c>
      <c r="OD27" t="s">
        <v>137</v>
      </c>
      <c r="OE27" t="s">
        <v>137</v>
      </c>
      <c r="OF27" t="s">
        <v>137</v>
      </c>
      <c r="OG27" t="s">
        <v>137</v>
      </c>
      <c r="OH27" t="s">
        <v>137</v>
      </c>
      <c r="OI27" t="s">
        <v>137</v>
      </c>
      <c r="OJ27" t="s">
        <v>137</v>
      </c>
      <c r="OK27" t="s">
        <v>137</v>
      </c>
      <c r="OL27" t="s">
        <v>137</v>
      </c>
      <c r="OM27" t="s">
        <v>137</v>
      </c>
      <c r="ON27" t="s">
        <v>137</v>
      </c>
      <c r="OO27" t="s">
        <v>137</v>
      </c>
      <c r="OP27" t="s">
        <v>137</v>
      </c>
      <c r="OQ27" t="s">
        <v>137</v>
      </c>
      <c r="OR27" t="s">
        <v>137</v>
      </c>
      <c r="OS27" t="s">
        <v>137</v>
      </c>
      <c r="OT27" t="s">
        <v>137</v>
      </c>
      <c r="OU27" t="s">
        <v>137</v>
      </c>
      <c r="OV27" t="s">
        <v>137</v>
      </c>
      <c r="OW27" t="s">
        <v>137</v>
      </c>
      <c r="OX27" t="s">
        <v>137</v>
      </c>
      <c r="OY27" t="s">
        <v>137</v>
      </c>
      <c r="OZ27" t="s">
        <v>137</v>
      </c>
      <c r="PA27" t="s">
        <v>137</v>
      </c>
      <c r="PB27" t="s">
        <v>137</v>
      </c>
      <c r="PC27" t="s">
        <v>137</v>
      </c>
      <c r="PD27" t="s">
        <v>137</v>
      </c>
      <c r="PE27" t="s">
        <v>137</v>
      </c>
      <c r="PF27" t="s">
        <v>137</v>
      </c>
      <c r="PG27" t="s">
        <v>137</v>
      </c>
      <c r="PH27" t="s">
        <v>137</v>
      </c>
      <c r="PI27" t="s">
        <v>137</v>
      </c>
      <c r="PJ27" t="s">
        <v>137</v>
      </c>
      <c r="PK27" t="s">
        <v>137</v>
      </c>
      <c r="PL27" t="s">
        <v>137</v>
      </c>
      <c r="PM27" t="s">
        <v>137</v>
      </c>
      <c r="PN27" t="s">
        <v>137</v>
      </c>
      <c r="PO27" t="s">
        <v>137</v>
      </c>
      <c r="PP27" t="s">
        <v>137</v>
      </c>
      <c r="PQ27" t="s">
        <v>137</v>
      </c>
      <c r="PR27" t="s">
        <v>137</v>
      </c>
      <c r="PS27" t="s">
        <v>137</v>
      </c>
      <c r="PT27" t="s">
        <v>137</v>
      </c>
      <c r="PU27" t="s">
        <v>137</v>
      </c>
      <c r="PV27" t="s">
        <v>137</v>
      </c>
      <c r="PW27" t="s">
        <v>137</v>
      </c>
      <c r="PX27" t="s">
        <v>137</v>
      </c>
      <c r="PY27" t="s">
        <v>137</v>
      </c>
      <c r="PZ27" t="s">
        <v>137</v>
      </c>
      <c r="QA27" t="s">
        <v>137</v>
      </c>
      <c r="QB27" t="s">
        <v>137</v>
      </c>
      <c r="QC27" t="s">
        <v>137</v>
      </c>
      <c r="QD27" t="s">
        <v>137</v>
      </c>
      <c r="QE27" t="s">
        <v>137</v>
      </c>
      <c r="QF27" t="s">
        <v>137</v>
      </c>
      <c r="QG27" t="s">
        <v>137</v>
      </c>
      <c r="QH27" t="s">
        <v>137</v>
      </c>
      <c r="QI27" t="s">
        <v>137</v>
      </c>
      <c r="QJ27" t="s">
        <v>137</v>
      </c>
      <c r="QK27" t="s">
        <v>137</v>
      </c>
      <c r="QL27" t="s">
        <v>137</v>
      </c>
      <c r="QM27" t="s">
        <v>137</v>
      </c>
      <c r="QN27" t="s">
        <v>137</v>
      </c>
      <c r="QO27" t="s">
        <v>137</v>
      </c>
    </row>
    <row r="28" spans="1:457" x14ac:dyDescent="0.2">
      <c r="A28" t="s">
        <v>129</v>
      </c>
      <c r="B28" s="3">
        <v>43048</v>
      </c>
      <c r="C28" t="s">
        <v>36</v>
      </c>
      <c r="E28" t="s">
        <v>137</v>
      </c>
      <c r="F28">
        <v>39.792999999999999</v>
      </c>
      <c r="G28">
        <v>36.244999999999997</v>
      </c>
      <c r="H28">
        <v>37.42</v>
      </c>
      <c r="I28">
        <v>39.834000000000003</v>
      </c>
      <c r="J28">
        <v>42.508000000000003</v>
      </c>
      <c r="K28" t="s">
        <v>137</v>
      </c>
      <c r="L28" t="s">
        <v>137</v>
      </c>
      <c r="M28">
        <v>42.045000000000002</v>
      </c>
      <c r="N28">
        <v>40.015000000000001</v>
      </c>
      <c r="O28">
        <v>40.51</v>
      </c>
      <c r="P28">
        <v>40.715000000000003</v>
      </c>
      <c r="Q28">
        <v>39.295000000000002</v>
      </c>
      <c r="R28" t="s">
        <v>137</v>
      </c>
      <c r="S28" t="s">
        <v>137</v>
      </c>
      <c r="T28">
        <v>38.5</v>
      </c>
      <c r="U28">
        <v>38.505000000000003</v>
      </c>
      <c r="V28">
        <v>40</v>
      </c>
      <c r="W28">
        <v>39</v>
      </c>
      <c r="X28">
        <v>39.96</v>
      </c>
      <c r="Y28" t="s">
        <v>137</v>
      </c>
      <c r="Z28" t="s">
        <v>137</v>
      </c>
      <c r="AA28">
        <v>40.182000000000002</v>
      </c>
      <c r="AB28">
        <v>37.994999999999997</v>
      </c>
      <c r="AC28">
        <v>37.744</v>
      </c>
      <c r="AD28">
        <v>37.711500000000001</v>
      </c>
      <c r="AE28">
        <v>38.5</v>
      </c>
      <c r="AF28" t="s">
        <v>137</v>
      </c>
      <c r="AG28" t="s">
        <v>137</v>
      </c>
      <c r="AH28">
        <v>39.006999999999998</v>
      </c>
      <c r="AI28">
        <v>39.479999999999997</v>
      </c>
      <c r="AJ28">
        <v>39.445</v>
      </c>
      <c r="AK28">
        <v>39.874000000000002</v>
      </c>
      <c r="AL28">
        <v>39.755000000000003</v>
      </c>
      <c r="AM28" t="s">
        <v>137</v>
      </c>
      <c r="AN28" t="s">
        <v>137</v>
      </c>
      <c r="AO28">
        <v>40.134999999999998</v>
      </c>
      <c r="AP28">
        <v>40.770000000000003</v>
      </c>
      <c r="AQ28">
        <v>40.965000000000003</v>
      </c>
      <c r="AR28">
        <v>42.93</v>
      </c>
      <c r="AS28">
        <v>44.253999999999998</v>
      </c>
      <c r="AT28" t="s">
        <v>137</v>
      </c>
      <c r="AU28" t="s">
        <v>137</v>
      </c>
      <c r="AV28">
        <v>43.606999999999999</v>
      </c>
      <c r="AW28">
        <v>43.075000000000003</v>
      </c>
      <c r="AX28">
        <v>42.414499999999997</v>
      </c>
      <c r="AY28">
        <v>41.66</v>
      </c>
      <c r="AZ28">
        <v>41.25</v>
      </c>
      <c r="BA28" t="s">
        <v>137</v>
      </c>
      <c r="BB28" t="s">
        <v>137</v>
      </c>
      <c r="BC28">
        <v>40.575000000000003</v>
      </c>
      <c r="BD28">
        <v>39.17</v>
      </c>
      <c r="BE28">
        <v>39.9</v>
      </c>
      <c r="BF28">
        <v>41.185000000000002</v>
      </c>
      <c r="BG28">
        <v>41.008000000000003</v>
      </c>
      <c r="BH28" t="s">
        <v>137</v>
      </c>
      <c r="BI28" t="s">
        <v>137</v>
      </c>
      <c r="BJ28">
        <v>39</v>
      </c>
      <c r="BK28">
        <v>38.5</v>
      </c>
      <c r="BL28">
        <v>39.460999999999999</v>
      </c>
      <c r="BM28">
        <v>38.645000000000003</v>
      </c>
      <c r="BN28">
        <v>38.545000000000002</v>
      </c>
      <c r="BO28" t="s">
        <v>137</v>
      </c>
      <c r="BP28" t="s">
        <v>137</v>
      </c>
      <c r="BQ28">
        <v>38.5</v>
      </c>
      <c r="BR28">
        <v>38.505000000000003</v>
      </c>
      <c r="BS28">
        <v>38.215000000000003</v>
      </c>
      <c r="BT28">
        <v>38.045000000000002</v>
      </c>
      <c r="BU28">
        <v>36.975000000000001</v>
      </c>
      <c r="BV28" t="s">
        <v>137</v>
      </c>
      <c r="BW28" t="s">
        <v>137</v>
      </c>
      <c r="BX28">
        <v>37.866</v>
      </c>
      <c r="BY28">
        <v>37.146500000000003</v>
      </c>
      <c r="BZ28">
        <v>35.524999999999999</v>
      </c>
      <c r="CA28">
        <v>36.340000000000003</v>
      </c>
      <c r="CB28">
        <v>36.494999999999997</v>
      </c>
      <c r="CC28" t="s">
        <v>137</v>
      </c>
      <c r="CD28" t="s">
        <v>137</v>
      </c>
      <c r="CE28">
        <v>36.369999999999997</v>
      </c>
      <c r="CF28">
        <v>37.000999999999998</v>
      </c>
      <c r="CG28">
        <v>37.579500000000003</v>
      </c>
      <c r="CH28">
        <v>38.481000000000002</v>
      </c>
      <c r="CI28">
        <v>38.119999999999997</v>
      </c>
      <c r="CJ28" t="s">
        <v>137</v>
      </c>
      <c r="CK28" t="s">
        <v>137</v>
      </c>
      <c r="CL28">
        <v>37.835000000000001</v>
      </c>
      <c r="CM28">
        <v>37.484999999999999</v>
      </c>
      <c r="CN28">
        <v>37.774999999999999</v>
      </c>
      <c r="CO28">
        <v>37.94</v>
      </c>
      <c r="CP28">
        <v>37.75</v>
      </c>
      <c r="CQ28" t="s">
        <v>137</v>
      </c>
      <c r="CR28" t="s">
        <v>137</v>
      </c>
      <c r="CS28">
        <v>37</v>
      </c>
      <c r="CT28">
        <v>38.094000000000001</v>
      </c>
      <c r="CU28">
        <v>37.575499999999998</v>
      </c>
      <c r="CV28">
        <v>37.758000000000003</v>
      </c>
      <c r="CW28">
        <v>37.664999999999999</v>
      </c>
      <c r="CX28" t="s">
        <v>137</v>
      </c>
      <c r="CY28" t="s">
        <v>137</v>
      </c>
      <c r="CZ28">
        <v>38.619999999999997</v>
      </c>
      <c r="DA28">
        <v>39.1</v>
      </c>
      <c r="DB28">
        <v>38.909999999999997</v>
      </c>
      <c r="DC28">
        <v>41.064999999999998</v>
      </c>
      <c r="DD28">
        <v>41.19</v>
      </c>
      <c r="DE28" t="s">
        <v>137</v>
      </c>
      <c r="DF28" t="s">
        <v>137</v>
      </c>
      <c r="DG28">
        <v>40.854500000000002</v>
      </c>
      <c r="DH28">
        <v>41.555</v>
      </c>
      <c r="DI28">
        <v>43.395000000000003</v>
      </c>
      <c r="DJ28">
        <v>43.5</v>
      </c>
      <c r="DK28">
        <v>43.12</v>
      </c>
      <c r="DL28" t="s">
        <v>137</v>
      </c>
      <c r="DM28" t="s">
        <v>137</v>
      </c>
      <c r="DN28">
        <v>42.838999999999999</v>
      </c>
      <c r="DO28">
        <v>41.564999999999998</v>
      </c>
      <c r="DP28">
        <v>41.564999999999998</v>
      </c>
      <c r="DQ28">
        <v>41.564999999999998</v>
      </c>
      <c r="DR28">
        <v>41.585000000000001</v>
      </c>
      <c r="DS28" t="s">
        <v>137</v>
      </c>
      <c r="DT28" t="s">
        <v>137</v>
      </c>
      <c r="DU28">
        <v>45.905000000000001</v>
      </c>
      <c r="DV28">
        <v>46</v>
      </c>
      <c r="DW28">
        <v>46</v>
      </c>
      <c r="DX28">
        <v>45.1</v>
      </c>
      <c r="DY28">
        <v>44</v>
      </c>
      <c r="DZ28" t="s">
        <v>137</v>
      </c>
      <c r="EA28" t="s">
        <v>137</v>
      </c>
      <c r="EB28">
        <v>44.244999999999997</v>
      </c>
      <c r="EC28">
        <v>45.475000000000001</v>
      </c>
      <c r="ED28">
        <v>44.65</v>
      </c>
      <c r="EE28">
        <v>46.865000000000002</v>
      </c>
      <c r="EF28">
        <v>47.905000000000001</v>
      </c>
      <c r="EG28" t="s">
        <v>137</v>
      </c>
      <c r="EH28" t="s">
        <v>137</v>
      </c>
      <c r="EI28">
        <v>47.59</v>
      </c>
      <c r="EJ28">
        <v>47.145000000000003</v>
      </c>
      <c r="EK28">
        <v>47</v>
      </c>
      <c r="EL28">
        <v>47.92</v>
      </c>
      <c r="EM28">
        <v>47.685000000000002</v>
      </c>
      <c r="EN28" t="s">
        <v>137</v>
      </c>
      <c r="EO28" t="s">
        <v>137</v>
      </c>
      <c r="EP28">
        <v>47.38</v>
      </c>
      <c r="EQ28">
        <v>46.06</v>
      </c>
      <c r="ER28">
        <v>44.975000000000001</v>
      </c>
      <c r="ES28">
        <v>44.125</v>
      </c>
      <c r="ET28">
        <v>43.97</v>
      </c>
      <c r="EU28" t="s">
        <v>137</v>
      </c>
      <c r="EV28" t="s">
        <v>137</v>
      </c>
      <c r="EW28">
        <v>43</v>
      </c>
      <c r="EX28">
        <v>43.274999999999999</v>
      </c>
      <c r="EY28">
        <v>45.325000000000003</v>
      </c>
      <c r="EZ28">
        <v>45.104999999999997</v>
      </c>
      <c r="FA28">
        <v>45.32</v>
      </c>
      <c r="FB28" t="s">
        <v>137</v>
      </c>
      <c r="FC28" t="s">
        <v>137</v>
      </c>
      <c r="FD28">
        <v>45.85</v>
      </c>
      <c r="FE28">
        <v>47.204999999999998</v>
      </c>
      <c r="FF28">
        <v>48.1</v>
      </c>
      <c r="FG28">
        <v>47</v>
      </c>
      <c r="FH28">
        <v>48.3</v>
      </c>
      <c r="FI28" t="s">
        <v>137</v>
      </c>
      <c r="FJ28" t="s">
        <v>137</v>
      </c>
      <c r="FK28">
        <v>48.46</v>
      </c>
      <c r="FL28">
        <v>47.25</v>
      </c>
      <c r="FM28">
        <v>47.22</v>
      </c>
      <c r="FN28">
        <v>46.26</v>
      </c>
      <c r="FO28">
        <v>46.24</v>
      </c>
      <c r="FP28" t="s">
        <v>137</v>
      </c>
      <c r="FQ28" t="s">
        <v>137</v>
      </c>
      <c r="FR28">
        <v>45.585000000000001</v>
      </c>
      <c r="FS28">
        <v>45</v>
      </c>
      <c r="FT28">
        <v>45.56</v>
      </c>
      <c r="FU28">
        <v>44.19</v>
      </c>
      <c r="FV28">
        <v>45.1</v>
      </c>
      <c r="FW28" t="s">
        <v>137</v>
      </c>
      <c r="FX28" t="s">
        <v>137</v>
      </c>
      <c r="FY28">
        <v>45.459499999999998</v>
      </c>
      <c r="FZ28">
        <v>45.8645</v>
      </c>
      <c r="GA28">
        <v>45.1</v>
      </c>
      <c r="GB28">
        <v>42.7</v>
      </c>
      <c r="GC28">
        <v>42.4</v>
      </c>
      <c r="GD28" t="s">
        <v>137</v>
      </c>
      <c r="GE28" t="s">
        <v>137</v>
      </c>
      <c r="GF28">
        <v>42.1</v>
      </c>
      <c r="GG28">
        <v>43.347000000000001</v>
      </c>
      <c r="GH28">
        <v>43.325000000000003</v>
      </c>
      <c r="GI28">
        <v>43.31</v>
      </c>
      <c r="GJ28">
        <v>40.2395</v>
      </c>
      <c r="GK28" t="s">
        <v>137</v>
      </c>
      <c r="GL28" t="s">
        <v>137</v>
      </c>
      <c r="GM28">
        <v>41.164499999999997</v>
      </c>
      <c r="GN28">
        <v>36.524999999999999</v>
      </c>
      <c r="GO28">
        <v>36.32</v>
      </c>
      <c r="GP28">
        <v>36.32</v>
      </c>
      <c r="GQ28">
        <v>36.32</v>
      </c>
      <c r="GR28" t="s">
        <v>137</v>
      </c>
      <c r="GS28" t="s">
        <v>137</v>
      </c>
      <c r="GT28">
        <v>36.32</v>
      </c>
      <c r="GU28">
        <v>36.32</v>
      </c>
      <c r="GV28">
        <v>36.32</v>
      </c>
      <c r="GW28">
        <v>28.65</v>
      </c>
      <c r="GX28">
        <v>28</v>
      </c>
      <c r="GY28" t="s">
        <v>137</v>
      </c>
      <c r="GZ28" t="s">
        <v>137</v>
      </c>
      <c r="HA28">
        <v>27.15</v>
      </c>
      <c r="HB28">
        <v>26.85</v>
      </c>
      <c r="HC28">
        <v>26.85</v>
      </c>
      <c r="HD28">
        <v>26.35</v>
      </c>
      <c r="HE28">
        <v>26</v>
      </c>
      <c r="HF28" t="s">
        <v>137</v>
      </c>
      <c r="HG28" t="s">
        <v>137</v>
      </c>
      <c r="HH28">
        <v>26</v>
      </c>
      <c r="HI28">
        <v>26</v>
      </c>
      <c r="HJ28">
        <v>26</v>
      </c>
      <c r="HK28">
        <v>26</v>
      </c>
      <c r="HL28">
        <v>28</v>
      </c>
      <c r="HM28" t="s">
        <v>137</v>
      </c>
      <c r="HN28" t="s">
        <v>137</v>
      </c>
      <c r="HO28">
        <v>28</v>
      </c>
      <c r="HP28">
        <v>29</v>
      </c>
      <c r="HQ28">
        <v>28</v>
      </c>
      <c r="HR28">
        <v>27.75</v>
      </c>
      <c r="HS28">
        <v>27.25</v>
      </c>
      <c r="HT28" t="s">
        <v>137</v>
      </c>
      <c r="HU28" t="s">
        <v>137</v>
      </c>
      <c r="HV28">
        <v>27.25</v>
      </c>
      <c r="HW28">
        <v>28</v>
      </c>
      <c r="HX28">
        <v>27.75</v>
      </c>
      <c r="HY28">
        <v>27.25</v>
      </c>
      <c r="HZ28">
        <v>27.75</v>
      </c>
      <c r="IA28" t="s">
        <v>137</v>
      </c>
      <c r="IB28" t="s">
        <v>137</v>
      </c>
      <c r="IC28">
        <v>31.25</v>
      </c>
      <c r="ID28">
        <v>30.75</v>
      </c>
      <c r="IE28">
        <v>29</v>
      </c>
      <c r="IF28">
        <v>28.35</v>
      </c>
      <c r="IG28">
        <v>27.25</v>
      </c>
      <c r="IH28" t="s">
        <v>137</v>
      </c>
      <c r="II28" t="s">
        <v>137</v>
      </c>
      <c r="IJ28">
        <v>27</v>
      </c>
      <c r="IK28">
        <v>26.5</v>
      </c>
      <c r="IL28">
        <v>26.35</v>
      </c>
      <c r="IM28">
        <v>26.35</v>
      </c>
      <c r="IN28">
        <v>26.35</v>
      </c>
      <c r="IO28" t="s">
        <v>137</v>
      </c>
      <c r="IP28" t="s">
        <v>137</v>
      </c>
      <c r="IQ28">
        <v>25</v>
      </c>
      <c r="IR28">
        <v>25</v>
      </c>
      <c r="IS28">
        <v>26.25</v>
      </c>
      <c r="IT28">
        <v>26.75</v>
      </c>
      <c r="IU28">
        <v>26</v>
      </c>
      <c r="IV28" t="s">
        <v>137</v>
      </c>
      <c r="IW28" t="s">
        <v>137</v>
      </c>
      <c r="IX28">
        <v>26.75</v>
      </c>
      <c r="IY28">
        <v>28.5</v>
      </c>
      <c r="IZ28">
        <v>29</v>
      </c>
      <c r="JA28">
        <v>29.5</v>
      </c>
      <c r="JB28">
        <v>31.25</v>
      </c>
      <c r="JC28" t="s">
        <v>137</v>
      </c>
      <c r="JD28" t="s">
        <v>137</v>
      </c>
      <c r="JE28">
        <v>32.75</v>
      </c>
      <c r="JF28">
        <v>33.25</v>
      </c>
      <c r="JG28">
        <v>32.5</v>
      </c>
      <c r="JH28">
        <v>32.35</v>
      </c>
      <c r="JI28">
        <v>32.25</v>
      </c>
      <c r="JJ28" t="s">
        <v>137</v>
      </c>
      <c r="JK28" t="s">
        <v>137</v>
      </c>
      <c r="JL28">
        <v>32.75</v>
      </c>
      <c r="JM28">
        <v>34</v>
      </c>
      <c r="JN28">
        <v>34.5</v>
      </c>
      <c r="JO28">
        <v>34</v>
      </c>
      <c r="JP28">
        <v>38.5</v>
      </c>
      <c r="JQ28" t="s">
        <v>137</v>
      </c>
      <c r="JR28" t="s">
        <v>137</v>
      </c>
      <c r="JS28">
        <v>37.75</v>
      </c>
      <c r="JT28">
        <v>38</v>
      </c>
      <c r="JU28">
        <v>38</v>
      </c>
      <c r="JV28">
        <v>40.25</v>
      </c>
      <c r="JW28">
        <v>38.5</v>
      </c>
      <c r="JX28" t="s">
        <v>137</v>
      </c>
      <c r="JY28" t="s">
        <v>137</v>
      </c>
      <c r="JZ28">
        <v>38.5</v>
      </c>
      <c r="KA28">
        <v>38.5</v>
      </c>
      <c r="KB28">
        <v>38.5</v>
      </c>
      <c r="KC28">
        <v>38.75</v>
      </c>
      <c r="KD28">
        <v>39.1</v>
      </c>
      <c r="KE28" t="s">
        <v>137</v>
      </c>
      <c r="KF28" t="s">
        <v>137</v>
      </c>
      <c r="KG28">
        <v>38.25</v>
      </c>
      <c r="KH28">
        <v>39.25</v>
      </c>
      <c r="KI28">
        <v>39</v>
      </c>
      <c r="KJ28">
        <v>37</v>
      </c>
      <c r="KK28">
        <v>38.75</v>
      </c>
      <c r="KL28" t="s">
        <v>137</v>
      </c>
      <c r="KM28" t="s">
        <v>137</v>
      </c>
      <c r="KN28">
        <v>39.5</v>
      </c>
      <c r="KO28">
        <v>40.5</v>
      </c>
      <c r="KP28">
        <v>40.25</v>
      </c>
      <c r="KQ28">
        <v>40</v>
      </c>
      <c r="KR28">
        <v>40.25</v>
      </c>
      <c r="KS28" t="s">
        <v>137</v>
      </c>
      <c r="KT28" t="s">
        <v>137</v>
      </c>
      <c r="KU28">
        <v>39.549999999999997</v>
      </c>
      <c r="KV28">
        <v>39.85</v>
      </c>
      <c r="KW28">
        <v>39.6</v>
      </c>
      <c r="KX28">
        <v>39.6</v>
      </c>
      <c r="KY28">
        <v>39.6</v>
      </c>
      <c r="KZ28" t="s">
        <v>137</v>
      </c>
      <c r="LA28" t="s">
        <v>137</v>
      </c>
      <c r="LB28">
        <v>40.75</v>
      </c>
      <c r="LC28">
        <v>41</v>
      </c>
      <c r="LD28">
        <v>41.5</v>
      </c>
      <c r="LE28">
        <v>42</v>
      </c>
      <c r="LF28">
        <v>41.25</v>
      </c>
      <c r="LG28" t="s">
        <v>137</v>
      </c>
      <c r="LH28" t="s">
        <v>137</v>
      </c>
      <c r="LI28">
        <v>41.85</v>
      </c>
      <c r="LJ28">
        <v>41.35</v>
      </c>
      <c r="LK28">
        <v>40.75</v>
      </c>
      <c r="LL28">
        <v>40.75</v>
      </c>
      <c r="LM28">
        <v>41</v>
      </c>
      <c r="LN28" t="s">
        <v>137</v>
      </c>
      <c r="LO28" t="s">
        <v>137</v>
      </c>
      <c r="LP28">
        <v>40.15</v>
      </c>
      <c r="LQ28">
        <v>40.15</v>
      </c>
      <c r="LR28">
        <v>41.5</v>
      </c>
      <c r="LS28">
        <v>42.5</v>
      </c>
      <c r="LT28">
        <v>43.25</v>
      </c>
      <c r="LU28" t="s">
        <v>137</v>
      </c>
      <c r="LV28" t="s">
        <v>137</v>
      </c>
      <c r="LW28">
        <v>43.75</v>
      </c>
      <c r="LX28">
        <v>43.75</v>
      </c>
      <c r="LY28">
        <v>43.75</v>
      </c>
      <c r="LZ28">
        <v>43.75</v>
      </c>
      <c r="MA28">
        <v>43.75</v>
      </c>
      <c r="MB28" t="s">
        <v>137</v>
      </c>
      <c r="MC28" t="s">
        <v>137</v>
      </c>
      <c r="MD28">
        <v>43.75</v>
      </c>
      <c r="ME28">
        <v>48.8</v>
      </c>
      <c r="MF28">
        <v>48.51</v>
      </c>
      <c r="MG28">
        <v>47.95</v>
      </c>
      <c r="MH28">
        <v>48.37</v>
      </c>
      <c r="MI28" t="s">
        <v>137</v>
      </c>
      <c r="MJ28" t="s">
        <v>137</v>
      </c>
      <c r="MK28">
        <v>48.37</v>
      </c>
      <c r="ML28">
        <v>48.09</v>
      </c>
      <c r="MM28">
        <v>48.06</v>
      </c>
      <c r="MN28">
        <v>47.85</v>
      </c>
      <c r="MO28">
        <v>47.62</v>
      </c>
      <c r="MP28" t="s">
        <v>137</v>
      </c>
      <c r="MQ28" t="s">
        <v>137</v>
      </c>
      <c r="MR28">
        <v>47.64</v>
      </c>
      <c r="MS28">
        <v>47.1</v>
      </c>
      <c r="MT28">
        <v>47.4</v>
      </c>
      <c r="MU28">
        <v>47.08</v>
      </c>
      <c r="MV28">
        <v>46.84</v>
      </c>
      <c r="MW28" t="s">
        <v>137</v>
      </c>
      <c r="MX28" t="s">
        <v>137</v>
      </c>
      <c r="MY28">
        <v>44.98</v>
      </c>
      <c r="MZ28">
        <v>41.97</v>
      </c>
      <c r="NA28">
        <v>43.96</v>
      </c>
      <c r="NB28">
        <v>41.75</v>
      </c>
      <c r="NC28">
        <v>42</v>
      </c>
      <c r="ND28" t="s">
        <v>137</v>
      </c>
      <c r="NE28" t="s">
        <v>137</v>
      </c>
      <c r="NF28">
        <v>43</v>
      </c>
      <c r="NG28">
        <v>48.5</v>
      </c>
      <c r="NH28">
        <v>49.25</v>
      </c>
      <c r="NI28">
        <v>49.25</v>
      </c>
      <c r="NJ28">
        <v>52</v>
      </c>
      <c r="NK28" t="s">
        <v>137</v>
      </c>
      <c r="NL28" t="s">
        <v>137</v>
      </c>
      <c r="NM28" t="s">
        <v>137</v>
      </c>
      <c r="NN28" t="s">
        <v>137</v>
      </c>
      <c r="NO28" t="s">
        <v>137</v>
      </c>
      <c r="NP28" t="s">
        <v>137</v>
      </c>
      <c r="NQ28" t="s">
        <v>137</v>
      </c>
      <c r="NR28" t="s">
        <v>137</v>
      </c>
      <c r="NS28" t="s">
        <v>137</v>
      </c>
      <c r="NT28" t="s">
        <v>137</v>
      </c>
      <c r="NU28" t="s">
        <v>137</v>
      </c>
      <c r="NV28" t="s">
        <v>137</v>
      </c>
      <c r="NW28" t="s">
        <v>137</v>
      </c>
      <c r="NX28" t="s">
        <v>137</v>
      </c>
      <c r="NY28" t="s">
        <v>137</v>
      </c>
      <c r="NZ28" t="s">
        <v>137</v>
      </c>
      <c r="OA28" t="s">
        <v>137</v>
      </c>
      <c r="OB28" t="s">
        <v>137</v>
      </c>
      <c r="OC28" t="s">
        <v>137</v>
      </c>
      <c r="OD28" t="s">
        <v>137</v>
      </c>
      <c r="OE28" t="s">
        <v>137</v>
      </c>
      <c r="OF28" t="s">
        <v>137</v>
      </c>
      <c r="OG28" t="s">
        <v>137</v>
      </c>
      <c r="OH28" t="s">
        <v>137</v>
      </c>
      <c r="OI28" t="s">
        <v>137</v>
      </c>
      <c r="OJ28" t="s">
        <v>137</v>
      </c>
      <c r="OK28" t="s">
        <v>137</v>
      </c>
      <c r="OL28" t="s">
        <v>137</v>
      </c>
      <c r="OM28" t="s">
        <v>137</v>
      </c>
      <c r="ON28" t="s">
        <v>137</v>
      </c>
      <c r="OO28" t="s">
        <v>137</v>
      </c>
      <c r="OP28" t="s">
        <v>137</v>
      </c>
      <c r="OQ28" t="s">
        <v>137</v>
      </c>
      <c r="OR28" t="s">
        <v>137</v>
      </c>
      <c r="OS28" t="s">
        <v>137</v>
      </c>
      <c r="OT28" t="s">
        <v>137</v>
      </c>
      <c r="OU28" t="s">
        <v>137</v>
      </c>
      <c r="OV28" t="s">
        <v>137</v>
      </c>
      <c r="OW28" t="s">
        <v>137</v>
      </c>
      <c r="OX28" t="s">
        <v>137</v>
      </c>
      <c r="OY28" t="s">
        <v>137</v>
      </c>
      <c r="OZ28" t="s">
        <v>137</v>
      </c>
      <c r="PA28" t="s">
        <v>137</v>
      </c>
      <c r="PB28" t="s">
        <v>137</v>
      </c>
      <c r="PC28" t="s">
        <v>137</v>
      </c>
      <c r="PD28" t="s">
        <v>137</v>
      </c>
      <c r="PE28" t="s">
        <v>137</v>
      </c>
      <c r="PF28" t="s">
        <v>137</v>
      </c>
      <c r="PG28" t="s">
        <v>137</v>
      </c>
      <c r="PH28" t="s">
        <v>137</v>
      </c>
      <c r="PI28" t="s">
        <v>137</v>
      </c>
      <c r="PJ28" t="s">
        <v>137</v>
      </c>
      <c r="PK28" t="s">
        <v>137</v>
      </c>
      <c r="PL28" t="s">
        <v>137</v>
      </c>
      <c r="PM28" t="s">
        <v>137</v>
      </c>
      <c r="PN28" t="s">
        <v>137</v>
      </c>
      <c r="PO28" t="s">
        <v>137</v>
      </c>
      <c r="PP28" t="s">
        <v>137</v>
      </c>
      <c r="PQ28" t="s">
        <v>137</v>
      </c>
      <c r="PR28" t="s">
        <v>137</v>
      </c>
      <c r="PS28" t="s">
        <v>137</v>
      </c>
      <c r="PT28" t="s">
        <v>137</v>
      </c>
      <c r="PU28" t="s">
        <v>137</v>
      </c>
      <c r="PV28" t="s">
        <v>137</v>
      </c>
      <c r="PW28" t="s">
        <v>137</v>
      </c>
      <c r="PX28" t="s">
        <v>137</v>
      </c>
      <c r="PY28" t="s">
        <v>137</v>
      </c>
      <c r="PZ28" t="s">
        <v>137</v>
      </c>
      <c r="QA28" t="s">
        <v>137</v>
      </c>
      <c r="QB28" t="s">
        <v>137</v>
      </c>
      <c r="QC28" t="s">
        <v>137</v>
      </c>
      <c r="QD28" t="s">
        <v>137</v>
      </c>
      <c r="QE28" t="s">
        <v>137</v>
      </c>
      <c r="QF28" t="s">
        <v>137</v>
      </c>
      <c r="QG28" t="s">
        <v>137</v>
      </c>
      <c r="QH28" t="s">
        <v>137</v>
      </c>
      <c r="QI28" t="s">
        <v>137</v>
      </c>
      <c r="QJ28" t="s">
        <v>137</v>
      </c>
      <c r="QK28" t="s">
        <v>137</v>
      </c>
      <c r="QL28" t="s">
        <v>137</v>
      </c>
      <c r="QM28" t="s">
        <v>137</v>
      </c>
      <c r="QN28" t="s">
        <v>137</v>
      </c>
      <c r="QO28" t="s">
        <v>137</v>
      </c>
    </row>
    <row r="29" spans="1:457" x14ac:dyDescent="0.2">
      <c r="A29" t="s">
        <v>131</v>
      </c>
      <c r="B29" s="3">
        <v>42655</v>
      </c>
      <c r="C29" t="s">
        <v>47</v>
      </c>
      <c r="E29" t="s">
        <v>137</v>
      </c>
      <c r="F29">
        <v>34.523000000000003</v>
      </c>
      <c r="G29">
        <v>35.985999999999997</v>
      </c>
      <c r="H29">
        <v>36.362000000000002</v>
      </c>
      <c r="I29">
        <v>39.274000000000001</v>
      </c>
      <c r="J29">
        <v>41.274000000000001</v>
      </c>
      <c r="K29" t="s">
        <v>137</v>
      </c>
      <c r="L29" t="s">
        <v>137</v>
      </c>
      <c r="M29">
        <v>41.478999999999999</v>
      </c>
      <c r="N29">
        <v>39.219000000000001</v>
      </c>
      <c r="O29">
        <v>39.753</v>
      </c>
      <c r="P29">
        <v>39.046999999999997</v>
      </c>
      <c r="Q29">
        <v>37.308999999999997</v>
      </c>
      <c r="R29" t="s">
        <v>137</v>
      </c>
      <c r="S29" t="s">
        <v>137</v>
      </c>
      <c r="T29">
        <v>37.878</v>
      </c>
      <c r="U29">
        <v>37.496000000000002</v>
      </c>
      <c r="V29">
        <v>40.006</v>
      </c>
      <c r="W29">
        <v>39.506</v>
      </c>
      <c r="X29">
        <v>39.738999999999997</v>
      </c>
      <c r="Y29" t="s">
        <v>137</v>
      </c>
      <c r="Z29" t="s">
        <v>137</v>
      </c>
      <c r="AA29">
        <v>39.743000000000002</v>
      </c>
      <c r="AB29">
        <v>39.021999999999998</v>
      </c>
      <c r="AC29">
        <v>37.69</v>
      </c>
      <c r="AD29">
        <v>38.377000000000002</v>
      </c>
      <c r="AE29">
        <v>39.104999999999997</v>
      </c>
      <c r="AF29" t="s">
        <v>137</v>
      </c>
      <c r="AG29" t="s">
        <v>137</v>
      </c>
      <c r="AH29">
        <v>39.374000000000002</v>
      </c>
      <c r="AI29">
        <v>39.256999999999998</v>
      </c>
      <c r="AJ29">
        <v>40.015999999999998</v>
      </c>
      <c r="AK29">
        <v>39.491999999999997</v>
      </c>
      <c r="AL29">
        <v>40</v>
      </c>
      <c r="AM29" t="s">
        <v>137</v>
      </c>
      <c r="AN29" t="s">
        <v>137</v>
      </c>
      <c r="AO29">
        <v>40.493000000000002</v>
      </c>
      <c r="AP29">
        <v>40.970999999999997</v>
      </c>
      <c r="AQ29">
        <v>40.948999999999998</v>
      </c>
      <c r="AR29">
        <v>42.494</v>
      </c>
      <c r="AS29">
        <v>44.247</v>
      </c>
      <c r="AT29" t="s">
        <v>137</v>
      </c>
      <c r="AU29" t="s">
        <v>137</v>
      </c>
      <c r="AV29">
        <v>43.345999999999997</v>
      </c>
      <c r="AW29">
        <v>43.174999999999997</v>
      </c>
      <c r="AX29">
        <v>43.067999999999998</v>
      </c>
      <c r="AY29">
        <v>42.036999999999999</v>
      </c>
      <c r="AZ29">
        <v>41.481999999999999</v>
      </c>
      <c r="BA29" t="s">
        <v>137</v>
      </c>
      <c r="BB29" t="s">
        <v>137</v>
      </c>
      <c r="BC29">
        <v>41.497999999999998</v>
      </c>
      <c r="BD29">
        <v>39.238</v>
      </c>
      <c r="BE29">
        <v>38.905999999999999</v>
      </c>
      <c r="BF29">
        <v>41.017000000000003</v>
      </c>
      <c r="BG29">
        <v>40.853999999999999</v>
      </c>
      <c r="BH29" t="s">
        <v>137</v>
      </c>
      <c r="BI29" t="s">
        <v>137</v>
      </c>
      <c r="BJ29">
        <v>39.372</v>
      </c>
      <c r="BK29">
        <v>38.853999999999999</v>
      </c>
      <c r="BL29">
        <v>39.179000000000002</v>
      </c>
      <c r="BM29">
        <v>38.94</v>
      </c>
      <c r="BN29">
        <v>38.619</v>
      </c>
      <c r="BO29" t="s">
        <v>137</v>
      </c>
      <c r="BP29" t="s">
        <v>137</v>
      </c>
      <c r="BQ29">
        <v>38.896000000000001</v>
      </c>
      <c r="BR29">
        <v>38.987000000000002</v>
      </c>
      <c r="BS29">
        <v>38.213999999999999</v>
      </c>
      <c r="BT29">
        <v>37.854999999999997</v>
      </c>
      <c r="BU29">
        <v>37.497999999999998</v>
      </c>
      <c r="BV29" t="s">
        <v>137</v>
      </c>
      <c r="BW29" t="s">
        <v>137</v>
      </c>
      <c r="BX29">
        <v>37.228999999999999</v>
      </c>
      <c r="BY29">
        <v>36.524000000000001</v>
      </c>
      <c r="BZ29">
        <v>37.003</v>
      </c>
      <c r="CA29">
        <v>36.655999999999999</v>
      </c>
      <c r="CB29">
        <v>36.994999999999997</v>
      </c>
      <c r="CC29" t="s">
        <v>137</v>
      </c>
      <c r="CD29" t="s">
        <v>137</v>
      </c>
      <c r="CE29">
        <v>36.987000000000002</v>
      </c>
      <c r="CF29">
        <v>37.052999999999997</v>
      </c>
      <c r="CG29">
        <v>38.469000000000001</v>
      </c>
      <c r="CH29">
        <v>38.884999999999998</v>
      </c>
      <c r="CI29">
        <v>39.008000000000003</v>
      </c>
      <c r="CJ29" t="s">
        <v>137</v>
      </c>
      <c r="CK29" t="s">
        <v>137</v>
      </c>
      <c r="CL29">
        <v>38.734000000000002</v>
      </c>
      <c r="CM29">
        <v>38.557000000000002</v>
      </c>
      <c r="CN29">
        <v>38.558</v>
      </c>
      <c r="CO29">
        <v>38.588999999999999</v>
      </c>
      <c r="CP29">
        <v>38.579000000000001</v>
      </c>
      <c r="CQ29" t="s">
        <v>137</v>
      </c>
      <c r="CR29" t="s">
        <v>137</v>
      </c>
      <c r="CS29">
        <v>38.479999999999997</v>
      </c>
      <c r="CT29">
        <v>38.613999999999997</v>
      </c>
      <c r="CU29">
        <v>38.585000000000001</v>
      </c>
      <c r="CV29">
        <v>38.540999999999997</v>
      </c>
      <c r="CW29">
        <v>38.545000000000002</v>
      </c>
      <c r="CX29" t="s">
        <v>137</v>
      </c>
      <c r="CY29" t="s">
        <v>137</v>
      </c>
      <c r="CZ29">
        <v>38.573999999999998</v>
      </c>
      <c r="DA29">
        <v>38.576999999999998</v>
      </c>
      <c r="DB29">
        <v>38.627000000000002</v>
      </c>
      <c r="DC29">
        <v>39.506</v>
      </c>
      <c r="DD29">
        <v>39.549999999999997</v>
      </c>
      <c r="DE29" t="s">
        <v>137</v>
      </c>
      <c r="DF29" t="s">
        <v>137</v>
      </c>
      <c r="DG29">
        <v>39.536999999999999</v>
      </c>
      <c r="DH29">
        <v>39.58</v>
      </c>
      <c r="DI29">
        <v>39.533000000000001</v>
      </c>
      <c r="DJ29">
        <v>42.783000000000001</v>
      </c>
      <c r="DK29">
        <v>41.776000000000003</v>
      </c>
      <c r="DL29" t="s">
        <v>137</v>
      </c>
      <c r="DM29" t="s">
        <v>137</v>
      </c>
      <c r="DN29">
        <v>42.734000000000002</v>
      </c>
      <c r="DO29">
        <v>42.786000000000001</v>
      </c>
      <c r="DP29">
        <v>42.786000000000001</v>
      </c>
      <c r="DQ29">
        <v>42.786000000000001</v>
      </c>
      <c r="DR29">
        <v>42.997</v>
      </c>
      <c r="DS29" t="s">
        <v>137</v>
      </c>
      <c r="DT29" t="s">
        <v>137</v>
      </c>
      <c r="DU29">
        <v>45.508000000000003</v>
      </c>
      <c r="DV29">
        <v>45.497</v>
      </c>
      <c r="DW29">
        <v>45.509</v>
      </c>
      <c r="DX29">
        <v>45.497999999999998</v>
      </c>
      <c r="DY29">
        <v>45.521000000000001</v>
      </c>
      <c r="DZ29" t="s">
        <v>137</v>
      </c>
      <c r="EA29" t="s">
        <v>137</v>
      </c>
      <c r="EB29">
        <v>43.582999999999998</v>
      </c>
      <c r="EC29">
        <v>44.472000000000001</v>
      </c>
      <c r="ED29">
        <v>45.081000000000003</v>
      </c>
      <c r="EE29">
        <v>45.735999999999997</v>
      </c>
      <c r="EF29">
        <v>46.423000000000002</v>
      </c>
      <c r="EG29" t="s">
        <v>137</v>
      </c>
      <c r="EH29" t="s">
        <v>137</v>
      </c>
      <c r="EI29">
        <v>45.987000000000002</v>
      </c>
      <c r="EJ29">
        <v>46.094999999999999</v>
      </c>
      <c r="EK29">
        <v>46.244</v>
      </c>
      <c r="EL29">
        <v>47.017000000000003</v>
      </c>
      <c r="EM29">
        <v>46.874000000000002</v>
      </c>
      <c r="EN29" t="s">
        <v>137</v>
      </c>
      <c r="EO29" t="s">
        <v>137</v>
      </c>
      <c r="EP29">
        <v>46.643000000000001</v>
      </c>
      <c r="EQ29">
        <v>46.042000000000002</v>
      </c>
      <c r="ER29">
        <v>44.503999999999998</v>
      </c>
      <c r="ES29">
        <v>43.505000000000003</v>
      </c>
      <c r="ET29">
        <v>43.531999999999996</v>
      </c>
      <c r="EU29" t="s">
        <v>137</v>
      </c>
      <c r="EV29" t="s">
        <v>137</v>
      </c>
      <c r="EW29">
        <v>41.853000000000002</v>
      </c>
      <c r="EX29">
        <v>41.856999999999999</v>
      </c>
      <c r="EY29">
        <v>43.008000000000003</v>
      </c>
      <c r="EZ29">
        <v>42.768999999999998</v>
      </c>
      <c r="FA29">
        <v>43.02</v>
      </c>
      <c r="FB29" t="s">
        <v>137</v>
      </c>
      <c r="FC29" t="s">
        <v>137</v>
      </c>
      <c r="FD29">
        <v>44.017000000000003</v>
      </c>
      <c r="FE29">
        <v>44.390999999999998</v>
      </c>
      <c r="FF29">
        <v>45.997</v>
      </c>
      <c r="FG29">
        <v>45.384</v>
      </c>
      <c r="FH29">
        <v>46.081000000000003</v>
      </c>
      <c r="FI29" t="s">
        <v>137</v>
      </c>
      <c r="FJ29" t="s">
        <v>137</v>
      </c>
      <c r="FK29">
        <v>45.512</v>
      </c>
      <c r="FL29">
        <v>45.095999999999997</v>
      </c>
      <c r="FM29">
        <v>44.485999999999997</v>
      </c>
      <c r="FN29">
        <v>43.511000000000003</v>
      </c>
      <c r="FO29">
        <v>43.494</v>
      </c>
      <c r="FP29" t="s">
        <v>137</v>
      </c>
      <c r="FQ29" t="s">
        <v>137</v>
      </c>
      <c r="FR29">
        <v>42.755000000000003</v>
      </c>
      <c r="FS29">
        <v>43</v>
      </c>
      <c r="FT29">
        <v>43</v>
      </c>
      <c r="FU29">
        <v>42</v>
      </c>
      <c r="FV29">
        <v>42.5</v>
      </c>
      <c r="FW29" t="s">
        <v>137</v>
      </c>
      <c r="FX29" t="s">
        <v>137</v>
      </c>
      <c r="FY29">
        <v>42.5</v>
      </c>
      <c r="FZ29">
        <v>43</v>
      </c>
      <c r="GA29">
        <v>42.65</v>
      </c>
      <c r="GB29">
        <v>42.75</v>
      </c>
      <c r="GC29">
        <v>41.75</v>
      </c>
      <c r="GD29" t="s">
        <v>137</v>
      </c>
      <c r="GE29" t="s">
        <v>137</v>
      </c>
      <c r="GF29">
        <v>40</v>
      </c>
      <c r="GG29">
        <v>40.15</v>
      </c>
      <c r="GH29">
        <v>40.5</v>
      </c>
      <c r="GI29">
        <v>40.5</v>
      </c>
      <c r="GJ29">
        <v>37.85</v>
      </c>
      <c r="GK29" t="s">
        <v>137</v>
      </c>
      <c r="GL29" t="s">
        <v>137</v>
      </c>
      <c r="GM29">
        <v>37.625</v>
      </c>
      <c r="GN29">
        <v>35.25</v>
      </c>
      <c r="GO29">
        <v>33.85</v>
      </c>
      <c r="GP29">
        <v>32</v>
      </c>
      <c r="GQ29">
        <v>32.35</v>
      </c>
      <c r="GR29" t="s">
        <v>137</v>
      </c>
      <c r="GS29" t="s">
        <v>137</v>
      </c>
      <c r="GT29">
        <v>31.5</v>
      </c>
      <c r="GU29">
        <v>30.75</v>
      </c>
      <c r="GV29">
        <v>29.5</v>
      </c>
      <c r="GW29">
        <v>27.65</v>
      </c>
      <c r="GX29">
        <v>27.65</v>
      </c>
      <c r="GY29" t="s">
        <v>137</v>
      </c>
      <c r="GZ29" t="s">
        <v>137</v>
      </c>
      <c r="HA29">
        <v>26.85</v>
      </c>
      <c r="HB29">
        <v>26.35</v>
      </c>
      <c r="HC29">
        <v>26.35</v>
      </c>
      <c r="HD29">
        <v>25.85</v>
      </c>
      <c r="HE29">
        <v>25</v>
      </c>
      <c r="HF29" t="s">
        <v>137</v>
      </c>
      <c r="HG29" t="s">
        <v>137</v>
      </c>
      <c r="HH29">
        <v>25</v>
      </c>
      <c r="HI29">
        <v>25.5</v>
      </c>
      <c r="HJ29">
        <v>25.5</v>
      </c>
      <c r="HK29">
        <v>26.25</v>
      </c>
      <c r="HL29">
        <v>27</v>
      </c>
      <c r="HM29" t="s">
        <v>137</v>
      </c>
      <c r="HN29" t="s">
        <v>137</v>
      </c>
      <c r="HO29">
        <v>27.5</v>
      </c>
      <c r="HP29">
        <v>28.5</v>
      </c>
      <c r="HQ29">
        <v>27.5</v>
      </c>
      <c r="HR29">
        <v>27.5</v>
      </c>
      <c r="HS29">
        <v>27</v>
      </c>
      <c r="HT29" t="s">
        <v>137</v>
      </c>
      <c r="HU29" t="s">
        <v>137</v>
      </c>
      <c r="HV29">
        <v>26.5</v>
      </c>
      <c r="HW29">
        <v>27</v>
      </c>
      <c r="HX29">
        <v>26.75</v>
      </c>
      <c r="HY29">
        <v>26.25</v>
      </c>
      <c r="HZ29">
        <v>27</v>
      </c>
      <c r="IA29" t="s">
        <v>137</v>
      </c>
      <c r="IB29" t="s">
        <v>137</v>
      </c>
      <c r="IC29">
        <v>29.5</v>
      </c>
      <c r="ID29">
        <v>29.75</v>
      </c>
      <c r="IE29">
        <v>28.75</v>
      </c>
      <c r="IF29">
        <v>27.125</v>
      </c>
      <c r="IG29">
        <v>25.75</v>
      </c>
      <c r="IH29" t="s">
        <v>137</v>
      </c>
      <c r="II29" t="s">
        <v>137</v>
      </c>
      <c r="IJ29">
        <v>25.5</v>
      </c>
      <c r="IK29">
        <v>25</v>
      </c>
      <c r="IL29">
        <v>24.5</v>
      </c>
      <c r="IM29">
        <v>24.5</v>
      </c>
      <c r="IN29">
        <v>24.5</v>
      </c>
      <c r="IO29" t="s">
        <v>137</v>
      </c>
      <c r="IP29" t="s">
        <v>137</v>
      </c>
      <c r="IQ29">
        <v>23.25</v>
      </c>
      <c r="IR29">
        <v>23.125</v>
      </c>
      <c r="IS29">
        <v>24</v>
      </c>
      <c r="IT29">
        <v>24.5</v>
      </c>
      <c r="IU29">
        <v>24.25</v>
      </c>
      <c r="IV29" t="s">
        <v>137</v>
      </c>
      <c r="IW29" t="s">
        <v>137</v>
      </c>
      <c r="IX29">
        <v>24.5</v>
      </c>
      <c r="IY29">
        <v>26.75</v>
      </c>
      <c r="IZ29">
        <v>27</v>
      </c>
      <c r="JA29">
        <v>26.75</v>
      </c>
      <c r="JB29">
        <v>28.25</v>
      </c>
      <c r="JC29" t="s">
        <v>137</v>
      </c>
      <c r="JD29" t="s">
        <v>137</v>
      </c>
      <c r="JE29">
        <v>30.25</v>
      </c>
      <c r="JF29">
        <v>30.5</v>
      </c>
      <c r="JG29">
        <v>30.05</v>
      </c>
      <c r="JH29">
        <v>29.5</v>
      </c>
      <c r="JI29">
        <v>29.375</v>
      </c>
      <c r="JJ29" t="s">
        <v>137</v>
      </c>
      <c r="JK29" t="s">
        <v>137</v>
      </c>
      <c r="JL29">
        <v>29.5</v>
      </c>
      <c r="JM29">
        <v>31.25</v>
      </c>
      <c r="JN29">
        <v>32</v>
      </c>
      <c r="JO29">
        <v>31.25</v>
      </c>
      <c r="JP29">
        <v>35.75</v>
      </c>
      <c r="JQ29" t="s">
        <v>137</v>
      </c>
      <c r="JR29" t="s">
        <v>137</v>
      </c>
      <c r="JS29">
        <v>36.5</v>
      </c>
      <c r="JT29">
        <v>36.5</v>
      </c>
      <c r="JU29">
        <v>37.5</v>
      </c>
      <c r="JV29">
        <v>38.25</v>
      </c>
      <c r="JW29">
        <v>37.75</v>
      </c>
      <c r="JX29" t="s">
        <v>137</v>
      </c>
      <c r="JY29" t="s">
        <v>137</v>
      </c>
      <c r="JZ29">
        <v>37.625</v>
      </c>
      <c r="KA29">
        <v>37.75</v>
      </c>
      <c r="KB29">
        <v>37.375</v>
      </c>
      <c r="KC29">
        <v>38.125</v>
      </c>
      <c r="KD29">
        <v>38.25</v>
      </c>
      <c r="KE29" t="s">
        <v>137</v>
      </c>
      <c r="KF29" t="s">
        <v>137</v>
      </c>
      <c r="KG29">
        <v>37.875</v>
      </c>
      <c r="KH29">
        <v>37.75</v>
      </c>
      <c r="KI29">
        <v>38</v>
      </c>
      <c r="KJ29">
        <v>35.75</v>
      </c>
      <c r="KK29">
        <v>37.25</v>
      </c>
      <c r="KL29" t="s">
        <v>137</v>
      </c>
      <c r="KM29" t="s">
        <v>137</v>
      </c>
      <c r="KN29">
        <v>38</v>
      </c>
      <c r="KO29">
        <v>39.25</v>
      </c>
      <c r="KP29">
        <v>39.25</v>
      </c>
      <c r="KQ29">
        <v>38.65</v>
      </c>
      <c r="KR29">
        <v>38.65</v>
      </c>
      <c r="KS29" t="s">
        <v>137</v>
      </c>
      <c r="KT29" t="s">
        <v>137</v>
      </c>
      <c r="KU29">
        <v>38</v>
      </c>
      <c r="KV29">
        <v>38.5</v>
      </c>
      <c r="KW29">
        <v>38.1</v>
      </c>
      <c r="KX29">
        <v>38</v>
      </c>
      <c r="KY29">
        <v>38</v>
      </c>
      <c r="KZ29" t="s">
        <v>137</v>
      </c>
      <c r="LA29" t="s">
        <v>137</v>
      </c>
      <c r="LB29">
        <v>39.75</v>
      </c>
      <c r="LC29">
        <v>39.75</v>
      </c>
      <c r="LD29">
        <v>39.53</v>
      </c>
      <c r="LE29">
        <v>39.270000000000003</v>
      </c>
      <c r="LF29">
        <v>38.67</v>
      </c>
      <c r="LG29" t="s">
        <v>137</v>
      </c>
      <c r="LH29" t="s">
        <v>137</v>
      </c>
      <c r="LI29">
        <v>39.024999999999999</v>
      </c>
      <c r="LJ29">
        <v>38.659999999999997</v>
      </c>
      <c r="LK29">
        <v>38.344999999999999</v>
      </c>
      <c r="LL29">
        <v>38.49</v>
      </c>
      <c r="LM29">
        <v>38.494999999999997</v>
      </c>
      <c r="LN29" t="s">
        <v>137</v>
      </c>
      <c r="LO29" t="s">
        <v>137</v>
      </c>
      <c r="LP29">
        <v>38.229999999999997</v>
      </c>
      <c r="LQ29">
        <v>38.25</v>
      </c>
      <c r="LR29">
        <v>39.14</v>
      </c>
      <c r="LS29">
        <v>40.24</v>
      </c>
      <c r="LT29">
        <v>40.805</v>
      </c>
      <c r="LU29" t="s">
        <v>137</v>
      </c>
      <c r="LV29" t="s">
        <v>137</v>
      </c>
      <c r="LW29">
        <v>41.335000000000001</v>
      </c>
      <c r="LX29">
        <v>40.765000000000001</v>
      </c>
      <c r="LY29">
        <v>40.405000000000001</v>
      </c>
      <c r="LZ29">
        <v>39.994999999999997</v>
      </c>
      <c r="MA29">
        <v>40.090000000000003</v>
      </c>
      <c r="MB29" t="s">
        <v>137</v>
      </c>
      <c r="MC29" t="s">
        <v>137</v>
      </c>
      <c r="MD29">
        <v>39.884999999999998</v>
      </c>
      <c r="ME29">
        <v>45.02</v>
      </c>
      <c r="MF29">
        <v>44.844999999999999</v>
      </c>
      <c r="MG29">
        <v>44.594999999999999</v>
      </c>
      <c r="MH29">
        <v>44.19</v>
      </c>
      <c r="MI29" t="s">
        <v>137</v>
      </c>
      <c r="MJ29" t="s">
        <v>137</v>
      </c>
      <c r="MK29">
        <v>44.19</v>
      </c>
      <c r="ML29">
        <v>43.905000000000001</v>
      </c>
      <c r="MM29">
        <v>43.69</v>
      </c>
      <c r="MN29">
        <v>45</v>
      </c>
      <c r="MO29">
        <v>45</v>
      </c>
      <c r="MP29" t="s">
        <v>137</v>
      </c>
      <c r="MQ29" t="s">
        <v>137</v>
      </c>
      <c r="MR29">
        <v>45</v>
      </c>
      <c r="MS29">
        <v>43.95</v>
      </c>
      <c r="MT29">
        <v>44.19</v>
      </c>
      <c r="MU29">
        <v>43.8</v>
      </c>
      <c r="MV29">
        <v>43.55</v>
      </c>
      <c r="MW29" t="s">
        <v>137</v>
      </c>
      <c r="MX29" t="s">
        <v>137</v>
      </c>
      <c r="MY29">
        <v>41.69</v>
      </c>
      <c r="MZ29">
        <v>38.630000000000003</v>
      </c>
      <c r="NA29">
        <v>40.6</v>
      </c>
      <c r="NB29">
        <v>38.5</v>
      </c>
      <c r="NC29">
        <v>43.875</v>
      </c>
      <c r="ND29" t="s">
        <v>137</v>
      </c>
      <c r="NE29" t="s">
        <v>137</v>
      </c>
      <c r="NF29">
        <v>42.1</v>
      </c>
      <c r="NG29">
        <v>45.75</v>
      </c>
      <c r="NH29">
        <v>45.75</v>
      </c>
      <c r="NI29">
        <v>45.63</v>
      </c>
      <c r="NJ29">
        <v>48.25</v>
      </c>
      <c r="NK29" t="s">
        <v>137</v>
      </c>
      <c r="NL29" t="s">
        <v>137</v>
      </c>
      <c r="NM29" t="s">
        <v>137</v>
      </c>
      <c r="NN29" t="s">
        <v>137</v>
      </c>
      <c r="NO29" t="s">
        <v>137</v>
      </c>
      <c r="NP29" t="s">
        <v>137</v>
      </c>
      <c r="NQ29" t="s">
        <v>137</v>
      </c>
      <c r="NR29" t="s">
        <v>137</v>
      </c>
      <c r="NS29" t="s">
        <v>137</v>
      </c>
      <c r="NT29" t="s">
        <v>137</v>
      </c>
      <c r="NU29" t="s">
        <v>137</v>
      </c>
      <c r="NV29" t="s">
        <v>137</v>
      </c>
      <c r="NW29" t="s">
        <v>137</v>
      </c>
      <c r="NX29" t="s">
        <v>137</v>
      </c>
      <c r="NY29" t="s">
        <v>137</v>
      </c>
      <c r="NZ29" t="s">
        <v>137</v>
      </c>
      <c r="OA29" t="s">
        <v>137</v>
      </c>
      <c r="OB29" t="s">
        <v>137</v>
      </c>
      <c r="OC29" t="s">
        <v>137</v>
      </c>
      <c r="OD29" t="s">
        <v>137</v>
      </c>
      <c r="OE29" t="s">
        <v>137</v>
      </c>
      <c r="OF29" t="s">
        <v>137</v>
      </c>
      <c r="OG29" t="s">
        <v>137</v>
      </c>
      <c r="OH29" t="s">
        <v>137</v>
      </c>
      <c r="OI29" t="s">
        <v>137</v>
      </c>
      <c r="OJ29" t="s">
        <v>137</v>
      </c>
      <c r="OK29" t="s">
        <v>137</v>
      </c>
      <c r="OL29" t="s">
        <v>137</v>
      </c>
      <c r="OM29" t="s">
        <v>137</v>
      </c>
      <c r="ON29" t="s">
        <v>137</v>
      </c>
      <c r="OO29" t="s">
        <v>137</v>
      </c>
      <c r="OP29" t="s">
        <v>137</v>
      </c>
      <c r="OQ29" t="s">
        <v>137</v>
      </c>
      <c r="OR29" t="s">
        <v>137</v>
      </c>
      <c r="OS29" t="s">
        <v>137</v>
      </c>
      <c r="OT29" t="s">
        <v>137</v>
      </c>
      <c r="OU29" t="s">
        <v>137</v>
      </c>
      <c r="OV29" t="s">
        <v>137</v>
      </c>
      <c r="OW29" t="s">
        <v>137</v>
      </c>
      <c r="OX29" t="s">
        <v>137</v>
      </c>
      <c r="OY29" t="s">
        <v>137</v>
      </c>
      <c r="OZ29" t="s">
        <v>137</v>
      </c>
      <c r="PA29" t="s">
        <v>137</v>
      </c>
      <c r="PB29" t="s">
        <v>137</v>
      </c>
      <c r="PC29" t="s">
        <v>137</v>
      </c>
      <c r="PD29" t="s">
        <v>137</v>
      </c>
      <c r="PE29" t="s">
        <v>137</v>
      </c>
      <c r="PF29" t="s">
        <v>137</v>
      </c>
      <c r="PG29" t="s">
        <v>137</v>
      </c>
      <c r="PH29" t="s">
        <v>137</v>
      </c>
      <c r="PI29" t="s">
        <v>137</v>
      </c>
      <c r="PJ29" t="s">
        <v>137</v>
      </c>
      <c r="PK29" t="s">
        <v>137</v>
      </c>
      <c r="PL29" t="s">
        <v>137</v>
      </c>
      <c r="PM29" t="s">
        <v>137</v>
      </c>
      <c r="PN29" t="s">
        <v>137</v>
      </c>
      <c r="PO29" t="s">
        <v>137</v>
      </c>
      <c r="PP29" t="s">
        <v>137</v>
      </c>
      <c r="PQ29" t="s">
        <v>137</v>
      </c>
      <c r="PR29" t="s">
        <v>137</v>
      </c>
      <c r="PS29" t="s">
        <v>137</v>
      </c>
      <c r="PT29" t="s">
        <v>137</v>
      </c>
      <c r="PU29" t="s">
        <v>137</v>
      </c>
      <c r="PV29" t="s">
        <v>137</v>
      </c>
      <c r="PW29" t="s">
        <v>137</v>
      </c>
      <c r="PX29" t="s">
        <v>137</v>
      </c>
      <c r="PY29" t="s">
        <v>137</v>
      </c>
      <c r="PZ29" t="s">
        <v>137</v>
      </c>
      <c r="QA29" t="s">
        <v>137</v>
      </c>
      <c r="QB29" t="s">
        <v>137</v>
      </c>
      <c r="QC29" t="s">
        <v>137</v>
      </c>
      <c r="QD29" t="s">
        <v>137</v>
      </c>
      <c r="QE29" t="s">
        <v>137</v>
      </c>
      <c r="QF29" t="s">
        <v>137</v>
      </c>
      <c r="QG29" t="s">
        <v>137</v>
      </c>
      <c r="QH29" t="s">
        <v>137</v>
      </c>
      <c r="QI29" t="s">
        <v>137</v>
      </c>
      <c r="QJ29" t="s">
        <v>137</v>
      </c>
      <c r="QK29" t="s">
        <v>137</v>
      </c>
      <c r="QL29" t="s">
        <v>137</v>
      </c>
      <c r="QM29" t="s">
        <v>137</v>
      </c>
      <c r="QN29" t="s">
        <v>137</v>
      </c>
      <c r="QO29" t="s">
        <v>137</v>
      </c>
    </row>
    <row r="30" spans="1:457" x14ac:dyDescent="0.2">
      <c r="A30" t="s">
        <v>132</v>
      </c>
      <c r="B30" s="3">
        <v>43048</v>
      </c>
      <c r="C30" t="s">
        <v>49</v>
      </c>
      <c r="E30" t="s">
        <v>137</v>
      </c>
      <c r="F30">
        <v>34.515999999999998</v>
      </c>
      <c r="G30">
        <v>36.225999999999999</v>
      </c>
      <c r="H30">
        <v>36.271000000000001</v>
      </c>
      <c r="I30">
        <v>39.267000000000003</v>
      </c>
      <c r="J30">
        <v>41.264000000000003</v>
      </c>
      <c r="K30" t="s">
        <v>137</v>
      </c>
      <c r="L30" t="s">
        <v>137</v>
      </c>
      <c r="M30">
        <v>41.470999999999997</v>
      </c>
      <c r="N30">
        <v>38.957000000000001</v>
      </c>
      <c r="O30">
        <v>39.517000000000003</v>
      </c>
      <c r="P30">
        <v>39.064</v>
      </c>
      <c r="Q30">
        <v>37.31</v>
      </c>
      <c r="R30" t="s">
        <v>137</v>
      </c>
      <c r="S30" t="s">
        <v>137</v>
      </c>
      <c r="T30">
        <v>37.884999999999998</v>
      </c>
      <c r="U30">
        <v>37.475000000000001</v>
      </c>
      <c r="V30">
        <v>39.987000000000002</v>
      </c>
      <c r="W30">
        <v>39.506</v>
      </c>
      <c r="X30">
        <v>39.497</v>
      </c>
      <c r="Y30" t="s">
        <v>137</v>
      </c>
      <c r="Z30" t="s">
        <v>137</v>
      </c>
      <c r="AA30">
        <v>39.481999999999999</v>
      </c>
      <c r="AB30">
        <v>38.508000000000003</v>
      </c>
      <c r="AC30">
        <v>37.688000000000002</v>
      </c>
      <c r="AD30">
        <v>38.581000000000003</v>
      </c>
      <c r="AE30">
        <v>39.32</v>
      </c>
      <c r="AF30" t="s">
        <v>137</v>
      </c>
      <c r="AG30" t="s">
        <v>137</v>
      </c>
      <c r="AH30">
        <v>39.366</v>
      </c>
      <c r="AI30">
        <v>39.247999999999998</v>
      </c>
      <c r="AJ30">
        <v>40.055999999999997</v>
      </c>
      <c r="AK30">
        <v>39.747999999999998</v>
      </c>
      <c r="AL30">
        <v>39.988</v>
      </c>
      <c r="AM30" t="s">
        <v>137</v>
      </c>
      <c r="AN30" t="s">
        <v>137</v>
      </c>
      <c r="AO30">
        <v>40.494</v>
      </c>
      <c r="AP30">
        <v>40.485999999999997</v>
      </c>
      <c r="AQ30">
        <v>40.716999999999999</v>
      </c>
      <c r="AR30">
        <v>42.491</v>
      </c>
      <c r="AS30">
        <v>44.234999999999999</v>
      </c>
      <c r="AT30" t="s">
        <v>137</v>
      </c>
      <c r="AU30" t="s">
        <v>137</v>
      </c>
      <c r="AV30">
        <v>43.347999999999999</v>
      </c>
      <c r="AW30">
        <v>43.131999999999998</v>
      </c>
      <c r="AX30">
        <v>43.069000000000003</v>
      </c>
      <c r="AY30">
        <v>42.039000000000001</v>
      </c>
      <c r="AZ30">
        <v>41.381999999999998</v>
      </c>
      <c r="BA30" t="s">
        <v>137</v>
      </c>
      <c r="BB30" t="s">
        <v>137</v>
      </c>
      <c r="BC30">
        <v>41.252000000000002</v>
      </c>
      <c r="BD30">
        <v>39.238</v>
      </c>
      <c r="BE30">
        <v>38.764000000000003</v>
      </c>
      <c r="BF30">
        <v>41.024000000000001</v>
      </c>
      <c r="BG30">
        <v>40.845999999999997</v>
      </c>
      <c r="BH30" t="s">
        <v>137</v>
      </c>
      <c r="BI30" t="s">
        <v>137</v>
      </c>
      <c r="BJ30">
        <v>39.377000000000002</v>
      </c>
      <c r="BK30">
        <v>38.863</v>
      </c>
      <c r="BL30">
        <v>39.115000000000002</v>
      </c>
      <c r="BM30">
        <v>38.908999999999999</v>
      </c>
      <c r="BN30">
        <v>38.616</v>
      </c>
      <c r="BO30" t="s">
        <v>137</v>
      </c>
      <c r="BP30" t="s">
        <v>137</v>
      </c>
      <c r="BQ30">
        <v>38.584000000000003</v>
      </c>
      <c r="BR30">
        <v>38.988</v>
      </c>
      <c r="BS30">
        <v>38.22</v>
      </c>
      <c r="BT30">
        <v>37.9</v>
      </c>
      <c r="BU30">
        <v>37.151000000000003</v>
      </c>
      <c r="BV30" t="s">
        <v>137</v>
      </c>
      <c r="BW30" t="s">
        <v>137</v>
      </c>
      <c r="BX30">
        <v>37.057000000000002</v>
      </c>
      <c r="BY30">
        <v>36.438000000000002</v>
      </c>
      <c r="BZ30">
        <v>36.209000000000003</v>
      </c>
      <c r="CA30">
        <v>36.649000000000001</v>
      </c>
      <c r="CB30">
        <v>36.996000000000002</v>
      </c>
      <c r="CC30" t="s">
        <v>137</v>
      </c>
      <c r="CD30" t="s">
        <v>137</v>
      </c>
      <c r="CE30">
        <v>36.963999999999999</v>
      </c>
      <c r="CF30">
        <v>37.06</v>
      </c>
      <c r="CG30">
        <v>38.298999999999999</v>
      </c>
      <c r="CH30">
        <v>38.722000000000001</v>
      </c>
      <c r="CI30">
        <v>39.012</v>
      </c>
      <c r="CJ30" t="s">
        <v>137</v>
      </c>
      <c r="CK30" t="s">
        <v>137</v>
      </c>
      <c r="CL30">
        <v>38.755000000000003</v>
      </c>
      <c r="CM30">
        <v>38.54</v>
      </c>
      <c r="CN30">
        <v>38.546999999999997</v>
      </c>
      <c r="CO30">
        <v>38.564</v>
      </c>
      <c r="CP30">
        <v>38.558999999999997</v>
      </c>
      <c r="CQ30" t="s">
        <v>137</v>
      </c>
      <c r="CR30" t="s">
        <v>137</v>
      </c>
      <c r="CS30">
        <v>38.436999999999998</v>
      </c>
      <c r="CT30">
        <v>38.567</v>
      </c>
      <c r="CU30">
        <v>38.531999999999996</v>
      </c>
      <c r="CV30">
        <v>38.478000000000002</v>
      </c>
      <c r="CW30">
        <v>38.472999999999999</v>
      </c>
      <c r="CX30" t="s">
        <v>137</v>
      </c>
      <c r="CY30" t="s">
        <v>137</v>
      </c>
      <c r="CZ30">
        <v>38.494</v>
      </c>
      <c r="DA30">
        <v>38.503999999999998</v>
      </c>
      <c r="DB30">
        <v>38.557000000000002</v>
      </c>
      <c r="DC30">
        <v>38.826999999999998</v>
      </c>
      <c r="DD30">
        <v>38.893000000000001</v>
      </c>
      <c r="DE30" t="s">
        <v>137</v>
      </c>
      <c r="DF30" t="s">
        <v>137</v>
      </c>
      <c r="DG30">
        <v>38.862000000000002</v>
      </c>
      <c r="DH30">
        <v>38.886000000000003</v>
      </c>
      <c r="DI30">
        <v>38.847000000000001</v>
      </c>
      <c r="DJ30">
        <v>42.9</v>
      </c>
      <c r="DK30">
        <v>41.655999999999999</v>
      </c>
      <c r="DL30" t="s">
        <v>137</v>
      </c>
      <c r="DM30" t="s">
        <v>137</v>
      </c>
      <c r="DN30">
        <v>42.74</v>
      </c>
      <c r="DO30">
        <v>42.761000000000003</v>
      </c>
      <c r="DP30">
        <v>42.761000000000003</v>
      </c>
      <c r="DQ30">
        <v>42.761000000000003</v>
      </c>
      <c r="DR30">
        <v>43.031999999999996</v>
      </c>
      <c r="DS30" t="s">
        <v>137</v>
      </c>
      <c r="DT30" t="s">
        <v>137</v>
      </c>
      <c r="DU30">
        <v>44.014000000000003</v>
      </c>
      <c r="DV30">
        <v>45</v>
      </c>
      <c r="DW30">
        <v>45</v>
      </c>
      <c r="DX30">
        <v>45.250999999999998</v>
      </c>
      <c r="DY30">
        <v>45.255000000000003</v>
      </c>
      <c r="DZ30" t="s">
        <v>137</v>
      </c>
      <c r="EA30" t="s">
        <v>137</v>
      </c>
      <c r="EB30">
        <v>43.210999999999999</v>
      </c>
      <c r="EC30">
        <v>44.215000000000003</v>
      </c>
      <c r="ED30">
        <v>44.820999999999998</v>
      </c>
      <c r="EE30">
        <v>45.746000000000002</v>
      </c>
      <c r="EF30">
        <v>46.524000000000001</v>
      </c>
      <c r="EG30" t="s">
        <v>137</v>
      </c>
      <c r="EH30" t="s">
        <v>137</v>
      </c>
      <c r="EI30">
        <v>45.978999999999999</v>
      </c>
      <c r="EJ30">
        <v>46.097000000000001</v>
      </c>
      <c r="EK30">
        <v>46.243000000000002</v>
      </c>
      <c r="EL30">
        <v>46.857999999999997</v>
      </c>
      <c r="EM30">
        <v>46.88</v>
      </c>
      <c r="EN30" t="s">
        <v>137</v>
      </c>
      <c r="EO30" t="s">
        <v>137</v>
      </c>
      <c r="EP30">
        <v>46.634</v>
      </c>
      <c r="EQ30">
        <v>45.936</v>
      </c>
      <c r="ER30">
        <v>44.518999999999998</v>
      </c>
      <c r="ES30">
        <v>43.505000000000003</v>
      </c>
      <c r="ET30">
        <v>43.542000000000002</v>
      </c>
      <c r="EU30" t="s">
        <v>137</v>
      </c>
      <c r="EV30" t="s">
        <v>137</v>
      </c>
      <c r="EW30">
        <v>41.838000000000001</v>
      </c>
      <c r="EX30">
        <v>41.84</v>
      </c>
      <c r="EY30">
        <v>42.898000000000003</v>
      </c>
      <c r="EZ30">
        <v>42.628</v>
      </c>
      <c r="FA30">
        <v>42.755000000000003</v>
      </c>
      <c r="FB30" t="s">
        <v>137</v>
      </c>
      <c r="FC30" t="s">
        <v>137</v>
      </c>
      <c r="FD30">
        <v>44.024999999999999</v>
      </c>
      <c r="FE30">
        <v>44.389000000000003</v>
      </c>
      <c r="FF30">
        <v>45.975999999999999</v>
      </c>
      <c r="FG30">
        <v>45.26</v>
      </c>
      <c r="FH30">
        <v>46.058999999999997</v>
      </c>
      <c r="FI30" t="s">
        <v>137</v>
      </c>
      <c r="FJ30" t="s">
        <v>137</v>
      </c>
      <c r="FK30">
        <v>45.268999999999998</v>
      </c>
      <c r="FL30">
        <v>45.076000000000001</v>
      </c>
      <c r="FM30">
        <v>43.738</v>
      </c>
      <c r="FN30">
        <v>42.741999999999997</v>
      </c>
      <c r="FO30">
        <v>42.616999999999997</v>
      </c>
      <c r="FP30" t="s">
        <v>137</v>
      </c>
      <c r="FQ30" t="s">
        <v>137</v>
      </c>
      <c r="FR30">
        <v>42.35</v>
      </c>
      <c r="FS30">
        <v>42.582999999999998</v>
      </c>
      <c r="FT30">
        <v>42.313000000000002</v>
      </c>
      <c r="FU30">
        <v>41.5</v>
      </c>
      <c r="FV30">
        <v>41.311</v>
      </c>
      <c r="FW30" t="s">
        <v>137</v>
      </c>
      <c r="FX30" t="s">
        <v>137</v>
      </c>
      <c r="FY30">
        <v>41.75</v>
      </c>
      <c r="FZ30">
        <v>42.8</v>
      </c>
      <c r="GA30">
        <v>42.125</v>
      </c>
      <c r="GB30">
        <v>40.25</v>
      </c>
      <c r="GC30">
        <v>40.143000000000001</v>
      </c>
      <c r="GD30" t="s">
        <v>137</v>
      </c>
      <c r="GE30" t="s">
        <v>137</v>
      </c>
      <c r="GF30">
        <v>38.875</v>
      </c>
      <c r="GG30">
        <v>39.924999999999997</v>
      </c>
      <c r="GH30">
        <v>40</v>
      </c>
      <c r="GI30">
        <v>38.533000000000001</v>
      </c>
      <c r="GJ30">
        <v>35.65</v>
      </c>
      <c r="GK30" t="s">
        <v>137</v>
      </c>
      <c r="GL30" t="s">
        <v>137</v>
      </c>
      <c r="GM30">
        <v>33.048999999999999</v>
      </c>
      <c r="GN30">
        <v>33.5</v>
      </c>
      <c r="GO30">
        <v>32.674999999999997</v>
      </c>
      <c r="GP30">
        <v>30.125</v>
      </c>
      <c r="GQ30">
        <v>30.125</v>
      </c>
      <c r="GR30" t="s">
        <v>137</v>
      </c>
      <c r="GS30" t="s">
        <v>137</v>
      </c>
      <c r="GT30">
        <v>27.375</v>
      </c>
      <c r="GU30">
        <v>26.5</v>
      </c>
      <c r="GV30">
        <v>26.24</v>
      </c>
      <c r="GW30">
        <v>23.375</v>
      </c>
      <c r="GX30">
        <v>24.25</v>
      </c>
      <c r="GY30" t="s">
        <v>137</v>
      </c>
      <c r="GZ30" t="s">
        <v>137</v>
      </c>
      <c r="HA30">
        <v>22.75</v>
      </c>
      <c r="HB30">
        <v>22.582999999999998</v>
      </c>
      <c r="HC30">
        <v>22.75</v>
      </c>
      <c r="HD30">
        <v>24.125</v>
      </c>
      <c r="HE30">
        <v>24.375</v>
      </c>
      <c r="HF30" t="s">
        <v>137</v>
      </c>
      <c r="HG30" t="s">
        <v>137</v>
      </c>
      <c r="HH30">
        <v>24.5</v>
      </c>
      <c r="HI30">
        <v>25</v>
      </c>
      <c r="HJ30">
        <v>24.75</v>
      </c>
      <c r="HK30">
        <v>25.324999999999999</v>
      </c>
      <c r="HL30">
        <v>27.125</v>
      </c>
      <c r="HM30" t="s">
        <v>137</v>
      </c>
      <c r="HN30" t="s">
        <v>137</v>
      </c>
      <c r="HO30">
        <v>27.25</v>
      </c>
      <c r="HP30">
        <v>27.67</v>
      </c>
      <c r="HQ30">
        <v>27</v>
      </c>
      <c r="HR30">
        <v>26</v>
      </c>
      <c r="HS30">
        <v>26.5</v>
      </c>
      <c r="HT30" t="s">
        <v>137</v>
      </c>
      <c r="HU30" t="s">
        <v>137</v>
      </c>
      <c r="HV30">
        <v>26.5</v>
      </c>
      <c r="HW30">
        <v>26.875</v>
      </c>
      <c r="HX30">
        <v>26.25</v>
      </c>
      <c r="HY30">
        <v>25.925000000000001</v>
      </c>
      <c r="HZ30">
        <v>25.928999999999998</v>
      </c>
      <c r="IA30" t="s">
        <v>137</v>
      </c>
      <c r="IB30" t="s">
        <v>137</v>
      </c>
      <c r="IC30">
        <v>29.5</v>
      </c>
      <c r="ID30">
        <v>29.125</v>
      </c>
      <c r="IE30">
        <v>28.375</v>
      </c>
      <c r="IF30">
        <v>26.5</v>
      </c>
      <c r="IG30">
        <v>25.625</v>
      </c>
      <c r="IH30" t="s">
        <v>137</v>
      </c>
      <c r="II30" t="s">
        <v>137</v>
      </c>
      <c r="IJ30">
        <v>24.475000000000001</v>
      </c>
      <c r="IK30">
        <v>23.41</v>
      </c>
      <c r="IL30">
        <v>23.785</v>
      </c>
      <c r="IM30">
        <v>24.125</v>
      </c>
      <c r="IN30">
        <v>24.125</v>
      </c>
      <c r="IO30" t="s">
        <v>137</v>
      </c>
      <c r="IP30" t="s">
        <v>137</v>
      </c>
      <c r="IQ30">
        <v>22.920999999999999</v>
      </c>
      <c r="IR30">
        <v>22.512</v>
      </c>
      <c r="IS30">
        <v>23.587</v>
      </c>
      <c r="IT30">
        <v>24.75</v>
      </c>
      <c r="IU30">
        <v>24.25</v>
      </c>
      <c r="IV30" t="s">
        <v>137</v>
      </c>
      <c r="IW30" t="s">
        <v>137</v>
      </c>
      <c r="IX30">
        <v>24.5</v>
      </c>
      <c r="IY30">
        <v>27.125</v>
      </c>
      <c r="IZ30">
        <v>26.8</v>
      </c>
      <c r="JA30">
        <v>26.6</v>
      </c>
      <c r="JB30">
        <v>27.25</v>
      </c>
      <c r="JC30" t="s">
        <v>137</v>
      </c>
      <c r="JD30" t="s">
        <v>137</v>
      </c>
      <c r="JE30">
        <v>29.074999999999999</v>
      </c>
      <c r="JF30">
        <v>29.75</v>
      </c>
      <c r="JG30">
        <v>29.076000000000001</v>
      </c>
      <c r="JH30">
        <v>28.966999999999999</v>
      </c>
      <c r="JI30">
        <v>28.667999999999999</v>
      </c>
      <c r="JJ30" t="s">
        <v>137</v>
      </c>
      <c r="JK30" t="s">
        <v>137</v>
      </c>
      <c r="JL30">
        <v>28.667999999999999</v>
      </c>
      <c r="JM30">
        <v>28.667999999999999</v>
      </c>
      <c r="JN30">
        <v>28.667999999999999</v>
      </c>
      <c r="JO30">
        <v>28.667999999999999</v>
      </c>
      <c r="JP30">
        <v>28.667999999999999</v>
      </c>
      <c r="JQ30" t="s">
        <v>137</v>
      </c>
      <c r="JR30" t="s">
        <v>137</v>
      </c>
      <c r="JS30">
        <v>36.5</v>
      </c>
      <c r="JT30">
        <v>36.5</v>
      </c>
      <c r="JU30">
        <v>37.25</v>
      </c>
      <c r="JV30">
        <v>38.25</v>
      </c>
      <c r="JW30">
        <v>37.75</v>
      </c>
      <c r="JX30" t="s">
        <v>137</v>
      </c>
      <c r="JY30" t="s">
        <v>137</v>
      </c>
      <c r="JZ30">
        <v>37.625</v>
      </c>
      <c r="KA30">
        <v>37.75</v>
      </c>
      <c r="KB30">
        <v>37.625</v>
      </c>
      <c r="KC30">
        <v>38.375</v>
      </c>
      <c r="KD30">
        <v>38</v>
      </c>
      <c r="KE30" t="s">
        <v>137</v>
      </c>
      <c r="KF30" t="s">
        <v>137</v>
      </c>
      <c r="KG30">
        <v>38</v>
      </c>
      <c r="KH30">
        <v>37.75</v>
      </c>
      <c r="KI30">
        <v>38.125</v>
      </c>
      <c r="KJ30">
        <v>35.75</v>
      </c>
      <c r="KK30">
        <v>37.25</v>
      </c>
      <c r="KL30" t="s">
        <v>137</v>
      </c>
      <c r="KM30" t="s">
        <v>137</v>
      </c>
      <c r="KN30">
        <v>37.75</v>
      </c>
      <c r="KO30">
        <v>39</v>
      </c>
      <c r="KP30">
        <v>39.25</v>
      </c>
      <c r="KQ30">
        <v>38.65</v>
      </c>
      <c r="KR30">
        <v>38.65</v>
      </c>
      <c r="KS30" t="s">
        <v>137</v>
      </c>
      <c r="KT30" t="s">
        <v>137</v>
      </c>
      <c r="KU30">
        <v>38</v>
      </c>
      <c r="KV30">
        <v>38.5</v>
      </c>
      <c r="KW30">
        <v>38.1</v>
      </c>
      <c r="KX30">
        <v>38</v>
      </c>
      <c r="KY30">
        <v>38</v>
      </c>
      <c r="KZ30" t="s">
        <v>137</v>
      </c>
      <c r="LA30" t="s">
        <v>137</v>
      </c>
      <c r="LB30">
        <v>39.75</v>
      </c>
      <c r="LC30">
        <v>40</v>
      </c>
      <c r="LD30">
        <v>40.5</v>
      </c>
      <c r="LE30">
        <v>40.65</v>
      </c>
      <c r="LF30">
        <v>39.75</v>
      </c>
      <c r="LG30" t="s">
        <v>137</v>
      </c>
      <c r="LH30" t="s">
        <v>137</v>
      </c>
      <c r="LI30">
        <v>40.75</v>
      </c>
      <c r="LJ30">
        <v>39.85</v>
      </c>
      <c r="LK30">
        <v>39</v>
      </c>
      <c r="LL30">
        <v>39.15</v>
      </c>
      <c r="LM30">
        <v>39.4</v>
      </c>
      <c r="LN30" t="s">
        <v>137</v>
      </c>
      <c r="LO30" t="s">
        <v>137</v>
      </c>
      <c r="LP30">
        <v>38.85</v>
      </c>
      <c r="LQ30">
        <v>38.85</v>
      </c>
      <c r="LR30">
        <v>39.75</v>
      </c>
      <c r="LS30">
        <v>41</v>
      </c>
      <c r="LT30">
        <v>41</v>
      </c>
      <c r="LU30" t="s">
        <v>137</v>
      </c>
      <c r="LV30" t="s">
        <v>137</v>
      </c>
      <c r="LW30">
        <v>41</v>
      </c>
      <c r="LX30">
        <v>41</v>
      </c>
      <c r="LY30">
        <v>41</v>
      </c>
      <c r="LZ30">
        <v>41</v>
      </c>
      <c r="MA30">
        <v>41</v>
      </c>
      <c r="MB30" t="s">
        <v>137</v>
      </c>
      <c r="MC30" t="s">
        <v>137</v>
      </c>
      <c r="MD30">
        <v>41</v>
      </c>
      <c r="ME30">
        <v>46.39</v>
      </c>
      <c r="MF30">
        <v>46.11</v>
      </c>
      <c r="MG30">
        <v>45.21</v>
      </c>
      <c r="MH30">
        <v>45.24</v>
      </c>
      <c r="MI30" t="s">
        <v>137</v>
      </c>
      <c r="MJ30" t="s">
        <v>137</v>
      </c>
      <c r="MK30">
        <v>45.24</v>
      </c>
      <c r="ML30">
        <v>45.11</v>
      </c>
      <c r="MM30">
        <v>44.68</v>
      </c>
      <c r="MN30">
        <v>44.42</v>
      </c>
      <c r="MO30">
        <v>44.42</v>
      </c>
      <c r="MP30" t="s">
        <v>137</v>
      </c>
      <c r="MQ30" t="s">
        <v>137</v>
      </c>
      <c r="MR30">
        <v>44.29</v>
      </c>
      <c r="MS30">
        <v>43.96</v>
      </c>
      <c r="MT30">
        <v>44.17</v>
      </c>
      <c r="MU30">
        <v>43.83</v>
      </c>
      <c r="MV30">
        <v>43.61</v>
      </c>
      <c r="MW30" t="s">
        <v>137</v>
      </c>
      <c r="MX30" t="s">
        <v>137</v>
      </c>
      <c r="MY30">
        <v>41.72</v>
      </c>
      <c r="MZ30">
        <v>38.83</v>
      </c>
      <c r="NA30">
        <v>42.45</v>
      </c>
      <c r="NB30">
        <v>42.33</v>
      </c>
      <c r="NC30">
        <v>42.37</v>
      </c>
      <c r="ND30" t="s">
        <v>137</v>
      </c>
      <c r="NE30" t="s">
        <v>137</v>
      </c>
      <c r="NF30">
        <v>42.37</v>
      </c>
      <c r="NG30">
        <v>44.125</v>
      </c>
      <c r="NH30">
        <v>45.75</v>
      </c>
      <c r="NI30">
        <v>45.75</v>
      </c>
      <c r="NJ30">
        <v>48.35</v>
      </c>
      <c r="NK30" t="s">
        <v>137</v>
      </c>
      <c r="NL30" t="s">
        <v>137</v>
      </c>
      <c r="NM30" t="s">
        <v>137</v>
      </c>
      <c r="NN30" t="s">
        <v>137</v>
      </c>
      <c r="NO30" t="s">
        <v>137</v>
      </c>
      <c r="NP30" t="s">
        <v>137</v>
      </c>
      <c r="NQ30" t="s">
        <v>137</v>
      </c>
      <c r="NR30" t="s">
        <v>137</v>
      </c>
      <c r="NS30" t="s">
        <v>137</v>
      </c>
      <c r="NT30" t="s">
        <v>137</v>
      </c>
      <c r="NU30" t="s">
        <v>137</v>
      </c>
      <c r="NV30" t="s">
        <v>137</v>
      </c>
      <c r="NW30" t="s">
        <v>137</v>
      </c>
      <c r="NX30" t="s">
        <v>137</v>
      </c>
      <c r="NY30" t="s">
        <v>137</v>
      </c>
      <c r="NZ30" t="s">
        <v>137</v>
      </c>
      <c r="OA30" t="s">
        <v>137</v>
      </c>
      <c r="OB30" t="s">
        <v>137</v>
      </c>
      <c r="OC30" t="s">
        <v>137</v>
      </c>
      <c r="OD30" t="s">
        <v>137</v>
      </c>
      <c r="OE30" t="s">
        <v>137</v>
      </c>
      <c r="OF30" t="s">
        <v>137</v>
      </c>
      <c r="OG30" t="s">
        <v>137</v>
      </c>
      <c r="OH30" t="s">
        <v>137</v>
      </c>
      <c r="OI30" t="s">
        <v>137</v>
      </c>
      <c r="OJ30" t="s">
        <v>137</v>
      </c>
      <c r="OK30" t="s">
        <v>137</v>
      </c>
      <c r="OL30" t="s">
        <v>137</v>
      </c>
      <c r="OM30" t="s">
        <v>137</v>
      </c>
      <c r="ON30" t="s">
        <v>137</v>
      </c>
      <c r="OO30" t="s">
        <v>137</v>
      </c>
      <c r="OP30" t="s">
        <v>137</v>
      </c>
      <c r="OQ30" t="s">
        <v>137</v>
      </c>
      <c r="OR30" t="s">
        <v>137</v>
      </c>
      <c r="OS30" t="s">
        <v>137</v>
      </c>
      <c r="OT30" t="s">
        <v>137</v>
      </c>
      <c r="OU30" t="s">
        <v>137</v>
      </c>
      <c r="OV30" t="s">
        <v>137</v>
      </c>
      <c r="OW30" t="s">
        <v>137</v>
      </c>
      <c r="OX30" t="s">
        <v>137</v>
      </c>
      <c r="OY30" t="s">
        <v>137</v>
      </c>
      <c r="OZ30" t="s">
        <v>137</v>
      </c>
      <c r="PA30" t="s">
        <v>137</v>
      </c>
      <c r="PB30" t="s">
        <v>137</v>
      </c>
      <c r="PC30" t="s">
        <v>137</v>
      </c>
      <c r="PD30" t="s">
        <v>137</v>
      </c>
      <c r="PE30" t="s">
        <v>137</v>
      </c>
      <c r="PF30" t="s">
        <v>137</v>
      </c>
      <c r="PG30" t="s">
        <v>137</v>
      </c>
      <c r="PH30" t="s">
        <v>137</v>
      </c>
      <c r="PI30" t="s">
        <v>137</v>
      </c>
      <c r="PJ30" t="s">
        <v>137</v>
      </c>
      <c r="PK30" t="s">
        <v>137</v>
      </c>
      <c r="PL30" t="s">
        <v>137</v>
      </c>
      <c r="PM30" t="s">
        <v>137</v>
      </c>
      <c r="PN30" t="s">
        <v>137</v>
      </c>
      <c r="PO30" t="s">
        <v>137</v>
      </c>
      <c r="PP30" t="s">
        <v>137</v>
      </c>
      <c r="PQ30" t="s">
        <v>137</v>
      </c>
      <c r="PR30" t="s">
        <v>137</v>
      </c>
      <c r="PS30" t="s">
        <v>137</v>
      </c>
      <c r="PT30" t="s">
        <v>137</v>
      </c>
      <c r="PU30" t="s">
        <v>137</v>
      </c>
      <c r="PV30" t="s">
        <v>137</v>
      </c>
      <c r="PW30" t="s">
        <v>137</v>
      </c>
      <c r="PX30" t="s">
        <v>137</v>
      </c>
      <c r="PY30" t="s">
        <v>137</v>
      </c>
      <c r="PZ30" t="s">
        <v>137</v>
      </c>
      <c r="QA30" t="s">
        <v>137</v>
      </c>
      <c r="QB30" t="s">
        <v>137</v>
      </c>
      <c r="QC30" t="s">
        <v>137</v>
      </c>
      <c r="QD30" t="s">
        <v>137</v>
      </c>
      <c r="QE30" t="s">
        <v>137</v>
      </c>
      <c r="QF30" t="s">
        <v>137</v>
      </c>
      <c r="QG30" t="s">
        <v>137</v>
      </c>
      <c r="QH30" t="s">
        <v>137</v>
      </c>
      <c r="QI30" t="s">
        <v>137</v>
      </c>
      <c r="QJ30" t="s">
        <v>137</v>
      </c>
      <c r="QK30" t="s">
        <v>137</v>
      </c>
      <c r="QL30" t="s">
        <v>137</v>
      </c>
      <c r="QM30" t="s">
        <v>137</v>
      </c>
      <c r="QN30" t="s">
        <v>137</v>
      </c>
      <c r="QO30" t="s">
        <v>137</v>
      </c>
    </row>
    <row r="31" spans="1:457" x14ac:dyDescent="0.2">
      <c r="A31" t="s">
        <v>133</v>
      </c>
      <c r="B31" s="3">
        <v>43048</v>
      </c>
      <c r="C31" t="s">
        <v>55</v>
      </c>
      <c r="E31" t="s">
        <v>137</v>
      </c>
      <c r="F31">
        <v>35.008000000000003</v>
      </c>
      <c r="G31">
        <v>35.966999999999999</v>
      </c>
      <c r="H31">
        <v>36.427999999999997</v>
      </c>
      <c r="I31">
        <v>39.595999999999997</v>
      </c>
      <c r="J31">
        <v>42.023000000000003</v>
      </c>
      <c r="K31" t="s">
        <v>137</v>
      </c>
      <c r="L31" t="s">
        <v>137</v>
      </c>
      <c r="M31">
        <v>42.27</v>
      </c>
      <c r="N31">
        <v>39.924999999999997</v>
      </c>
      <c r="O31">
        <v>39.789000000000001</v>
      </c>
      <c r="P31">
        <v>39.723999999999997</v>
      </c>
      <c r="Q31">
        <v>38.03</v>
      </c>
      <c r="R31" t="s">
        <v>137</v>
      </c>
      <c r="S31" t="s">
        <v>137</v>
      </c>
      <c r="T31">
        <v>38.777000000000001</v>
      </c>
      <c r="U31">
        <v>39.006999999999998</v>
      </c>
      <c r="V31">
        <v>41.046999999999997</v>
      </c>
      <c r="W31">
        <v>40.752000000000002</v>
      </c>
      <c r="X31">
        <v>41.273000000000003</v>
      </c>
      <c r="Y31" t="s">
        <v>137</v>
      </c>
      <c r="Z31" t="s">
        <v>137</v>
      </c>
      <c r="AA31">
        <v>41.012</v>
      </c>
      <c r="AB31">
        <v>39.725999999999999</v>
      </c>
      <c r="AC31">
        <v>39.378</v>
      </c>
      <c r="AD31">
        <v>39.606999999999999</v>
      </c>
      <c r="AE31">
        <v>40.478999999999999</v>
      </c>
      <c r="AF31" t="s">
        <v>137</v>
      </c>
      <c r="AG31" t="s">
        <v>137</v>
      </c>
      <c r="AH31">
        <v>40.581000000000003</v>
      </c>
      <c r="AI31">
        <v>40.481000000000002</v>
      </c>
      <c r="AJ31">
        <v>41.168999999999997</v>
      </c>
      <c r="AK31">
        <v>40.616</v>
      </c>
      <c r="AL31">
        <v>40.978999999999999</v>
      </c>
      <c r="AM31" t="s">
        <v>137</v>
      </c>
      <c r="AN31" t="s">
        <v>137</v>
      </c>
      <c r="AO31">
        <v>40.962000000000003</v>
      </c>
      <c r="AP31">
        <v>41.472999999999999</v>
      </c>
      <c r="AQ31">
        <v>41.45</v>
      </c>
      <c r="AR31">
        <v>43.505000000000003</v>
      </c>
      <c r="AS31">
        <v>45.298000000000002</v>
      </c>
      <c r="AT31" t="s">
        <v>137</v>
      </c>
      <c r="AU31" t="s">
        <v>137</v>
      </c>
      <c r="AV31">
        <v>44.366</v>
      </c>
      <c r="AW31">
        <v>44.043999999999997</v>
      </c>
      <c r="AX31">
        <v>43.515999999999998</v>
      </c>
      <c r="AY31">
        <v>42.274999999999999</v>
      </c>
      <c r="AZ31">
        <v>41.972000000000001</v>
      </c>
      <c r="BA31" t="s">
        <v>137</v>
      </c>
      <c r="BB31" t="s">
        <v>137</v>
      </c>
      <c r="BC31">
        <v>41.976999999999997</v>
      </c>
      <c r="BD31">
        <v>38.968000000000004</v>
      </c>
      <c r="BE31">
        <v>39.694000000000003</v>
      </c>
      <c r="BF31">
        <v>41.603000000000002</v>
      </c>
      <c r="BG31">
        <v>41.326000000000001</v>
      </c>
      <c r="BH31" t="s">
        <v>137</v>
      </c>
      <c r="BI31" t="s">
        <v>137</v>
      </c>
      <c r="BJ31">
        <v>40.014000000000003</v>
      </c>
      <c r="BK31">
        <v>39.107999999999997</v>
      </c>
      <c r="BL31">
        <v>39.494</v>
      </c>
      <c r="BM31">
        <v>39.497</v>
      </c>
      <c r="BN31">
        <v>38.905000000000001</v>
      </c>
      <c r="BO31" t="s">
        <v>137</v>
      </c>
      <c r="BP31" t="s">
        <v>137</v>
      </c>
      <c r="BQ31">
        <v>39.292000000000002</v>
      </c>
      <c r="BR31">
        <v>39.348999999999997</v>
      </c>
      <c r="BS31">
        <v>38.908999999999999</v>
      </c>
      <c r="BT31">
        <v>38.472000000000001</v>
      </c>
      <c r="BU31">
        <v>37.924999999999997</v>
      </c>
      <c r="BV31" t="s">
        <v>137</v>
      </c>
      <c r="BW31" t="s">
        <v>137</v>
      </c>
      <c r="BX31">
        <v>37.683</v>
      </c>
      <c r="BY31">
        <v>36.915999999999997</v>
      </c>
      <c r="BZ31">
        <v>36.896999999999998</v>
      </c>
      <c r="CA31">
        <v>37.68</v>
      </c>
      <c r="CB31">
        <v>38.061</v>
      </c>
      <c r="CC31" t="s">
        <v>137</v>
      </c>
      <c r="CD31" t="s">
        <v>137</v>
      </c>
      <c r="CE31">
        <v>38.088999999999999</v>
      </c>
      <c r="CF31">
        <v>38.299999999999997</v>
      </c>
      <c r="CG31">
        <v>41.02</v>
      </c>
      <c r="CH31">
        <v>40.624000000000002</v>
      </c>
      <c r="CI31">
        <v>40.729999999999997</v>
      </c>
      <c r="CJ31" t="s">
        <v>137</v>
      </c>
      <c r="CK31" t="s">
        <v>137</v>
      </c>
      <c r="CL31">
        <v>40.058999999999997</v>
      </c>
      <c r="CM31">
        <v>39.771000000000001</v>
      </c>
      <c r="CN31">
        <v>39.798000000000002</v>
      </c>
      <c r="CO31">
        <v>39.777999999999999</v>
      </c>
      <c r="CP31">
        <v>39.780999999999999</v>
      </c>
      <c r="CQ31" t="s">
        <v>137</v>
      </c>
      <c r="CR31" t="s">
        <v>137</v>
      </c>
      <c r="CS31">
        <v>39.552</v>
      </c>
      <c r="CT31">
        <v>39.737000000000002</v>
      </c>
      <c r="CU31">
        <v>39.643000000000001</v>
      </c>
      <c r="CV31">
        <v>39.563000000000002</v>
      </c>
      <c r="CW31">
        <v>39.521999999999998</v>
      </c>
      <c r="CX31" t="s">
        <v>137</v>
      </c>
      <c r="CY31" t="s">
        <v>137</v>
      </c>
      <c r="CZ31">
        <v>39.539000000000001</v>
      </c>
      <c r="DA31">
        <v>39.524000000000001</v>
      </c>
      <c r="DB31">
        <v>39.591000000000001</v>
      </c>
      <c r="DC31">
        <v>40.936</v>
      </c>
      <c r="DD31">
        <v>41.048999999999999</v>
      </c>
      <c r="DE31" t="s">
        <v>137</v>
      </c>
      <c r="DF31" t="s">
        <v>137</v>
      </c>
      <c r="DG31">
        <v>40.973999999999997</v>
      </c>
      <c r="DH31">
        <v>41.046999999999997</v>
      </c>
      <c r="DI31">
        <v>40.917000000000002</v>
      </c>
      <c r="DJ31">
        <v>44.823999999999998</v>
      </c>
      <c r="DK31">
        <v>43.63</v>
      </c>
      <c r="DL31" t="s">
        <v>137</v>
      </c>
      <c r="DM31" t="s">
        <v>137</v>
      </c>
      <c r="DN31">
        <v>44.078000000000003</v>
      </c>
      <c r="DO31">
        <v>44.076000000000001</v>
      </c>
      <c r="DP31">
        <v>44.072000000000003</v>
      </c>
      <c r="DQ31">
        <v>44.076000000000001</v>
      </c>
      <c r="DR31">
        <v>44.878999999999998</v>
      </c>
      <c r="DS31" t="s">
        <v>137</v>
      </c>
      <c r="DT31" t="s">
        <v>137</v>
      </c>
      <c r="DU31">
        <v>46.002000000000002</v>
      </c>
      <c r="DV31">
        <v>45.737000000000002</v>
      </c>
      <c r="DW31">
        <v>45.768999999999998</v>
      </c>
      <c r="DX31">
        <v>46.258000000000003</v>
      </c>
      <c r="DY31">
        <v>46.244999999999997</v>
      </c>
      <c r="DZ31" t="s">
        <v>137</v>
      </c>
      <c r="EA31" t="s">
        <v>137</v>
      </c>
      <c r="EB31">
        <v>43.65</v>
      </c>
      <c r="EC31">
        <v>43.959000000000003</v>
      </c>
      <c r="ED31">
        <v>44.673000000000002</v>
      </c>
      <c r="EE31">
        <v>45.494</v>
      </c>
      <c r="EF31">
        <v>46.18</v>
      </c>
      <c r="EG31" t="s">
        <v>137</v>
      </c>
      <c r="EH31" t="s">
        <v>137</v>
      </c>
      <c r="EI31">
        <v>45.749000000000002</v>
      </c>
      <c r="EJ31">
        <v>45.003</v>
      </c>
      <c r="EK31">
        <v>44.634</v>
      </c>
      <c r="EL31">
        <v>45.527000000000001</v>
      </c>
      <c r="EM31">
        <v>45.503999999999998</v>
      </c>
      <c r="EN31" t="s">
        <v>137</v>
      </c>
      <c r="EO31" t="s">
        <v>137</v>
      </c>
      <c r="EP31">
        <v>45.286999999999999</v>
      </c>
      <c r="EQ31">
        <v>44.456000000000003</v>
      </c>
      <c r="ER31">
        <v>42.988</v>
      </c>
      <c r="ES31">
        <v>42.134999999999998</v>
      </c>
      <c r="ET31">
        <v>42.207000000000001</v>
      </c>
      <c r="EU31" t="s">
        <v>137</v>
      </c>
      <c r="EV31" t="s">
        <v>137</v>
      </c>
      <c r="EW31">
        <v>41.018000000000001</v>
      </c>
      <c r="EX31">
        <v>40.973999999999997</v>
      </c>
      <c r="EY31">
        <v>41.582999999999998</v>
      </c>
      <c r="EZ31">
        <v>41.417000000000002</v>
      </c>
      <c r="FA31">
        <v>41.625</v>
      </c>
      <c r="FB31" t="s">
        <v>137</v>
      </c>
      <c r="FC31" t="s">
        <v>137</v>
      </c>
      <c r="FD31">
        <v>42.716999999999999</v>
      </c>
      <c r="FE31">
        <v>43</v>
      </c>
      <c r="FF31">
        <v>44.582999999999998</v>
      </c>
      <c r="FG31">
        <v>43.25</v>
      </c>
      <c r="FH31">
        <v>44.417000000000002</v>
      </c>
      <c r="FI31" t="s">
        <v>137</v>
      </c>
      <c r="FJ31" t="s">
        <v>137</v>
      </c>
      <c r="FK31">
        <v>43.917000000000002</v>
      </c>
      <c r="FL31">
        <v>43</v>
      </c>
      <c r="FM31">
        <v>42.738</v>
      </c>
      <c r="FN31">
        <v>41.125</v>
      </c>
      <c r="FO31">
        <v>41.5</v>
      </c>
      <c r="FP31" t="s">
        <v>137</v>
      </c>
      <c r="FQ31" t="s">
        <v>137</v>
      </c>
      <c r="FR31">
        <v>41.042000000000002</v>
      </c>
      <c r="FS31">
        <v>41.063000000000002</v>
      </c>
      <c r="FT31">
        <v>41.207999999999998</v>
      </c>
      <c r="FU31">
        <v>40.875</v>
      </c>
      <c r="FV31">
        <v>41</v>
      </c>
      <c r="FW31" t="s">
        <v>137</v>
      </c>
      <c r="FX31" t="s">
        <v>137</v>
      </c>
      <c r="FY31">
        <v>41.5</v>
      </c>
      <c r="FZ31">
        <v>42.5</v>
      </c>
      <c r="GA31">
        <v>41.75</v>
      </c>
      <c r="GB31">
        <v>39.9</v>
      </c>
      <c r="GC31">
        <v>40.082999999999998</v>
      </c>
      <c r="GD31" t="s">
        <v>137</v>
      </c>
      <c r="GE31" t="s">
        <v>137</v>
      </c>
      <c r="GF31">
        <v>39.412999999999997</v>
      </c>
      <c r="GG31">
        <v>39.85</v>
      </c>
      <c r="GH31">
        <v>39.75</v>
      </c>
      <c r="GI31">
        <v>38.667000000000002</v>
      </c>
      <c r="GJ31">
        <v>36.475000000000001</v>
      </c>
      <c r="GK31" t="s">
        <v>137</v>
      </c>
      <c r="GL31" t="s">
        <v>137</v>
      </c>
      <c r="GM31">
        <v>33.113</v>
      </c>
      <c r="GN31">
        <v>33.975000000000001</v>
      </c>
      <c r="GO31">
        <v>32.5</v>
      </c>
      <c r="GP31">
        <v>28.5</v>
      </c>
      <c r="GQ31">
        <v>30</v>
      </c>
      <c r="GR31" t="s">
        <v>137</v>
      </c>
      <c r="GS31" t="s">
        <v>137</v>
      </c>
      <c r="GT31">
        <v>27.125</v>
      </c>
      <c r="GU31">
        <v>26.25</v>
      </c>
      <c r="GV31">
        <v>26.457000000000001</v>
      </c>
      <c r="GW31">
        <v>25.125</v>
      </c>
      <c r="GX31">
        <v>25.75</v>
      </c>
      <c r="GY31" t="s">
        <v>137</v>
      </c>
      <c r="GZ31" t="s">
        <v>137</v>
      </c>
      <c r="HA31">
        <v>22.625</v>
      </c>
      <c r="HB31">
        <v>21.75</v>
      </c>
      <c r="HC31">
        <v>22.75</v>
      </c>
      <c r="HD31">
        <v>24.375</v>
      </c>
      <c r="HE31">
        <v>23.75</v>
      </c>
      <c r="HF31" t="s">
        <v>137</v>
      </c>
      <c r="HG31" t="s">
        <v>137</v>
      </c>
      <c r="HH31">
        <v>23.75</v>
      </c>
      <c r="HI31">
        <v>24.75</v>
      </c>
      <c r="HJ31">
        <v>24.75</v>
      </c>
      <c r="HK31">
        <v>25.25</v>
      </c>
      <c r="HL31">
        <v>26.25</v>
      </c>
      <c r="HM31" t="s">
        <v>137</v>
      </c>
      <c r="HN31" t="s">
        <v>137</v>
      </c>
      <c r="HO31">
        <v>26.5</v>
      </c>
      <c r="HP31">
        <v>26.75</v>
      </c>
      <c r="HQ31">
        <v>26.375</v>
      </c>
      <c r="HR31">
        <v>25.375</v>
      </c>
      <c r="HS31">
        <v>25.75</v>
      </c>
      <c r="HT31" t="s">
        <v>137</v>
      </c>
      <c r="HU31" t="s">
        <v>137</v>
      </c>
      <c r="HV31">
        <v>25.75</v>
      </c>
      <c r="HW31">
        <v>25.875</v>
      </c>
      <c r="HX31">
        <v>25.75</v>
      </c>
      <c r="HY31">
        <v>25.375</v>
      </c>
      <c r="HZ31">
        <v>25.5</v>
      </c>
      <c r="IA31" t="s">
        <v>137</v>
      </c>
      <c r="IB31" t="s">
        <v>137</v>
      </c>
      <c r="IC31">
        <v>30</v>
      </c>
      <c r="ID31">
        <v>29.125</v>
      </c>
      <c r="IE31">
        <v>28</v>
      </c>
      <c r="IF31">
        <v>27</v>
      </c>
      <c r="IG31">
        <v>25.625</v>
      </c>
      <c r="IH31" t="s">
        <v>137</v>
      </c>
      <c r="II31" t="s">
        <v>137</v>
      </c>
      <c r="IJ31">
        <v>25</v>
      </c>
      <c r="IK31">
        <v>24.452999999999999</v>
      </c>
      <c r="IL31">
        <v>24.452999999999999</v>
      </c>
      <c r="IM31">
        <v>24.125</v>
      </c>
      <c r="IN31">
        <v>24.125</v>
      </c>
      <c r="IO31" t="s">
        <v>137</v>
      </c>
      <c r="IP31" t="s">
        <v>137</v>
      </c>
      <c r="IQ31">
        <v>23</v>
      </c>
      <c r="IR31">
        <v>22</v>
      </c>
      <c r="IS31">
        <v>24.125</v>
      </c>
      <c r="IT31">
        <v>24.75</v>
      </c>
      <c r="IU31">
        <v>22.95</v>
      </c>
      <c r="IV31" t="s">
        <v>137</v>
      </c>
      <c r="IW31" t="s">
        <v>137</v>
      </c>
      <c r="IX31">
        <v>24.75</v>
      </c>
      <c r="IY31">
        <v>26.375</v>
      </c>
      <c r="IZ31">
        <v>26.55</v>
      </c>
      <c r="JA31">
        <v>26.05</v>
      </c>
      <c r="JB31">
        <v>27.8</v>
      </c>
      <c r="JC31" t="s">
        <v>137</v>
      </c>
      <c r="JD31" t="s">
        <v>137</v>
      </c>
      <c r="JE31">
        <v>28.55</v>
      </c>
      <c r="JF31">
        <v>28.5</v>
      </c>
      <c r="JG31">
        <v>27.875</v>
      </c>
      <c r="JH31">
        <v>27.625</v>
      </c>
      <c r="JI31">
        <v>27.206</v>
      </c>
      <c r="JJ31" t="s">
        <v>137</v>
      </c>
      <c r="JK31" t="s">
        <v>137</v>
      </c>
      <c r="JL31">
        <v>27.206</v>
      </c>
      <c r="JM31">
        <v>27.206</v>
      </c>
      <c r="JN31">
        <v>27.206</v>
      </c>
      <c r="JO31">
        <v>27.206</v>
      </c>
      <c r="JP31">
        <v>27.206</v>
      </c>
      <c r="JQ31" t="s">
        <v>137</v>
      </c>
      <c r="JR31" t="s">
        <v>137</v>
      </c>
      <c r="JS31">
        <v>27.206</v>
      </c>
      <c r="JT31">
        <v>27.206</v>
      </c>
      <c r="JU31">
        <v>27.206</v>
      </c>
      <c r="JV31">
        <v>27.206</v>
      </c>
      <c r="JW31">
        <v>27.206</v>
      </c>
      <c r="JX31" t="s">
        <v>137</v>
      </c>
      <c r="JY31" t="s">
        <v>137</v>
      </c>
      <c r="JZ31">
        <v>27.206</v>
      </c>
      <c r="KA31">
        <v>27.206</v>
      </c>
      <c r="KB31">
        <v>27.206</v>
      </c>
      <c r="KC31">
        <v>27.206</v>
      </c>
      <c r="KD31">
        <v>27.206</v>
      </c>
      <c r="KE31" t="s">
        <v>137</v>
      </c>
      <c r="KF31" t="s">
        <v>137</v>
      </c>
      <c r="KG31">
        <v>27.206</v>
      </c>
      <c r="KH31">
        <v>27.206</v>
      </c>
      <c r="KI31">
        <v>27.206</v>
      </c>
      <c r="KJ31">
        <v>27.206</v>
      </c>
      <c r="KK31">
        <v>27.206</v>
      </c>
      <c r="KL31" t="s">
        <v>137</v>
      </c>
      <c r="KM31" t="s">
        <v>137</v>
      </c>
      <c r="KN31">
        <v>27.206</v>
      </c>
      <c r="KO31">
        <v>27.206</v>
      </c>
      <c r="KP31">
        <v>27.206</v>
      </c>
      <c r="KQ31">
        <v>27.206</v>
      </c>
      <c r="KR31">
        <v>27.206</v>
      </c>
      <c r="KS31" t="s">
        <v>137</v>
      </c>
      <c r="KT31" t="s">
        <v>137</v>
      </c>
      <c r="KU31">
        <v>27.206</v>
      </c>
      <c r="KV31">
        <v>27.206</v>
      </c>
      <c r="KW31">
        <v>38.375</v>
      </c>
      <c r="KX31">
        <v>38.375</v>
      </c>
      <c r="KY31">
        <v>38.375</v>
      </c>
      <c r="KZ31" t="s">
        <v>137</v>
      </c>
      <c r="LA31" t="s">
        <v>137</v>
      </c>
      <c r="LB31">
        <v>39.75</v>
      </c>
      <c r="LC31">
        <v>40</v>
      </c>
      <c r="LD31">
        <v>39.875</v>
      </c>
      <c r="LE31">
        <v>40</v>
      </c>
      <c r="LF31">
        <v>39.625</v>
      </c>
      <c r="LG31" t="s">
        <v>137</v>
      </c>
      <c r="LH31" t="s">
        <v>137</v>
      </c>
      <c r="LI31">
        <v>40.25</v>
      </c>
      <c r="LJ31">
        <v>40</v>
      </c>
      <c r="LK31">
        <v>39</v>
      </c>
      <c r="LL31">
        <v>40</v>
      </c>
      <c r="LM31">
        <v>40</v>
      </c>
      <c r="LN31" t="s">
        <v>137</v>
      </c>
      <c r="LO31" t="s">
        <v>137</v>
      </c>
      <c r="LP31">
        <v>38.6</v>
      </c>
      <c r="LQ31">
        <v>38.6</v>
      </c>
      <c r="LR31">
        <v>40</v>
      </c>
      <c r="LS31">
        <v>41.125</v>
      </c>
      <c r="LT31">
        <v>41.5</v>
      </c>
      <c r="LU31" t="s">
        <v>137</v>
      </c>
      <c r="LV31" t="s">
        <v>137</v>
      </c>
      <c r="LW31">
        <v>41.5</v>
      </c>
      <c r="LX31">
        <v>41.5</v>
      </c>
      <c r="LY31">
        <v>41.5</v>
      </c>
      <c r="LZ31">
        <v>41.5</v>
      </c>
      <c r="MA31">
        <v>41.5</v>
      </c>
      <c r="MB31" t="s">
        <v>137</v>
      </c>
      <c r="MC31" t="s">
        <v>137</v>
      </c>
      <c r="MD31">
        <v>41.5</v>
      </c>
      <c r="ME31">
        <v>45.64</v>
      </c>
      <c r="MF31">
        <v>46.25</v>
      </c>
      <c r="MG31">
        <v>45.26</v>
      </c>
      <c r="MH31">
        <v>45.04</v>
      </c>
      <c r="MI31" t="s">
        <v>137</v>
      </c>
      <c r="MJ31" t="s">
        <v>137</v>
      </c>
      <c r="MK31">
        <v>45.04</v>
      </c>
      <c r="ML31">
        <v>44.86</v>
      </c>
      <c r="MM31">
        <v>44.79</v>
      </c>
      <c r="MN31">
        <v>44.29</v>
      </c>
      <c r="MO31">
        <v>44.12</v>
      </c>
      <c r="MP31" t="s">
        <v>137</v>
      </c>
      <c r="MQ31" t="s">
        <v>137</v>
      </c>
      <c r="MR31">
        <v>44.12</v>
      </c>
      <c r="MS31">
        <v>43.65</v>
      </c>
      <c r="MT31">
        <v>43.44</v>
      </c>
      <c r="MU31">
        <v>43.24</v>
      </c>
      <c r="MV31">
        <v>43.01</v>
      </c>
      <c r="MW31" t="s">
        <v>137</v>
      </c>
      <c r="MX31" t="s">
        <v>137</v>
      </c>
      <c r="MY31">
        <v>43.01</v>
      </c>
      <c r="MZ31">
        <v>38.18</v>
      </c>
      <c r="NA31">
        <v>40.229999999999997</v>
      </c>
      <c r="NB31">
        <v>37.75</v>
      </c>
      <c r="NC31">
        <v>43.5</v>
      </c>
      <c r="ND31" t="s">
        <v>137</v>
      </c>
      <c r="NE31" t="s">
        <v>137</v>
      </c>
      <c r="NF31">
        <v>41.47</v>
      </c>
      <c r="NG31">
        <v>44</v>
      </c>
      <c r="NH31">
        <v>44.75</v>
      </c>
      <c r="NI31">
        <v>44.75</v>
      </c>
      <c r="NJ31">
        <v>45.5</v>
      </c>
      <c r="NK31" t="s">
        <v>137</v>
      </c>
      <c r="NL31" t="s">
        <v>137</v>
      </c>
      <c r="NM31" t="s">
        <v>137</v>
      </c>
      <c r="NN31" t="s">
        <v>137</v>
      </c>
      <c r="NO31" t="s">
        <v>137</v>
      </c>
      <c r="NP31" t="s">
        <v>137</v>
      </c>
      <c r="NQ31" t="s">
        <v>137</v>
      </c>
      <c r="NR31" t="s">
        <v>137</v>
      </c>
      <c r="NS31" t="s">
        <v>137</v>
      </c>
      <c r="NT31" t="s">
        <v>137</v>
      </c>
      <c r="NU31" t="s">
        <v>137</v>
      </c>
      <c r="NV31" t="s">
        <v>137</v>
      </c>
      <c r="NW31" t="s">
        <v>137</v>
      </c>
      <c r="NX31" t="s">
        <v>137</v>
      </c>
      <c r="NY31" t="s">
        <v>137</v>
      </c>
      <c r="NZ31" t="s">
        <v>137</v>
      </c>
      <c r="OA31" t="s">
        <v>137</v>
      </c>
      <c r="OB31" t="s">
        <v>137</v>
      </c>
      <c r="OC31" t="s">
        <v>137</v>
      </c>
      <c r="OD31" t="s">
        <v>137</v>
      </c>
      <c r="OE31" t="s">
        <v>137</v>
      </c>
      <c r="OF31" t="s">
        <v>137</v>
      </c>
      <c r="OG31" t="s">
        <v>137</v>
      </c>
      <c r="OH31" t="s">
        <v>137</v>
      </c>
      <c r="OI31" t="s">
        <v>137</v>
      </c>
      <c r="OJ31" t="s">
        <v>137</v>
      </c>
      <c r="OK31" t="s">
        <v>137</v>
      </c>
      <c r="OL31" t="s">
        <v>137</v>
      </c>
      <c r="OM31" t="s">
        <v>137</v>
      </c>
      <c r="ON31" t="s">
        <v>137</v>
      </c>
      <c r="OO31" t="s">
        <v>137</v>
      </c>
      <c r="OP31" t="s">
        <v>137</v>
      </c>
      <c r="OQ31" t="s">
        <v>137</v>
      </c>
      <c r="OR31" t="s">
        <v>137</v>
      </c>
      <c r="OS31" t="s">
        <v>137</v>
      </c>
      <c r="OT31" t="s">
        <v>137</v>
      </c>
      <c r="OU31" t="s">
        <v>137</v>
      </c>
      <c r="OV31" t="s">
        <v>137</v>
      </c>
      <c r="OW31" t="s">
        <v>137</v>
      </c>
      <c r="OX31" t="s">
        <v>137</v>
      </c>
      <c r="OY31" t="s">
        <v>137</v>
      </c>
      <c r="OZ31" t="s">
        <v>137</v>
      </c>
      <c r="PA31" t="s">
        <v>137</v>
      </c>
      <c r="PB31" t="s">
        <v>137</v>
      </c>
      <c r="PC31" t="s">
        <v>137</v>
      </c>
      <c r="PD31" t="s">
        <v>137</v>
      </c>
      <c r="PE31" t="s">
        <v>137</v>
      </c>
      <c r="PF31" t="s">
        <v>137</v>
      </c>
      <c r="PG31" t="s">
        <v>137</v>
      </c>
      <c r="PH31" t="s">
        <v>137</v>
      </c>
      <c r="PI31" t="s">
        <v>137</v>
      </c>
      <c r="PJ31" t="s">
        <v>137</v>
      </c>
      <c r="PK31" t="s">
        <v>137</v>
      </c>
      <c r="PL31" t="s">
        <v>137</v>
      </c>
      <c r="PM31" t="s">
        <v>137</v>
      </c>
      <c r="PN31" t="s">
        <v>137</v>
      </c>
      <c r="PO31" t="s">
        <v>137</v>
      </c>
      <c r="PP31" t="s">
        <v>137</v>
      </c>
      <c r="PQ31" t="s">
        <v>137</v>
      </c>
      <c r="PR31" t="s">
        <v>137</v>
      </c>
      <c r="PS31" t="s">
        <v>137</v>
      </c>
      <c r="PT31" t="s">
        <v>137</v>
      </c>
      <c r="PU31" t="s">
        <v>137</v>
      </c>
      <c r="PV31" t="s">
        <v>137</v>
      </c>
      <c r="PW31" t="s">
        <v>137</v>
      </c>
      <c r="PX31" t="s">
        <v>137</v>
      </c>
      <c r="PY31" t="s">
        <v>137</v>
      </c>
      <c r="PZ31" t="s">
        <v>137</v>
      </c>
      <c r="QA31" t="s">
        <v>137</v>
      </c>
      <c r="QB31" t="s">
        <v>137</v>
      </c>
      <c r="QC31" t="s">
        <v>137</v>
      </c>
      <c r="QD31" t="s">
        <v>137</v>
      </c>
      <c r="QE31" t="s">
        <v>137</v>
      </c>
      <c r="QF31" t="s">
        <v>137</v>
      </c>
      <c r="QG31" t="s">
        <v>137</v>
      </c>
      <c r="QH31" t="s">
        <v>137</v>
      </c>
      <c r="QI31" t="s">
        <v>137</v>
      </c>
      <c r="QJ31" t="s">
        <v>137</v>
      </c>
      <c r="QK31" t="s">
        <v>137</v>
      </c>
      <c r="QL31" t="s">
        <v>137</v>
      </c>
      <c r="QM31" t="s">
        <v>137</v>
      </c>
      <c r="QN31" t="s">
        <v>137</v>
      </c>
      <c r="QO31" t="s">
        <v>137</v>
      </c>
    </row>
    <row r="32" spans="1:457" x14ac:dyDescent="0.2">
      <c r="A32" t="s">
        <v>130</v>
      </c>
      <c r="B32" s="3">
        <v>42837</v>
      </c>
      <c r="C32" t="s">
        <v>38</v>
      </c>
      <c r="E32" t="s">
        <v>137</v>
      </c>
      <c r="F32">
        <v>44.5</v>
      </c>
      <c r="G32">
        <v>43.664999999999999</v>
      </c>
      <c r="H32">
        <v>43.1</v>
      </c>
      <c r="I32">
        <v>48.734999999999999</v>
      </c>
      <c r="J32">
        <v>52.625</v>
      </c>
      <c r="K32" t="s">
        <v>137</v>
      </c>
      <c r="L32" t="s">
        <v>137</v>
      </c>
      <c r="M32">
        <v>54.484999999999999</v>
      </c>
      <c r="N32">
        <v>50.82</v>
      </c>
      <c r="O32">
        <v>52.38</v>
      </c>
      <c r="P32">
        <v>52.3</v>
      </c>
      <c r="Q32">
        <v>50.545000000000002</v>
      </c>
      <c r="R32" t="s">
        <v>137</v>
      </c>
      <c r="S32" t="s">
        <v>137</v>
      </c>
      <c r="T32">
        <v>50.5</v>
      </c>
      <c r="U32">
        <v>50.005000000000003</v>
      </c>
      <c r="V32">
        <v>52.499000000000002</v>
      </c>
      <c r="W32">
        <v>52.06</v>
      </c>
      <c r="X32">
        <v>51.44</v>
      </c>
      <c r="Y32" t="s">
        <v>137</v>
      </c>
      <c r="Z32" t="s">
        <v>137</v>
      </c>
      <c r="AA32">
        <v>50.875</v>
      </c>
      <c r="AB32">
        <v>49.9</v>
      </c>
      <c r="AC32">
        <v>49.494999999999997</v>
      </c>
      <c r="AD32">
        <v>49.25</v>
      </c>
      <c r="AE32">
        <v>49.18</v>
      </c>
      <c r="AF32" t="s">
        <v>137</v>
      </c>
      <c r="AG32" t="s">
        <v>137</v>
      </c>
      <c r="AH32">
        <v>50.3</v>
      </c>
      <c r="AI32">
        <v>50.975000000000001</v>
      </c>
      <c r="AJ32">
        <v>50.975000000000001</v>
      </c>
      <c r="AK32">
        <v>50.75</v>
      </c>
      <c r="AL32">
        <v>51.1</v>
      </c>
      <c r="AM32" t="s">
        <v>137</v>
      </c>
      <c r="AN32" t="s">
        <v>137</v>
      </c>
      <c r="AO32">
        <v>51.225000000000001</v>
      </c>
      <c r="AP32">
        <v>51.674999999999997</v>
      </c>
      <c r="AQ32">
        <v>52.05</v>
      </c>
      <c r="AR32">
        <v>53.6</v>
      </c>
      <c r="AS32">
        <v>56.1</v>
      </c>
      <c r="AT32" t="s">
        <v>137</v>
      </c>
      <c r="AU32" t="s">
        <v>137</v>
      </c>
      <c r="AV32">
        <v>55.499000000000002</v>
      </c>
      <c r="AW32">
        <v>54.530999999999999</v>
      </c>
      <c r="AX32">
        <v>54.75</v>
      </c>
      <c r="AY32">
        <v>54.09</v>
      </c>
      <c r="AZ32">
        <v>54.500999999999998</v>
      </c>
      <c r="BA32" t="s">
        <v>137</v>
      </c>
      <c r="BB32" t="s">
        <v>137</v>
      </c>
      <c r="BC32">
        <v>54.1</v>
      </c>
      <c r="BD32">
        <v>51.655000000000001</v>
      </c>
      <c r="BE32">
        <v>51.115000000000002</v>
      </c>
      <c r="BF32">
        <v>51.375</v>
      </c>
      <c r="BG32">
        <v>51.024999999999999</v>
      </c>
      <c r="BH32" t="s">
        <v>137</v>
      </c>
      <c r="BI32" t="s">
        <v>137</v>
      </c>
      <c r="BJ32">
        <v>52.125</v>
      </c>
      <c r="BK32">
        <v>50.75</v>
      </c>
      <c r="BL32">
        <v>50.89</v>
      </c>
      <c r="BM32">
        <v>50.465000000000003</v>
      </c>
      <c r="BN32">
        <v>50.51</v>
      </c>
      <c r="BO32" t="s">
        <v>137</v>
      </c>
      <c r="BP32" t="s">
        <v>137</v>
      </c>
      <c r="BQ32">
        <v>49.5</v>
      </c>
      <c r="BR32">
        <v>50.975000000000001</v>
      </c>
      <c r="BS32">
        <v>51.1</v>
      </c>
      <c r="BT32">
        <v>49.38</v>
      </c>
      <c r="BU32">
        <v>49.26</v>
      </c>
      <c r="BV32" t="s">
        <v>137</v>
      </c>
      <c r="BW32" t="s">
        <v>137</v>
      </c>
      <c r="BX32">
        <v>49.435000000000002</v>
      </c>
      <c r="BY32">
        <v>49.408999999999999</v>
      </c>
      <c r="BZ32">
        <v>48.8</v>
      </c>
      <c r="CA32">
        <v>49.075000000000003</v>
      </c>
      <c r="CB32">
        <v>48.975000000000001</v>
      </c>
      <c r="CC32" t="s">
        <v>137</v>
      </c>
      <c r="CD32" t="s">
        <v>137</v>
      </c>
      <c r="CE32">
        <v>48.875</v>
      </c>
      <c r="CF32">
        <v>48.494999999999997</v>
      </c>
      <c r="CG32">
        <v>48.555</v>
      </c>
      <c r="CH32">
        <v>49.1</v>
      </c>
      <c r="CI32">
        <v>50.18</v>
      </c>
      <c r="CJ32" t="s">
        <v>137</v>
      </c>
      <c r="CK32" t="s">
        <v>137</v>
      </c>
      <c r="CL32">
        <v>49.25</v>
      </c>
      <c r="CM32">
        <v>49.664999999999999</v>
      </c>
      <c r="CN32">
        <v>49.77</v>
      </c>
      <c r="CO32">
        <v>50.405000000000001</v>
      </c>
      <c r="CP32">
        <v>50.234999999999999</v>
      </c>
      <c r="CQ32" t="s">
        <v>137</v>
      </c>
      <c r="CR32" t="s">
        <v>137</v>
      </c>
      <c r="CS32">
        <v>50.2</v>
      </c>
      <c r="CT32">
        <v>49.93</v>
      </c>
      <c r="CU32">
        <v>50.25</v>
      </c>
      <c r="CV32">
        <v>50.46</v>
      </c>
      <c r="CW32">
        <v>51.005000000000003</v>
      </c>
      <c r="CX32" t="s">
        <v>137</v>
      </c>
      <c r="CY32" t="s">
        <v>137</v>
      </c>
      <c r="CZ32">
        <v>52.015000000000001</v>
      </c>
      <c r="DA32">
        <v>53.625</v>
      </c>
      <c r="DB32">
        <v>54.2</v>
      </c>
      <c r="DC32">
        <v>55.07</v>
      </c>
      <c r="DD32">
        <v>55.104999999999997</v>
      </c>
      <c r="DE32" t="s">
        <v>137</v>
      </c>
      <c r="DF32" t="s">
        <v>137</v>
      </c>
      <c r="DG32">
        <v>54.25</v>
      </c>
      <c r="DH32">
        <v>54.26</v>
      </c>
      <c r="DI32">
        <v>57.375</v>
      </c>
      <c r="DJ32">
        <v>57.16</v>
      </c>
      <c r="DK32">
        <v>56.45</v>
      </c>
      <c r="DL32" t="s">
        <v>137</v>
      </c>
      <c r="DM32" t="s">
        <v>137</v>
      </c>
      <c r="DN32">
        <v>58.75</v>
      </c>
      <c r="DO32">
        <v>58.75</v>
      </c>
      <c r="DP32">
        <v>58.75</v>
      </c>
      <c r="DQ32">
        <v>58.75</v>
      </c>
      <c r="DR32">
        <v>59.475000000000001</v>
      </c>
      <c r="DS32" t="s">
        <v>137</v>
      </c>
      <c r="DT32" t="s">
        <v>137</v>
      </c>
      <c r="DU32">
        <v>58.999000000000002</v>
      </c>
      <c r="DV32">
        <v>58.999000000000002</v>
      </c>
      <c r="DW32">
        <v>58.999000000000002</v>
      </c>
      <c r="DX32">
        <v>58.999000000000002</v>
      </c>
      <c r="DY32">
        <v>59.575000000000003</v>
      </c>
      <c r="DZ32" t="s">
        <v>137</v>
      </c>
      <c r="EA32" t="s">
        <v>137</v>
      </c>
      <c r="EB32">
        <v>59.04</v>
      </c>
      <c r="EC32">
        <v>58.524999999999999</v>
      </c>
      <c r="ED32">
        <v>57.354999999999997</v>
      </c>
      <c r="EE32">
        <v>58.9</v>
      </c>
      <c r="EF32">
        <v>59.174999999999997</v>
      </c>
      <c r="EG32" t="s">
        <v>137</v>
      </c>
      <c r="EH32" t="s">
        <v>137</v>
      </c>
      <c r="EI32">
        <v>59.625</v>
      </c>
      <c r="EJ32">
        <v>59.86</v>
      </c>
      <c r="EK32">
        <v>59.895000000000003</v>
      </c>
      <c r="EL32">
        <v>60.5</v>
      </c>
      <c r="EM32">
        <v>60.575000000000003</v>
      </c>
      <c r="EN32" t="s">
        <v>137</v>
      </c>
      <c r="EO32" t="s">
        <v>137</v>
      </c>
      <c r="EP32">
        <v>60.465000000000003</v>
      </c>
      <c r="EQ32">
        <v>59.875</v>
      </c>
      <c r="ER32">
        <v>58.825000000000003</v>
      </c>
      <c r="ES32">
        <v>59</v>
      </c>
      <c r="ET32">
        <v>59.174999999999997</v>
      </c>
      <c r="EU32" t="s">
        <v>137</v>
      </c>
      <c r="EV32" t="s">
        <v>137</v>
      </c>
      <c r="EW32">
        <v>58.23</v>
      </c>
      <c r="EX32">
        <v>58.734999999999999</v>
      </c>
      <c r="EY32">
        <v>59.875</v>
      </c>
      <c r="EZ32">
        <v>59.75</v>
      </c>
      <c r="FA32">
        <v>59.805</v>
      </c>
      <c r="FB32" t="s">
        <v>137</v>
      </c>
      <c r="FC32" t="s">
        <v>137</v>
      </c>
      <c r="FD32">
        <v>59.774999999999999</v>
      </c>
      <c r="FE32">
        <v>60.33</v>
      </c>
      <c r="FF32">
        <v>60.16</v>
      </c>
      <c r="FG32">
        <v>59.63</v>
      </c>
      <c r="FH32">
        <v>61.715000000000003</v>
      </c>
      <c r="FI32" t="s">
        <v>137</v>
      </c>
      <c r="FJ32" t="s">
        <v>137</v>
      </c>
      <c r="FK32">
        <v>61.6</v>
      </c>
      <c r="FL32">
        <v>61.045000000000002</v>
      </c>
      <c r="FM32">
        <v>60.994999999999997</v>
      </c>
      <c r="FN32">
        <v>60.18</v>
      </c>
      <c r="FO32">
        <v>60.265000000000001</v>
      </c>
      <c r="FP32" t="s">
        <v>137</v>
      </c>
      <c r="FQ32" t="s">
        <v>137</v>
      </c>
      <c r="FR32">
        <v>60.75</v>
      </c>
      <c r="FS32">
        <v>60.89</v>
      </c>
      <c r="FT32">
        <v>60.924999999999997</v>
      </c>
      <c r="FU32">
        <v>59.19</v>
      </c>
      <c r="FV32">
        <v>60.04</v>
      </c>
      <c r="FW32" t="s">
        <v>137</v>
      </c>
      <c r="FX32" t="s">
        <v>137</v>
      </c>
      <c r="FY32">
        <v>59.51</v>
      </c>
      <c r="FZ32">
        <v>60.25</v>
      </c>
      <c r="GA32">
        <v>60.024999999999999</v>
      </c>
      <c r="GB32">
        <v>58.88</v>
      </c>
      <c r="GC32">
        <v>58</v>
      </c>
      <c r="GD32" t="s">
        <v>137</v>
      </c>
      <c r="GE32" t="s">
        <v>137</v>
      </c>
      <c r="GF32">
        <v>58.25</v>
      </c>
      <c r="GG32">
        <v>59.484999999999999</v>
      </c>
      <c r="GH32">
        <v>59.615000000000002</v>
      </c>
      <c r="GI32">
        <v>58.5</v>
      </c>
      <c r="GJ32">
        <v>57.378999999999998</v>
      </c>
      <c r="GK32" t="s">
        <v>137</v>
      </c>
      <c r="GL32" t="s">
        <v>137</v>
      </c>
      <c r="GM32">
        <v>51.5</v>
      </c>
      <c r="GN32">
        <v>48.63</v>
      </c>
      <c r="GO32">
        <v>44.805</v>
      </c>
      <c r="GP32">
        <v>46.5</v>
      </c>
      <c r="GQ32">
        <v>43.9</v>
      </c>
      <c r="GR32" t="s">
        <v>137</v>
      </c>
      <c r="GS32" t="s">
        <v>137</v>
      </c>
      <c r="GT32">
        <v>34.055</v>
      </c>
      <c r="GU32">
        <v>37.244999999999997</v>
      </c>
      <c r="GV32">
        <v>31.265000000000001</v>
      </c>
      <c r="GW32">
        <v>31.265000000000001</v>
      </c>
      <c r="GX32">
        <v>31.265000000000001</v>
      </c>
      <c r="GY32" t="s">
        <v>137</v>
      </c>
      <c r="GZ32" t="s">
        <v>137</v>
      </c>
      <c r="HA32">
        <v>28.75</v>
      </c>
      <c r="HB32">
        <v>30.225000000000001</v>
      </c>
      <c r="HC32">
        <v>30.25</v>
      </c>
      <c r="HD32">
        <v>30.05</v>
      </c>
      <c r="HE32">
        <v>32.145000000000003</v>
      </c>
      <c r="HF32" t="s">
        <v>137</v>
      </c>
      <c r="HG32" t="s">
        <v>137</v>
      </c>
      <c r="HH32">
        <v>32.1</v>
      </c>
      <c r="HI32">
        <v>32.825000000000003</v>
      </c>
      <c r="HJ32">
        <v>32.549999999999997</v>
      </c>
      <c r="HK32">
        <v>33.75</v>
      </c>
      <c r="HL32">
        <v>34.75</v>
      </c>
      <c r="HM32" t="s">
        <v>137</v>
      </c>
      <c r="HN32" t="s">
        <v>137</v>
      </c>
      <c r="HO32">
        <v>36.69</v>
      </c>
      <c r="HP32">
        <v>37.49</v>
      </c>
      <c r="HQ32">
        <v>38.25</v>
      </c>
      <c r="HR32">
        <v>37.4</v>
      </c>
      <c r="HS32">
        <v>37.4</v>
      </c>
      <c r="HT32" t="s">
        <v>137</v>
      </c>
      <c r="HU32" t="s">
        <v>137</v>
      </c>
      <c r="HV32">
        <v>37.4</v>
      </c>
      <c r="HW32">
        <v>39.005000000000003</v>
      </c>
      <c r="HX32">
        <v>37.5</v>
      </c>
      <c r="HY32">
        <v>37.5</v>
      </c>
      <c r="HZ32">
        <v>39.25</v>
      </c>
      <c r="IA32" t="s">
        <v>137</v>
      </c>
      <c r="IB32" t="s">
        <v>137</v>
      </c>
      <c r="IC32">
        <v>36.549999999999997</v>
      </c>
      <c r="ID32">
        <v>35.024999999999999</v>
      </c>
      <c r="IE32">
        <v>34.799999999999997</v>
      </c>
      <c r="IF32">
        <v>33.424999999999997</v>
      </c>
      <c r="IG32">
        <v>31.5</v>
      </c>
      <c r="IH32" t="s">
        <v>137</v>
      </c>
      <c r="II32" t="s">
        <v>137</v>
      </c>
      <c r="IJ32">
        <v>29.324999999999999</v>
      </c>
      <c r="IK32">
        <v>30</v>
      </c>
      <c r="IL32">
        <v>29.75</v>
      </c>
      <c r="IM32">
        <v>28</v>
      </c>
      <c r="IN32">
        <v>28</v>
      </c>
      <c r="IO32" t="s">
        <v>137</v>
      </c>
      <c r="IP32" t="s">
        <v>137</v>
      </c>
      <c r="IQ32">
        <v>26.875</v>
      </c>
      <c r="IR32">
        <v>27.495000000000001</v>
      </c>
      <c r="IS32">
        <v>28.745000000000001</v>
      </c>
      <c r="IT32">
        <v>27.25</v>
      </c>
      <c r="IU32">
        <v>27.625</v>
      </c>
      <c r="IV32" t="s">
        <v>137</v>
      </c>
      <c r="IW32" t="s">
        <v>137</v>
      </c>
      <c r="IX32">
        <v>27.574999999999999</v>
      </c>
      <c r="IY32">
        <v>29.2</v>
      </c>
      <c r="IZ32">
        <v>28.95</v>
      </c>
      <c r="JA32">
        <v>28.725000000000001</v>
      </c>
      <c r="JB32">
        <v>30.745000000000001</v>
      </c>
      <c r="JC32" t="s">
        <v>137</v>
      </c>
      <c r="JD32" t="s">
        <v>137</v>
      </c>
      <c r="JE32">
        <v>32.475000000000001</v>
      </c>
      <c r="JF32">
        <v>33.75</v>
      </c>
      <c r="JG32">
        <v>34.65</v>
      </c>
      <c r="JH32">
        <v>34.65</v>
      </c>
      <c r="JI32">
        <v>34.875</v>
      </c>
      <c r="JJ32" t="s">
        <v>137</v>
      </c>
      <c r="JK32" t="s">
        <v>137</v>
      </c>
      <c r="JL32">
        <v>34.875</v>
      </c>
      <c r="JM32">
        <v>34</v>
      </c>
      <c r="JN32">
        <v>34</v>
      </c>
      <c r="JO32">
        <v>35.005000000000003</v>
      </c>
      <c r="JP32">
        <v>35.755000000000003</v>
      </c>
      <c r="JQ32" t="s">
        <v>137</v>
      </c>
      <c r="JR32" t="s">
        <v>137</v>
      </c>
      <c r="JS32">
        <v>35.755000000000003</v>
      </c>
      <c r="JT32">
        <v>35</v>
      </c>
      <c r="JU32">
        <v>42.125</v>
      </c>
      <c r="JV32">
        <v>38.5</v>
      </c>
      <c r="JW32">
        <v>40</v>
      </c>
      <c r="JX32" t="s">
        <v>137</v>
      </c>
      <c r="JY32" t="s">
        <v>137</v>
      </c>
      <c r="JZ32">
        <v>40.049999999999997</v>
      </c>
      <c r="KA32">
        <v>39.625</v>
      </c>
      <c r="KB32">
        <v>39</v>
      </c>
      <c r="KC32">
        <v>37.5</v>
      </c>
      <c r="KD32">
        <v>37.5</v>
      </c>
      <c r="KE32" t="s">
        <v>137</v>
      </c>
      <c r="KF32" t="s">
        <v>137</v>
      </c>
      <c r="KG32">
        <v>37.5</v>
      </c>
      <c r="KH32">
        <v>39.494999999999997</v>
      </c>
      <c r="KI32">
        <v>37.5</v>
      </c>
      <c r="KJ32">
        <v>36.5</v>
      </c>
      <c r="KK32">
        <v>36.25</v>
      </c>
      <c r="KL32" t="s">
        <v>137</v>
      </c>
      <c r="KM32" t="s">
        <v>137</v>
      </c>
      <c r="KN32">
        <v>35.5</v>
      </c>
      <c r="KO32">
        <v>39.5</v>
      </c>
      <c r="KP32">
        <v>39.5</v>
      </c>
      <c r="KQ32">
        <v>40.75</v>
      </c>
      <c r="KR32">
        <v>40.174999999999997</v>
      </c>
      <c r="KS32" t="s">
        <v>137</v>
      </c>
      <c r="KT32" t="s">
        <v>137</v>
      </c>
      <c r="KU32">
        <v>38.5</v>
      </c>
      <c r="KV32">
        <v>39</v>
      </c>
      <c r="KW32">
        <v>41.87</v>
      </c>
      <c r="KX32">
        <v>41.975000000000001</v>
      </c>
      <c r="KY32">
        <v>41.954999999999998</v>
      </c>
      <c r="KZ32" t="s">
        <v>137</v>
      </c>
      <c r="LA32" t="s">
        <v>137</v>
      </c>
      <c r="LB32">
        <v>40.854999999999997</v>
      </c>
      <c r="LC32">
        <v>42.774999999999999</v>
      </c>
      <c r="LD32">
        <v>42.75</v>
      </c>
      <c r="LE32">
        <v>44.1</v>
      </c>
      <c r="LF32">
        <v>42.774999999999999</v>
      </c>
      <c r="LG32" t="s">
        <v>137</v>
      </c>
      <c r="LH32" t="s">
        <v>137</v>
      </c>
      <c r="LI32">
        <v>43.244999999999997</v>
      </c>
      <c r="LJ32">
        <v>41.5</v>
      </c>
      <c r="LK32">
        <v>41.5</v>
      </c>
      <c r="LL32">
        <v>43.1</v>
      </c>
      <c r="LM32">
        <v>42.97</v>
      </c>
      <c r="LN32" t="s">
        <v>137</v>
      </c>
      <c r="LO32" t="s">
        <v>137</v>
      </c>
      <c r="LP32">
        <v>40.5</v>
      </c>
      <c r="LQ32">
        <v>40.5</v>
      </c>
      <c r="LR32">
        <v>40.625</v>
      </c>
      <c r="LS32">
        <v>43.25</v>
      </c>
      <c r="LT32">
        <v>42.5</v>
      </c>
      <c r="LU32" t="s">
        <v>137</v>
      </c>
      <c r="LV32" t="s">
        <v>137</v>
      </c>
      <c r="LW32">
        <v>40.5</v>
      </c>
      <c r="LX32">
        <v>38.5</v>
      </c>
      <c r="LY32">
        <v>38.5</v>
      </c>
      <c r="LZ32">
        <v>43.145000000000003</v>
      </c>
      <c r="MA32">
        <v>43.37</v>
      </c>
      <c r="MB32" t="s">
        <v>137</v>
      </c>
      <c r="MC32" t="s">
        <v>137</v>
      </c>
      <c r="MD32">
        <v>44.5</v>
      </c>
      <c r="ME32">
        <v>46.5</v>
      </c>
      <c r="MF32">
        <v>48.89</v>
      </c>
      <c r="MG32">
        <v>48.7</v>
      </c>
      <c r="MH32">
        <v>48.1</v>
      </c>
      <c r="MI32" t="s">
        <v>137</v>
      </c>
      <c r="MJ32" t="s">
        <v>137</v>
      </c>
      <c r="MK32">
        <v>49.225000000000001</v>
      </c>
      <c r="ML32">
        <v>47.774999999999999</v>
      </c>
      <c r="MM32">
        <v>47.65</v>
      </c>
      <c r="MN32">
        <v>45.5</v>
      </c>
      <c r="MO32">
        <v>46.25</v>
      </c>
      <c r="MP32" t="s">
        <v>137</v>
      </c>
      <c r="MQ32" t="s">
        <v>137</v>
      </c>
      <c r="MR32">
        <v>46.25</v>
      </c>
      <c r="MS32">
        <v>46.795000000000002</v>
      </c>
      <c r="MT32">
        <v>48.875</v>
      </c>
      <c r="MU32">
        <v>48.875</v>
      </c>
      <c r="MV32">
        <v>49.314999999999998</v>
      </c>
      <c r="MW32" t="s">
        <v>137</v>
      </c>
      <c r="MX32" t="s">
        <v>137</v>
      </c>
      <c r="MY32">
        <v>49.05</v>
      </c>
      <c r="MZ32">
        <v>48.75</v>
      </c>
      <c r="NA32">
        <v>45.5</v>
      </c>
      <c r="NB32">
        <v>47.75</v>
      </c>
      <c r="NC32">
        <v>47.75</v>
      </c>
      <c r="ND32" t="s">
        <v>137</v>
      </c>
      <c r="NE32" t="s">
        <v>137</v>
      </c>
      <c r="NF32">
        <v>41.35</v>
      </c>
      <c r="NG32">
        <v>45.5</v>
      </c>
      <c r="NH32">
        <v>45.5</v>
      </c>
      <c r="NI32">
        <v>45.49</v>
      </c>
      <c r="NJ32">
        <v>45.49</v>
      </c>
      <c r="NK32" t="s">
        <v>137</v>
      </c>
      <c r="NL32" t="s">
        <v>137</v>
      </c>
      <c r="NM32" t="s">
        <v>137</v>
      </c>
      <c r="NN32" t="s">
        <v>137</v>
      </c>
      <c r="NO32" t="s">
        <v>137</v>
      </c>
      <c r="NP32" t="s">
        <v>137</v>
      </c>
      <c r="NQ32" t="s">
        <v>137</v>
      </c>
      <c r="NR32" t="s">
        <v>137</v>
      </c>
      <c r="NS32" t="s">
        <v>137</v>
      </c>
      <c r="NT32" t="s">
        <v>137</v>
      </c>
      <c r="NU32" t="s">
        <v>137</v>
      </c>
      <c r="NV32" t="s">
        <v>137</v>
      </c>
      <c r="NW32" t="s">
        <v>137</v>
      </c>
      <c r="NX32" t="s">
        <v>137</v>
      </c>
      <c r="NY32" t="s">
        <v>137</v>
      </c>
      <c r="NZ32" t="s">
        <v>137</v>
      </c>
      <c r="OA32" t="s">
        <v>137</v>
      </c>
      <c r="OB32" t="s">
        <v>137</v>
      </c>
      <c r="OC32" t="s">
        <v>137</v>
      </c>
      <c r="OD32" t="s">
        <v>137</v>
      </c>
      <c r="OE32" t="s">
        <v>137</v>
      </c>
      <c r="OF32" t="s">
        <v>137</v>
      </c>
      <c r="OG32" t="s">
        <v>137</v>
      </c>
      <c r="OH32" t="s">
        <v>137</v>
      </c>
      <c r="OI32" t="s">
        <v>137</v>
      </c>
      <c r="OJ32" t="s">
        <v>137</v>
      </c>
      <c r="OK32" t="s">
        <v>137</v>
      </c>
      <c r="OL32" t="s">
        <v>137</v>
      </c>
      <c r="OM32" t="s">
        <v>137</v>
      </c>
      <c r="ON32" t="s">
        <v>137</v>
      </c>
      <c r="OO32" t="s">
        <v>137</v>
      </c>
      <c r="OP32" t="s">
        <v>137</v>
      </c>
      <c r="OQ32" t="s">
        <v>137</v>
      </c>
      <c r="OR32" t="s">
        <v>137</v>
      </c>
      <c r="OS32" t="s">
        <v>137</v>
      </c>
      <c r="OT32" t="s">
        <v>137</v>
      </c>
      <c r="OU32" t="s">
        <v>137</v>
      </c>
      <c r="OV32" t="s">
        <v>137</v>
      </c>
      <c r="OW32" t="s">
        <v>137</v>
      </c>
      <c r="OX32" t="s">
        <v>137</v>
      </c>
      <c r="OY32" t="s">
        <v>137</v>
      </c>
      <c r="OZ32" t="s">
        <v>137</v>
      </c>
      <c r="PA32" t="s">
        <v>137</v>
      </c>
      <c r="PB32" t="s">
        <v>137</v>
      </c>
      <c r="PC32" t="s">
        <v>137</v>
      </c>
      <c r="PD32" t="s">
        <v>137</v>
      </c>
      <c r="PE32" t="s">
        <v>137</v>
      </c>
      <c r="PF32" t="s">
        <v>137</v>
      </c>
      <c r="PG32" t="s">
        <v>137</v>
      </c>
      <c r="PH32" t="s">
        <v>137</v>
      </c>
      <c r="PI32" t="s">
        <v>137</v>
      </c>
      <c r="PJ32" t="s">
        <v>137</v>
      </c>
      <c r="PK32" t="s">
        <v>137</v>
      </c>
      <c r="PL32" t="s">
        <v>137</v>
      </c>
      <c r="PM32" t="s">
        <v>137</v>
      </c>
      <c r="PN32" t="s">
        <v>137</v>
      </c>
      <c r="PO32" t="s">
        <v>137</v>
      </c>
      <c r="PP32" t="s">
        <v>137</v>
      </c>
      <c r="PQ32" t="s">
        <v>137</v>
      </c>
      <c r="PR32" t="s">
        <v>137</v>
      </c>
      <c r="PS32" t="s">
        <v>137</v>
      </c>
      <c r="PT32" t="s">
        <v>137</v>
      </c>
      <c r="PU32" t="s">
        <v>137</v>
      </c>
      <c r="PV32" t="s">
        <v>137</v>
      </c>
      <c r="PW32" t="s">
        <v>137</v>
      </c>
      <c r="PX32" t="s">
        <v>137</v>
      </c>
      <c r="PY32" t="s">
        <v>137</v>
      </c>
      <c r="PZ32" t="s">
        <v>137</v>
      </c>
      <c r="QA32" t="s">
        <v>137</v>
      </c>
      <c r="QB32" t="s">
        <v>137</v>
      </c>
      <c r="QC32" t="s">
        <v>137</v>
      </c>
      <c r="QD32" t="s">
        <v>137</v>
      </c>
      <c r="QE32" t="s">
        <v>137</v>
      </c>
      <c r="QF32" t="s">
        <v>137</v>
      </c>
      <c r="QG32" t="s">
        <v>137</v>
      </c>
      <c r="QH32" t="s">
        <v>137</v>
      </c>
      <c r="QI32" t="s">
        <v>137</v>
      </c>
      <c r="QJ32" t="s">
        <v>137</v>
      </c>
      <c r="QK32" t="s">
        <v>137</v>
      </c>
      <c r="QL32" t="s">
        <v>137</v>
      </c>
      <c r="QM32" t="s">
        <v>137</v>
      </c>
      <c r="QN32" t="s">
        <v>137</v>
      </c>
      <c r="QO32" t="s">
        <v>137</v>
      </c>
    </row>
    <row r="34" spans="1:457" x14ac:dyDescent="0.2">
      <c r="D34" t="s">
        <v>318</v>
      </c>
    </row>
    <row r="35" spans="1:457" ht="16" x14ac:dyDescent="0.2">
      <c r="A35" s="160" t="s">
        <v>186</v>
      </c>
      <c r="B35" s="160" t="s">
        <v>142</v>
      </c>
      <c r="C35" s="160" t="s">
        <v>184</v>
      </c>
      <c r="D35" s="161" t="s">
        <v>102</v>
      </c>
      <c r="E35" s="238">
        <v>43709</v>
      </c>
      <c r="F35" s="238">
        <v>43710</v>
      </c>
      <c r="G35" s="238">
        <v>43711</v>
      </c>
      <c r="H35" s="238">
        <v>43712</v>
      </c>
      <c r="I35" s="238">
        <v>43713</v>
      </c>
      <c r="J35" s="238">
        <v>43714</v>
      </c>
      <c r="K35" s="238">
        <v>43715</v>
      </c>
      <c r="L35" s="238">
        <v>43716</v>
      </c>
      <c r="M35" s="238">
        <v>43717</v>
      </c>
      <c r="N35" s="238">
        <v>43718</v>
      </c>
      <c r="O35" s="238">
        <v>43719</v>
      </c>
      <c r="P35" s="238">
        <v>43720</v>
      </c>
      <c r="Q35" s="238">
        <v>43721</v>
      </c>
      <c r="R35" s="238">
        <v>43722</v>
      </c>
      <c r="S35" s="238">
        <v>43723</v>
      </c>
      <c r="T35" s="238">
        <v>43724</v>
      </c>
      <c r="U35" s="238">
        <v>43725</v>
      </c>
      <c r="V35" s="238">
        <v>43726</v>
      </c>
      <c r="W35" s="238">
        <v>43727</v>
      </c>
      <c r="X35" s="238">
        <v>43728</v>
      </c>
      <c r="Y35" s="238">
        <v>43729</v>
      </c>
      <c r="Z35" s="238">
        <v>43730</v>
      </c>
      <c r="AA35" s="238">
        <v>43731</v>
      </c>
      <c r="AB35" s="238">
        <v>43732</v>
      </c>
      <c r="AC35" s="238">
        <v>43733</v>
      </c>
      <c r="AD35" s="238">
        <v>43734</v>
      </c>
      <c r="AE35" s="238">
        <v>43735</v>
      </c>
      <c r="AF35" s="238">
        <v>43736</v>
      </c>
      <c r="AG35" s="238">
        <v>43737</v>
      </c>
      <c r="AH35" s="238">
        <v>43738</v>
      </c>
      <c r="AI35" s="238">
        <v>43739</v>
      </c>
      <c r="AJ35" s="238">
        <v>43740</v>
      </c>
      <c r="AK35" s="238">
        <v>43741</v>
      </c>
      <c r="AL35" s="238">
        <v>43742</v>
      </c>
      <c r="AM35" s="238">
        <v>43743</v>
      </c>
      <c r="AN35" s="238">
        <v>43744</v>
      </c>
      <c r="AO35" s="238">
        <v>43745</v>
      </c>
      <c r="AP35" s="238">
        <v>43746</v>
      </c>
      <c r="AQ35" s="238">
        <v>43747</v>
      </c>
      <c r="AR35" s="238">
        <v>43748</v>
      </c>
      <c r="AS35" s="238">
        <v>43749</v>
      </c>
      <c r="AT35" s="238">
        <v>43750</v>
      </c>
      <c r="AU35" s="238">
        <v>43751</v>
      </c>
      <c r="AV35" s="238">
        <v>43752</v>
      </c>
      <c r="AW35" s="238">
        <v>43753</v>
      </c>
      <c r="AX35" s="238">
        <v>43754</v>
      </c>
      <c r="AY35" s="238">
        <v>43755</v>
      </c>
      <c r="AZ35" s="238">
        <v>43756</v>
      </c>
      <c r="BA35" s="238">
        <v>43757</v>
      </c>
      <c r="BB35" s="238">
        <v>43758</v>
      </c>
      <c r="BC35" s="238">
        <v>43759</v>
      </c>
      <c r="BD35" s="238">
        <v>43760</v>
      </c>
      <c r="BE35" s="238">
        <v>43761</v>
      </c>
      <c r="BF35" s="238">
        <v>43762</v>
      </c>
      <c r="BG35" s="238">
        <v>43763</v>
      </c>
      <c r="BH35" s="238">
        <v>43764</v>
      </c>
      <c r="BI35" s="238">
        <v>43765</v>
      </c>
      <c r="BJ35" s="238">
        <v>43766</v>
      </c>
      <c r="BK35" s="238">
        <v>43767</v>
      </c>
      <c r="BL35" s="238">
        <v>43768</v>
      </c>
      <c r="BM35" s="238">
        <v>43769</v>
      </c>
      <c r="BN35" s="238">
        <v>43770</v>
      </c>
      <c r="BO35" s="238">
        <v>43771</v>
      </c>
      <c r="BP35" s="238">
        <v>43772</v>
      </c>
      <c r="BQ35" s="238">
        <v>43773</v>
      </c>
      <c r="BR35" s="238">
        <v>43774</v>
      </c>
      <c r="BS35" s="238">
        <v>43775</v>
      </c>
      <c r="BT35" s="238">
        <v>43776</v>
      </c>
      <c r="BU35" s="238">
        <v>43777</v>
      </c>
      <c r="BV35" s="238">
        <v>43778</v>
      </c>
      <c r="BW35" s="238">
        <v>43779</v>
      </c>
      <c r="BX35" s="238">
        <v>43780</v>
      </c>
      <c r="BY35" s="238">
        <v>43781</v>
      </c>
      <c r="BZ35" s="238">
        <v>43782</v>
      </c>
      <c r="CA35" s="238">
        <v>43783</v>
      </c>
      <c r="CB35" s="238">
        <v>43784</v>
      </c>
      <c r="CC35" s="238">
        <v>43785</v>
      </c>
      <c r="CD35" s="238">
        <v>43786</v>
      </c>
      <c r="CE35" s="238">
        <v>43787</v>
      </c>
      <c r="CF35" s="238">
        <v>43788</v>
      </c>
      <c r="CG35" s="238">
        <v>43789</v>
      </c>
      <c r="CH35" s="238">
        <v>43790</v>
      </c>
      <c r="CI35" s="238">
        <v>43791</v>
      </c>
      <c r="CJ35" s="238">
        <v>43792</v>
      </c>
      <c r="CK35" s="238">
        <v>43793</v>
      </c>
      <c r="CL35" s="238">
        <v>43794</v>
      </c>
      <c r="CM35" s="238">
        <v>43795</v>
      </c>
      <c r="CN35" s="238">
        <v>43796</v>
      </c>
      <c r="CO35" s="238">
        <v>43797</v>
      </c>
      <c r="CP35" s="238">
        <v>43798</v>
      </c>
      <c r="CQ35" s="238">
        <v>43799</v>
      </c>
      <c r="CR35" s="238">
        <v>43800</v>
      </c>
      <c r="CS35" s="238">
        <v>43801</v>
      </c>
      <c r="CT35" s="238">
        <v>43802</v>
      </c>
      <c r="CU35" s="238">
        <v>43803</v>
      </c>
      <c r="CV35" s="238">
        <v>43804</v>
      </c>
      <c r="CW35" s="238">
        <v>43805</v>
      </c>
      <c r="CX35" s="238">
        <v>43806</v>
      </c>
      <c r="CY35" s="238">
        <v>43807</v>
      </c>
      <c r="CZ35" s="238">
        <v>43808</v>
      </c>
      <c r="DA35" s="238">
        <v>43809</v>
      </c>
      <c r="DB35" s="238">
        <v>43810</v>
      </c>
      <c r="DC35" s="238">
        <v>43811</v>
      </c>
      <c r="DD35" s="238">
        <v>43812</v>
      </c>
      <c r="DE35" s="238">
        <v>43813</v>
      </c>
      <c r="DF35" s="238">
        <v>43814</v>
      </c>
      <c r="DG35" s="238">
        <v>43815</v>
      </c>
      <c r="DH35" s="238">
        <v>43816</v>
      </c>
      <c r="DI35" s="238">
        <v>43817</v>
      </c>
      <c r="DJ35" s="238">
        <v>43818</v>
      </c>
      <c r="DK35" s="238">
        <v>43819</v>
      </c>
      <c r="DL35" s="238">
        <v>43820</v>
      </c>
      <c r="DM35" s="238">
        <v>43821</v>
      </c>
      <c r="DN35" s="238">
        <v>43822</v>
      </c>
      <c r="DO35" s="238">
        <v>43823</v>
      </c>
      <c r="DP35" s="238">
        <v>43824</v>
      </c>
      <c r="DQ35" s="238">
        <v>43825</v>
      </c>
      <c r="DR35" s="238">
        <v>43826</v>
      </c>
      <c r="DS35" s="238">
        <v>43827</v>
      </c>
      <c r="DT35" s="238">
        <v>43828</v>
      </c>
      <c r="DU35" s="238">
        <v>43829</v>
      </c>
      <c r="DV35" s="238">
        <v>43830</v>
      </c>
      <c r="DW35" s="238">
        <v>43831</v>
      </c>
      <c r="DX35" s="238">
        <v>43832</v>
      </c>
      <c r="DY35" s="238">
        <v>43833</v>
      </c>
      <c r="DZ35" s="238">
        <v>43834</v>
      </c>
      <c r="EA35" s="238">
        <v>43835</v>
      </c>
      <c r="EB35" s="238">
        <v>43836</v>
      </c>
      <c r="EC35" s="238">
        <v>43837</v>
      </c>
      <c r="ED35" s="238">
        <v>43838</v>
      </c>
      <c r="EE35" s="238">
        <v>43839</v>
      </c>
      <c r="EF35" s="238">
        <v>43840</v>
      </c>
      <c r="EG35" s="238">
        <v>43841</v>
      </c>
      <c r="EH35" s="238">
        <v>43842</v>
      </c>
      <c r="EI35" s="238">
        <v>43843</v>
      </c>
      <c r="EJ35" s="238">
        <v>43844</v>
      </c>
      <c r="EK35" s="238">
        <v>43845</v>
      </c>
      <c r="EL35" s="238">
        <v>43846</v>
      </c>
      <c r="EM35" s="238">
        <v>43847</v>
      </c>
      <c r="EN35" s="238">
        <v>43848</v>
      </c>
      <c r="EO35" s="238">
        <v>43849</v>
      </c>
      <c r="EP35" s="238">
        <v>43850</v>
      </c>
      <c r="EQ35" s="238">
        <v>43851</v>
      </c>
      <c r="ER35" s="238">
        <v>43852</v>
      </c>
      <c r="ES35" s="238">
        <v>43853</v>
      </c>
      <c r="ET35" s="238">
        <v>43854</v>
      </c>
      <c r="EU35" s="238">
        <v>43855</v>
      </c>
      <c r="EV35" s="238">
        <v>43856</v>
      </c>
      <c r="EW35" s="238">
        <v>43857</v>
      </c>
      <c r="EX35" s="238">
        <v>43858</v>
      </c>
      <c r="EY35" s="238">
        <v>43859</v>
      </c>
      <c r="EZ35" s="238">
        <v>43860</v>
      </c>
      <c r="FA35" s="238">
        <v>43861</v>
      </c>
      <c r="FB35" s="238">
        <v>43862</v>
      </c>
      <c r="FC35" s="238">
        <v>43863</v>
      </c>
      <c r="FD35" s="238">
        <v>43864</v>
      </c>
      <c r="FE35" s="238">
        <v>43865</v>
      </c>
      <c r="FF35" s="238">
        <v>43866</v>
      </c>
      <c r="FG35" s="238">
        <v>43867</v>
      </c>
      <c r="FH35" s="238">
        <v>43868</v>
      </c>
      <c r="FI35" s="238">
        <v>43869</v>
      </c>
      <c r="FJ35" s="238">
        <v>43870</v>
      </c>
      <c r="FK35" s="238">
        <v>43871</v>
      </c>
      <c r="FL35" s="238">
        <v>43872</v>
      </c>
      <c r="FM35" s="238">
        <v>43873</v>
      </c>
      <c r="FN35" s="238">
        <v>43874</v>
      </c>
      <c r="FO35" s="238">
        <v>43875</v>
      </c>
      <c r="FP35" s="238">
        <v>43876</v>
      </c>
      <c r="FQ35" s="238">
        <v>43877</v>
      </c>
      <c r="FR35" s="238">
        <v>43878</v>
      </c>
      <c r="FS35" s="238">
        <v>43879</v>
      </c>
      <c r="FT35" s="238">
        <v>43880</v>
      </c>
      <c r="FU35" s="238">
        <v>43881</v>
      </c>
      <c r="FV35" s="238">
        <v>43882</v>
      </c>
      <c r="FW35" s="238">
        <v>43883</v>
      </c>
      <c r="FX35" s="238">
        <v>43884</v>
      </c>
      <c r="FY35" s="238">
        <v>43885</v>
      </c>
      <c r="FZ35" s="238">
        <v>43886</v>
      </c>
      <c r="GA35" s="238">
        <v>43887</v>
      </c>
      <c r="GB35" s="238">
        <v>43888</v>
      </c>
      <c r="GC35" s="238">
        <v>43889</v>
      </c>
      <c r="GD35" s="238">
        <v>43890</v>
      </c>
      <c r="GE35" s="238">
        <v>43891</v>
      </c>
      <c r="GF35" s="238">
        <v>43892</v>
      </c>
      <c r="GG35" s="238">
        <v>43893</v>
      </c>
      <c r="GH35" s="238">
        <v>43894</v>
      </c>
      <c r="GI35" s="238">
        <v>43895</v>
      </c>
      <c r="GJ35" s="238">
        <v>43896</v>
      </c>
      <c r="GK35" s="238">
        <v>43897</v>
      </c>
      <c r="GL35" s="238">
        <v>43898</v>
      </c>
      <c r="GM35" s="238">
        <v>43899</v>
      </c>
      <c r="GN35" s="238">
        <v>43900</v>
      </c>
      <c r="GO35" s="238">
        <v>43901</v>
      </c>
      <c r="GP35" s="238">
        <v>43902</v>
      </c>
      <c r="GQ35" s="238">
        <v>43903</v>
      </c>
      <c r="GR35" s="238">
        <v>43904</v>
      </c>
      <c r="GS35" s="238">
        <v>43905</v>
      </c>
      <c r="GT35" s="238">
        <v>43906</v>
      </c>
      <c r="GU35" s="238">
        <v>43907</v>
      </c>
      <c r="GV35" s="238">
        <v>43908</v>
      </c>
      <c r="GW35" s="238">
        <v>43909</v>
      </c>
      <c r="GX35" s="238">
        <v>43910</v>
      </c>
      <c r="GY35" s="238">
        <v>43911</v>
      </c>
      <c r="GZ35" s="238">
        <v>43912</v>
      </c>
      <c r="HA35" s="238">
        <v>43913</v>
      </c>
      <c r="HB35" s="238">
        <v>43914</v>
      </c>
      <c r="HC35" s="238">
        <v>43915</v>
      </c>
      <c r="HD35" s="238">
        <v>43916</v>
      </c>
      <c r="HE35" s="238">
        <v>43917</v>
      </c>
      <c r="HF35" s="238">
        <v>43918</v>
      </c>
      <c r="HG35" s="238">
        <v>43919</v>
      </c>
      <c r="HH35" s="238">
        <v>43920</v>
      </c>
      <c r="HI35" s="238">
        <v>43921</v>
      </c>
      <c r="HJ35" s="238">
        <v>43922</v>
      </c>
      <c r="HK35" s="238">
        <v>43923</v>
      </c>
      <c r="HL35" s="238">
        <v>43924</v>
      </c>
      <c r="HM35" s="238">
        <v>43925</v>
      </c>
      <c r="HN35" s="238">
        <v>43926</v>
      </c>
      <c r="HO35" s="238">
        <v>43927</v>
      </c>
      <c r="HP35" s="238">
        <v>43928</v>
      </c>
      <c r="HQ35" s="238">
        <v>43929</v>
      </c>
      <c r="HR35" s="238">
        <v>43930</v>
      </c>
      <c r="HS35" s="238">
        <v>43931</v>
      </c>
      <c r="HT35" s="238">
        <v>43932</v>
      </c>
      <c r="HU35" s="238">
        <v>43933</v>
      </c>
      <c r="HV35" s="238">
        <v>43934</v>
      </c>
      <c r="HW35" s="238">
        <v>43935</v>
      </c>
      <c r="HX35" s="238">
        <v>43936</v>
      </c>
      <c r="HY35" s="238">
        <v>43937</v>
      </c>
      <c r="HZ35" s="238">
        <v>43938</v>
      </c>
      <c r="IA35" s="238">
        <v>43939</v>
      </c>
      <c r="IB35" s="238">
        <v>43940</v>
      </c>
      <c r="IC35" s="238">
        <v>43941</v>
      </c>
      <c r="ID35" s="238">
        <v>43942</v>
      </c>
      <c r="IE35" s="238">
        <v>43943</v>
      </c>
      <c r="IF35" s="238">
        <v>43944</v>
      </c>
      <c r="IG35" s="238">
        <v>43945</v>
      </c>
      <c r="IH35" s="238">
        <v>43946</v>
      </c>
      <c r="II35" s="238">
        <v>43947</v>
      </c>
      <c r="IJ35" s="238">
        <v>43948</v>
      </c>
      <c r="IK35" s="238">
        <v>43949</v>
      </c>
      <c r="IL35" s="238">
        <v>43950</v>
      </c>
      <c r="IM35" s="238">
        <v>43951</v>
      </c>
      <c r="IN35" s="238">
        <v>43952</v>
      </c>
      <c r="IO35" s="238">
        <v>43953</v>
      </c>
      <c r="IP35" s="238">
        <v>43954</v>
      </c>
      <c r="IQ35" s="238">
        <v>43955</v>
      </c>
      <c r="IR35" s="238">
        <v>43956</v>
      </c>
      <c r="IS35" s="238">
        <v>43957</v>
      </c>
      <c r="IT35" s="238">
        <v>43958</v>
      </c>
      <c r="IU35" s="238">
        <v>43959</v>
      </c>
      <c r="IV35" s="238">
        <v>43960</v>
      </c>
      <c r="IW35" s="238">
        <v>43961</v>
      </c>
      <c r="IX35" s="238">
        <v>43962</v>
      </c>
      <c r="IY35" s="238">
        <v>43963</v>
      </c>
      <c r="IZ35" s="238">
        <v>43964</v>
      </c>
      <c r="JA35" s="238">
        <v>43965</v>
      </c>
      <c r="JB35" s="238">
        <v>43966</v>
      </c>
      <c r="JC35" s="238">
        <v>43967</v>
      </c>
      <c r="JD35" s="238">
        <v>43968</v>
      </c>
      <c r="JE35" s="238">
        <v>43969</v>
      </c>
      <c r="JF35" s="238">
        <v>43970</v>
      </c>
      <c r="JG35" s="238">
        <v>43971</v>
      </c>
      <c r="JH35" s="238">
        <v>43972</v>
      </c>
      <c r="JI35" s="238">
        <v>43973</v>
      </c>
      <c r="JJ35" s="238">
        <v>43974</v>
      </c>
      <c r="JK35" s="238">
        <v>43975</v>
      </c>
      <c r="JL35" s="238">
        <v>43976</v>
      </c>
      <c r="JM35" s="238">
        <v>43977</v>
      </c>
      <c r="JN35" s="238">
        <v>43978</v>
      </c>
      <c r="JO35" s="238">
        <v>43979</v>
      </c>
      <c r="JP35" s="238">
        <v>43980</v>
      </c>
      <c r="JQ35" s="238">
        <v>43981</v>
      </c>
      <c r="JR35" s="238">
        <v>43982</v>
      </c>
      <c r="JS35" s="238">
        <v>43983</v>
      </c>
      <c r="JT35" s="238">
        <v>43984</v>
      </c>
      <c r="JU35" s="238">
        <v>43985</v>
      </c>
      <c r="JV35" s="238">
        <v>43986</v>
      </c>
      <c r="JW35" s="238">
        <v>43987</v>
      </c>
      <c r="JX35" s="238">
        <v>43988</v>
      </c>
      <c r="JY35" s="238">
        <v>43989</v>
      </c>
      <c r="JZ35" s="238">
        <v>43990</v>
      </c>
      <c r="KA35" s="238">
        <v>43991</v>
      </c>
      <c r="KB35" s="238">
        <v>43992</v>
      </c>
      <c r="KC35" s="238">
        <v>43993</v>
      </c>
      <c r="KD35" s="238">
        <v>43994</v>
      </c>
      <c r="KE35" s="238">
        <v>43995</v>
      </c>
      <c r="KF35" s="238">
        <v>43996</v>
      </c>
      <c r="KG35" s="238">
        <v>43997</v>
      </c>
      <c r="KH35" s="238">
        <v>43998</v>
      </c>
      <c r="KI35" s="238">
        <v>43999</v>
      </c>
      <c r="KJ35" s="238">
        <v>44000</v>
      </c>
      <c r="KK35" s="238">
        <v>44001</v>
      </c>
      <c r="KL35" s="238">
        <v>44002</v>
      </c>
      <c r="KM35" s="238">
        <v>44003</v>
      </c>
      <c r="KN35" s="238">
        <v>44004</v>
      </c>
      <c r="KO35" s="238">
        <v>44005</v>
      </c>
      <c r="KP35" s="238">
        <v>44006</v>
      </c>
      <c r="KQ35" s="238">
        <v>44007</v>
      </c>
      <c r="KR35" s="238">
        <v>44008</v>
      </c>
      <c r="KS35" s="238">
        <v>44009</v>
      </c>
      <c r="KT35" s="238">
        <v>44010</v>
      </c>
      <c r="KU35" s="238">
        <v>44011</v>
      </c>
      <c r="KV35" s="238">
        <v>44012</v>
      </c>
      <c r="KW35" s="238">
        <v>44013</v>
      </c>
      <c r="KX35" s="238">
        <v>44014</v>
      </c>
      <c r="KY35" s="238">
        <v>44015</v>
      </c>
      <c r="KZ35" s="238">
        <v>44016</v>
      </c>
      <c r="LA35" s="238">
        <v>44017</v>
      </c>
      <c r="LB35" s="238">
        <v>44018</v>
      </c>
      <c r="LC35" s="238">
        <v>44019</v>
      </c>
      <c r="LD35" s="238">
        <v>44020</v>
      </c>
      <c r="LE35" s="238">
        <v>44021</v>
      </c>
      <c r="LF35" s="238">
        <v>44022</v>
      </c>
      <c r="LG35" s="238">
        <v>44023</v>
      </c>
      <c r="LH35" s="238">
        <v>44024</v>
      </c>
      <c r="LI35" s="238">
        <v>44025</v>
      </c>
      <c r="LJ35" s="238">
        <v>44026</v>
      </c>
      <c r="LK35" s="238">
        <v>44027</v>
      </c>
      <c r="LL35" s="238">
        <v>44028</v>
      </c>
      <c r="LM35" s="238">
        <v>44029</v>
      </c>
      <c r="LN35" s="238">
        <v>44030</v>
      </c>
      <c r="LO35" s="238">
        <v>44031</v>
      </c>
      <c r="LP35" s="238">
        <v>44032</v>
      </c>
      <c r="LQ35" s="238">
        <v>44033</v>
      </c>
      <c r="LR35" s="238">
        <v>44034</v>
      </c>
      <c r="LS35" s="238">
        <v>44035</v>
      </c>
      <c r="LT35" s="238">
        <v>44036</v>
      </c>
      <c r="LU35" s="238">
        <v>44037</v>
      </c>
      <c r="LV35" s="238">
        <v>44038</v>
      </c>
      <c r="LW35" s="238">
        <v>44039</v>
      </c>
      <c r="LX35" s="238">
        <v>44040</v>
      </c>
      <c r="LY35" s="238">
        <v>44041</v>
      </c>
      <c r="LZ35" s="238">
        <v>44042</v>
      </c>
      <c r="MA35" s="238">
        <v>44043</v>
      </c>
      <c r="MB35" s="238">
        <v>44044</v>
      </c>
      <c r="MC35" s="238">
        <v>44045</v>
      </c>
      <c r="MD35" s="238">
        <v>44046</v>
      </c>
      <c r="ME35" s="238">
        <v>44047</v>
      </c>
      <c r="MF35" s="238">
        <v>44048</v>
      </c>
      <c r="MG35" s="238">
        <v>44049</v>
      </c>
      <c r="MH35" s="238">
        <v>44050</v>
      </c>
      <c r="MI35" s="238">
        <v>44051</v>
      </c>
      <c r="MJ35" s="238">
        <v>44052</v>
      </c>
      <c r="MK35" s="238">
        <v>44053</v>
      </c>
      <c r="ML35" s="238">
        <v>44054</v>
      </c>
      <c r="MM35" s="238">
        <v>44055</v>
      </c>
      <c r="MN35" s="238">
        <v>44056</v>
      </c>
      <c r="MO35" s="238">
        <v>44057</v>
      </c>
      <c r="MP35" s="238">
        <v>44058</v>
      </c>
      <c r="MQ35" s="238">
        <v>44059</v>
      </c>
      <c r="MR35" s="238">
        <v>44060</v>
      </c>
      <c r="MS35" s="238">
        <v>44061</v>
      </c>
      <c r="MT35" s="238">
        <v>44062</v>
      </c>
      <c r="MU35" s="238">
        <v>44063</v>
      </c>
      <c r="MV35" s="238">
        <v>44064</v>
      </c>
      <c r="MW35" s="238">
        <v>44065</v>
      </c>
      <c r="MX35" s="238">
        <v>44066</v>
      </c>
      <c r="MY35" s="238">
        <v>44067</v>
      </c>
      <c r="MZ35" s="238">
        <v>44068</v>
      </c>
      <c r="NA35" s="238">
        <v>44069</v>
      </c>
      <c r="NB35" s="238">
        <v>44070</v>
      </c>
      <c r="NC35" s="238">
        <v>44071</v>
      </c>
      <c r="ND35" s="238">
        <v>44072</v>
      </c>
      <c r="NE35" s="238">
        <v>44073</v>
      </c>
      <c r="NF35" s="238">
        <v>44074</v>
      </c>
      <c r="NG35" s="238">
        <v>44075</v>
      </c>
      <c r="NH35" s="238">
        <v>44076</v>
      </c>
      <c r="NI35" s="238">
        <v>44077</v>
      </c>
      <c r="NJ35" s="238">
        <v>44078</v>
      </c>
      <c r="NK35" s="238">
        <v>44079</v>
      </c>
      <c r="NL35" s="238">
        <v>44080</v>
      </c>
      <c r="NM35" s="238">
        <v>44081</v>
      </c>
      <c r="NN35" s="238">
        <v>44082</v>
      </c>
      <c r="NO35" s="238">
        <v>44083</v>
      </c>
      <c r="NP35" s="238">
        <v>44084</v>
      </c>
      <c r="NQ35" s="238">
        <v>44085</v>
      </c>
      <c r="NR35" s="238">
        <v>44086</v>
      </c>
      <c r="NS35" s="238">
        <v>44087</v>
      </c>
      <c r="NT35" s="238">
        <v>44088</v>
      </c>
      <c r="NU35" s="238">
        <v>44089</v>
      </c>
      <c r="NV35" s="238">
        <v>44090</v>
      </c>
      <c r="NW35" s="238">
        <v>44091</v>
      </c>
      <c r="NX35" s="238">
        <v>44092</v>
      </c>
      <c r="NY35" s="238">
        <v>44093</v>
      </c>
      <c r="NZ35" s="238">
        <v>44094</v>
      </c>
      <c r="OA35" s="238">
        <v>44095</v>
      </c>
      <c r="OB35" s="238">
        <v>44096</v>
      </c>
      <c r="OC35" s="238">
        <v>44097</v>
      </c>
      <c r="OD35" s="238">
        <v>44098</v>
      </c>
      <c r="OE35" s="238">
        <v>44099</v>
      </c>
      <c r="OF35" s="238">
        <v>44100</v>
      </c>
      <c r="OG35" s="238">
        <v>44101</v>
      </c>
      <c r="OH35" s="238">
        <v>44102</v>
      </c>
      <c r="OI35" s="238">
        <v>44103</v>
      </c>
      <c r="OJ35" s="238">
        <v>44104</v>
      </c>
      <c r="OK35" s="238">
        <v>44105</v>
      </c>
      <c r="OL35" s="238">
        <v>44106</v>
      </c>
      <c r="OM35" s="238">
        <v>44107</v>
      </c>
      <c r="ON35" s="238">
        <v>44108</v>
      </c>
      <c r="OO35" s="238">
        <v>44109</v>
      </c>
      <c r="OP35" s="238">
        <v>44110</v>
      </c>
      <c r="OQ35" s="238">
        <v>44111</v>
      </c>
      <c r="OR35" s="238">
        <v>44112</v>
      </c>
      <c r="OS35" s="238">
        <v>44113</v>
      </c>
      <c r="OT35" s="238">
        <v>44114</v>
      </c>
      <c r="OU35" s="238">
        <v>44115</v>
      </c>
      <c r="OV35" s="238">
        <v>44116</v>
      </c>
      <c r="OW35" s="238">
        <v>44117</v>
      </c>
      <c r="OX35" s="238">
        <v>44118</v>
      </c>
      <c r="OY35" s="238">
        <v>44119</v>
      </c>
      <c r="OZ35" s="238">
        <v>44120</v>
      </c>
      <c r="PA35" s="238">
        <v>44121</v>
      </c>
      <c r="PB35" s="238">
        <v>44122</v>
      </c>
      <c r="PC35" s="238">
        <v>44123</v>
      </c>
      <c r="PD35" s="238">
        <v>44124</v>
      </c>
      <c r="PE35" s="238">
        <v>44125</v>
      </c>
      <c r="PF35" s="238">
        <v>44126</v>
      </c>
      <c r="PG35" s="238">
        <v>44127</v>
      </c>
      <c r="PH35" s="238">
        <v>44128</v>
      </c>
      <c r="PI35" s="238">
        <v>44129</v>
      </c>
      <c r="PJ35" s="238">
        <v>44130</v>
      </c>
      <c r="PK35" s="238">
        <v>44131</v>
      </c>
      <c r="PL35" s="238">
        <v>44132</v>
      </c>
      <c r="PM35" s="238">
        <v>44133</v>
      </c>
      <c r="PN35" s="238">
        <v>44134</v>
      </c>
      <c r="PO35" s="238">
        <v>44135</v>
      </c>
      <c r="PP35" s="238">
        <v>44136</v>
      </c>
      <c r="PQ35" s="238">
        <v>44137</v>
      </c>
      <c r="PR35" s="238">
        <v>44138</v>
      </c>
      <c r="PS35" s="238">
        <v>44139</v>
      </c>
      <c r="PT35" s="238">
        <v>44140</v>
      </c>
      <c r="PU35" s="238">
        <v>44141</v>
      </c>
      <c r="PV35" s="238">
        <v>44142</v>
      </c>
      <c r="PW35" s="238">
        <v>44143</v>
      </c>
      <c r="PX35" s="238">
        <v>44144</v>
      </c>
      <c r="PY35" s="238">
        <v>44145</v>
      </c>
      <c r="PZ35" s="238">
        <v>44146</v>
      </c>
      <c r="QA35" s="238">
        <v>44147</v>
      </c>
      <c r="QB35" s="238">
        <v>44148</v>
      </c>
      <c r="QC35" s="238">
        <v>44149</v>
      </c>
      <c r="QD35" s="238">
        <v>44150</v>
      </c>
      <c r="QE35" s="238">
        <v>44151</v>
      </c>
      <c r="QF35" s="238">
        <v>44152</v>
      </c>
      <c r="QG35" s="238">
        <v>44153</v>
      </c>
      <c r="QH35" s="238">
        <v>44154</v>
      </c>
      <c r="QI35" s="238">
        <v>44155</v>
      </c>
      <c r="QJ35" s="238">
        <v>44156</v>
      </c>
      <c r="QK35" s="238">
        <v>44157</v>
      </c>
      <c r="QL35" s="238">
        <v>44158</v>
      </c>
      <c r="QM35" s="238">
        <v>44159</v>
      </c>
      <c r="QN35" s="238">
        <v>44160</v>
      </c>
      <c r="QO35" s="238">
        <v>44161</v>
      </c>
    </row>
    <row r="36" spans="1:457" x14ac:dyDescent="0.2">
      <c r="A36" t="s">
        <v>134</v>
      </c>
      <c r="B36" s="3">
        <v>38626</v>
      </c>
      <c r="C36" t="s">
        <v>10</v>
      </c>
      <c r="E36" t="s">
        <v>137</v>
      </c>
      <c r="F36">
        <v>23.115200000000002</v>
      </c>
      <c r="G36">
        <v>23.116099999999999</v>
      </c>
      <c r="H36">
        <v>21.653199999999998</v>
      </c>
      <c r="I36">
        <v>20.8475</v>
      </c>
      <c r="J36">
        <v>19.786200000000001</v>
      </c>
      <c r="K36" t="s">
        <v>137</v>
      </c>
      <c r="L36" t="s">
        <v>137</v>
      </c>
      <c r="M36">
        <v>19.364100000000001</v>
      </c>
      <c r="N36">
        <v>19.8384</v>
      </c>
      <c r="O36">
        <v>19.788499999999999</v>
      </c>
      <c r="P36">
        <v>20.046900000000001</v>
      </c>
      <c r="Q36">
        <v>20.616099999999999</v>
      </c>
      <c r="R36" t="s">
        <v>137</v>
      </c>
      <c r="S36" t="s">
        <v>137</v>
      </c>
      <c r="T36">
        <v>20.809799999999999</v>
      </c>
      <c r="U36">
        <v>20.578700000000001</v>
      </c>
      <c r="V36">
        <v>19.8643</v>
      </c>
      <c r="W36">
        <v>19.847200000000001</v>
      </c>
      <c r="X36">
        <v>19.546700000000001</v>
      </c>
      <c r="Y36" t="s">
        <v>137</v>
      </c>
      <c r="Z36" t="s">
        <v>137</v>
      </c>
      <c r="AA36">
        <v>19.848800000000001</v>
      </c>
      <c r="AB36">
        <v>20.003399999999999</v>
      </c>
      <c r="AC36">
        <v>20.360900000000001</v>
      </c>
      <c r="AD36">
        <v>19.9039</v>
      </c>
      <c r="AE36">
        <v>19.453700000000001</v>
      </c>
      <c r="AF36" t="s">
        <v>137</v>
      </c>
      <c r="AG36" t="s">
        <v>137</v>
      </c>
      <c r="AH36">
        <v>19.3567</v>
      </c>
      <c r="AI36">
        <v>19.357600000000001</v>
      </c>
      <c r="AJ36">
        <v>19.358599999999999</v>
      </c>
      <c r="AK36">
        <v>19.216000000000001</v>
      </c>
      <c r="AL36">
        <v>19.073799999999999</v>
      </c>
      <c r="AM36" t="s">
        <v>137</v>
      </c>
      <c r="AN36" t="s">
        <v>137</v>
      </c>
      <c r="AO36">
        <v>18.701599999999999</v>
      </c>
      <c r="AP36">
        <v>19.0032</v>
      </c>
      <c r="AQ36">
        <v>18.210999999999999</v>
      </c>
      <c r="AR36">
        <v>17.784600000000001</v>
      </c>
      <c r="AS36">
        <v>17.4544</v>
      </c>
      <c r="AT36" t="s">
        <v>137</v>
      </c>
      <c r="AU36" t="s">
        <v>137</v>
      </c>
      <c r="AV36">
        <v>17.409099999999999</v>
      </c>
      <c r="AW36">
        <v>17.214600000000001</v>
      </c>
      <c r="AX36">
        <v>17.538499999999999</v>
      </c>
      <c r="AY36">
        <v>17.297499999999999</v>
      </c>
      <c r="AZ36">
        <v>17.624400000000001</v>
      </c>
      <c r="BA36" t="s">
        <v>137</v>
      </c>
      <c r="BB36" t="s">
        <v>137</v>
      </c>
      <c r="BC36">
        <v>18.090499999999999</v>
      </c>
      <c r="BD36">
        <v>18.443100000000001</v>
      </c>
      <c r="BE36">
        <v>18.222799999999999</v>
      </c>
      <c r="BF36">
        <v>18.0654</v>
      </c>
      <c r="BG36">
        <v>18.372699999999998</v>
      </c>
      <c r="BH36" t="s">
        <v>137</v>
      </c>
      <c r="BI36" t="s">
        <v>137</v>
      </c>
      <c r="BJ36">
        <v>18.8125</v>
      </c>
      <c r="BK36">
        <v>18.952300000000001</v>
      </c>
      <c r="BL36">
        <v>18.860499999999998</v>
      </c>
      <c r="BM36">
        <v>19.053899999999999</v>
      </c>
      <c r="BN36">
        <v>18.825800000000001</v>
      </c>
      <c r="BO36" t="s">
        <v>137</v>
      </c>
      <c r="BP36" t="s">
        <v>137</v>
      </c>
      <c r="BQ36">
        <v>18.928699999999999</v>
      </c>
      <c r="BR36">
        <v>18.940200000000001</v>
      </c>
      <c r="BS36">
        <v>19.013400000000001</v>
      </c>
      <c r="BT36">
        <v>19.0579</v>
      </c>
      <c r="BU36">
        <v>19.8597</v>
      </c>
      <c r="BV36" t="s">
        <v>137</v>
      </c>
      <c r="BW36" t="s">
        <v>137</v>
      </c>
      <c r="BX36">
        <v>19.5931</v>
      </c>
      <c r="BY36">
        <v>20.635200000000001</v>
      </c>
      <c r="BZ36">
        <v>20.527799999999999</v>
      </c>
      <c r="CA36">
        <v>20.451499999999999</v>
      </c>
      <c r="CB36">
        <v>20.750699999999998</v>
      </c>
      <c r="CC36" t="s">
        <v>137</v>
      </c>
      <c r="CD36" t="s">
        <v>137</v>
      </c>
      <c r="CE36">
        <v>20.6662</v>
      </c>
      <c r="CF36">
        <v>19.751899999999999</v>
      </c>
      <c r="CG36">
        <v>19.6526</v>
      </c>
      <c r="CH36">
        <v>19.119900000000001</v>
      </c>
      <c r="CI36">
        <v>19.264700000000001</v>
      </c>
      <c r="CJ36" t="s">
        <v>137</v>
      </c>
      <c r="CK36" t="s">
        <v>137</v>
      </c>
      <c r="CL36">
        <v>19.8599</v>
      </c>
      <c r="CM36">
        <v>19.412400000000002</v>
      </c>
      <c r="CN36">
        <v>19.5671</v>
      </c>
      <c r="CO36">
        <v>19.664100000000001</v>
      </c>
      <c r="CP36">
        <v>19.6599</v>
      </c>
      <c r="CQ36" t="s">
        <v>137</v>
      </c>
      <c r="CR36" t="s">
        <v>137</v>
      </c>
      <c r="CS36">
        <v>19.666399999999999</v>
      </c>
      <c r="CT36">
        <v>20.339400000000001</v>
      </c>
      <c r="CU36">
        <v>19.769100000000002</v>
      </c>
      <c r="CV36">
        <v>19.8233</v>
      </c>
      <c r="CW36">
        <v>19.673500000000001</v>
      </c>
      <c r="CX36" t="s">
        <v>137</v>
      </c>
      <c r="CY36" t="s">
        <v>137</v>
      </c>
      <c r="CZ36">
        <v>19.1129</v>
      </c>
      <c r="DA36">
        <v>18.718299999999999</v>
      </c>
      <c r="DB36">
        <v>18.816700000000001</v>
      </c>
      <c r="DC36">
        <v>18.056100000000001</v>
      </c>
      <c r="DD36">
        <v>18.057099999999998</v>
      </c>
      <c r="DE36" t="s">
        <v>137</v>
      </c>
      <c r="DF36" t="s">
        <v>137</v>
      </c>
      <c r="DG36">
        <v>17.9297</v>
      </c>
      <c r="DH36">
        <v>17.151</v>
      </c>
      <c r="DI36">
        <v>16.5749</v>
      </c>
      <c r="DJ36">
        <v>16.7666</v>
      </c>
      <c r="DK36">
        <v>16.96</v>
      </c>
      <c r="DL36" t="s">
        <v>137</v>
      </c>
      <c r="DM36" t="s">
        <v>137</v>
      </c>
      <c r="DN36">
        <v>16.668600000000001</v>
      </c>
      <c r="DO36">
        <v>16.655799999999999</v>
      </c>
      <c r="DP36">
        <v>16.656600000000001</v>
      </c>
      <c r="DQ36">
        <v>16.659700000000001</v>
      </c>
      <c r="DR36">
        <v>15.269</v>
      </c>
      <c r="DS36" t="s">
        <v>137</v>
      </c>
      <c r="DT36" t="s">
        <v>137</v>
      </c>
      <c r="DU36">
        <v>15.7293</v>
      </c>
      <c r="DV36">
        <v>15.696099999999999</v>
      </c>
      <c r="DW36">
        <v>15.6967</v>
      </c>
      <c r="DX36">
        <v>15.6295</v>
      </c>
      <c r="DY36">
        <v>15.6264</v>
      </c>
      <c r="DZ36" t="s">
        <v>137</v>
      </c>
      <c r="EA36" t="s">
        <v>137</v>
      </c>
      <c r="EB36">
        <v>16.3003</v>
      </c>
      <c r="EC36">
        <v>15.896000000000001</v>
      </c>
      <c r="ED36">
        <v>15.4619</v>
      </c>
      <c r="EE36">
        <v>15.33</v>
      </c>
      <c r="EF36">
        <v>15.5663</v>
      </c>
      <c r="EG36" t="s">
        <v>137</v>
      </c>
      <c r="EH36" t="s">
        <v>137</v>
      </c>
      <c r="EI36">
        <v>15.364000000000001</v>
      </c>
      <c r="EJ36">
        <v>15.6286</v>
      </c>
      <c r="EK36">
        <v>15.532500000000001</v>
      </c>
      <c r="EL36">
        <v>15.2014</v>
      </c>
      <c r="EM36">
        <v>15.646699999999999</v>
      </c>
      <c r="EN36" t="s">
        <v>137</v>
      </c>
      <c r="EO36" t="s">
        <v>137</v>
      </c>
      <c r="EP36">
        <v>15.602600000000001</v>
      </c>
      <c r="EQ36">
        <v>15.984500000000001</v>
      </c>
      <c r="ER36">
        <v>16.4937</v>
      </c>
      <c r="ES36">
        <v>16.456499999999998</v>
      </c>
      <c r="ET36">
        <v>16.873100000000001</v>
      </c>
      <c r="EU36" t="s">
        <v>137</v>
      </c>
      <c r="EV36" t="s">
        <v>137</v>
      </c>
      <c r="EW36">
        <v>17.4666</v>
      </c>
      <c r="EX36">
        <v>17.596399999999999</v>
      </c>
      <c r="EY36">
        <v>17.265999999999998</v>
      </c>
      <c r="EZ36">
        <v>17.188400000000001</v>
      </c>
      <c r="FA36">
        <v>17.2286</v>
      </c>
      <c r="FB36" t="s">
        <v>137</v>
      </c>
      <c r="FC36" t="s">
        <v>137</v>
      </c>
      <c r="FD36">
        <v>16.992799999999999</v>
      </c>
      <c r="FE36">
        <v>16.6175</v>
      </c>
      <c r="FF36">
        <v>16.242899999999999</v>
      </c>
      <c r="FG36">
        <v>16.3538</v>
      </c>
      <c r="FH36">
        <v>15.9946</v>
      </c>
      <c r="FI36" t="s">
        <v>137</v>
      </c>
      <c r="FJ36" t="s">
        <v>137</v>
      </c>
      <c r="FK36">
        <v>15.9597</v>
      </c>
      <c r="FL36">
        <v>16.577500000000001</v>
      </c>
      <c r="FM36">
        <v>16.562100000000001</v>
      </c>
      <c r="FN36">
        <v>16.6175</v>
      </c>
      <c r="FO36">
        <v>16.6556</v>
      </c>
      <c r="FP36" t="s">
        <v>137</v>
      </c>
      <c r="FQ36" t="s">
        <v>137</v>
      </c>
      <c r="FR36">
        <v>16.8413</v>
      </c>
      <c r="FS36">
        <v>16.770600000000002</v>
      </c>
      <c r="FT36">
        <v>16.950800000000001</v>
      </c>
      <c r="FU36">
        <v>17.082599999999999</v>
      </c>
      <c r="FV36">
        <v>17.094799999999999</v>
      </c>
      <c r="FW36" t="s">
        <v>137</v>
      </c>
      <c r="FX36" t="s">
        <v>137</v>
      </c>
      <c r="FY36">
        <v>16.928100000000001</v>
      </c>
      <c r="FZ36">
        <v>17.078900000000001</v>
      </c>
      <c r="GA36">
        <v>16.9682</v>
      </c>
      <c r="GB36">
        <v>17.1739</v>
      </c>
      <c r="GC36">
        <v>17.904199999999999</v>
      </c>
      <c r="GD36" t="s">
        <v>137</v>
      </c>
      <c r="GE36" t="s">
        <v>137</v>
      </c>
      <c r="GF36">
        <v>17.8626</v>
      </c>
      <c r="GG36">
        <v>17.5305</v>
      </c>
      <c r="GH36">
        <v>17.4495</v>
      </c>
      <c r="GI36">
        <v>17.740100000000002</v>
      </c>
      <c r="GJ36">
        <v>19.0731</v>
      </c>
      <c r="GK36" t="s">
        <v>137</v>
      </c>
      <c r="GL36" t="s">
        <v>137</v>
      </c>
      <c r="GM36">
        <v>19.0898</v>
      </c>
      <c r="GN36">
        <v>21.201699999999999</v>
      </c>
      <c r="GO36">
        <v>21.999700000000001</v>
      </c>
      <c r="GP36">
        <v>23.6021</v>
      </c>
      <c r="GQ36">
        <v>23.673100000000002</v>
      </c>
      <c r="GR36" t="s">
        <v>137</v>
      </c>
      <c r="GS36" t="s">
        <v>137</v>
      </c>
      <c r="GT36">
        <v>24.6463</v>
      </c>
      <c r="GU36">
        <v>25.165700000000001</v>
      </c>
      <c r="GV36">
        <v>25.166899999999998</v>
      </c>
      <c r="GW36">
        <v>27.988600000000002</v>
      </c>
      <c r="GX36">
        <v>27.794699999999999</v>
      </c>
      <c r="GY36" t="s">
        <v>137</v>
      </c>
      <c r="GZ36" t="s">
        <v>137</v>
      </c>
      <c r="HA36">
        <v>28.288499999999999</v>
      </c>
      <c r="HB36">
        <v>28.942900000000002</v>
      </c>
      <c r="HC36">
        <v>29.2864</v>
      </c>
      <c r="HD36">
        <v>28.909800000000001</v>
      </c>
      <c r="HE36">
        <v>28.599799999999998</v>
      </c>
      <c r="HF36" t="s">
        <v>137</v>
      </c>
      <c r="HG36" t="s">
        <v>137</v>
      </c>
      <c r="HH36">
        <v>28.084299999999999</v>
      </c>
      <c r="HI36">
        <v>27.805499999999999</v>
      </c>
      <c r="HJ36">
        <v>27.014099999999999</v>
      </c>
      <c r="HK36">
        <v>26.905200000000001</v>
      </c>
      <c r="HL36">
        <v>26.241399999999999</v>
      </c>
      <c r="HM36" t="s">
        <v>137</v>
      </c>
      <c r="HN36" t="s">
        <v>137</v>
      </c>
      <c r="HO36">
        <v>25.581</v>
      </c>
      <c r="HP36">
        <v>25.839700000000001</v>
      </c>
      <c r="HQ36">
        <v>26.264399999999998</v>
      </c>
      <c r="HR36">
        <v>25.914999999999999</v>
      </c>
      <c r="HS36">
        <v>26.443000000000001</v>
      </c>
      <c r="HT36" t="s">
        <v>137</v>
      </c>
      <c r="HU36" t="s">
        <v>137</v>
      </c>
      <c r="HV36">
        <v>26.184999999999999</v>
      </c>
      <c r="HW36">
        <v>26.533300000000001</v>
      </c>
      <c r="HX36">
        <v>26.890699999999999</v>
      </c>
      <c r="HY36">
        <v>27.076899999999998</v>
      </c>
      <c r="HZ36">
        <v>26.628299999999999</v>
      </c>
      <c r="IA36" t="s">
        <v>137</v>
      </c>
      <c r="IB36" t="s">
        <v>137</v>
      </c>
      <c r="IC36">
        <v>25.658300000000001</v>
      </c>
      <c r="ID36">
        <v>26.189299999999999</v>
      </c>
      <c r="IE36">
        <v>26.456900000000001</v>
      </c>
      <c r="IF36">
        <v>27.552900000000001</v>
      </c>
      <c r="IG36">
        <v>27.841899999999999</v>
      </c>
      <c r="IH36" t="s">
        <v>137</v>
      </c>
      <c r="II36" t="s">
        <v>137</v>
      </c>
      <c r="IJ36">
        <v>27.367799999999999</v>
      </c>
      <c r="IK36">
        <v>26.951799999999999</v>
      </c>
      <c r="IL36">
        <v>26.191500000000001</v>
      </c>
      <c r="IM36">
        <v>27.19</v>
      </c>
      <c r="IN36">
        <v>27.853200000000001</v>
      </c>
      <c r="IO36" t="s">
        <v>137</v>
      </c>
      <c r="IP36" t="s">
        <v>137</v>
      </c>
      <c r="IQ36">
        <v>28.8597</v>
      </c>
      <c r="IR36">
        <v>29.0716</v>
      </c>
      <c r="IS36">
        <v>28.863199999999999</v>
      </c>
      <c r="IT36">
        <v>28.6617</v>
      </c>
      <c r="IU36">
        <v>27.962599999999998</v>
      </c>
      <c r="IV36" t="s">
        <v>137</v>
      </c>
      <c r="IW36" t="s">
        <v>137</v>
      </c>
      <c r="IX36">
        <v>27.4847</v>
      </c>
      <c r="IY36">
        <v>25.3188</v>
      </c>
      <c r="IZ36">
        <v>25.726099999999999</v>
      </c>
      <c r="JA36">
        <v>25.777200000000001</v>
      </c>
      <c r="JB36">
        <v>24.1861</v>
      </c>
      <c r="JC36" t="s">
        <v>137</v>
      </c>
      <c r="JD36" t="s">
        <v>137</v>
      </c>
      <c r="JE36">
        <v>23.791899999999998</v>
      </c>
      <c r="JF36">
        <v>23.249700000000001</v>
      </c>
      <c r="JG36">
        <v>23.0124</v>
      </c>
      <c r="JH36">
        <v>23.075900000000001</v>
      </c>
      <c r="JI36">
        <v>23.369299999999999</v>
      </c>
      <c r="JJ36" t="s">
        <v>137</v>
      </c>
      <c r="JK36" t="s">
        <v>137</v>
      </c>
      <c r="JL36">
        <v>23.5077</v>
      </c>
      <c r="JM36">
        <v>23.4041</v>
      </c>
      <c r="JN36">
        <v>23.405799999999999</v>
      </c>
      <c r="JO36">
        <v>21.702200000000001</v>
      </c>
      <c r="JP36">
        <v>21.547000000000001</v>
      </c>
      <c r="JQ36" t="s">
        <v>137</v>
      </c>
      <c r="JR36" t="s">
        <v>137</v>
      </c>
      <c r="JS36">
        <v>21.548300000000001</v>
      </c>
      <c r="JT36">
        <v>21.014500000000002</v>
      </c>
      <c r="JU36">
        <v>20.4834</v>
      </c>
      <c r="JV36">
        <v>20.105399999999999</v>
      </c>
      <c r="JW36">
        <v>20.2105</v>
      </c>
      <c r="JX36" t="s">
        <v>137</v>
      </c>
      <c r="JY36" t="s">
        <v>137</v>
      </c>
      <c r="JZ36">
        <v>20.369499999999999</v>
      </c>
      <c r="KA36">
        <v>20.4453</v>
      </c>
      <c r="KB36">
        <v>20.914300000000001</v>
      </c>
      <c r="KC36">
        <v>21.142800000000001</v>
      </c>
      <c r="KD36">
        <v>21.144200000000001</v>
      </c>
      <c r="KE36" t="s">
        <v>137</v>
      </c>
      <c r="KF36" t="s">
        <v>137</v>
      </c>
      <c r="KG36">
        <v>21.432200000000002</v>
      </c>
      <c r="KH36">
        <v>21.090699999999998</v>
      </c>
      <c r="KI36">
        <v>21.307400000000001</v>
      </c>
      <c r="KJ36">
        <v>21.803799999999999</v>
      </c>
      <c r="KK36">
        <v>21.154699999999998</v>
      </c>
      <c r="KL36" t="s">
        <v>137</v>
      </c>
      <c r="KM36" t="s">
        <v>137</v>
      </c>
      <c r="KN36">
        <v>21.099699999999999</v>
      </c>
      <c r="KO36">
        <v>20.767700000000001</v>
      </c>
      <c r="KP36">
        <v>21.216000000000001</v>
      </c>
      <c r="KQ36">
        <v>21.377600000000001</v>
      </c>
      <c r="KR36">
        <v>21.5106</v>
      </c>
      <c r="KS36" t="s">
        <v>137</v>
      </c>
      <c r="KT36" t="s">
        <v>137</v>
      </c>
      <c r="KU36">
        <v>21.592199999999998</v>
      </c>
      <c r="KV36">
        <v>21.501300000000001</v>
      </c>
      <c r="KW36">
        <v>21.6783</v>
      </c>
      <c r="KX36">
        <v>21.387699999999999</v>
      </c>
      <c r="KY36">
        <v>21.388200000000001</v>
      </c>
      <c r="KZ36" t="s">
        <v>137</v>
      </c>
      <c r="LA36" t="s">
        <v>137</v>
      </c>
      <c r="LB36">
        <v>20.499700000000001</v>
      </c>
      <c r="LC36">
        <v>20.288399999999999</v>
      </c>
      <c r="LD36">
        <v>19.7255</v>
      </c>
      <c r="LE36">
        <v>20.1342</v>
      </c>
      <c r="LF36">
        <v>19.9297</v>
      </c>
      <c r="LG36" t="s">
        <v>137</v>
      </c>
      <c r="LH36" t="s">
        <v>137</v>
      </c>
      <c r="LI36">
        <v>20.088000000000001</v>
      </c>
      <c r="LJ36">
        <v>20.3233</v>
      </c>
      <c r="LK36">
        <v>19.9315</v>
      </c>
      <c r="LL36">
        <v>19.632400000000001</v>
      </c>
      <c r="LM36">
        <v>19.632999999999999</v>
      </c>
      <c r="LN36" t="s">
        <v>137</v>
      </c>
      <c r="LO36" t="s">
        <v>137</v>
      </c>
      <c r="LP36">
        <v>19.798100000000002</v>
      </c>
      <c r="LQ36">
        <v>19.584800000000001</v>
      </c>
      <c r="LR36">
        <v>19.341799999999999</v>
      </c>
      <c r="LS36">
        <v>19.003399999999999</v>
      </c>
      <c r="LT36">
        <v>19.041499999999999</v>
      </c>
      <c r="LU36" t="s">
        <v>137</v>
      </c>
      <c r="LV36" t="s">
        <v>137</v>
      </c>
      <c r="LW36">
        <v>19.0122</v>
      </c>
      <c r="LX36">
        <v>19.202000000000002</v>
      </c>
      <c r="LY36">
        <v>19.5413</v>
      </c>
      <c r="LZ36">
        <v>19.300699999999999</v>
      </c>
      <c r="MA36">
        <v>19.110800000000001</v>
      </c>
      <c r="MB36" t="s">
        <v>137</v>
      </c>
      <c r="MC36" t="s">
        <v>137</v>
      </c>
      <c r="MD36">
        <v>19.229299999999999</v>
      </c>
      <c r="ME36">
        <v>17.736499999999999</v>
      </c>
      <c r="MF36">
        <v>17.7974</v>
      </c>
      <c r="MG36">
        <v>17.7392</v>
      </c>
      <c r="MH36">
        <v>17.656700000000001</v>
      </c>
      <c r="MI36" t="s">
        <v>137</v>
      </c>
      <c r="MJ36" t="s">
        <v>137</v>
      </c>
      <c r="MK36">
        <v>18.209299999999999</v>
      </c>
      <c r="ML36">
        <v>17.8672</v>
      </c>
      <c r="MM36">
        <v>17.7837</v>
      </c>
      <c r="MN36">
        <v>17.953800000000001</v>
      </c>
      <c r="MO36">
        <v>18.0838</v>
      </c>
      <c r="MP36" t="s">
        <v>137</v>
      </c>
      <c r="MQ36" t="s">
        <v>137</v>
      </c>
      <c r="MR36">
        <v>18.214500000000001</v>
      </c>
      <c r="MS36">
        <v>18.258900000000001</v>
      </c>
      <c r="MT36">
        <v>18.5062</v>
      </c>
      <c r="MU36">
        <v>18.482800000000001</v>
      </c>
      <c r="MV36">
        <v>18.574100000000001</v>
      </c>
      <c r="MW36" t="s">
        <v>137</v>
      </c>
      <c r="MX36" t="s">
        <v>137</v>
      </c>
      <c r="MY36">
        <v>18.609200000000001</v>
      </c>
      <c r="MZ36">
        <v>18.675899999999999</v>
      </c>
      <c r="NA36">
        <v>19.759499999999999</v>
      </c>
      <c r="NB36">
        <v>19.762</v>
      </c>
      <c r="NC36">
        <v>19.763000000000002</v>
      </c>
      <c r="ND36" t="s">
        <v>137</v>
      </c>
      <c r="NE36" t="s">
        <v>137</v>
      </c>
      <c r="NF36">
        <v>18.964300000000001</v>
      </c>
      <c r="NG36">
        <v>19.275300000000001</v>
      </c>
      <c r="NH36">
        <v>18.717300000000002</v>
      </c>
      <c r="NI36">
        <v>19.232800000000001</v>
      </c>
      <c r="NJ36">
        <v>19.329499999999999</v>
      </c>
      <c r="NK36" t="s">
        <v>137</v>
      </c>
      <c r="NL36" t="s">
        <v>137</v>
      </c>
      <c r="NM36" t="s">
        <v>137</v>
      </c>
      <c r="NN36" t="s">
        <v>137</v>
      </c>
      <c r="NO36" t="s">
        <v>137</v>
      </c>
      <c r="NP36" t="s">
        <v>137</v>
      </c>
      <c r="NQ36" t="s">
        <v>137</v>
      </c>
      <c r="NR36" t="s">
        <v>137</v>
      </c>
      <c r="NS36" t="s">
        <v>137</v>
      </c>
      <c r="NT36" t="s">
        <v>137</v>
      </c>
      <c r="NU36" t="s">
        <v>137</v>
      </c>
      <c r="NV36" t="s">
        <v>137</v>
      </c>
      <c r="NW36" t="s">
        <v>137</v>
      </c>
      <c r="NX36" t="s">
        <v>137</v>
      </c>
      <c r="NY36" t="s">
        <v>137</v>
      </c>
      <c r="NZ36" t="s">
        <v>137</v>
      </c>
      <c r="OA36" t="s">
        <v>137</v>
      </c>
      <c r="OB36" t="s">
        <v>137</v>
      </c>
      <c r="OC36" t="s">
        <v>137</v>
      </c>
      <c r="OD36" t="s">
        <v>137</v>
      </c>
      <c r="OE36" t="s">
        <v>137</v>
      </c>
      <c r="OF36" t="s">
        <v>137</v>
      </c>
      <c r="OG36" t="s">
        <v>137</v>
      </c>
      <c r="OH36" t="s">
        <v>137</v>
      </c>
      <c r="OI36" t="s">
        <v>137</v>
      </c>
      <c r="OJ36" t="s">
        <v>137</v>
      </c>
      <c r="OK36" t="s">
        <v>137</v>
      </c>
      <c r="OL36" t="s">
        <v>137</v>
      </c>
      <c r="OM36" t="s">
        <v>137</v>
      </c>
      <c r="ON36" t="s">
        <v>137</v>
      </c>
      <c r="OO36" t="s">
        <v>137</v>
      </c>
      <c r="OP36" t="s">
        <v>137</v>
      </c>
      <c r="OQ36" t="s">
        <v>137</v>
      </c>
      <c r="OR36" t="s">
        <v>137</v>
      </c>
      <c r="OS36" t="s">
        <v>137</v>
      </c>
      <c r="OT36" t="s">
        <v>137</v>
      </c>
      <c r="OU36" t="s">
        <v>137</v>
      </c>
      <c r="OV36" t="s">
        <v>137</v>
      </c>
      <c r="OW36" t="s">
        <v>137</v>
      </c>
      <c r="OX36" t="s">
        <v>137</v>
      </c>
      <c r="OY36" t="s">
        <v>137</v>
      </c>
      <c r="OZ36" t="s">
        <v>137</v>
      </c>
      <c r="PA36" t="s">
        <v>137</v>
      </c>
      <c r="PB36" t="s">
        <v>137</v>
      </c>
      <c r="PC36" t="s">
        <v>137</v>
      </c>
      <c r="PD36" t="s">
        <v>137</v>
      </c>
      <c r="PE36" t="s">
        <v>137</v>
      </c>
      <c r="PF36" t="s">
        <v>137</v>
      </c>
      <c r="PG36" t="s">
        <v>137</v>
      </c>
      <c r="PH36" t="s">
        <v>137</v>
      </c>
      <c r="PI36" t="s">
        <v>137</v>
      </c>
      <c r="PJ36" t="s">
        <v>137</v>
      </c>
      <c r="PK36" t="s">
        <v>137</v>
      </c>
      <c r="PL36" t="s">
        <v>137</v>
      </c>
      <c r="PM36" t="s">
        <v>137</v>
      </c>
      <c r="PN36" t="s">
        <v>137</v>
      </c>
      <c r="PO36" t="s">
        <v>137</v>
      </c>
      <c r="PP36" t="s">
        <v>137</v>
      </c>
      <c r="PQ36" t="s">
        <v>137</v>
      </c>
      <c r="PR36" t="s">
        <v>137</v>
      </c>
      <c r="PS36" t="s">
        <v>137</v>
      </c>
      <c r="PT36" t="s">
        <v>137</v>
      </c>
      <c r="PU36" t="s">
        <v>137</v>
      </c>
      <c r="PV36" t="s">
        <v>137</v>
      </c>
      <c r="PW36" t="s">
        <v>137</v>
      </c>
      <c r="PX36" t="s">
        <v>137</v>
      </c>
      <c r="PY36" t="s">
        <v>137</v>
      </c>
      <c r="PZ36" t="s">
        <v>137</v>
      </c>
      <c r="QA36" t="s">
        <v>137</v>
      </c>
      <c r="QB36" t="s">
        <v>137</v>
      </c>
      <c r="QC36" t="s">
        <v>137</v>
      </c>
      <c r="QD36" t="s">
        <v>137</v>
      </c>
      <c r="QE36" t="s">
        <v>137</v>
      </c>
      <c r="QF36" t="s">
        <v>137</v>
      </c>
      <c r="QG36" t="s">
        <v>137</v>
      </c>
      <c r="QH36" t="s">
        <v>137</v>
      </c>
      <c r="QI36" t="s">
        <v>137</v>
      </c>
      <c r="QJ36" t="s">
        <v>137</v>
      </c>
      <c r="QK36" t="s">
        <v>137</v>
      </c>
      <c r="QL36" t="s">
        <v>137</v>
      </c>
      <c r="QM36" t="s">
        <v>137</v>
      </c>
      <c r="QN36" t="s">
        <v>137</v>
      </c>
      <c r="QO36" t="s">
        <v>137</v>
      </c>
    </row>
    <row r="37" spans="1:457" x14ac:dyDescent="0.2">
      <c r="A37" t="s">
        <v>135</v>
      </c>
      <c r="B37" s="3">
        <v>40296</v>
      </c>
      <c r="C37" t="s">
        <v>12</v>
      </c>
      <c r="E37" t="s">
        <v>137</v>
      </c>
      <c r="F37">
        <v>28.081900000000001</v>
      </c>
      <c r="G37">
        <v>28.1005</v>
      </c>
      <c r="H37">
        <v>28.119</v>
      </c>
      <c r="I37">
        <v>25.456800000000001</v>
      </c>
      <c r="J37">
        <v>24.6188</v>
      </c>
      <c r="K37" t="s">
        <v>137</v>
      </c>
      <c r="L37" t="s">
        <v>137</v>
      </c>
      <c r="M37">
        <v>22.572399999999998</v>
      </c>
      <c r="N37">
        <v>24.928599999999999</v>
      </c>
      <c r="O37">
        <v>23.7241</v>
      </c>
      <c r="P37">
        <v>23.380600000000001</v>
      </c>
      <c r="Q37">
        <v>23.394600000000001</v>
      </c>
      <c r="R37" t="s">
        <v>137</v>
      </c>
      <c r="S37" t="s">
        <v>137</v>
      </c>
      <c r="T37">
        <v>24.7395</v>
      </c>
      <c r="U37">
        <v>24.7547</v>
      </c>
      <c r="V37">
        <v>23.6935</v>
      </c>
      <c r="W37">
        <v>23.7361</v>
      </c>
      <c r="X37">
        <v>23.750599999999999</v>
      </c>
      <c r="Y37" t="s">
        <v>137</v>
      </c>
      <c r="Z37" t="s">
        <v>137</v>
      </c>
      <c r="AA37">
        <v>23.764800000000001</v>
      </c>
      <c r="AB37">
        <v>24.175899999999999</v>
      </c>
      <c r="AC37">
        <v>24.1906</v>
      </c>
      <c r="AD37">
        <v>23.512799999999999</v>
      </c>
      <c r="AE37">
        <v>23.591200000000001</v>
      </c>
      <c r="AF37" t="s">
        <v>137</v>
      </c>
      <c r="AG37" t="s">
        <v>137</v>
      </c>
      <c r="AH37">
        <v>23.036799999999999</v>
      </c>
      <c r="AI37">
        <v>23.364100000000001</v>
      </c>
      <c r="AJ37">
        <v>22.879200000000001</v>
      </c>
      <c r="AK37">
        <v>22.92</v>
      </c>
      <c r="AL37">
        <v>22.933499999999999</v>
      </c>
      <c r="AM37" t="s">
        <v>137</v>
      </c>
      <c r="AN37" t="s">
        <v>137</v>
      </c>
      <c r="AO37">
        <v>22.947299999999998</v>
      </c>
      <c r="AP37">
        <v>22.960799999999999</v>
      </c>
      <c r="AQ37">
        <v>22.974599999999999</v>
      </c>
      <c r="AR37">
        <v>23.015799999999999</v>
      </c>
      <c r="AS37">
        <v>23.029499999999999</v>
      </c>
      <c r="AT37" t="s">
        <v>137</v>
      </c>
      <c r="AU37" t="s">
        <v>137</v>
      </c>
      <c r="AV37">
        <v>23.043299999999999</v>
      </c>
      <c r="AW37">
        <v>23.057099999999998</v>
      </c>
      <c r="AX37">
        <v>23.071000000000002</v>
      </c>
      <c r="AY37">
        <v>23.112500000000001</v>
      </c>
      <c r="AZ37">
        <v>23.1265</v>
      </c>
      <c r="BA37" t="s">
        <v>137</v>
      </c>
      <c r="BB37" t="s">
        <v>137</v>
      </c>
      <c r="BC37">
        <v>23.1404</v>
      </c>
      <c r="BD37">
        <v>21.842600000000001</v>
      </c>
      <c r="BE37">
        <v>21.685400000000001</v>
      </c>
      <c r="BF37">
        <v>21.333400000000001</v>
      </c>
      <c r="BG37">
        <v>21.964200000000002</v>
      </c>
      <c r="BH37" t="s">
        <v>137</v>
      </c>
      <c r="BI37" t="s">
        <v>137</v>
      </c>
      <c r="BJ37">
        <v>22.267399999999999</v>
      </c>
      <c r="BK37">
        <v>22.819299999999998</v>
      </c>
      <c r="BL37">
        <v>22.530999999999999</v>
      </c>
      <c r="BM37">
        <v>22.571300000000001</v>
      </c>
      <c r="BN37">
        <v>22.827000000000002</v>
      </c>
      <c r="BO37" t="s">
        <v>137</v>
      </c>
      <c r="BP37" t="s">
        <v>137</v>
      </c>
      <c r="BQ37">
        <v>22.840699999999998</v>
      </c>
      <c r="BR37">
        <v>22.854399999999998</v>
      </c>
      <c r="BS37">
        <v>23.115100000000002</v>
      </c>
      <c r="BT37">
        <v>22.909800000000001</v>
      </c>
      <c r="BU37">
        <v>22.9236</v>
      </c>
      <c r="BV37" t="s">
        <v>137</v>
      </c>
      <c r="BW37" t="s">
        <v>137</v>
      </c>
      <c r="BX37">
        <v>22.9376</v>
      </c>
      <c r="BY37">
        <v>22.951499999999999</v>
      </c>
      <c r="BZ37">
        <v>22.965399999999999</v>
      </c>
      <c r="CA37">
        <v>23.007400000000001</v>
      </c>
      <c r="CB37">
        <v>23.0215</v>
      </c>
      <c r="CC37" t="s">
        <v>137</v>
      </c>
      <c r="CD37" t="s">
        <v>137</v>
      </c>
      <c r="CE37">
        <v>23.035499999999999</v>
      </c>
      <c r="CF37">
        <v>23.049399999999999</v>
      </c>
      <c r="CG37">
        <v>23.063700000000001</v>
      </c>
      <c r="CH37">
        <v>23.105899999999998</v>
      </c>
      <c r="CI37">
        <v>23.120100000000001</v>
      </c>
      <c r="CJ37" t="s">
        <v>137</v>
      </c>
      <c r="CK37" t="s">
        <v>137</v>
      </c>
      <c r="CL37">
        <v>23.1343</v>
      </c>
      <c r="CM37">
        <v>23.148700000000002</v>
      </c>
      <c r="CN37">
        <v>23.162800000000001</v>
      </c>
      <c r="CO37">
        <v>23.2057</v>
      </c>
      <c r="CP37">
        <v>23.220099999999999</v>
      </c>
      <c r="CQ37" t="s">
        <v>137</v>
      </c>
      <c r="CR37" t="s">
        <v>137</v>
      </c>
      <c r="CS37">
        <v>23.234500000000001</v>
      </c>
      <c r="CT37">
        <v>23.248899999999999</v>
      </c>
      <c r="CU37">
        <v>23.263300000000001</v>
      </c>
      <c r="CV37">
        <v>23.3065</v>
      </c>
      <c r="CW37">
        <v>23.320900000000002</v>
      </c>
      <c r="CX37" t="s">
        <v>137</v>
      </c>
      <c r="CY37" t="s">
        <v>137</v>
      </c>
      <c r="CZ37">
        <v>23.3354</v>
      </c>
      <c r="DA37">
        <v>23.349900000000002</v>
      </c>
      <c r="DB37">
        <v>23.3644</v>
      </c>
      <c r="DC37">
        <v>23.408300000000001</v>
      </c>
      <c r="DD37">
        <v>23.422899999999998</v>
      </c>
      <c r="DE37" t="s">
        <v>137</v>
      </c>
      <c r="DF37" t="s">
        <v>137</v>
      </c>
      <c r="DG37">
        <v>23.4376</v>
      </c>
      <c r="DH37">
        <v>23.452200000000001</v>
      </c>
      <c r="DI37">
        <v>23.467099999999999</v>
      </c>
      <c r="DJ37">
        <v>23.511299999999999</v>
      </c>
      <c r="DK37">
        <v>23.526</v>
      </c>
      <c r="DL37" t="s">
        <v>137</v>
      </c>
      <c r="DM37" t="s">
        <v>137</v>
      </c>
      <c r="DN37">
        <v>20.235199999999999</v>
      </c>
      <c r="DO37">
        <v>20.247199999999999</v>
      </c>
      <c r="DP37">
        <v>20.672499999999999</v>
      </c>
      <c r="DQ37">
        <v>19.694299999999998</v>
      </c>
      <c r="DR37">
        <v>17.697800000000001</v>
      </c>
      <c r="DS37" t="s">
        <v>137</v>
      </c>
      <c r="DT37" t="s">
        <v>137</v>
      </c>
      <c r="DU37">
        <v>17.531300000000002</v>
      </c>
      <c r="DV37">
        <v>17.540500000000002</v>
      </c>
      <c r="DW37">
        <v>17.549299999999999</v>
      </c>
      <c r="DX37">
        <v>17.492699999999999</v>
      </c>
      <c r="DY37">
        <v>18.055199999999999</v>
      </c>
      <c r="DZ37" t="s">
        <v>137</v>
      </c>
      <c r="EA37" t="s">
        <v>137</v>
      </c>
      <c r="EB37">
        <v>18.328199999999999</v>
      </c>
      <c r="EC37">
        <v>18.516200000000001</v>
      </c>
      <c r="ED37">
        <v>17.9102</v>
      </c>
      <c r="EE37">
        <v>17.5139</v>
      </c>
      <c r="EF37">
        <v>17.192599999999999</v>
      </c>
      <c r="EG37" t="s">
        <v>137</v>
      </c>
      <c r="EH37" t="s">
        <v>137</v>
      </c>
      <c r="EI37">
        <v>17.2422</v>
      </c>
      <c r="EJ37">
        <v>18.316099999999999</v>
      </c>
      <c r="EK37">
        <v>17.5502</v>
      </c>
      <c r="EL37">
        <v>17.3277</v>
      </c>
      <c r="EM37">
        <v>17.926600000000001</v>
      </c>
      <c r="EN37" t="s">
        <v>137</v>
      </c>
      <c r="EO37" t="s">
        <v>137</v>
      </c>
      <c r="EP37">
        <v>17.6798</v>
      </c>
      <c r="EQ37">
        <v>18.339200000000002</v>
      </c>
      <c r="ER37">
        <v>18.754300000000001</v>
      </c>
      <c r="ES37">
        <v>18.922499999999999</v>
      </c>
      <c r="ET37">
        <v>19.356200000000001</v>
      </c>
      <c r="EU37" t="s">
        <v>137</v>
      </c>
      <c r="EV37" t="s">
        <v>137</v>
      </c>
      <c r="EW37">
        <v>20.052299999999999</v>
      </c>
      <c r="EX37">
        <v>20.013200000000001</v>
      </c>
      <c r="EY37">
        <v>19.726700000000001</v>
      </c>
      <c r="EZ37">
        <v>20.006900000000002</v>
      </c>
      <c r="FA37">
        <v>20.017800000000001</v>
      </c>
      <c r="FB37" t="s">
        <v>137</v>
      </c>
      <c r="FC37" t="s">
        <v>137</v>
      </c>
      <c r="FD37">
        <v>19.633500000000002</v>
      </c>
      <c r="FE37">
        <v>19.354399999999998</v>
      </c>
      <c r="FF37">
        <v>18.711300000000001</v>
      </c>
      <c r="FG37">
        <v>18.833100000000002</v>
      </c>
      <c r="FH37">
        <v>18.4346</v>
      </c>
      <c r="FI37" t="s">
        <v>137</v>
      </c>
      <c r="FJ37" t="s">
        <v>137</v>
      </c>
      <c r="FK37">
        <v>18.4895</v>
      </c>
      <c r="FL37">
        <v>18.589300000000001</v>
      </c>
      <c r="FM37">
        <v>18.8734</v>
      </c>
      <c r="FN37">
        <v>19.4224</v>
      </c>
      <c r="FO37">
        <v>19.337199999999999</v>
      </c>
      <c r="FP37" t="s">
        <v>137</v>
      </c>
      <c r="FQ37" t="s">
        <v>137</v>
      </c>
      <c r="FR37">
        <v>18.970800000000001</v>
      </c>
      <c r="FS37">
        <v>19.406099999999999</v>
      </c>
      <c r="FT37">
        <v>19.3688</v>
      </c>
      <c r="FU37">
        <v>19.937999999999999</v>
      </c>
      <c r="FV37">
        <v>19.411200000000001</v>
      </c>
      <c r="FW37" t="s">
        <v>137</v>
      </c>
      <c r="FX37" t="s">
        <v>137</v>
      </c>
      <c r="FY37">
        <v>19.663900000000002</v>
      </c>
      <c r="FZ37">
        <v>19.971299999999999</v>
      </c>
      <c r="GA37">
        <v>19.685600000000001</v>
      </c>
      <c r="GB37">
        <v>20.7346</v>
      </c>
      <c r="GC37">
        <v>21.0122</v>
      </c>
      <c r="GD37" t="s">
        <v>137</v>
      </c>
      <c r="GE37" t="s">
        <v>137</v>
      </c>
      <c r="GF37">
        <v>21.078099999999999</v>
      </c>
      <c r="GG37">
        <v>20.560099999999998</v>
      </c>
      <c r="GH37">
        <v>20.676100000000002</v>
      </c>
      <c r="GI37">
        <v>21.301500000000001</v>
      </c>
      <c r="GJ37">
        <v>22.335999999999999</v>
      </c>
      <c r="GK37" t="s">
        <v>137</v>
      </c>
      <c r="GL37" t="s">
        <v>137</v>
      </c>
      <c r="GM37">
        <v>24.843299999999999</v>
      </c>
      <c r="GN37">
        <v>25.571300000000001</v>
      </c>
      <c r="GO37">
        <v>27.121600000000001</v>
      </c>
      <c r="GP37">
        <v>28.436399999999999</v>
      </c>
      <c r="GQ37">
        <v>28.631900000000002</v>
      </c>
      <c r="GR37" t="s">
        <v>137</v>
      </c>
      <c r="GS37" t="s">
        <v>137</v>
      </c>
      <c r="GT37">
        <v>31.6616</v>
      </c>
      <c r="GU37">
        <v>30.852599999999999</v>
      </c>
      <c r="GV37">
        <v>33.626600000000003</v>
      </c>
      <c r="GW37">
        <v>33.5837</v>
      </c>
      <c r="GX37">
        <v>33.372399999999999</v>
      </c>
      <c r="GY37" t="s">
        <v>137</v>
      </c>
      <c r="GZ37" t="s">
        <v>137</v>
      </c>
      <c r="HA37">
        <v>36.762300000000003</v>
      </c>
      <c r="HB37">
        <v>37.225299999999997</v>
      </c>
      <c r="HC37">
        <v>35.714599999999997</v>
      </c>
      <c r="HD37">
        <v>34.880400000000002</v>
      </c>
      <c r="HE37">
        <v>34.653100000000002</v>
      </c>
      <c r="HF37" t="s">
        <v>137</v>
      </c>
      <c r="HG37" t="s">
        <v>137</v>
      </c>
      <c r="HH37">
        <v>34.554200000000002</v>
      </c>
      <c r="HI37">
        <v>33.601599999999998</v>
      </c>
      <c r="HJ37">
        <v>33.746899999999997</v>
      </c>
      <c r="HK37">
        <v>33.000999999999998</v>
      </c>
      <c r="HL37">
        <v>32.6843</v>
      </c>
      <c r="HM37" t="s">
        <v>137</v>
      </c>
      <c r="HN37" t="s">
        <v>137</v>
      </c>
      <c r="HO37">
        <v>31.093599999999999</v>
      </c>
      <c r="HP37">
        <v>31.323</v>
      </c>
      <c r="HQ37">
        <v>31.8752</v>
      </c>
      <c r="HR37">
        <v>32.163400000000003</v>
      </c>
      <c r="HS37">
        <v>32.1875</v>
      </c>
      <c r="HT37" t="s">
        <v>137</v>
      </c>
      <c r="HU37" t="s">
        <v>137</v>
      </c>
      <c r="HV37">
        <v>31.8858</v>
      </c>
      <c r="HW37">
        <v>33.021999999999998</v>
      </c>
      <c r="HX37">
        <v>32.818600000000004</v>
      </c>
      <c r="HY37">
        <v>34.073</v>
      </c>
      <c r="HZ37">
        <v>34.345599999999997</v>
      </c>
      <c r="IA37" t="s">
        <v>137</v>
      </c>
      <c r="IB37" t="s">
        <v>137</v>
      </c>
      <c r="IC37">
        <v>34.372799999999998</v>
      </c>
      <c r="ID37">
        <v>31.125699999999998</v>
      </c>
      <c r="IE37">
        <v>32.430300000000003</v>
      </c>
      <c r="IF37">
        <v>33.895000000000003</v>
      </c>
      <c r="IG37">
        <v>34.2879</v>
      </c>
      <c r="IH37" t="s">
        <v>137</v>
      </c>
      <c r="II37" t="s">
        <v>137</v>
      </c>
      <c r="IJ37">
        <v>33.9482</v>
      </c>
      <c r="IK37">
        <v>33.496699999999997</v>
      </c>
      <c r="IL37">
        <v>33.171999999999997</v>
      </c>
      <c r="IM37">
        <v>33.601399999999998</v>
      </c>
      <c r="IN37">
        <v>35.505400000000002</v>
      </c>
      <c r="IO37" t="s">
        <v>137</v>
      </c>
      <c r="IP37" t="s">
        <v>137</v>
      </c>
      <c r="IQ37">
        <v>37.784300000000002</v>
      </c>
      <c r="IR37">
        <v>36.101300000000002</v>
      </c>
      <c r="IS37">
        <v>35.199199999999998</v>
      </c>
      <c r="IT37">
        <v>34.272199999999998</v>
      </c>
      <c r="IU37">
        <v>34.799700000000001</v>
      </c>
      <c r="IV37" t="s">
        <v>137</v>
      </c>
      <c r="IW37" t="s">
        <v>137</v>
      </c>
      <c r="IX37">
        <v>32.678600000000003</v>
      </c>
      <c r="IY37">
        <v>31.404599999999999</v>
      </c>
      <c r="IZ37">
        <v>31.958100000000002</v>
      </c>
      <c r="JA37">
        <v>32.468899999999998</v>
      </c>
      <c r="JB37">
        <v>31.522500000000001</v>
      </c>
      <c r="JC37" t="s">
        <v>137</v>
      </c>
      <c r="JD37" t="s">
        <v>137</v>
      </c>
      <c r="JE37">
        <v>29.944099999999999</v>
      </c>
      <c r="JF37">
        <v>29.494700000000002</v>
      </c>
      <c r="JG37">
        <v>29.609100000000002</v>
      </c>
      <c r="JH37">
        <v>28.671800000000001</v>
      </c>
      <c r="JI37">
        <v>28.7807</v>
      </c>
      <c r="JJ37" t="s">
        <v>137</v>
      </c>
      <c r="JK37" t="s">
        <v>137</v>
      </c>
      <c r="JL37">
        <v>28.801100000000002</v>
      </c>
      <c r="JM37">
        <v>26.734300000000001</v>
      </c>
      <c r="JN37">
        <v>26.909800000000001</v>
      </c>
      <c r="JO37">
        <v>27.448699999999999</v>
      </c>
      <c r="JP37">
        <v>25.982299999999999</v>
      </c>
      <c r="JQ37" t="s">
        <v>137</v>
      </c>
      <c r="JR37" t="s">
        <v>137</v>
      </c>
      <c r="JS37">
        <v>26.149699999999999</v>
      </c>
      <c r="JT37">
        <v>26.092099999999999</v>
      </c>
      <c r="JU37">
        <v>25.8855</v>
      </c>
      <c r="JV37">
        <v>26.012</v>
      </c>
      <c r="JW37">
        <v>25.085699999999999</v>
      </c>
      <c r="JX37" t="s">
        <v>137</v>
      </c>
      <c r="JY37" t="s">
        <v>137</v>
      </c>
      <c r="JZ37">
        <v>25.315200000000001</v>
      </c>
      <c r="KA37">
        <v>27.070399999999999</v>
      </c>
      <c r="KB37">
        <v>26.081800000000001</v>
      </c>
      <c r="KC37">
        <v>26.438700000000001</v>
      </c>
      <c r="KD37">
        <v>26.456600000000002</v>
      </c>
      <c r="KE37" t="s">
        <v>137</v>
      </c>
      <c r="KF37" t="s">
        <v>137</v>
      </c>
      <c r="KG37">
        <v>26.864100000000001</v>
      </c>
      <c r="KH37">
        <v>26.415900000000001</v>
      </c>
      <c r="KI37">
        <v>26.5107</v>
      </c>
      <c r="KJ37">
        <v>27.1965</v>
      </c>
      <c r="KK37">
        <v>26.583500000000001</v>
      </c>
      <c r="KL37" t="s">
        <v>137</v>
      </c>
      <c r="KM37" t="s">
        <v>137</v>
      </c>
      <c r="KN37">
        <v>26.5242</v>
      </c>
      <c r="KO37">
        <v>26.085699999999999</v>
      </c>
      <c r="KP37">
        <v>26.7943</v>
      </c>
      <c r="KQ37">
        <v>26.849900000000002</v>
      </c>
      <c r="KR37">
        <v>24.7272</v>
      </c>
      <c r="KS37" t="s">
        <v>137</v>
      </c>
      <c r="KT37" t="s">
        <v>137</v>
      </c>
      <c r="KU37">
        <v>25.374600000000001</v>
      </c>
      <c r="KV37">
        <v>24.757300000000001</v>
      </c>
      <c r="KW37">
        <v>24.703399999999998</v>
      </c>
      <c r="KX37">
        <v>24.679500000000001</v>
      </c>
      <c r="KY37">
        <v>24.694400000000002</v>
      </c>
      <c r="KZ37" t="s">
        <v>137</v>
      </c>
      <c r="LA37" t="s">
        <v>137</v>
      </c>
      <c r="LB37">
        <v>23.6479</v>
      </c>
      <c r="LC37">
        <v>23.407499999999999</v>
      </c>
      <c r="LD37">
        <v>22.742000000000001</v>
      </c>
      <c r="LE37">
        <v>23.274000000000001</v>
      </c>
      <c r="LF37">
        <v>23.0395</v>
      </c>
      <c r="LG37" t="s">
        <v>137</v>
      </c>
      <c r="LH37" t="s">
        <v>137</v>
      </c>
      <c r="LI37">
        <v>23.053100000000001</v>
      </c>
      <c r="LJ37">
        <v>23.066600000000001</v>
      </c>
      <c r="LK37">
        <v>23.080200000000001</v>
      </c>
      <c r="LL37">
        <v>22.754300000000001</v>
      </c>
      <c r="LM37">
        <v>22.767499999999998</v>
      </c>
      <c r="LN37" t="s">
        <v>137</v>
      </c>
      <c r="LO37" t="s">
        <v>137</v>
      </c>
      <c r="LP37">
        <v>22.8415</v>
      </c>
      <c r="LQ37">
        <v>22.733799999999999</v>
      </c>
      <c r="LR37">
        <v>22.4482</v>
      </c>
      <c r="LS37">
        <v>22.020099999999999</v>
      </c>
      <c r="LT37">
        <v>21.918199999999999</v>
      </c>
      <c r="LU37" t="s">
        <v>137</v>
      </c>
      <c r="LV37" t="s">
        <v>137</v>
      </c>
      <c r="LW37">
        <v>22.1036</v>
      </c>
      <c r="LX37">
        <v>22.349900000000002</v>
      </c>
      <c r="LY37">
        <v>22.7805</v>
      </c>
      <c r="LZ37">
        <v>22.520600000000002</v>
      </c>
      <c r="MA37">
        <v>22.297799999999999</v>
      </c>
      <c r="MB37" t="s">
        <v>137</v>
      </c>
      <c r="MC37" t="s">
        <v>137</v>
      </c>
      <c r="MD37">
        <v>22.4877</v>
      </c>
      <c r="ME37">
        <v>20.6067</v>
      </c>
      <c r="MF37">
        <v>20.723600000000001</v>
      </c>
      <c r="MG37">
        <v>20.653700000000001</v>
      </c>
      <c r="MH37">
        <v>21.586099999999998</v>
      </c>
      <c r="MI37" t="s">
        <v>137</v>
      </c>
      <c r="MJ37" t="s">
        <v>137</v>
      </c>
      <c r="MK37">
        <v>21.767399999999999</v>
      </c>
      <c r="ML37">
        <v>20.8475</v>
      </c>
      <c r="MM37">
        <v>20.753399999999999</v>
      </c>
      <c r="MN37">
        <v>22.002199999999998</v>
      </c>
      <c r="MO37">
        <v>21.1767</v>
      </c>
      <c r="MP37" t="s">
        <v>137</v>
      </c>
      <c r="MQ37" t="s">
        <v>137</v>
      </c>
      <c r="MR37">
        <v>21.353000000000002</v>
      </c>
      <c r="MS37">
        <v>21.4207</v>
      </c>
      <c r="MT37">
        <v>21.5441</v>
      </c>
      <c r="MU37">
        <v>21.7502</v>
      </c>
      <c r="MV37">
        <v>21.763000000000002</v>
      </c>
      <c r="MW37" t="s">
        <v>137</v>
      </c>
      <c r="MX37" t="s">
        <v>137</v>
      </c>
      <c r="MY37">
        <v>21.775700000000001</v>
      </c>
      <c r="MZ37">
        <v>21.788499999999999</v>
      </c>
      <c r="NA37">
        <v>21.688400000000001</v>
      </c>
      <c r="NB37">
        <v>23.020800000000001</v>
      </c>
      <c r="NC37">
        <v>21.966799999999999</v>
      </c>
      <c r="ND37" t="s">
        <v>137</v>
      </c>
      <c r="NE37" t="s">
        <v>137</v>
      </c>
      <c r="NF37">
        <v>21.9224</v>
      </c>
      <c r="NG37">
        <v>21.429400000000001</v>
      </c>
      <c r="NH37">
        <v>22.179099999999998</v>
      </c>
      <c r="NI37">
        <v>22.8733</v>
      </c>
      <c r="NJ37">
        <v>23.0092</v>
      </c>
      <c r="NK37" t="s">
        <v>137</v>
      </c>
      <c r="NL37" t="s">
        <v>137</v>
      </c>
      <c r="NM37" t="s">
        <v>137</v>
      </c>
      <c r="NN37" t="s">
        <v>137</v>
      </c>
      <c r="NO37" t="s">
        <v>137</v>
      </c>
      <c r="NP37" t="s">
        <v>137</v>
      </c>
      <c r="NQ37" t="s">
        <v>137</v>
      </c>
      <c r="NR37" t="s">
        <v>137</v>
      </c>
      <c r="NS37" t="s">
        <v>137</v>
      </c>
      <c r="NT37" t="s">
        <v>137</v>
      </c>
      <c r="NU37" t="s">
        <v>137</v>
      </c>
      <c r="NV37" t="s">
        <v>137</v>
      </c>
      <c r="NW37" t="s">
        <v>137</v>
      </c>
      <c r="NX37" t="s">
        <v>137</v>
      </c>
      <c r="NY37" t="s">
        <v>137</v>
      </c>
      <c r="NZ37" t="s">
        <v>137</v>
      </c>
      <c r="OA37" t="s">
        <v>137</v>
      </c>
      <c r="OB37" t="s">
        <v>137</v>
      </c>
      <c r="OC37" t="s">
        <v>137</v>
      </c>
      <c r="OD37" t="s">
        <v>137</v>
      </c>
      <c r="OE37" t="s">
        <v>137</v>
      </c>
      <c r="OF37" t="s">
        <v>137</v>
      </c>
      <c r="OG37" t="s">
        <v>137</v>
      </c>
      <c r="OH37" t="s">
        <v>137</v>
      </c>
      <c r="OI37" t="s">
        <v>137</v>
      </c>
      <c r="OJ37" t="s">
        <v>137</v>
      </c>
      <c r="OK37" t="s">
        <v>137</v>
      </c>
      <c r="OL37" t="s">
        <v>137</v>
      </c>
      <c r="OM37" t="s">
        <v>137</v>
      </c>
      <c r="ON37" t="s">
        <v>137</v>
      </c>
      <c r="OO37" t="s">
        <v>137</v>
      </c>
      <c r="OP37" t="s">
        <v>137</v>
      </c>
      <c r="OQ37" t="s">
        <v>137</v>
      </c>
      <c r="OR37" t="s">
        <v>137</v>
      </c>
      <c r="OS37" t="s">
        <v>137</v>
      </c>
      <c r="OT37" t="s">
        <v>137</v>
      </c>
      <c r="OU37" t="s">
        <v>137</v>
      </c>
      <c r="OV37" t="s">
        <v>137</v>
      </c>
      <c r="OW37" t="s">
        <v>137</v>
      </c>
      <c r="OX37" t="s">
        <v>137</v>
      </c>
      <c r="OY37" t="s">
        <v>137</v>
      </c>
      <c r="OZ37" t="s">
        <v>137</v>
      </c>
      <c r="PA37" t="s">
        <v>137</v>
      </c>
      <c r="PB37" t="s">
        <v>137</v>
      </c>
      <c r="PC37" t="s">
        <v>137</v>
      </c>
      <c r="PD37" t="s">
        <v>137</v>
      </c>
      <c r="PE37" t="s">
        <v>137</v>
      </c>
      <c r="PF37" t="s">
        <v>137</v>
      </c>
      <c r="PG37" t="s">
        <v>137</v>
      </c>
      <c r="PH37" t="s">
        <v>137</v>
      </c>
      <c r="PI37" t="s">
        <v>137</v>
      </c>
      <c r="PJ37" t="s">
        <v>137</v>
      </c>
      <c r="PK37" t="s">
        <v>137</v>
      </c>
      <c r="PL37" t="s">
        <v>137</v>
      </c>
      <c r="PM37" t="s">
        <v>137</v>
      </c>
      <c r="PN37" t="s">
        <v>137</v>
      </c>
      <c r="PO37" t="s">
        <v>137</v>
      </c>
      <c r="PP37" t="s">
        <v>137</v>
      </c>
      <c r="PQ37" t="s">
        <v>137</v>
      </c>
      <c r="PR37" t="s">
        <v>137</v>
      </c>
      <c r="PS37" t="s">
        <v>137</v>
      </c>
      <c r="PT37" t="s">
        <v>137</v>
      </c>
      <c r="PU37" t="s">
        <v>137</v>
      </c>
      <c r="PV37" t="s">
        <v>137</v>
      </c>
      <c r="PW37" t="s">
        <v>137</v>
      </c>
      <c r="PX37" t="s">
        <v>137</v>
      </c>
      <c r="PY37" t="s">
        <v>137</v>
      </c>
      <c r="PZ37" t="s">
        <v>137</v>
      </c>
      <c r="QA37" t="s">
        <v>137</v>
      </c>
      <c r="QB37" t="s">
        <v>137</v>
      </c>
      <c r="QC37" t="s">
        <v>137</v>
      </c>
      <c r="QD37" t="s">
        <v>137</v>
      </c>
      <c r="QE37" t="s">
        <v>137</v>
      </c>
      <c r="QF37" t="s">
        <v>137</v>
      </c>
      <c r="QG37" t="s">
        <v>137</v>
      </c>
      <c r="QH37" t="s">
        <v>137</v>
      </c>
      <c r="QI37" t="s">
        <v>137</v>
      </c>
      <c r="QJ37" t="s">
        <v>137</v>
      </c>
      <c r="QK37" t="s">
        <v>137</v>
      </c>
      <c r="QL37" t="s">
        <v>137</v>
      </c>
      <c r="QM37" t="s">
        <v>137</v>
      </c>
      <c r="QN37" t="s">
        <v>137</v>
      </c>
      <c r="QO37" t="s">
        <v>137</v>
      </c>
    </row>
    <row r="38" spans="1:457" x14ac:dyDescent="0.2">
      <c r="A38" t="s">
        <v>160</v>
      </c>
      <c r="B38" s="3">
        <v>40296</v>
      </c>
      <c r="C38" t="s">
        <v>14</v>
      </c>
      <c r="E38" t="s">
        <v>137</v>
      </c>
      <c r="F38">
        <v>28.9771</v>
      </c>
      <c r="G38">
        <v>28.813400000000001</v>
      </c>
      <c r="H38">
        <v>27.7742</v>
      </c>
      <c r="I38">
        <v>25.752400000000002</v>
      </c>
      <c r="J38">
        <v>24.075800000000001</v>
      </c>
      <c r="K38" t="s">
        <v>137</v>
      </c>
      <c r="L38" t="s">
        <v>137</v>
      </c>
      <c r="M38">
        <v>23.695599999999999</v>
      </c>
      <c r="N38">
        <v>24.648800000000001</v>
      </c>
      <c r="O38">
        <v>23.854500000000002</v>
      </c>
      <c r="P38">
        <v>23.380600000000001</v>
      </c>
      <c r="Q38">
        <v>23.394600000000001</v>
      </c>
      <c r="R38" t="s">
        <v>137</v>
      </c>
      <c r="S38" t="s">
        <v>137</v>
      </c>
      <c r="T38">
        <v>23.4085</v>
      </c>
      <c r="U38">
        <v>23.4223</v>
      </c>
      <c r="V38">
        <v>23.6935</v>
      </c>
      <c r="W38">
        <v>23.7361</v>
      </c>
      <c r="X38">
        <v>23.750599999999999</v>
      </c>
      <c r="Y38" t="s">
        <v>137</v>
      </c>
      <c r="Z38" t="s">
        <v>137</v>
      </c>
      <c r="AA38">
        <v>23.764800000000001</v>
      </c>
      <c r="AB38">
        <v>23.779199999999999</v>
      </c>
      <c r="AC38">
        <v>23.793399999999998</v>
      </c>
      <c r="AD38">
        <v>23.8367</v>
      </c>
      <c r="AE38">
        <v>23.851099999999999</v>
      </c>
      <c r="AF38" t="s">
        <v>137</v>
      </c>
      <c r="AG38" t="s">
        <v>137</v>
      </c>
      <c r="AH38">
        <v>23.036799999999999</v>
      </c>
      <c r="AI38">
        <v>23.364100000000001</v>
      </c>
      <c r="AJ38">
        <v>23.1265</v>
      </c>
      <c r="AK38">
        <v>23.167999999999999</v>
      </c>
      <c r="AL38">
        <v>22.689599999999999</v>
      </c>
      <c r="AM38" t="s">
        <v>137</v>
      </c>
      <c r="AN38" t="s">
        <v>137</v>
      </c>
      <c r="AO38">
        <v>22.703199999999999</v>
      </c>
      <c r="AP38">
        <v>22.535900000000002</v>
      </c>
      <c r="AQ38">
        <v>22.549099999999999</v>
      </c>
      <c r="AR38">
        <v>20.9468</v>
      </c>
      <c r="AS38">
        <v>20.127600000000001</v>
      </c>
      <c r="AT38" t="s">
        <v>137</v>
      </c>
      <c r="AU38" t="s">
        <v>137</v>
      </c>
      <c r="AV38">
        <v>20.548500000000001</v>
      </c>
      <c r="AW38">
        <v>20.200700000000001</v>
      </c>
      <c r="AX38">
        <v>20.623999999999999</v>
      </c>
      <c r="AY38">
        <v>20.923400000000001</v>
      </c>
      <c r="AZ38">
        <v>20.411000000000001</v>
      </c>
      <c r="BA38" t="s">
        <v>137</v>
      </c>
      <c r="BB38" t="s">
        <v>137</v>
      </c>
      <c r="BC38">
        <v>21.054600000000001</v>
      </c>
      <c r="BD38">
        <v>21.842600000000001</v>
      </c>
      <c r="BE38">
        <v>21.685400000000001</v>
      </c>
      <c r="BF38">
        <v>21.278400000000001</v>
      </c>
      <c r="BG38">
        <v>21.964200000000002</v>
      </c>
      <c r="BH38" t="s">
        <v>137</v>
      </c>
      <c r="BI38" t="s">
        <v>137</v>
      </c>
      <c r="BJ38">
        <v>22.267399999999999</v>
      </c>
      <c r="BK38">
        <v>22.2807</v>
      </c>
      <c r="BL38">
        <v>22.530999999999999</v>
      </c>
      <c r="BM38">
        <v>22.571300000000001</v>
      </c>
      <c r="BN38">
        <v>22.465499999999999</v>
      </c>
      <c r="BO38" t="s">
        <v>137</v>
      </c>
      <c r="BP38" t="s">
        <v>137</v>
      </c>
      <c r="BQ38">
        <v>22.478899999999999</v>
      </c>
      <c r="BR38">
        <v>22.4923</v>
      </c>
      <c r="BS38">
        <v>22.505800000000001</v>
      </c>
      <c r="BT38">
        <v>22.909800000000001</v>
      </c>
      <c r="BU38">
        <v>22.9236</v>
      </c>
      <c r="BV38" t="s">
        <v>137</v>
      </c>
      <c r="BW38" t="s">
        <v>137</v>
      </c>
      <c r="BX38">
        <v>22.9376</v>
      </c>
      <c r="BY38">
        <v>23.839500000000001</v>
      </c>
      <c r="BZ38">
        <v>23.854199999999999</v>
      </c>
      <c r="CA38">
        <v>25.130199999999999</v>
      </c>
      <c r="CB38">
        <v>24.585799999999999</v>
      </c>
      <c r="CC38" t="s">
        <v>137</v>
      </c>
      <c r="CD38" t="s">
        <v>137</v>
      </c>
      <c r="CE38">
        <v>24.879300000000001</v>
      </c>
      <c r="CF38">
        <v>24.825199999999999</v>
      </c>
      <c r="CG38">
        <v>23.827200000000001</v>
      </c>
      <c r="CH38">
        <v>23.676500000000001</v>
      </c>
      <c r="CI38">
        <v>23.3081</v>
      </c>
      <c r="CJ38" t="s">
        <v>137</v>
      </c>
      <c r="CK38" t="s">
        <v>137</v>
      </c>
      <c r="CL38">
        <v>23.770900000000001</v>
      </c>
      <c r="CM38">
        <v>24.248799999999999</v>
      </c>
      <c r="CN38">
        <v>24.197199999999999</v>
      </c>
      <c r="CO38">
        <v>24.310300000000002</v>
      </c>
      <c r="CP38">
        <v>24.258400000000002</v>
      </c>
      <c r="CQ38" t="s">
        <v>137</v>
      </c>
      <c r="CR38" t="s">
        <v>137</v>
      </c>
      <c r="CS38">
        <v>24.007000000000001</v>
      </c>
      <c r="CT38">
        <v>24.908200000000001</v>
      </c>
      <c r="CU38">
        <v>24.304600000000001</v>
      </c>
      <c r="CV38">
        <v>24.9725</v>
      </c>
      <c r="CW38">
        <v>24.4343</v>
      </c>
      <c r="CX38" t="s">
        <v>137</v>
      </c>
      <c r="CY38" t="s">
        <v>137</v>
      </c>
      <c r="CZ38">
        <v>23.784300000000002</v>
      </c>
      <c r="DA38">
        <v>23.286899999999999</v>
      </c>
      <c r="DB38">
        <v>22.866900000000001</v>
      </c>
      <c r="DC38">
        <v>23.156700000000001</v>
      </c>
      <c r="DD38">
        <v>23.046700000000001</v>
      </c>
      <c r="DE38" t="s">
        <v>137</v>
      </c>
      <c r="DF38" t="s">
        <v>137</v>
      </c>
      <c r="DG38">
        <v>21.986499999999999</v>
      </c>
      <c r="DH38">
        <v>21.884899999999998</v>
      </c>
      <c r="DI38">
        <v>20.745100000000001</v>
      </c>
      <c r="DJ38">
        <v>20.416399999999999</v>
      </c>
      <c r="DK38">
        <v>20.5839</v>
      </c>
      <c r="DL38" t="s">
        <v>137</v>
      </c>
      <c r="DM38" t="s">
        <v>137</v>
      </c>
      <c r="DN38">
        <v>20.235199999999999</v>
      </c>
      <c r="DO38">
        <v>20.247199999999999</v>
      </c>
      <c r="DP38">
        <v>20.672499999999999</v>
      </c>
      <c r="DQ38">
        <v>19.694299999999998</v>
      </c>
      <c r="DR38">
        <v>17.697800000000001</v>
      </c>
      <c r="DS38" t="s">
        <v>137</v>
      </c>
      <c r="DT38" t="s">
        <v>137</v>
      </c>
      <c r="DU38">
        <v>17.531300000000002</v>
      </c>
      <c r="DV38">
        <v>17.540500000000002</v>
      </c>
      <c r="DW38">
        <v>17.549299999999999</v>
      </c>
      <c r="DX38">
        <v>17.492699999999999</v>
      </c>
      <c r="DY38">
        <v>18.055199999999999</v>
      </c>
      <c r="DZ38" t="s">
        <v>137</v>
      </c>
      <c r="EA38" t="s">
        <v>137</v>
      </c>
      <c r="EB38">
        <v>18.328199999999999</v>
      </c>
      <c r="EC38">
        <v>18.516200000000001</v>
      </c>
      <c r="ED38">
        <v>17.7394</v>
      </c>
      <c r="EE38">
        <v>17.5139</v>
      </c>
      <c r="EF38">
        <v>17.192599999999999</v>
      </c>
      <c r="EG38" t="s">
        <v>137</v>
      </c>
      <c r="EH38" t="s">
        <v>137</v>
      </c>
      <c r="EI38">
        <v>17.2422</v>
      </c>
      <c r="EJ38">
        <v>18.316099999999999</v>
      </c>
      <c r="EK38">
        <v>17.5502</v>
      </c>
      <c r="EL38">
        <v>17.3277</v>
      </c>
      <c r="EM38">
        <v>17.926600000000001</v>
      </c>
      <c r="EN38" t="s">
        <v>137</v>
      </c>
      <c r="EO38" t="s">
        <v>137</v>
      </c>
      <c r="EP38">
        <v>17.6798</v>
      </c>
      <c r="EQ38">
        <v>18.339200000000002</v>
      </c>
      <c r="ER38">
        <v>18.754300000000001</v>
      </c>
      <c r="ES38">
        <v>18.922499999999999</v>
      </c>
      <c r="ET38">
        <v>19.356200000000001</v>
      </c>
      <c r="EU38" t="s">
        <v>137</v>
      </c>
      <c r="EV38" t="s">
        <v>137</v>
      </c>
      <c r="EW38">
        <v>20.052299999999999</v>
      </c>
      <c r="EX38">
        <v>20.013200000000001</v>
      </c>
      <c r="EY38">
        <v>19.726700000000001</v>
      </c>
      <c r="EZ38">
        <v>20.006900000000002</v>
      </c>
      <c r="FA38">
        <v>20.017800000000001</v>
      </c>
      <c r="FB38" t="s">
        <v>137</v>
      </c>
      <c r="FC38" t="s">
        <v>137</v>
      </c>
      <c r="FD38">
        <v>19.633500000000002</v>
      </c>
      <c r="FE38">
        <v>19.354399999999998</v>
      </c>
      <c r="FF38">
        <v>18.711300000000001</v>
      </c>
      <c r="FG38">
        <v>18.833100000000002</v>
      </c>
      <c r="FH38">
        <v>18.4346</v>
      </c>
      <c r="FI38" t="s">
        <v>137</v>
      </c>
      <c r="FJ38" t="s">
        <v>137</v>
      </c>
      <c r="FK38">
        <v>18.4895</v>
      </c>
      <c r="FL38">
        <v>18.589300000000001</v>
      </c>
      <c r="FM38">
        <v>18.8734</v>
      </c>
      <c r="FN38">
        <v>19.4224</v>
      </c>
      <c r="FO38">
        <v>19.337199999999999</v>
      </c>
      <c r="FP38" t="s">
        <v>137</v>
      </c>
      <c r="FQ38" t="s">
        <v>137</v>
      </c>
      <c r="FR38">
        <v>18.970800000000001</v>
      </c>
      <c r="FS38">
        <v>19.406099999999999</v>
      </c>
      <c r="FT38">
        <v>19.3688</v>
      </c>
      <c r="FU38">
        <v>19.937999999999999</v>
      </c>
      <c r="FV38">
        <v>19.411200000000001</v>
      </c>
      <c r="FW38" t="s">
        <v>137</v>
      </c>
      <c r="FX38" t="s">
        <v>137</v>
      </c>
      <c r="FY38">
        <v>19.663900000000002</v>
      </c>
      <c r="FZ38">
        <v>19.971299999999999</v>
      </c>
      <c r="GA38">
        <v>19.685600000000001</v>
      </c>
      <c r="GB38">
        <v>20.7346</v>
      </c>
      <c r="GC38">
        <v>21.0122</v>
      </c>
      <c r="GD38" t="s">
        <v>137</v>
      </c>
      <c r="GE38" t="s">
        <v>137</v>
      </c>
      <c r="GF38">
        <v>21.078099999999999</v>
      </c>
      <c r="GG38">
        <v>20.560099999999998</v>
      </c>
      <c r="GH38">
        <v>20.676100000000002</v>
      </c>
      <c r="GI38">
        <v>21.301500000000001</v>
      </c>
      <c r="GJ38">
        <v>22.335999999999999</v>
      </c>
      <c r="GK38" t="s">
        <v>137</v>
      </c>
      <c r="GL38" t="s">
        <v>137</v>
      </c>
      <c r="GM38">
        <v>24.843299999999999</v>
      </c>
      <c r="GN38">
        <v>25.571300000000001</v>
      </c>
      <c r="GO38">
        <v>27.121600000000001</v>
      </c>
      <c r="GP38">
        <v>28.436399999999999</v>
      </c>
      <c r="GQ38">
        <v>28.631900000000002</v>
      </c>
      <c r="GR38" t="s">
        <v>137</v>
      </c>
      <c r="GS38" t="s">
        <v>137</v>
      </c>
      <c r="GT38">
        <v>31.6616</v>
      </c>
      <c r="GU38">
        <v>30.852599999999999</v>
      </c>
      <c r="GV38">
        <v>33.626600000000003</v>
      </c>
      <c r="GW38">
        <v>33.5837</v>
      </c>
      <c r="GX38">
        <v>33.372399999999999</v>
      </c>
      <c r="GY38" t="s">
        <v>137</v>
      </c>
      <c r="GZ38" t="s">
        <v>137</v>
      </c>
      <c r="HA38">
        <v>36.762300000000003</v>
      </c>
      <c r="HB38">
        <v>37.225299999999997</v>
      </c>
      <c r="HC38">
        <v>35.714599999999997</v>
      </c>
      <c r="HD38">
        <v>34.880400000000002</v>
      </c>
      <c r="HE38">
        <v>34.653100000000002</v>
      </c>
      <c r="HF38" t="s">
        <v>137</v>
      </c>
      <c r="HG38" t="s">
        <v>137</v>
      </c>
      <c r="HH38">
        <v>34.554200000000002</v>
      </c>
      <c r="HI38">
        <v>33.601599999999998</v>
      </c>
      <c r="HJ38">
        <v>33.746899999999997</v>
      </c>
      <c r="HK38">
        <v>33.000999999999998</v>
      </c>
      <c r="HL38">
        <v>32.6843</v>
      </c>
      <c r="HM38" t="s">
        <v>137</v>
      </c>
      <c r="HN38" t="s">
        <v>137</v>
      </c>
      <c r="HO38">
        <v>31.093599999999999</v>
      </c>
      <c r="HP38">
        <v>31.323</v>
      </c>
      <c r="HQ38">
        <v>31.8752</v>
      </c>
      <c r="HR38">
        <v>32.163400000000003</v>
      </c>
      <c r="HS38">
        <v>32.1875</v>
      </c>
      <c r="HT38" t="s">
        <v>137</v>
      </c>
      <c r="HU38" t="s">
        <v>137</v>
      </c>
      <c r="HV38">
        <v>31.8858</v>
      </c>
      <c r="HW38">
        <v>33.021999999999998</v>
      </c>
      <c r="HX38">
        <v>32.818600000000004</v>
      </c>
      <c r="HY38">
        <v>34.073</v>
      </c>
      <c r="HZ38">
        <v>34.345599999999997</v>
      </c>
      <c r="IA38" t="s">
        <v>137</v>
      </c>
      <c r="IB38" t="s">
        <v>137</v>
      </c>
      <c r="IC38">
        <v>34.372799999999998</v>
      </c>
      <c r="ID38">
        <v>31.125699999999998</v>
      </c>
      <c r="IE38">
        <v>32.430300000000003</v>
      </c>
      <c r="IF38">
        <v>33.895000000000003</v>
      </c>
      <c r="IG38">
        <v>34.2879</v>
      </c>
      <c r="IH38" t="s">
        <v>137</v>
      </c>
      <c r="II38" t="s">
        <v>137</v>
      </c>
      <c r="IJ38">
        <v>33.9482</v>
      </c>
      <c r="IK38">
        <v>33.496699999999997</v>
      </c>
      <c r="IL38">
        <v>33.171999999999997</v>
      </c>
      <c r="IM38">
        <v>33.601399999999998</v>
      </c>
      <c r="IN38">
        <v>35.505400000000002</v>
      </c>
      <c r="IO38" t="s">
        <v>137</v>
      </c>
      <c r="IP38" t="s">
        <v>137</v>
      </c>
      <c r="IQ38">
        <v>37.784300000000002</v>
      </c>
      <c r="IR38">
        <v>36.101300000000002</v>
      </c>
      <c r="IS38">
        <v>35.199199999999998</v>
      </c>
      <c r="IT38">
        <v>34.272199999999998</v>
      </c>
      <c r="IU38">
        <v>34.799700000000001</v>
      </c>
      <c r="IV38" t="s">
        <v>137</v>
      </c>
      <c r="IW38" t="s">
        <v>137</v>
      </c>
      <c r="IX38">
        <v>32.678600000000003</v>
      </c>
      <c r="IY38">
        <v>31.404599999999999</v>
      </c>
      <c r="IZ38">
        <v>31.958100000000002</v>
      </c>
      <c r="JA38">
        <v>32.468899999999998</v>
      </c>
      <c r="JB38">
        <v>31.522500000000001</v>
      </c>
      <c r="JC38" t="s">
        <v>137</v>
      </c>
      <c r="JD38" t="s">
        <v>137</v>
      </c>
      <c r="JE38">
        <v>29.944099999999999</v>
      </c>
      <c r="JF38">
        <v>29.494700000000002</v>
      </c>
      <c r="JG38">
        <v>29.609100000000002</v>
      </c>
      <c r="JH38">
        <v>28.671800000000001</v>
      </c>
      <c r="JI38">
        <v>28.7807</v>
      </c>
      <c r="JJ38" t="s">
        <v>137</v>
      </c>
      <c r="JK38" t="s">
        <v>137</v>
      </c>
      <c r="JL38">
        <v>28.801100000000002</v>
      </c>
      <c r="JM38">
        <v>26.734300000000001</v>
      </c>
      <c r="JN38">
        <v>26.909800000000001</v>
      </c>
      <c r="JO38">
        <v>27.448699999999999</v>
      </c>
      <c r="JP38">
        <v>25.982299999999999</v>
      </c>
      <c r="JQ38" t="s">
        <v>137</v>
      </c>
      <c r="JR38" t="s">
        <v>137</v>
      </c>
      <c r="JS38">
        <v>26.149699999999999</v>
      </c>
      <c r="JT38">
        <v>26.092099999999999</v>
      </c>
      <c r="JU38">
        <v>25.8855</v>
      </c>
      <c r="JV38">
        <v>26.012</v>
      </c>
      <c r="JW38">
        <v>25.085699999999999</v>
      </c>
      <c r="JX38" t="s">
        <v>137</v>
      </c>
      <c r="JY38" t="s">
        <v>137</v>
      </c>
      <c r="JZ38">
        <v>25.315200000000001</v>
      </c>
      <c r="KA38">
        <v>27.070399999999999</v>
      </c>
      <c r="KB38">
        <v>26.081800000000001</v>
      </c>
      <c r="KC38">
        <v>26.438700000000001</v>
      </c>
      <c r="KD38">
        <v>26.456600000000002</v>
      </c>
      <c r="KE38" t="s">
        <v>137</v>
      </c>
      <c r="KF38" t="s">
        <v>137</v>
      </c>
      <c r="KG38">
        <v>26.864100000000001</v>
      </c>
      <c r="KH38">
        <v>26.415900000000001</v>
      </c>
      <c r="KI38">
        <v>26.5107</v>
      </c>
      <c r="KJ38">
        <v>27.1965</v>
      </c>
      <c r="KK38">
        <v>26.583500000000001</v>
      </c>
      <c r="KL38" t="s">
        <v>137</v>
      </c>
      <c r="KM38" t="s">
        <v>137</v>
      </c>
      <c r="KN38">
        <v>26.5242</v>
      </c>
      <c r="KO38">
        <v>26.085699999999999</v>
      </c>
      <c r="KP38">
        <v>26.7943</v>
      </c>
      <c r="KQ38">
        <v>26.928799999999999</v>
      </c>
      <c r="KR38">
        <v>24.7272</v>
      </c>
      <c r="KS38" t="s">
        <v>137</v>
      </c>
      <c r="KT38" t="s">
        <v>137</v>
      </c>
      <c r="KU38">
        <v>25.518799999999999</v>
      </c>
      <c r="KV38">
        <v>24.757300000000001</v>
      </c>
      <c r="KW38">
        <v>24.980399999999999</v>
      </c>
      <c r="KX38">
        <v>24.679500000000001</v>
      </c>
      <c r="KY38">
        <v>24.694400000000002</v>
      </c>
      <c r="KZ38" t="s">
        <v>137</v>
      </c>
      <c r="LA38" t="s">
        <v>137</v>
      </c>
      <c r="LB38">
        <v>23.6479</v>
      </c>
      <c r="LC38">
        <v>23.407499999999999</v>
      </c>
      <c r="LD38">
        <v>22.742000000000001</v>
      </c>
      <c r="LE38">
        <v>23.274000000000001</v>
      </c>
      <c r="LF38">
        <v>23.0395</v>
      </c>
      <c r="LG38" t="s">
        <v>137</v>
      </c>
      <c r="LH38" t="s">
        <v>137</v>
      </c>
      <c r="LI38">
        <v>23.053100000000001</v>
      </c>
      <c r="LJ38">
        <v>23.066600000000001</v>
      </c>
      <c r="LK38">
        <v>23.080200000000001</v>
      </c>
      <c r="LL38">
        <v>22.754300000000001</v>
      </c>
      <c r="LM38">
        <v>22.767499999999998</v>
      </c>
      <c r="LN38" t="s">
        <v>137</v>
      </c>
      <c r="LO38" t="s">
        <v>137</v>
      </c>
      <c r="LP38">
        <v>22.8415</v>
      </c>
      <c r="LQ38">
        <v>22.733799999999999</v>
      </c>
      <c r="LR38">
        <v>22.4482</v>
      </c>
      <c r="LS38">
        <v>22.020099999999999</v>
      </c>
      <c r="LT38">
        <v>21.918199999999999</v>
      </c>
      <c r="LU38" t="s">
        <v>137</v>
      </c>
      <c r="LV38" t="s">
        <v>137</v>
      </c>
      <c r="LW38">
        <v>22.1036</v>
      </c>
      <c r="LX38">
        <v>22.349900000000002</v>
      </c>
      <c r="LY38">
        <v>22.7805</v>
      </c>
      <c r="LZ38">
        <v>22.520600000000002</v>
      </c>
      <c r="MA38">
        <v>22.297799999999999</v>
      </c>
      <c r="MB38" t="s">
        <v>137</v>
      </c>
      <c r="MC38" t="s">
        <v>137</v>
      </c>
      <c r="MD38">
        <v>22.4877</v>
      </c>
      <c r="ME38">
        <v>20.6067</v>
      </c>
      <c r="MF38">
        <v>20.723600000000001</v>
      </c>
      <c r="MG38">
        <v>20.653700000000001</v>
      </c>
      <c r="MH38">
        <v>21.586099999999998</v>
      </c>
      <c r="MI38" t="s">
        <v>137</v>
      </c>
      <c r="MJ38" t="s">
        <v>137</v>
      </c>
      <c r="MK38">
        <v>21.767399999999999</v>
      </c>
      <c r="ML38">
        <v>20.8475</v>
      </c>
      <c r="MM38">
        <v>20.753399999999999</v>
      </c>
      <c r="MN38">
        <v>22.002199999999998</v>
      </c>
      <c r="MO38">
        <v>21.1767</v>
      </c>
      <c r="MP38" t="s">
        <v>137</v>
      </c>
      <c r="MQ38" t="s">
        <v>137</v>
      </c>
      <c r="MR38">
        <v>21.353000000000002</v>
      </c>
      <c r="MS38">
        <v>21.4207</v>
      </c>
      <c r="MT38">
        <v>21.5441</v>
      </c>
      <c r="MU38">
        <v>21.7502</v>
      </c>
      <c r="MV38">
        <v>21.763000000000002</v>
      </c>
      <c r="MW38" t="s">
        <v>137</v>
      </c>
      <c r="MX38" t="s">
        <v>137</v>
      </c>
      <c r="MY38">
        <v>21.775700000000001</v>
      </c>
      <c r="MZ38">
        <v>21.788499999999999</v>
      </c>
      <c r="NA38">
        <v>21.688400000000001</v>
      </c>
      <c r="NB38">
        <v>23.020800000000001</v>
      </c>
      <c r="NC38">
        <v>21.966799999999999</v>
      </c>
      <c r="ND38" t="s">
        <v>137</v>
      </c>
      <c r="NE38" t="s">
        <v>137</v>
      </c>
      <c r="NF38">
        <v>21.9224</v>
      </c>
      <c r="NG38">
        <v>21.429400000000001</v>
      </c>
      <c r="NH38">
        <v>22.179099999999998</v>
      </c>
      <c r="NI38">
        <v>22.8733</v>
      </c>
      <c r="NJ38">
        <v>23.0092</v>
      </c>
      <c r="NK38" t="s">
        <v>137</v>
      </c>
      <c r="NL38" t="s">
        <v>137</v>
      </c>
      <c r="NM38" t="s">
        <v>137</v>
      </c>
      <c r="NN38" t="s">
        <v>137</v>
      </c>
      <c r="NO38" t="s">
        <v>137</v>
      </c>
      <c r="NP38" t="s">
        <v>137</v>
      </c>
      <c r="NQ38" t="s">
        <v>137</v>
      </c>
      <c r="NR38" t="s">
        <v>137</v>
      </c>
      <c r="NS38" t="s">
        <v>137</v>
      </c>
      <c r="NT38" t="s">
        <v>137</v>
      </c>
      <c r="NU38" t="s">
        <v>137</v>
      </c>
      <c r="NV38" t="s">
        <v>137</v>
      </c>
      <c r="NW38" t="s">
        <v>137</v>
      </c>
      <c r="NX38" t="s">
        <v>137</v>
      </c>
      <c r="NY38" t="s">
        <v>137</v>
      </c>
      <c r="NZ38" t="s">
        <v>137</v>
      </c>
      <c r="OA38" t="s">
        <v>137</v>
      </c>
      <c r="OB38" t="s">
        <v>137</v>
      </c>
      <c r="OC38" t="s">
        <v>137</v>
      </c>
      <c r="OD38" t="s">
        <v>137</v>
      </c>
      <c r="OE38" t="s">
        <v>137</v>
      </c>
      <c r="OF38" t="s">
        <v>137</v>
      </c>
      <c r="OG38" t="s">
        <v>137</v>
      </c>
      <c r="OH38" t="s">
        <v>137</v>
      </c>
      <c r="OI38" t="s">
        <v>137</v>
      </c>
      <c r="OJ38" t="s">
        <v>137</v>
      </c>
      <c r="OK38" t="s">
        <v>137</v>
      </c>
      <c r="OL38" t="s">
        <v>137</v>
      </c>
      <c r="OM38" t="s">
        <v>137</v>
      </c>
      <c r="ON38" t="s">
        <v>137</v>
      </c>
      <c r="OO38" t="s">
        <v>137</v>
      </c>
      <c r="OP38" t="s">
        <v>137</v>
      </c>
      <c r="OQ38" t="s">
        <v>137</v>
      </c>
      <c r="OR38" t="s">
        <v>137</v>
      </c>
      <c r="OS38" t="s">
        <v>137</v>
      </c>
      <c r="OT38" t="s">
        <v>137</v>
      </c>
      <c r="OU38" t="s">
        <v>137</v>
      </c>
      <c r="OV38" t="s">
        <v>137</v>
      </c>
      <c r="OW38" t="s">
        <v>137</v>
      </c>
      <c r="OX38" t="s">
        <v>137</v>
      </c>
      <c r="OY38" t="s">
        <v>137</v>
      </c>
      <c r="OZ38" t="s">
        <v>137</v>
      </c>
      <c r="PA38" t="s">
        <v>137</v>
      </c>
      <c r="PB38" t="s">
        <v>137</v>
      </c>
      <c r="PC38" t="s">
        <v>137</v>
      </c>
      <c r="PD38" t="s">
        <v>137</v>
      </c>
      <c r="PE38" t="s">
        <v>137</v>
      </c>
      <c r="PF38" t="s">
        <v>137</v>
      </c>
      <c r="PG38" t="s">
        <v>137</v>
      </c>
      <c r="PH38" t="s">
        <v>137</v>
      </c>
      <c r="PI38" t="s">
        <v>137</v>
      </c>
      <c r="PJ38" t="s">
        <v>137</v>
      </c>
      <c r="PK38" t="s">
        <v>137</v>
      </c>
      <c r="PL38" t="s">
        <v>137</v>
      </c>
      <c r="PM38" t="s">
        <v>137</v>
      </c>
      <c r="PN38" t="s">
        <v>137</v>
      </c>
      <c r="PO38" t="s">
        <v>137</v>
      </c>
      <c r="PP38" t="s">
        <v>137</v>
      </c>
      <c r="PQ38" t="s">
        <v>137</v>
      </c>
      <c r="PR38" t="s">
        <v>137</v>
      </c>
      <c r="PS38" t="s">
        <v>137</v>
      </c>
      <c r="PT38" t="s">
        <v>137</v>
      </c>
      <c r="PU38" t="s">
        <v>137</v>
      </c>
      <c r="PV38" t="s">
        <v>137</v>
      </c>
      <c r="PW38" t="s">
        <v>137</v>
      </c>
      <c r="PX38" t="s">
        <v>137</v>
      </c>
      <c r="PY38" t="s">
        <v>137</v>
      </c>
      <c r="PZ38" t="s">
        <v>137</v>
      </c>
      <c r="QA38" t="s">
        <v>137</v>
      </c>
      <c r="QB38" t="s">
        <v>137</v>
      </c>
      <c r="QC38" t="s">
        <v>137</v>
      </c>
      <c r="QD38" t="s">
        <v>137</v>
      </c>
      <c r="QE38" t="s">
        <v>137</v>
      </c>
      <c r="QF38" t="s">
        <v>137</v>
      </c>
      <c r="QG38" t="s">
        <v>137</v>
      </c>
      <c r="QH38" t="s">
        <v>137</v>
      </c>
      <c r="QI38" t="s">
        <v>137</v>
      </c>
      <c r="QJ38" t="s">
        <v>137</v>
      </c>
      <c r="QK38" t="s">
        <v>137</v>
      </c>
      <c r="QL38" t="s">
        <v>137</v>
      </c>
      <c r="QM38" t="s">
        <v>137</v>
      </c>
      <c r="QN38" t="s">
        <v>137</v>
      </c>
      <c r="QO38" t="s">
        <v>137</v>
      </c>
    </row>
    <row r="39" spans="1:457" x14ac:dyDescent="0.2">
      <c r="A39" t="s">
        <v>136</v>
      </c>
      <c r="B39" s="3">
        <v>38626</v>
      </c>
      <c r="C39" t="s">
        <v>20</v>
      </c>
      <c r="E39" t="s">
        <v>137</v>
      </c>
      <c r="F39" t="s">
        <v>137</v>
      </c>
      <c r="G39" t="s">
        <v>137</v>
      </c>
      <c r="H39" t="s">
        <v>137</v>
      </c>
      <c r="I39" t="s">
        <v>137</v>
      </c>
      <c r="J39" t="s">
        <v>137</v>
      </c>
      <c r="K39" t="s">
        <v>137</v>
      </c>
      <c r="L39" t="s">
        <v>137</v>
      </c>
      <c r="M39" t="s">
        <v>137</v>
      </c>
      <c r="N39" t="s">
        <v>137</v>
      </c>
      <c r="O39" t="s">
        <v>137</v>
      </c>
      <c r="P39" t="s">
        <v>137</v>
      </c>
      <c r="Q39" t="s">
        <v>137</v>
      </c>
      <c r="R39" t="s">
        <v>137</v>
      </c>
      <c r="S39" t="s">
        <v>137</v>
      </c>
      <c r="T39" t="s">
        <v>137</v>
      </c>
      <c r="U39" t="s">
        <v>137</v>
      </c>
      <c r="V39" t="s">
        <v>137</v>
      </c>
      <c r="W39" t="s">
        <v>137</v>
      </c>
      <c r="X39" t="s">
        <v>137</v>
      </c>
      <c r="Y39" t="s">
        <v>137</v>
      </c>
      <c r="Z39" t="s">
        <v>137</v>
      </c>
      <c r="AA39" t="s">
        <v>137</v>
      </c>
      <c r="AB39" t="s">
        <v>137</v>
      </c>
      <c r="AC39" t="s">
        <v>137</v>
      </c>
      <c r="AD39" t="s">
        <v>137</v>
      </c>
      <c r="AE39" t="s">
        <v>137</v>
      </c>
      <c r="AF39" t="s">
        <v>137</v>
      </c>
      <c r="AG39" t="s">
        <v>137</v>
      </c>
      <c r="AH39" t="s">
        <v>137</v>
      </c>
      <c r="AI39" t="s">
        <v>137</v>
      </c>
      <c r="AJ39" t="s">
        <v>137</v>
      </c>
      <c r="AK39" t="s">
        <v>137</v>
      </c>
      <c r="AL39" t="s">
        <v>137</v>
      </c>
      <c r="AM39" t="s">
        <v>137</v>
      </c>
      <c r="AN39" t="s">
        <v>137</v>
      </c>
      <c r="AO39" t="s">
        <v>137</v>
      </c>
      <c r="AP39" t="s">
        <v>137</v>
      </c>
      <c r="AQ39" t="s">
        <v>137</v>
      </c>
      <c r="AR39" t="s">
        <v>137</v>
      </c>
      <c r="AS39" t="s">
        <v>137</v>
      </c>
      <c r="AT39" t="s">
        <v>137</v>
      </c>
      <c r="AU39" t="s">
        <v>137</v>
      </c>
      <c r="AV39" t="s">
        <v>137</v>
      </c>
      <c r="AW39" t="s">
        <v>137</v>
      </c>
      <c r="AX39" t="s">
        <v>137</v>
      </c>
      <c r="AY39" t="s">
        <v>137</v>
      </c>
      <c r="AZ39" t="s">
        <v>137</v>
      </c>
      <c r="BA39" t="s">
        <v>137</v>
      </c>
      <c r="BB39" t="s">
        <v>137</v>
      </c>
      <c r="BC39" t="s">
        <v>137</v>
      </c>
      <c r="BD39" t="s">
        <v>137</v>
      </c>
      <c r="BE39" t="s">
        <v>137</v>
      </c>
      <c r="BF39" t="s">
        <v>137</v>
      </c>
      <c r="BG39" t="s">
        <v>137</v>
      </c>
      <c r="BH39" t="s">
        <v>137</v>
      </c>
      <c r="BI39" t="s">
        <v>137</v>
      </c>
      <c r="BJ39" t="s">
        <v>137</v>
      </c>
      <c r="BK39" t="s">
        <v>137</v>
      </c>
      <c r="BL39" t="s">
        <v>137</v>
      </c>
      <c r="BM39" t="s">
        <v>137</v>
      </c>
      <c r="BN39" t="s">
        <v>137</v>
      </c>
      <c r="BO39" t="s">
        <v>137</v>
      </c>
      <c r="BP39" t="s">
        <v>137</v>
      </c>
      <c r="BQ39" t="s">
        <v>137</v>
      </c>
      <c r="BR39" t="s">
        <v>137</v>
      </c>
      <c r="BS39" t="s">
        <v>137</v>
      </c>
      <c r="BT39" t="s">
        <v>137</v>
      </c>
      <c r="BU39" t="s">
        <v>137</v>
      </c>
      <c r="BV39" t="s">
        <v>137</v>
      </c>
      <c r="BW39" t="s">
        <v>137</v>
      </c>
      <c r="BX39" t="s">
        <v>137</v>
      </c>
      <c r="BY39" t="s">
        <v>137</v>
      </c>
      <c r="BZ39" t="s">
        <v>137</v>
      </c>
      <c r="CA39" t="s">
        <v>137</v>
      </c>
      <c r="CB39" t="s">
        <v>137</v>
      </c>
      <c r="CC39" t="s">
        <v>137</v>
      </c>
      <c r="CD39" t="s">
        <v>137</v>
      </c>
      <c r="CE39" t="s">
        <v>137</v>
      </c>
      <c r="CF39" t="s">
        <v>137</v>
      </c>
      <c r="CG39" t="s">
        <v>137</v>
      </c>
      <c r="CH39" t="s">
        <v>137</v>
      </c>
      <c r="CI39" t="s">
        <v>137</v>
      </c>
      <c r="CJ39" t="s">
        <v>137</v>
      </c>
      <c r="CK39" t="s">
        <v>137</v>
      </c>
      <c r="CL39" t="s">
        <v>137</v>
      </c>
      <c r="CM39" t="s">
        <v>137</v>
      </c>
      <c r="CN39" t="s">
        <v>137</v>
      </c>
      <c r="CO39" t="s">
        <v>137</v>
      </c>
      <c r="CP39" t="s">
        <v>137</v>
      </c>
      <c r="CQ39" t="s">
        <v>137</v>
      </c>
      <c r="CR39" t="s">
        <v>137</v>
      </c>
      <c r="CS39" t="s">
        <v>137</v>
      </c>
      <c r="CT39" t="s">
        <v>137</v>
      </c>
      <c r="CU39" t="s">
        <v>137</v>
      </c>
      <c r="CV39" t="s">
        <v>137</v>
      </c>
      <c r="CW39" t="s">
        <v>137</v>
      </c>
      <c r="CX39" t="s">
        <v>137</v>
      </c>
      <c r="CY39" t="s">
        <v>137</v>
      </c>
      <c r="CZ39" t="s">
        <v>137</v>
      </c>
      <c r="DA39" t="s">
        <v>137</v>
      </c>
      <c r="DB39" t="s">
        <v>137</v>
      </c>
      <c r="DC39" t="s">
        <v>137</v>
      </c>
      <c r="DD39" t="s">
        <v>137</v>
      </c>
      <c r="DE39" t="s">
        <v>137</v>
      </c>
      <c r="DF39" t="s">
        <v>137</v>
      </c>
      <c r="DG39" t="s">
        <v>137</v>
      </c>
      <c r="DH39" t="s">
        <v>137</v>
      </c>
      <c r="DI39" t="s">
        <v>137</v>
      </c>
      <c r="DJ39" t="s">
        <v>137</v>
      </c>
      <c r="DK39" t="s">
        <v>137</v>
      </c>
      <c r="DL39" t="s">
        <v>137</v>
      </c>
      <c r="DM39" t="s">
        <v>137</v>
      </c>
      <c r="DN39" t="s">
        <v>137</v>
      </c>
      <c r="DO39" t="s">
        <v>137</v>
      </c>
      <c r="DP39" t="s">
        <v>137</v>
      </c>
      <c r="DQ39" t="s">
        <v>137</v>
      </c>
      <c r="DR39" t="s">
        <v>137</v>
      </c>
      <c r="DS39" t="s">
        <v>137</v>
      </c>
      <c r="DT39" t="s">
        <v>137</v>
      </c>
      <c r="DU39" t="s">
        <v>137</v>
      </c>
      <c r="DV39" t="s">
        <v>137</v>
      </c>
      <c r="DW39" t="s">
        <v>137</v>
      </c>
      <c r="DX39" t="s">
        <v>137</v>
      </c>
      <c r="DY39" t="s">
        <v>137</v>
      </c>
      <c r="DZ39" t="s">
        <v>137</v>
      </c>
      <c r="EA39" t="s">
        <v>137</v>
      </c>
      <c r="EB39" t="s">
        <v>137</v>
      </c>
      <c r="EC39" t="s">
        <v>137</v>
      </c>
      <c r="ED39" t="s">
        <v>137</v>
      </c>
      <c r="EE39" t="s">
        <v>137</v>
      </c>
      <c r="EF39" t="s">
        <v>137</v>
      </c>
      <c r="EG39" t="s">
        <v>137</v>
      </c>
      <c r="EH39" t="s">
        <v>137</v>
      </c>
      <c r="EI39" t="s">
        <v>137</v>
      </c>
      <c r="EJ39" t="s">
        <v>137</v>
      </c>
      <c r="EK39" t="s">
        <v>137</v>
      </c>
      <c r="EL39" t="s">
        <v>137</v>
      </c>
      <c r="EM39" t="s">
        <v>137</v>
      </c>
      <c r="EN39" t="s">
        <v>137</v>
      </c>
      <c r="EO39" t="s">
        <v>137</v>
      </c>
      <c r="EP39" t="s">
        <v>137</v>
      </c>
      <c r="EQ39" t="s">
        <v>137</v>
      </c>
      <c r="ER39" t="s">
        <v>137</v>
      </c>
      <c r="ES39" t="s">
        <v>137</v>
      </c>
      <c r="ET39" t="s">
        <v>137</v>
      </c>
      <c r="EU39" t="s">
        <v>137</v>
      </c>
      <c r="EV39" t="s">
        <v>137</v>
      </c>
      <c r="EW39" t="s">
        <v>137</v>
      </c>
      <c r="EX39" t="s">
        <v>137</v>
      </c>
      <c r="EY39" t="s">
        <v>137</v>
      </c>
      <c r="EZ39" t="s">
        <v>137</v>
      </c>
      <c r="FA39" t="s">
        <v>137</v>
      </c>
      <c r="FB39" t="s">
        <v>137</v>
      </c>
      <c r="FC39" t="s">
        <v>137</v>
      </c>
      <c r="FD39" t="s">
        <v>137</v>
      </c>
      <c r="FE39" t="s">
        <v>137</v>
      </c>
      <c r="FF39" t="s">
        <v>137</v>
      </c>
      <c r="FG39" t="s">
        <v>137</v>
      </c>
      <c r="FH39" t="s">
        <v>137</v>
      </c>
      <c r="FI39" t="s">
        <v>137</v>
      </c>
      <c r="FJ39" t="s">
        <v>137</v>
      </c>
      <c r="FK39" t="s">
        <v>137</v>
      </c>
      <c r="FL39" t="s">
        <v>137</v>
      </c>
      <c r="FM39" t="s">
        <v>137</v>
      </c>
      <c r="FN39" t="s">
        <v>137</v>
      </c>
      <c r="FO39" t="s">
        <v>137</v>
      </c>
      <c r="FP39" t="s">
        <v>137</v>
      </c>
      <c r="FQ39" t="s">
        <v>137</v>
      </c>
      <c r="FR39" t="s">
        <v>137</v>
      </c>
      <c r="FS39" t="s">
        <v>137</v>
      </c>
      <c r="FT39" t="s">
        <v>137</v>
      </c>
      <c r="FU39" t="s">
        <v>137</v>
      </c>
      <c r="FV39" t="s">
        <v>137</v>
      </c>
      <c r="FW39" t="s">
        <v>137</v>
      </c>
      <c r="FX39" t="s">
        <v>137</v>
      </c>
      <c r="FY39" t="s">
        <v>137</v>
      </c>
      <c r="FZ39" t="s">
        <v>137</v>
      </c>
      <c r="GA39" t="s">
        <v>137</v>
      </c>
      <c r="GB39" t="s">
        <v>137</v>
      </c>
      <c r="GC39" t="s">
        <v>137</v>
      </c>
      <c r="GD39" t="s">
        <v>137</v>
      </c>
      <c r="GE39" t="s">
        <v>137</v>
      </c>
      <c r="GF39" t="s">
        <v>137</v>
      </c>
      <c r="GG39" t="s">
        <v>137</v>
      </c>
      <c r="GH39" t="s">
        <v>137</v>
      </c>
      <c r="GI39" t="s">
        <v>137</v>
      </c>
      <c r="GJ39" t="s">
        <v>137</v>
      </c>
      <c r="GK39" t="s">
        <v>137</v>
      </c>
      <c r="GL39" t="s">
        <v>137</v>
      </c>
      <c r="GM39" t="s">
        <v>137</v>
      </c>
      <c r="GN39" t="s">
        <v>137</v>
      </c>
      <c r="GO39" t="s">
        <v>137</v>
      </c>
      <c r="GP39" t="s">
        <v>137</v>
      </c>
      <c r="GQ39" t="s">
        <v>137</v>
      </c>
      <c r="GR39" t="s">
        <v>137</v>
      </c>
      <c r="GS39" t="s">
        <v>137</v>
      </c>
      <c r="GT39" t="s">
        <v>137</v>
      </c>
      <c r="GU39" t="s">
        <v>137</v>
      </c>
      <c r="GV39" t="s">
        <v>137</v>
      </c>
      <c r="GW39" t="s">
        <v>137</v>
      </c>
      <c r="GX39" t="s">
        <v>137</v>
      </c>
      <c r="GY39" t="s">
        <v>137</v>
      </c>
      <c r="GZ39" t="s">
        <v>137</v>
      </c>
      <c r="HA39" t="s">
        <v>137</v>
      </c>
      <c r="HB39" t="s">
        <v>137</v>
      </c>
      <c r="HC39" t="s">
        <v>137</v>
      </c>
      <c r="HD39" t="s">
        <v>137</v>
      </c>
      <c r="HE39" t="s">
        <v>137</v>
      </c>
      <c r="HF39" t="s">
        <v>137</v>
      </c>
      <c r="HG39" t="s">
        <v>137</v>
      </c>
      <c r="HH39" t="s">
        <v>137</v>
      </c>
      <c r="HI39" t="s">
        <v>137</v>
      </c>
      <c r="HJ39" t="s">
        <v>137</v>
      </c>
      <c r="HK39" t="s">
        <v>137</v>
      </c>
      <c r="HL39" t="s">
        <v>137</v>
      </c>
      <c r="HM39" t="s">
        <v>137</v>
      </c>
      <c r="HN39" t="s">
        <v>137</v>
      </c>
      <c r="HO39" t="s">
        <v>137</v>
      </c>
      <c r="HP39" t="s">
        <v>137</v>
      </c>
      <c r="HQ39" t="s">
        <v>137</v>
      </c>
      <c r="HR39" t="s">
        <v>137</v>
      </c>
      <c r="HS39" t="s">
        <v>137</v>
      </c>
      <c r="HT39" t="s">
        <v>137</v>
      </c>
      <c r="HU39" t="s">
        <v>137</v>
      </c>
      <c r="HV39" t="s">
        <v>137</v>
      </c>
      <c r="HW39" t="s">
        <v>137</v>
      </c>
      <c r="HX39" t="s">
        <v>137</v>
      </c>
      <c r="HY39" t="s">
        <v>137</v>
      </c>
      <c r="HZ39" t="s">
        <v>137</v>
      </c>
      <c r="IA39" t="s">
        <v>137</v>
      </c>
      <c r="IB39" t="s">
        <v>137</v>
      </c>
      <c r="IC39" t="s">
        <v>137</v>
      </c>
      <c r="ID39" t="s">
        <v>137</v>
      </c>
      <c r="IE39" t="s">
        <v>137</v>
      </c>
      <c r="IF39" t="s">
        <v>137</v>
      </c>
      <c r="IG39" t="s">
        <v>137</v>
      </c>
      <c r="IH39" t="s">
        <v>137</v>
      </c>
      <c r="II39" t="s">
        <v>137</v>
      </c>
      <c r="IJ39" t="s">
        <v>137</v>
      </c>
      <c r="IK39" t="s">
        <v>137</v>
      </c>
      <c r="IL39" t="s">
        <v>137</v>
      </c>
      <c r="IM39" t="s">
        <v>137</v>
      </c>
      <c r="IN39" t="s">
        <v>137</v>
      </c>
      <c r="IO39" t="s">
        <v>137</v>
      </c>
      <c r="IP39" t="s">
        <v>137</v>
      </c>
      <c r="IQ39" t="s">
        <v>137</v>
      </c>
      <c r="IR39" t="s">
        <v>137</v>
      </c>
      <c r="IS39" t="s">
        <v>137</v>
      </c>
      <c r="IT39" t="s">
        <v>137</v>
      </c>
      <c r="IU39" t="s">
        <v>137</v>
      </c>
      <c r="IV39" t="s">
        <v>137</v>
      </c>
      <c r="IW39" t="s">
        <v>137</v>
      </c>
      <c r="IX39" t="s">
        <v>137</v>
      </c>
      <c r="IY39" t="s">
        <v>137</v>
      </c>
      <c r="IZ39" t="s">
        <v>137</v>
      </c>
      <c r="JA39" t="s">
        <v>137</v>
      </c>
      <c r="JB39" t="s">
        <v>137</v>
      </c>
      <c r="JC39" t="s">
        <v>137</v>
      </c>
      <c r="JD39" t="s">
        <v>137</v>
      </c>
      <c r="JE39" t="s">
        <v>137</v>
      </c>
      <c r="JF39" t="s">
        <v>137</v>
      </c>
      <c r="JG39" t="s">
        <v>137</v>
      </c>
      <c r="JH39" t="s">
        <v>137</v>
      </c>
      <c r="JI39" t="s">
        <v>137</v>
      </c>
      <c r="JJ39" t="s">
        <v>137</v>
      </c>
      <c r="JK39" t="s">
        <v>137</v>
      </c>
      <c r="JL39" t="s">
        <v>137</v>
      </c>
      <c r="JM39" t="s">
        <v>137</v>
      </c>
      <c r="JN39" t="s">
        <v>137</v>
      </c>
      <c r="JO39" t="s">
        <v>137</v>
      </c>
      <c r="JP39" t="s">
        <v>137</v>
      </c>
      <c r="JQ39" t="s">
        <v>137</v>
      </c>
      <c r="JR39" t="s">
        <v>137</v>
      </c>
      <c r="JS39" t="s">
        <v>137</v>
      </c>
      <c r="JT39" t="s">
        <v>137</v>
      </c>
      <c r="JU39" t="s">
        <v>137</v>
      </c>
      <c r="JV39" t="s">
        <v>137</v>
      </c>
      <c r="JW39" t="s">
        <v>137</v>
      </c>
      <c r="JX39" t="s">
        <v>137</v>
      </c>
      <c r="JY39" t="s">
        <v>137</v>
      </c>
      <c r="JZ39" t="s">
        <v>137</v>
      </c>
      <c r="KA39" t="s">
        <v>137</v>
      </c>
      <c r="KB39" t="s">
        <v>137</v>
      </c>
      <c r="KC39" t="s">
        <v>137</v>
      </c>
      <c r="KD39" t="s">
        <v>137</v>
      </c>
      <c r="KE39" t="s">
        <v>137</v>
      </c>
      <c r="KF39" t="s">
        <v>137</v>
      </c>
      <c r="KG39" t="s">
        <v>137</v>
      </c>
      <c r="KH39" t="s">
        <v>137</v>
      </c>
      <c r="KI39" t="s">
        <v>137</v>
      </c>
      <c r="KJ39" t="s">
        <v>137</v>
      </c>
      <c r="KK39" t="s">
        <v>137</v>
      </c>
      <c r="KL39" t="s">
        <v>137</v>
      </c>
      <c r="KM39" t="s">
        <v>137</v>
      </c>
      <c r="KN39" t="s">
        <v>137</v>
      </c>
      <c r="KO39" t="s">
        <v>137</v>
      </c>
      <c r="KP39" t="s">
        <v>137</v>
      </c>
      <c r="KQ39" t="s">
        <v>137</v>
      </c>
      <c r="KR39" t="s">
        <v>137</v>
      </c>
      <c r="KS39" t="s">
        <v>137</v>
      </c>
      <c r="KT39" t="s">
        <v>137</v>
      </c>
      <c r="KU39" t="s">
        <v>137</v>
      </c>
      <c r="KV39" t="s">
        <v>137</v>
      </c>
      <c r="KW39" t="s">
        <v>137</v>
      </c>
      <c r="KX39" t="s">
        <v>137</v>
      </c>
      <c r="KY39" t="s">
        <v>137</v>
      </c>
      <c r="KZ39" t="s">
        <v>137</v>
      </c>
      <c r="LA39" t="s">
        <v>137</v>
      </c>
      <c r="LB39" t="s">
        <v>137</v>
      </c>
      <c r="LC39" t="s">
        <v>137</v>
      </c>
      <c r="LD39" t="s">
        <v>137</v>
      </c>
      <c r="LE39" t="s">
        <v>137</v>
      </c>
      <c r="LF39" t="s">
        <v>137</v>
      </c>
      <c r="LG39" t="s">
        <v>137</v>
      </c>
      <c r="LH39" t="s">
        <v>137</v>
      </c>
      <c r="LI39" t="s">
        <v>137</v>
      </c>
      <c r="LJ39" t="s">
        <v>137</v>
      </c>
      <c r="LK39" t="s">
        <v>137</v>
      </c>
      <c r="LL39" t="s">
        <v>137</v>
      </c>
      <c r="LM39" t="s">
        <v>137</v>
      </c>
      <c r="LN39" t="s">
        <v>137</v>
      </c>
      <c r="LO39" t="s">
        <v>137</v>
      </c>
      <c r="LP39" t="s">
        <v>137</v>
      </c>
      <c r="LQ39" t="s">
        <v>137</v>
      </c>
      <c r="LR39" t="s">
        <v>137</v>
      </c>
      <c r="LS39" t="s">
        <v>137</v>
      </c>
      <c r="LT39" t="s">
        <v>137</v>
      </c>
      <c r="LU39" t="s">
        <v>137</v>
      </c>
      <c r="LV39" t="s">
        <v>137</v>
      </c>
      <c r="LW39" t="s">
        <v>137</v>
      </c>
      <c r="LX39" t="s">
        <v>137</v>
      </c>
      <c r="LY39" t="s">
        <v>137</v>
      </c>
      <c r="LZ39" t="s">
        <v>137</v>
      </c>
      <c r="MA39" t="s">
        <v>137</v>
      </c>
      <c r="MB39" t="s">
        <v>137</v>
      </c>
      <c r="MC39" t="s">
        <v>137</v>
      </c>
      <c r="MD39" t="s">
        <v>137</v>
      </c>
      <c r="ME39" t="s">
        <v>137</v>
      </c>
      <c r="MF39" t="s">
        <v>137</v>
      </c>
      <c r="MG39" t="s">
        <v>137</v>
      </c>
      <c r="MH39" t="s">
        <v>137</v>
      </c>
      <c r="MI39" t="s">
        <v>137</v>
      </c>
      <c r="MJ39" t="s">
        <v>137</v>
      </c>
      <c r="MK39" t="s">
        <v>137</v>
      </c>
      <c r="ML39" t="s">
        <v>137</v>
      </c>
      <c r="MM39" t="s">
        <v>137</v>
      </c>
      <c r="MN39" t="s">
        <v>137</v>
      </c>
      <c r="MO39" t="s">
        <v>137</v>
      </c>
      <c r="MP39" t="s">
        <v>137</v>
      </c>
      <c r="MQ39" t="s">
        <v>137</v>
      </c>
      <c r="MR39" t="s">
        <v>137</v>
      </c>
      <c r="MS39" t="s">
        <v>137</v>
      </c>
      <c r="MT39" t="s">
        <v>137</v>
      </c>
      <c r="MU39" t="s">
        <v>137</v>
      </c>
      <c r="MV39" t="s">
        <v>137</v>
      </c>
      <c r="MW39" t="s">
        <v>137</v>
      </c>
      <c r="MX39" t="s">
        <v>137</v>
      </c>
      <c r="MY39" t="s">
        <v>137</v>
      </c>
      <c r="MZ39" t="s">
        <v>137</v>
      </c>
      <c r="NA39" t="s">
        <v>137</v>
      </c>
      <c r="NB39" t="s">
        <v>137</v>
      </c>
      <c r="NC39" t="s">
        <v>137</v>
      </c>
      <c r="ND39" t="s">
        <v>137</v>
      </c>
      <c r="NE39" t="s">
        <v>137</v>
      </c>
      <c r="NF39" t="s">
        <v>137</v>
      </c>
      <c r="NG39" t="s">
        <v>137</v>
      </c>
      <c r="NH39" t="s">
        <v>137</v>
      </c>
      <c r="NI39" t="s">
        <v>137</v>
      </c>
      <c r="NJ39" t="s">
        <v>137</v>
      </c>
      <c r="NK39" t="s">
        <v>137</v>
      </c>
      <c r="NL39" t="s">
        <v>137</v>
      </c>
      <c r="NM39" t="s">
        <v>137</v>
      </c>
      <c r="NN39" t="s">
        <v>137</v>
      </c>
      <c r="NO39" t="s">
        <v>137</v>
      </c>
      <c r="NP39" t="s">
        <v>137</v>
      </c>
      <c r="NQ39" t="s">
        <v>137</v>
      </c>
      <c r="NR39" t="s">
        <v>137</v>
      </c>
      <c r="NS39" t="s">
        <v>137</v>
      </c>
      <c r="NT39" t="s">
        <v>137</v>
      </c>
      <c r="NU39" t="s">
        <v>137</v>
      </c>
      <c r="NV39" t="s">
        <v>137</v>
      </c>
      <c r="NW39" t="s">
        <v>137</v>
      </c>
      <c r="NX39" t="s">
        <v>137</v>
      </c>
      <c r="NY39" t="s">
        <v>137</v>
      </c>
      <c r="NZ39" t="s">
        <v>137</v>
      </c>
      <c r="OA39" t="s">
        <v>137</v>
      </c>
      <c r="OB39" t="s">
        <v>137</v>
      </c>
      <c r="OC39" t="s">
        <v>137</v>
      </c>
      <c r="OD39" t="s">
        <v>137</v>
      </c>
      <c r="OE39" t="s">
        <v>137</v>
      </c>
      <c r="OF39" t="s">
        <v>137</v>
      </c>
      <c r="OG39" t="s">
        <v>137</v>
      </c>
      <c r="OH39" t="s">
        <v>137</v>
      </c>
      <c r="OI39" t="s">
        <v>137</v>
      </c>
      <c r="OJ39" t="s">
        <v>137</v>
      </c>
      <c r="OK39" t="s">
        <v>137</v>
      </c>
      <c r="OL39" t="s">
        <v>137</v>
      </c>
      <c r="OM39" t="s">
        <v>137</v>
      </c>
      <c r="ON39" t="s">
        <v>137</v>
      </c>
      <c r="OO39" t="s">
        <v>137</v>
      </c>
      <c r="OP39" t="s">
        <v>137</v>
      </c>
      <c r="OQ39" t="s">
        <v>137</v>
      </c>
      <c r="OR39" t="s">
        <v>137</v>
      </c>
      <c r="OS39" t="s">
        <v>137</v>
      </c>
      <c r="OT39" t="s">
        <v>137</v>
      </c>
      <c r="OU39" t="s">
        <v>137</v>
      </c>
      <c r="OV39" t="s">
        <v>137</v>
      </c>
      <c r="OW39" t="s">
        <v>137</v>
      </c>
      <c r="OX39" t="s">
        <v>137</v>
      </c>
      <c r="OY39" t="s">
        <v>137</v>
      </c>
      <c r="OZ39" t="s">
        <v>137</v>
      </c>
      <c r="PA39" t="s">
        <v>137</v>
      </c>
      <c r="PB39" t="s">
        <v>137</v>
      </c>
      <c r="PC39" t="s">
        <v>137</v>
      </c>
      <c r="PD39" t="s">
        <v>137</v>
      </c>
      <c r="PE39" t="s">
        <v>137</v>
      </c>
      <c r="PF39" t="s">
        <v>137</v>
      </c>
      <c r="PG39" t="s">
        <v>137</v>
      </c>
      <c r="PH39" t="s">
        <v>137</v>
      </c>
      <c r="PI39" t="s">
        <v>137</v>
      </c>
      <c r="PJ39" t="s">
        <v>137</v>
      </c>
      <c r="PK39" t="s">
        <v>137</v>
      </c>
      <c r="PL39" t="s">
        <v>137</v>
      </c>
      <c r="PM39" t="s">
        <v>137</v>
      </c>
      <c r="PN39" t="s">
        <v>137</v>
      </c>
      <c r="PO39" t="s">
        <v>137</v>
      </c>
      <c r="PP39" t="s">
        <v>137</v>
      </c>
      <c r="PQ39" t="s">
        <v>137</v>
      </c>
      <c r="PR39" t="s">
        <v>137</v>
      </c>
      <c r="PS39" t="s">
        <v>137</v>
      </c>
      <c r="PT39" t="s">
        <v>137</v>
      </c>
      <c r="PU39" t="s">
        <v>137</v>
      </c>
      <c r="PV39" t="s">
        <v>137</v>
      </c>
      <c r="PW39" t="s">
        <v>137</v>
      </c>
      <c r="PX39" t="s">
        <v>137</v>
      </c>
      <c r="PY39" t="s">
        <v>137</v>
      </c>
      <c r="PZ39" t="s">
        <v>137</v>
      </c>
      <c r="QA39" t="s">
        <v>137</v>
      </c>
      <c r="QB39" t="s">
        <v>137</v>
      </c>
      <c r="QC39" t="s">
        <v>137</v>
      </c>
      <c r="QD39" t="s">
        <v>137</v>
      </c>
      <c r="QE39" t="s">
        <v>137</v>
      </c>
      <c r="QF39" t="s">
        <v>137</v>
      </c>
      <c r="QG39" t="s">
        <v>137</v>
      </c>
      <c r="QH39" t="s">
        <v>137</v>
      </c>
      <c r="QI39" t="s">
        <v>137</v>
      </c>
      <c r="QJ39" t="s">
        <v>137</v>
      </c>
      <c r="QK39" t="s">
        <v>137</v>
      </c>
      <c r="QL39" t="s">
        <v>137</v>
      </c>
      <c r="QM39" t="s">
        <v>137</v>
      </c>
      <c r="QN39" t="s">
        <v>137</v>
      </c>
      <c r="QO39" t="s">
        <v>137</v>
      </c>
    </row>
    <row r="40" spans="1:457" x14ac:dyDescent="0.2">
      <c r="A40" t="s">
        <v>157</v>
      </c>
      <c r="B40" s="3">
        <v>40296</v>
      </c>
      <c r="C40" t="s">
        <v>22</v>
      </c>
      <c r="E40" t="s">
        <v>137</v>
      </c>
      <c r="F40" t="s">
        <v>137</v>
      </c>
      <c r="G40" t="s">
        <v>137</v>
      </c>
      <c r="H40" t="s">
        <v>137</v>
      </c>
      <c r="I40" t="s">
        <v>137</v>
      </c>
      <c r="J40" t="s">
        <v>137</v>
      </c>
      <c r="K40" t="s">
        <v>137</v>
      </c>
      <c r="L40" t="s">
        <v>137</v>
      </c>
      <c r="M40" t="s">
        <v>137</v>
      </c>
      <c r="N40" t="s">
        <v>137</v>
      </c>
      <c r="O40" t="s">
        <v>137</v>
      </c>
      <c r="P40" t="s">
        <v>137</v>
      </c>
      <c r="Q40" t="s">
        <v>137</v>
      </c>
      <c r="R40" t="s">
        <v>137</v>
      </c>
      <c r="S40" t="s">
        <v>137</v>
      </c>
      <c r="T40" t="s">
        <v>137</v>
      </c>
      <c r="U40" t="s">
        <v>137</v>
      </c>
      <c r="V40" t="s">
        <v>137</v>
      </c>
      <c r="W40" t="s">
        <v>137</v>
      </c>
      <c r="X40" t="s">
        <v>137</v>
      </c>
      <c r="Y40" t="s">
        <v>137</v>
      </c>
      <c r="Z40" t="s">
        <v>137</v>
      </c>
      <c r="AA40" t="s">
        <v>137</v>
      </c>
      <c r="AB40" t="s">
        <v>137</v>
      </c>
      <c r="AC40" t="s">
        <v>137</v>
      </c>
      <c r="AD40" t="s">
        <v>137</v>
      </c>
      <c r="AE40" t="s">
        <v>137</v>
      </c>
      <c r="AF40" t="s">
        <v>137</v>
      </c>
      <c r="AG40" t="s">
        <v>137</v>
      </c>
      <c r="AH40" t="s">
        <v>137</v>
      </c>
      <c r="AI40" t="s">
        <v>137</v>
      </c>
      <c r="AJ40" t="s">
        <v>137</v>
      </c>
      <c r="AK40" t="s">
        <v>137</v>
      </c>
      <c r="AL40" t="s">
        <v>137</v>
      </c>
      <c r="AM40" t="s">
        <v>137</v>
      </c>
      <c r="AN40" t="s">
        <v>137</v>
      </c>
      <c r="AO40" t="s">
        <v>137</v>
      </c>
      <c r="AP40" t="s">
        <v>137</v>
      </c>
      <c r="AQ40" t="s">
        <v>137</v>
      </c>
      <c r="AR40" t="s">
        <v>137</v>
      </c>
      <c r="AS40" t="s">
        <v>137</v>
      </c>
      <c r="AT40" t="s">
        <v>137</v>
      </c>
      <c r="AU40" t="s">
        <v>137</v>
      </c>
      <c r="AV40" t="s">
        <v>137</v>
      </c>
      <c r="AW40" t="s">
        <v>137</v>
      </c>
      <c r="AX40" t="s">
        <v>137</v>
      </c>
      <c r="AY40" t="s">
        <v>137</v>
      </c>
      <c r="AZ40" t="s">
        <v>137</v>
      </c>
      <c r="BA40" t="s">
        <v>137</v>
      </c>
      <c r="BB40" t="s">
        <v>137</v>
      </c>
      <c r="BC40" t="s">
        <v>137</v>
      </c>
      <c r="BD40" t="s">
        <v>137</v>
      </c>
      <c r="BE40" t="s">
        <v>137</v>
      </c>
      <c r="BF40" t="s">
        <v>137</v>
      </c>
      <c r="BG40" t="s">
        <v>137</v>
      </c>
      <c r="BH40" t="s">
        <v>137</v>
      </c>
      <c r="BI40" t="s">
        <v>137</v>
      </c>
      <c r="BJ40" t="s">
        <v>137</v>
      </c>
      <c r="BK40" t="s">
        <v>137</v>
      </c>
      <c r="BL40" t="s">
        <v>137</v>
      </c>
      <c r="BM40" t="s">
        <v>137</v>
      </c>
      <c r="BN40" t="s">
        <v>137</v>
      </c>
      <c r="BO40" t="s">
        <v>137</v>
      </c>
      <c r="BP40" t="s">
        <v>137</v>
      </c>
      <c r="BQ40" t="s">
        <v>137</v>
      </c>
      <c r="BR40" t="s">
        <v>137</v>
      </c>
      <c r="BS40" t="s">
        <v>137</v>
      </c>
      <c r="BT40" t="s">
        <v>137</v>
      </c>
      <c r="BU40" t="s">
        <v>137</v>
      </c>
      <c r="BV40" t="s">
        <v>137</v>
      </c>
      <c r="BW40" t="s">
        <v>137</v>
      </c>
      <c r="BX40" t="s">
        <v>137</v>
      </c>
      <c r="BY40" t="s">
        <v>137</v>
      </c>
      <c r="BZ40" t="s">
        <v>137</v>
      </c>
      <c r="CA40" t="s">
        <v>137</v>
      </c>
      <c r="CB40" t="s">
        <v>137</v>
      </c>
      <c r="CC40" t="s">
        <v>137</v>
      </c>
      <c r="CD40" t="s">
        <v>137</v>
      </c>
      <c r="CE40" t="s">
        <v>137</v>
      </c>
      <c r="CF40" t="s">
        <v>137</v>
      </c>
      <c r="CG40" t="s">
        <v>137</v>
      </c>
      <c r="CH40" t="s">
        <v>137</v>
      </c>
      <c r="CI40" t="s">
        <v>137</v>
      </c>
      <c r="CJ40" t="s">
        <v>137</v>
      </c>
      <c r="CK40" t="s">
        <v>137</v>
      </c>
      <c r="CL40" t="s">
        <v>137</v>
      </c>
      <c r="CM40" t="s">
        <v>137</v>
      </c>
      <c r="CN40" t="s">
        <v>137</v>
      </c>
      <c r="CO40" t="s">
        <v>137</v>
      </c>
      <c r="CP40" t="s">
        <v>137</v>
      </c>
      <c r="CQ40" t="s">
        <v>137</v>
      </c>
      <c r="CR40" t="s">
        <v>137</v>
      </c>
      <c r="CS40" t="s">
        <v>137</v>
      </c>
      <c r="CT40" t="s">
        <v>137</v>
      </c>
      <c r="CU40" t="s">
        <v>137</v>
      </c>
      <c r="CV40" t="s">
        <v>137</v>
      </c>
      <c r="CW40" t="s">
        <v>137</v>
      </c>
      <c r="CX40" t="s">
        <v>137</v>
      </c>
      <c r="CY40" t="s">
        <v>137</v>
      </c>
      <c r="CZ40" t="s">
        <v>137</v>
      </c>
      <c r="DA40" t="s">
        <v>137</v>
      </c>
      <c r="DB40" t="s">
        <v>137</v>
      </c>
      <c r="DC40" t="s">
        <v>137</v>
      </c>
      <c r="DD40" t="s">
        <v>137</v>
      </c>
      <c r="DE40" t="s">
        <v>137</v>
      </c>
      <c r="DF40" t="s">
        <v>137</v>
      </c>
      <c r="DG40" t="s">
        <v>137</v>
      </c>
      <c r="DH40" t="s">
        <v>137</v>
      </c>
      <c r="DI40" t="s">
        <v>137</v>
      </c>
      <c r="DJ40" t="s">
        <v>137</v>
      </c>
      <c r="DK40" t="s">
        <v>137</v>
      </c>
      <c r="DL40" t="s">
        <v>137</v>
      </c>
      <c r="DM40" t="s">
        <v>137</v>
      </c>
      <c r="DN40" t="s">
        <v>137</v>
      </c>
      <c r="DO40" t="s">
        <v>137</v>
      </c>
      <c r="DP40" t="s">
        <v>137</v>
      </c>
      <c r="DQ40" t="s">
        <v>137</v>
      </c>
      <c r="DR40" t="s">
        <v>137</v>
      </c>
      <c r="DS40" t="s">
        <v>137</v>
      </c>
      <c r="DT40" t="s">
        <v>137</v>
      </c>
      <c r="DU40" t="s">
        <v>137</v>
      </c>
      <c r="DV40" t="s">
        <v>137</v>
      </c>
      <c r="DW40" t="s">
        <v>137</v>
      </c>
      <c r="DX40" t="s">
        <v>137</v>
      </c>
      <c r="DY40" t="s">
        <v>137</v>
      </c>
      <c r="DZ40" t="s">
        <v>137</v>
      </c>
      <c r="EA40" t="s">
        <v>137</v>
      </c>
      <c r="EB40" t="s">
        <v>137</v>
      </c>
      <c r="EC40" t="s">
        <v>137</v>
      </c>
      <c r="ED40" t="s">
        <v>137</v>
      </c>
      <c r="EE40" t="s">
        <v>137</v>
      </c>
      <c r="EF40" t="s">
        <v>137</v>
      </c>
      <c r="EG40" t="s">
        <v>137</v>
      </c>
      <c r="EH40" t="s">
        <v>137</v>
      </c>
      <c r="EI40" t="s">
        <v>137</v>
      </c>
      <c r="EJ40" t="s">
        <v>137</v>
      </c>
      <c r="EK40" t="s">
        <v>137</v>
      </c>
      <c r="EL40" t="s">
        <v>137</v>
      </c>
      <c r="EM40" t="s">
        <v>137</v>
      </c>
      <c r="EN40" t="s">
        <v>137</v>
      </c>
      <c r="EO40" t="s">
        <v>137</v>
      </c>
      <c r="EP40" t="s">
        <v>137</v>
      </c>
      <c r="EQ40" t="s">
        <v>137</v>
      </c>
      <c r="ER40" t="s">
        <v>137</v>
      </c>
      <c r="ES40" t="s">
        <v>137</v>
      </c>
      <c r="ET40" t="s">
        <v>137</v>
      </c>
      <c r="EU40" t="s">
        <v>137</v>
      </c>
      <c r="EV40" t="s">
        <v>137</v>
      </c>
      <c r="EW40" t="s">
        <v>137</v>
      </c>
      <c r="EX40" t="s">
        <v>137</v>
      </c>
      <c r="EY40" t="s">
        <v>137</v>
      </c>
      <c r="EZ40" t="s">
        <v>137</v>
      </c>
      <c r="FA40" t="s">
        <v>137</v>
      </c>
      <c r="FB40" t="s">
        <v>137</v>
      </c>
      <c r="FC40" t="s">
        <v>137</v>
      </c>
      <c r="FD40" t="s">
        <v>137</v>
      </c>
      <c r="FE40" t="s">
        <v>137</v>
      </c>
      <c r="FF40" t="s">
        <v>137</v>
      </c>
      <c r="FG40" t="s">
        <v>137</v>
      </c>
      <c r="FH40" t="s">
        <v>137</v>
      </c>
      <c r="FI40" t="s">
        <v>137</v>
      </c>
      <c r="FJ40" t="s">
        <v>137</v>
      </c>
      <c r="FK40" t="s">
        <v>137</v>
      </c>
      <c r="FL40" t="s">
        <v>137</v>
      </c>
      <c r="FM40" t="s">
        <v>137</v>
      </c>
      <c r="FN40" t="s">
        <v>137</v>
      </c>
      <c r="FO40" t="s">
        <v>137</v>
      </c>
      <c r="FP40" t="s">
        <v>137</v>
      </c>
      <c r="FQ40" t="s">
        <v>137</v>
      </c>
      <c r="FR40" t="s">
        <v>137</v>
      </c>
      <c r="FS40" t="s">
        <v>137</v>
      </c>
      <c r="FT40" t="s">
        <v>137</v>
      </c>
      <c r="FU40" t="s">
        <v>137</v>
      </c>
      <c r="FV40" t="s">
        <v>137</v>
      </c>
      <c r="FW40" t="s">
        <v>137</v>
      </c>
      <c r="FX40" t="s">
        <v>137</v>
      </c>
      <c r="FY40" t="s">
        <v>137</v>
      </c>
      <c r="FZ40" t="s">
        <v>137</v>
      </c>
      <c r="GA40" t="s">
        <v>137</v>
      </c>
      <c r="GB40" t="s">
        <v>137</v>
      </c>
      <c r="GC40" t="s">
        <v>137</v>
      </c>
      <c r="GD40" t="s">
        <v>137</v>
      </c>
      <c r="GE40" t="s">
        <v>137</v>
      </c>
      <c r="GF40" t="s">
        <v>137</v>
      </c>
      <c r="GG40" t="s">
        <v>137</v>
      </c>
      <c r="GH40" t="s">
        <v>137</v>
      </c>
      <c r="GI40" t="s">
        <v>137</v>
      </c>
      <c r="GJ40" t="s">
        <v>137</v>
      </c>
      <c r="GK40" t="s">
        <v>137</v>
      </c>
      <c r="GL40" t="s">
        <v>137</v>
      </c>
      <c r="GM40" t="s">
        <v>137</v>
      </c>
      <c r="GN40" t="s">
        <v>137</v>
      </c>
      <c r="GO40" t="s">
        <v>137</v>
      </c>
      <c r="GP40" t="s">
        <v>137</v>
      </c>
      <c r="GQ40" t="s">
        <v>137</v>
      </c>
      <c r="GR40" t="s">
        <v>137</v>
      </c>
      <c r="GS40" t="s">
        <v>137</v>
      </c>
      <c r="GT40" t="s">
        <v>137</v>
      </c>
      <c r="GU40" t="s">
        <v>137</v>
      </c>
      <c r="GV40" t="s">
        <v>137</v>
      </c>
      <c r="GW40" t="s">
        <v>137</v>
      </c>
      <c r="GX40" t="s">
        <v>137</v>
      </c>
      <c r="GY40" t="s">
        <v>137</v>
      </c>
      <c r="GZ40" t="s">
        <v>137</v>
      </c>
      <c r="HA40" t="s">
        <v>137</v>
      </c>
      <c r="HB40" t="s">
        <v>137</v>
      </c>
      <c r="HC40" t="s">
        <v>137</v>
      </c>
      <c r="HD40" t="s">
        <v>137</v>
      </c>
      <c r="HE40" t="s">
        <v>137</v>
      </c>
      <c r="HF40" t="s">
        <v>137</v>
      </c>
      <c r="HG40" t="s">
        <v>137</v>
      </c>
      <c r="HH40" t="s">
        <v>137</v>
      </c>
      <c r="HI40" t="s">
        <v>137</v>
      </c>
      <c r="HJ40" t="s">
        <v>137</v>
      </c>
      <c r="HK40" t="s">
        <v>137</v>
      </c>
      <c r="HL40" t="s">
        <v>137</v>
      </c>
      <c r="HM40" t="s">
        <v>137</v>
      </c>
      <c r="HN40" t="s">
        <v>137</v>
      </c>
      <c r="HO40" t="s">
        <v>137</v>
      </c>
      <c r="HP40" t="s">
        <v>137</v>
      </c>
      <c r="HQ40" t="s">
        <v>137</v>
      </c>
      <c r="HR40" t="s">
        <v>137</v>
      </c>
      <c r="HS40" t="s">
        <v>137</v>
      </c>
      <c r="HT40" t="s">
        <v>137</v>
      </c>
      <c r="HU40" t="s">
        <v>137</v>
      </c>
      <c r="HV40" t="s">
        <v>137</v>
      </c>
      <c r="HW40" t="s">
        <v>137</v>
      </c>
      <c r="HX40" t="s">
        <v>137</v>
      </c>
      <c r="HY40" t="s">
        <v>137</v>
      </c>
      <c r="HZ40" t="s">
        <v>137</v>
      </c>
      <c r="IA40" t="s">
        <v>137</v>
      </c>
      <c r="IB40" t="s">
        <v>137</v>
      </c>
      <c r="IC40" t="s">
        <v>137</v>
      </c>
      <c r="ID40" t="s">
        <v>137</v>
      </c>
      <c r="IE40" t="s">
        <v>137</v>
      </c>
      <c r="IF40" t="s">
        <v>137</v>
      </c>
      <c r="IG40" t="s">
        <v>137</v>
      </c>
      <c r="IH40" t="s">
        <v>137</v>
      </c>
      <c r="II40" t="s">
        <v>137</v>
      </c>
      <c r="IJ40" t="s">
        <v>137</v>
      </c>
      <c r="IK40" t="s">
        <v>137</v>
      </c>
      <c r="IL40" t="s">
        <v>137</v>
      </c>
      <c r="IM40" t="s">
        <v>137</v>
      </c>
      <c r="IN40" t="s">
        <v>137</v>
      </c>
      <c r="IO40" t="s">
        <v>137</v>
      </c>
      <c r="IP40" t="s">
        <v>137</v>
      </c>
      <c r="IQ40" t="s">
        <v>137</v>
      </c>
      <c r="IR40" t="s">
        <v>137</v>
      </c>
      <c r="IS40" t="s">
        <v>137</v>
      </c>
      <c r="IT40" t="s">
        <v>137</v>
      </c>
      <c r="IU40" t="s">
        <v>137</v>
      </c>
      <c r="IV40" t="s">
        <v>137</v>
      </c>
      <c r="IW40" t="s">
        <v>137</v>
      </c>
      <c r="IX40" t="s">
        <v>137</v>
      </c>
      <c r="IY40" t="s">
        <v>137</v>
      </c>
      <c r="IZ40" t="s">
        <v>137</v>
      </c>
      <c r="JA40" t="s">
        <v>137</v>
      </c>
      <c r="JB40" t="s">
        <v>137</v>
      </c>
      <c r="JC40" t="s">
        <v>137</v>
      </c>
      <c r="JD40" t="s">
        <v>137</v>
      </c>
      <c r="JE40" t="s">
        <v>137</v>
      </c>
      <c r="JF40" t="s">
        <v>137</v>
      </c>
      <c r="JG40" t="s">
        <v>137</v>
      </c>
      <c r="JH40" t="s">
        <v>137</v>
      </c>
      <c r="JI40" t="s">
        <v>137</v>
      </c>
      <c r="JJ40" t="s">
        <v>137</v>
      </c>
      <c r="JK40" t="s">
        <v>137</v>
      </c>
      <c r="JL40" t="s">
        <v>137</v>
      </c>
      <c r="JM40" t="s">
        <v>137</v>
      </c>
      <c r="JN40" t="s">
        <v>137</v>
      </c>
      <c r="JO40" t="s">
        <v>137</v>
      </c>
      <c r="JP40" t="s">
        <v>137</v>
      </c>
      <c r="JQ40" t="s">
        <v>137</v>
      </c>
      <c r="JR40" t="s">
        <v>137</v>
      </c>
      <c r="JS40" t="s">
        <v>137</v>
      </c>
      <c r="JT40" t="s">
        <v>137</v>
      </c>
      <c r="JU40" t="s">
        <v>137</v>
      </c>
      <c r="JV40" t="s">
        <v>137</v>
      </c>
      <c r="JW40" t="s">
        <v>137</v>
      </c>
      <c r="JX40" t="s">
        <v>137</v>
      </c>
      <c r="JY40" t="s">
        <v>137</v>
      </c>
      <c r="JZ40" t="s">
        <v>137</v>
      </c>
      <c r="KA40" t="s">
        <v>137</v>
      </c>
      <c r="KB40" t="s">
        <v>137</v>
      </c>
      <c r="KC40" t="s">
        <v>137</v>
      </c>
      <c r="KD40" t="s">
        <v>137</v>
      </c>
      <c r="KE40" t="s">
        <v>137</v>
      </c>
      <c r="KF40" t="s">
        <v>137</v>
      </c>
      <c r="KG40" t="s">
        <v>137</v>
      </c>
      <c r="KH40" t="s">
        <v>137</v>
      </c>
      <c r="KI40" t="s">
        <v>137</v>
      </c>
      <c r="KJ40" t="s">
        <v>137</v>
      </c>
      <c r="KK40" t="s">
        <v>137</v>
      </c>
      <c r="KL40" t="s">
        <v>137</v>
      </c>
      <c r="KM40" t="s">
        <v>137</v>
      </c>
      <c r="KN40" t="s">
        <v>137</v>
      </c>
      <c r="KO40" t="s">
        <v>137</v>
      </c>
      <c r="KP40" t="s">
        <v>137</v>
      </c>
      <c r="KQ40" t="s">
        <v>137</v>
      </c>
      <c r="KR40" t="s">
        <v>137</v>
      </c>
      <c r="KS40" t="s">
        <v>137</v>
      </c>
      <c r="KT40" t="s">
        <v>137</v>
      </c>
      <c r="KU40" t="s">
        <v>137</v>
      </c>
      <c r="KV40" t="s">
        <v>137</v>
      </c>
      <c r="KW40" t="s">
        <v>137</v>
      </c>
      <c r="KX40" t="s">
        <v>137</v>
      </c>
      <c r="KY40" t="s">
        <v>137</v>
      </c>
      <c r="KZ40" t="s">
        <v>137</v>
      </c>
      <c r="LA40" t="s">
        <v>137</v>
      </c>
      <c r="LB40" t="s">
        <v>137</v>
      </c>
      <c r="LC40" t="s">
        <v>137</v>
      </c>
      <c r="LD40" t="s">
        <v>137</v>
      </c>
      <c r="LE40" t="s">
        <v>137</v>
      </c>
      <c r="LF40" t="s">
        <v>137</v>
      </c>
      <c r="LG40" t="s">
        <v>137</v>
      </c>
      <c r="LH40" t="s">
        <v>137</v>
      </c>
      <c r="LI40" t="s">
        <v>137</v>
      </c>
      <c r="LJ40" t="s">
        <v>137</v>
      </c>
      <c r="LK40" t="s">
        <v>137</v>
      </c>
      <c r="LL40" t="s">
        <v>137</v>
      </c>
      <c r="LM40" t="s">
        <v>137</v>
      </c>
      <c r="LN40" t="s">
        <v>137</v>
      </c>
      <c r="LO40" t="s">
        <v>137</v>
      </c>
      <c r="LP40" t="s">
        <v>137</v>
      </c>
      <c r="LQ40" t="s">
        <v>137</v>
      </c>
      <c r="LR40" t="s">
        <v>137</v>
      </c>
      <c r="LS40" t="s">
        <v>137</v>
      </c>
      <c r="LT40" t="s">
        <v>137</v>
      </c>
      <c r="LU40" t="s">
        <v>137</v>
      </c>
      <c r="LV40" t="s">
        <v>137</v>
      </c>
      <c r="LW40" t="s">
        <v>137</v>
      </c>
      <c r="LX40" t="s">
        <v>137</v>
      </c>
      <c r="LY40" t="s">
        <v>137</v>
      </c>
      <c r="LZ40" t="s">
        <v>137</v>
      </c>
      <c r="MA40" t="s">
        <v>137</v>
      </c>
      <c r="MB40" t="s">
        <v>137</v>
      </c>
      <c r="MC40" t="s">
        <v>137</v>
      </c>
      <c r="MD40" t="s">
        <v>137</v>
      </c>
      <c r="ME40" t="s">
        <v>137</v>
      </c>
      <c r="MF40" t="s">
        <v>137</v>
      </c>
      <c r="MG40" t="s">
        <v>137</v>
      </c>
      <c r="MH40" t="s">
        <v>137</v>
      </c>
      <c r="MI40" t="s">
        <v>137</v>
      </c>
      <c r="MJ40" t="s">
        <v>137</v>
      </c>
      <c r="MK40" t="s">
        <v>137</v>
      </c>
      <c r="ML40" t="s">
        <v>137</v>
      </c>
      <c r="MM40" t="s">
        <v>137</v>
      </c>
      <c r="MN40" t="s">
        <v>137</v>
      </c>
      <c r="MO40" t="s">
        <v>137</v>
      </c>
      <c r="MP40" t="s">
        <v>137</v>
      </c>
      <c r="MQ40" t="s">
        <v>137</v>
      </c>
      <c r="MR40" t="s">
        <v>137</v>
      </c>
      <c r="MS40" t="s">
        <v>137</v>
      </c>
      <c r="MT40" t="s">
        <v>137</v>
      </c>
      <c r="MU40" t="s">
        <v>137</v>
      </c>
      <c r="MV40" t="s">
        <v>137</v>
      </c>
      <c r="MW40" t="s">
        <v>137</v>
      </c>
      <c r="MX40" t="s">
        <v>137</v>
      </c>
      <c r="MY40" t="s">
        <v>137</v>
      </c>
      <c r="MZ40" t="s">
        <v>137</v>
      </c>
      <c r="NA40" t="s">
        <v>137</v>
      </c>
      <c r="NB40" t="s">
        <v>137</v>
      </c>
      <c r="NC40" t="s">
        <v>137</v>
      </c>
      <c r="ND40" t="s">
        <v>137</v>
      </c>
      <c r="NE40" t="s">
        <v>137</v>
      </c>
      <c r="NF40" t="s">
        <v>137</v>
      </c>
      <c r="NG40" t="s">
        <v>137</v>
      </c>
      <c r="NH40" t="s">
        <v>137</v>
      </c>
      <c r="NI40" t="s">
        <v>137</v>
      </c>
      <c r="NJ40" t="s">
        <v>137</v>
      </c>
      <c r="NK40" t="s">
        <v>137</v>
      </c>
      <c r="NL40" t="s">
        <v>137</v>
      </c>
      <c r="NM40" t="s">
        <v>137</v>
      </c>
      <c r="NN40" t="s">
        <v>137</v>
      </c>
      <c r="NO40" t="s">
        <v>137</v>
      </c>
      <c r="NP40" t="s">
        <v>137</v>
      </c>
      <c r="NQ40" t="s">
        <v>137</v>
      </c>
      <c r="NR40" t="s">
        <v>137</v>
      </c>
      <c r="NS40" t="s">
        <v>137</v>
      </c>
      <c r="NT40" t="s">
        <v>137</v>
      </c>
      <c r="NU40" t="s">
        <v>137</v>
      </c>
      <c r="NV40" t="s">
        <v>137</v>
      </c>
      <c r="NW40" t="s">
        <v>137</v>
      </c>
      <c r="NX40" t="s">
        <v>137</v>
      </c>
      <c r="NY40" t="s">
        <v>137</v>
      </c>
      <c r="NZ40" t="s">
        <v>137</v>
      </c>
      <c r="OA40" t="s">
        <v>137</v>
      </c>
      <c r="OB40" t="s">
        <v>137</v>
      </c>
      <c r="OC40" t="s">
        <v>137</v>
      </c>
      <c r="OD40" t="s">
        <v>137</v>
      </c>
      <c r="OE40" t="s">
        <v>137</v>
      </c>
      <c r="OF40" t="s">
        <v>137</v>
      </c>
      <c r="OG40" t="s">
        <v>137</v>
      </c>
      <c r="OH40" t="s">
        <v>137</v>
      </c>
      <c r="OI40" t="s">
        <v>137</v>
      </c>
      <c r="OJ40" t="s">
        <v>137</v>
      </c>
      <c r="OK40" t="s">
        <v>137</v>
      </c>
      <c r="OL40" t="s">
        <v>137</v>
      </c>
      <c r="OM40" t="s">
        <v>137</v>
      </c>
      <c r="ON40" t="s">
        <v>137</v>
      </c>
      <c r="OO40" t="s">
        <v>137</v>
      </c>
      <c r="OP40" t="s">
        <v>137</v>
      </c>
      <c r="OQ40" t="s">
        <v>137</v>
      </c>
      <c r="OR40" t="s">
        <v>137</v>
      </c>
      <c r="OS40" t="s">
        <v>137</v>
      </c>
      <c r="OT40" t="s">
        <v>137</v>
      </c>
      <c r="OU40" t="s">
        <v>137</v>
      </c>
      <c r="OV40" t="s">
        <v>137</v>
      </c>
      <c r="OW40" t="s">
        <v>137</v>
      </c>
      <c r="OX40" t="s">
        <v>137</v>
      </c>
      <c r="OY40" t="s">
        <v>137</v>
      </c>
      <c r="OZ40" t="s">
        <v>137</v>
      </c>
      <c r="PA40" t="s">
        <v>137</v>
      </c>
      <c r="PB40" t="s">
        <v>137</v>
      </c>
      <c r="PC40" t="s">
        <v>137</v>
      </c>
      <c r="PD40" t="s">
        <v>137</v>
      </c>
      <c r="PE40" t="s">
        <v>137</v>
      </c>
      <c r="PF40" t="s">
        <v>137</v>
      </c>
      <c r="PG40" t="s">
        <v>137</v>
      </c>
      <c r="PH40" t="s">
        <v>137</v>
      </c>
      <c r="PI40" t="s">
        <v>137</v>
      </c>
      <c r="PJ40" t="s">
        <v>137</v>
      </c>
      <c r="PK40" t="s">
        <v>137</v>
      </c>
      <c r="PL40" t="s">
        <v>137</v>
      </c>
      <c r="PM40" t="s">
        <v>137</v>
      </c>
      <c r="PN40" t="s">
        <v>137</v>
      </c>
      <c r="PO40" t="s">
        <v>137</v>
      </c>
      <c r="PP40" t="s">
        <v>137</v>
      </c>
      <c r="PQ40" t="s">
        <v>137</v>
      </c>
      <c r="PR40" t="s">
        <v>137</v>
      </c>
      <c r="PS40" t="s">
        <v>137</v>
      </c>
      <c r="PT40" t="s">
        <v>137</v>
      </c>
      <c r="PU40" t="s">
        <v>137</v>
      </c>
      <c r="PV40" t="s">
        <v>137</v>
      </c>
      <c r="PW40" t="s">
        <v>137</v>
      </c>
      <c r="PX40" t="s">
        <v>137</v>
      </c>
      <c r="PY40" t="s">
        <v>137</v>
      </c>
      <c r="PZ40" t="s">
        <v>137</v>
      </c>
      <c r="QA40" t="s">
        <v>137</v>
      </c>
      <c r="QB40" t="s">
        <v>137</v>
      </c>
      <c r="QC40" t="s">
        <v>137</v>
      </c>
      <c r="QD40" t="s">
        <v>137</v>
      </c>
      <c r="QE40" t="s">
        <v>137</v>
      </c>
      <c r="QF40" t="s">
        <v>137</v>
      </c>
      <c r="QG40" t="s">
        <v>137</v>
      </c>
      <c r="QH40" t="s">
        <v>137</v>
      </c>
      <c r="QI40" t="s">
        <v>137</v>
      </c>
      <c r="QJ40" t="s">
        <v>137</v>
      </c>
      <c r="QK40" t="s">
        <v>137</v>
      </c>
      <c r="QL40" t="s">
        <v>137</v>
      </c>
      <c r="QM40" t="s">
        <v>137</v>
      </c>
      <c r="QN40" t="s">
        <v>137</v>
      </c>
      <c r="QO40" t="s">
        <v>137</v>
      </c>
    </row>
    <row r="41" spans="1:457" x14ac:dyDescent="0.2">
      <c r="A41" t="s">
        <v>161</v>
      </c>
      <c r="B41" s="3">
        <v>40296</v>
      </c>
      <c r="C41" t="s">
        <v>24</v>
      </c>
      <c r="E41" t="s">
        <v>137</v>
      </c>
      <c r="F41" t="s">
        <v>137</v>
      </c>
      <c r="G41" t="s">
        <v>137</v>
      </c>
      <c r="H41" t="s">
        <v>137</v>
      </c>
      <c r="I41" t="s">
        <v>137</v>
      </c>
      <c r="J41" t="s">
        <v>137</v>
      </c>
      <c r="K41" t="s">
        <v>137</v>
      </c>
      <c r="L41" t="s">
        <v>137</v>
      </c>
      <c r="M41" t="s">
        <v>137</v>
      </c>
      <c r="N41" t="s">
        <v>137</v>
      </c>
      <c r="O41" t="s">
        <v>137</v>
      </c>
      <c r="P41" t="s">
        <v>137</v>
      </c>
      <c r="Q41" t="s">
        <v>137</v>
      </c>
      <c r="R41" t="s">
        <v>137</v>
      </c>
      <c r="S41" t="s">
        <v>137</v>
      </c>
      <c r="T41" t="s">
        <v>137</v>
      </c>
      <c r="U41" t="s">
        <v>137</v>
      </c>
      <c r="V41" t="s">
        <v>137</v>
      </c>
      <c r="W41" t="s">
        <v>137</v>
      </c>
      <c r="X41" t="s">
        <v>137</v>
      </c>
      <c r="Y41" t="s">
        <v>137</v>
      </c>
      <c r="Z41" t="s">
        <v>137</v>
      </c>
      <c r="AA41" t="s">
        <v>137</v>
      </c>
      <c r="AB41" t="s">
        <v>137</v>
      </c>
      <c r="AC41" t="s">
        <v>137</v>
      </c>
      <c r="AD41" t="s">
        <v>137</v>
      </c>
      <c r="AE41" t="s">
        <v>137</v>
      </c>
      <c r="AF41" t="s">
        <v>137</v>
      </c>
      <c r="AG41" t="s">
        <v>137</v>
      </c>
      <c r="AH41" t="s">
        <v>137</v>
      </c>
      <c r="AI41" t="s">
        <v>137</v>
      </c>
      <c r="AJ41" t="s">
        <v>137</v>
      </c>
      <c r="AK41" t="s">
        <v>137</v>
      </c>
      <c r="AL41" t="s">
        <v>137</v>
      </c>
      <c r="AM41" t="s">
        <v>137</v>
      </c>
      <c r="AN41" t="s">
        <v>137</v>
      </c>
      <c r="AO41" t="s">
        <v>137</v>
      </c>
      <c r="AP41" t="s">
        <v>137</v>
      </c>
      <c r="AQ41" t="s">
        <v>137</v>
      </c>
      <c r="AR41" t="s">
        <v>137</v>
      </c>
      <c r="AS41" t="s">
        <v>137</v>
      </c>
      <c r="AT41" t="s">
        <v>137</v>
      </c>
      <c r="AU41" t="s">
        <v>137</v>
      </c>
      <c r="AV41" t="s">
        <v>137</v>
      </c>
      <c r="AW41" t="s">
        <v>137</v>
      </c>
      <c r="AX41" t="s">
        <v>137</v>
      </c>
      <c r="AY41" t="s">
        <v>137</v>
      </c>
      <c r="AZ41" t="s">
        <v>137</v>
      </c>
      <c r="BA41" t="s">
        <v>137</v>
      </c>
      <c r="BB41" t="s">
        <v>137</v>
      </c>
      <c r="BC41" t="s">
        <v>137</v>
      </c>
      <c r="BD41" t="s">
        <v>137</v>
      </c>
      <c r="BE41" t="s">
        <v>137</v>
      </c>
      <c r="BF41" t="s">
        <v>137</v>
      </c>
      <c r="BG41" t="s">
        <v>137</v>
      </c>
      <c r="BH41" t="s">
        <v>137</v>
      </c>
      <c r="BI41" t="s">
        <v>137</v>
      </c>
      <c r="BJ41" t="s">
        <v>137</v>
      </c>
      <c r="BK41" t="s">
        <v>137</v>
      </c>
      <c r="BL41" t="s">
        <v>137</v>
      </c>
      <c r="BM41" t="s">
        <v>137</v>
      </c>
      <c r="BN41" t="s">
        <v>137</v>
      </c>
      <c r="BO41" t="s">
        <v>137</v>
      </c>
      <c r="BP41" t="s">
        <v>137</v>
      </c>
      <c r="BQ41" t="s">
        <v>137</v>
      </c>
      <c r="BR41" t="s">
        <v>137</v>
      </c>
      <c r="BS41" t="s">
        <v>137</v>
      </c>
      <c r="BT41" t="s">
        <v>137</v>
      </c>
      <c r="BU41" t="s">
        <v>137</v>
      </c>
      <c r="BV41" t="s">
        <v>137</v>
      </c>
      <c r="BW41" t="s">
        <v>137</v>
      </c>
      <c r="BX41" t="s">
        <v>137</v>
      </c>
      <c r="BY41" t="s">
        <v>137</v>
      </c>
      <c r="BZ41" t="s">
        <v>137</v>
      </c>
      <c r="CA41" t="s">
        <v>137</v>
      </c>
      <c r="CB41" t="s">
        <v>137</v>
      </c>
      <c r="CC41" t="s">
        <v>137</v>
      </c>
      <c r="CD41" t="s">
        <v>137</v>
      </c>
      <c r="CE41" t="s">
        <v>137</v>
      </c>
      <c r="CF41" t="s">
        <v>137</v>
      </c>
      <c r="CG41" t="s">
        <v>137</v>
      </c>
      <c r="CH41" t="s">
        <v>137</v>
      </c>
      <c r="CI41" t="s">
        <v>137</v>
      </c>
      <c r="CJ41" t="s">
        <v>137</v>
      </c>
      <c r="CK41" t="s">
        <v>137</v>
      </c>
      <c r="CL41" t="s">
        <v>137</v>
      </c>
      <c r="CM41" t="s">
        <v>137</v>
      </c>
      <c r="CN41" t="s">
        <v>137</v>
      </c>
      <c r="CO41" t="s">
        <v>137</v>
      </c>
      <c r="CP41" t="s">
        <v>137</v>
      </c>
      <c r="CQ41" t="s">
        <v>137</v>
      </c>
      <c r="CR41" t="s">
        <v>137</v>
      </c>
      <c r="CS41" t="s">
        <v>137</v>
      </c>
      <c r="CT41" t="s">
        <v>137</v>
      </c>
      <c r="CU41" t="s">
        <v>137</v>
      </c>
      <c r="CV41" t="s">
        <v>137</v>
      </c>
      <c r="CW41" t="s">
        <v>137</v>
      </c>
      <c r="CX41" t="s">
        <v>137</v>
      </c>
      <c r="CY41" t="s">
        <v>137</v>
      </c>
      <c r="CZ41" t="s">
        <v>137</v>
      </c>
      <c r="DA41" t="s">
        <v>137</v>
      </c>
      <c r="DB41" t="s">
        <v>137</v>
      </c>
      <c r="DC41" t="s">
        <v>137</v>
      </c>
      <c r="DD41" t="s">
        <v>137</v>
      </c>
      <c r="DE41" t="s">
        <v>137</v>
      </c>
      <c r="DF41" t="s">
        <v>137</v>
      </c>
      <c r="DG41" t="s">
        <v>137</v>
      </c>
      <c r="DH41" t="s">
        <v>137</v>
      </c>
      <c r="DI41" t="s">
        <v>137</v>
      </c>
      <c r="DJ41" t="s">
        <v>137</v>
      </c>
      <c r="DK41" t="s">
        <v>137</v>
      </c>
      <c r="DL41" t="s">
        <v>137</v>
      </c>
      <c r="DM41" t="s">
        <v>137</v>
      </c>
      <c r="DN41" t="s">
        <v>137</v>
      </c>
      <c r="DO41" t="s">
        <v>137</v>
      </c>
      <c r="DP41" t="s">
        <v>137</v>
      </c>
      <c r="DQ41" t="s">
        <v>137</v>
      </c>
      <c r="DR41" t="s">
        <v>137</v>
      </c>
      <c r="DS41" t="s">
        <v>137</v>
      </c>
      <c r="DT41" t="s">
        <v>137</v>
      </c>
      <c r="DU41" t="s">
        <v>137</v>
      </c>
      <c r="DV41" t="s">
        <v>137</v>
      </c>
      <c r="DW41" t="s">
        <v>137</v>
      </c>
      <c r="DX41" t="s">
        <v>137</v>
      </c>
      <c r="DY41" t="s">
        <v>137</v>
      </c>
      <c r="DZ41" t="s">
        <v>137</v>
      </c>
      <c r="EA41" t="s">
        <v>137</v>
      </c>
      <c r="EB41" t="s">
        <v>137</v>
      </c>
      <c r="EC41" t="s">
        <v>137</v>
      </c>
      <c r="ED41" t="s">
        <v>137</v>
      </c>
      <c r="EE41" t="s">
        <v>137</v>
      </c>
      <c r="EF41" t="s">
        <v>137</v>
      </c>
      <c r="EG41" t="s">
        <v>137</v>
      </c>
      <c r="EH41" t="s">
        <v>137</v>
      </c>
      <c r="EI41" t="s">
        <v>137</v>
      </c>
      <c r="EJ41" t="s">
        <v>137</v>
      </c>
      <c r="EK41" t="s">
        <v>137</v>
      </c>
      <c r="EL41" t="s">
        <v>137</v>
      </c>
      <c r="EM41" t="s">
        <v>137</v>
      </c>
      <c r="EN41" t="s">
        <v>137</v>
      </c>
      <c r="EO41" t="s">
        <v>137</v>
      </c>
      <c r="EP41" t="s">
        <v>137</v>
      </c>
      <c r="EQ41" t="s">
        <v>137</v>
      </c>
      <c r="ER41" t="s">
        <v>137</v>
      </c>
      <c r="ES41" t="s">
        <v>137</v>
      </c>
      <c r="ET41" t="s">
        <v>137</v>
      </c>
      <c r="EU41" t="s">
        <v>137</v>
      </c>
      <c r="EV41" t="s">
        <v>137</v>
      </c>
      <c r="EW41" t="s">
        <v>137</v>
      </c>
      <c r="EX41" t="s">
        <v>137</v>
      </c>
      <c r="EY41" t="s">
        <v>137</v>
      </c>
      <c r="EZ41" t="s">
        <v>137</v>
      </c>
      <c r="FA41" t="s">
        <v>137</v>
      </c>
      <c r="FB41" t="s">
        <v>137</v>
      </c>
      <c r="FC41" t="s">
        <v>137</v>
      </c>
      <c r="FD41" t="s">
        <v>137</v>
      </c>
      <c r="FE41" t="s">
        <v>137</v>
      </c>
      <c r="FF41" t="s">
        <v>137</v>
      </c>
      <c r="FG41" t="s">
        <v>137</v>
      </c>
      <c r="FH41" t="s">
        <v>137</v>
      </c>
      <c r="FI41" t="s">
        <v>137</v>
      </c>
      <c r="FJ41" t="s">
        <v>137</v>
      </c>
      <c r="FK41" t="s">
        <v>137</v>
      </c>
      <c r="FL41" t="s">
        <v>137</v>
      </c>
      <c r="FM41" t="s">
        <v>137</v>
      </c>
      <c r="FN41" t="s">
        <v>137</v>
      </c>
      <c r="FO41" t="s">
        <v>137</v>
      </c>
      <c r="FP41" t="s">
        <v>137</v>
      </c>
      <c r="FQ41" t="s">
        <v>137</v>
      </c>
      <c r="FR41" t="s">
        <v>137</v>
      </c>
      <c r="FS41" t="s">
        <v>137</v>
      </c>
      <c r="FT41" t="s">
        <v>137</v>
      </c>
      <c r="FU41" t="s">
        <v>137</v>
      </c>
      <c r="FV41" t="s">
        <v>137</v>
      </c>
      <c r="FW41" t="s">
        <v>137</v>
      </c>
      <c r="FX41" t="s">
        <v>137</v>
      </c>
      <c r="FY41" t="s">
        <v>137</v>
      </c>
      <c r="FZ41" t="s">
        <v>137</v>
      </c>
      <c r="GA41" t="s">
        <v>137</v>
      </c>
      <c r="GB41" t="s">
        <v>137</v>
      </c>
      <c r="GC41" t="s">
        <v>137</v>
      </c>
      <c r="GD41" t="s">
        <v>137</v>
      </c>
      <c r="GE41" t="s">
        <v>137</v>
      </c>
      <c r="GF41" t="s">
        <v>137</v>
      </c>
      <c r="GG41" t="s">
        <v>137</v>
      </c>
      <c r="GH41" t="s">
        <v>137</v>
      </c>
      <c r="GI41" t="s">
        <v>137</v>
      </c>
      <c r="GJ41" t="s">
        <v>137</v>
      </c>
      <c r="GK41" t="s">
        <v>137</v>
      </c>
      <c r="GL41" t="s">
        <v>137</v>
      </c>
      <c r="GM41" t="s">
        <v>137</v>
      </c>
      <c r="GN41" t="s">
        <v>137</v>
      </c>
      <c r="GO41" t="s">
        <v>137</v>
      </c>
      <c r="GP41" t="s">
        <v>137</v>
      </c>
      <c r="GQ41" t="s">
        <v>137</v>
      </c>
      <c r="GR41" t="s">
        <v>137</v>
      </c>
      <c r="GS41" t="s">
        <v>137</v>
      </c>
      <c r="GT41" t="s">
        <v>137</v>
      </c>
      <c r="GU41" t="s">
        <v>137</v>
      </c>
      <c r="GV41" t="s">
        <v>137</v>
      </c>
      <c r="GW41" t="s">
        <v>137</v>
      </c>
      <c r="GX41" t="s">
        <v>137</v>
      </c>
      <c r="GY41" t="s">
        <v>137</v>
      </c>
      <c r="GZ41" t="s">
        <v>137</v>
      </c>
      <c r="HA41" t="s">
        <v>137</v>
      </c>
      <c r="HB41" t="s">
        <v>137</v>
      </c>
      <c r="HC41" t="s">
        <v>137</v>
      </c>
      <c r="HD41" t="s">
        <v>137</v>
      </c>
      <c r="HE41" t="s">
        <v>137</v>
      </c>
      <c r="HF41" t="s">
        <v>137</v>
      </c>
      <c r="HG41" t="s">
        <v>137</v>
      </c>
      <c r="HH41" t="s">
        <v>137</v>
      </c>
      <c r="HI41" t="s">
        <v>137</v>
      </c>
      <c r="HJ41" t="s">
        <v>137</v>
      </c>
      <c r="HK41" t="s">
        <v>137</v>
      </c>
      <c r="HL41" t="s">
        <v>137</v>
      </c>
      <c r="HM41" t="s">
        <v>137</v>
      </c>
      <c r="HN41" t="s">
        <v>137</v>
      </c>
      <c r="HO41" t="s">
        <v>137</v>
      </c>
      <c r="HP41" t="s">
        <v>137</v>
      </c>
      <c r="HQ41" t="s">
        <v>137</v>
      </c>
      <c r="HR41" t="s">
        <v>137</v>
      </c>
      <c r="HS41" t="s">
        <v>137</v>
      </c>
      <c r="HT41" t="s">
        <v>137</v>
      </c>
      <c r="HU41" t="s">
        <v>137</v>
      </c>
      <c r="HV41" t="s">
        <v>137</v>
      </c>
      <c r="HW41" t="s">
        <v>137</v>
      </c>
      <c r="HX41" t="s">
        <v>137</v>
      </c>
      <c r="HY41" t="s">
        <v>137</v>
      </c>
      <c r="HZ41" t="s">
        <v>137</v>
      </c>
      <c r="IA41" t="s">
        <v>137</v>
      </c>
      <c r="IB41" t="s">
        <v>137</v>
      </c>
      <c r="IC41" t="s">
        <v>137</v>
      </c>
      <c r="ID41" t="s">
        <v>137</v>
      </c>
      <c r="IE41" t="s">
        <v>137</v>
      </c>
      <c r="IF41" t="s">
        <v>137</v>
      </c>
      <c r="IG41" t="s">
        <v>137</v>
      </c>
      <c r="IH41" t="s">
        <v>137</v>
      </c>
      <c r="II41" t="s">
        <v>137</v>
      </c>
      <c r="IJ41" t="s">
        <v>137</v>
      </c>
      <c r="IK41" t="s">
        <v>137</v>
      </c>
      <c r="IL41" t="s">
        <v>137</v>
      </c>
      <c r="IM41" t="s">
        <v>137</v>
      </c>
      <c r="IN41" t="s">
        <v>137</v>
      </c>
      <c r="IO41" t="s">
        <v>137</v>
      </c>
      <c r="IP41" t="s">
        <v>137</v>
      </c>
      <c r="IQ41" t="s">
        <v>137</v>
      </c>
      <c r="IR41" t="s">
        <v>137</v>
      </c>
      <c r="IS41" t="s">
        <v>137</v>
      </c>
      <c r="IT41" t="s">
        <v>137</v>
      </c>
      <c r="IU41" t="s">
        <v>137</v>
      </c>
      <c r="IV41" t="s">
        <v>137</v>
      </c>
      <c r="IW41" t="s">
        <v>137</v>
      </c>
      <c r="IX41" t="s">
        <v>137</v>
      </c>
      <c r="IY41" t="s">
        <v>137</v>
      </c>
      <c r="IZ41" t="s">
        <v>137</v>
      </c>
      <c r="JA41" t="s">
        <v>137</v>
      </c>
      <c r="JB41" t="s">
        <v>137</v>
      </c>
      <c r="JC41" t="s">
        <v>137</v>
      </c>
      <c r="JD41" t="s">
        <v>137</v>
      </c>
      <c r="JE41" t="s">
        <v>137</v>
      </c>
      <c r="JF41" t="s">
        <v>137</v>
      </c>
      <c r="JG41" t="s">
        <v>137</v>
      </c>
      <c r="JH41" t="s">
        <v>137</v>
      </c>
      <c r="JI41" t="s">
        <v>137</v>
      </c>
      <c r="JJ41" t="s">
        <v>137</v>
      </c>
      <c r="JK41" t="s">
        <v>137</v>
      </c>
      <c r="JL41" t="s">
        <v>137</v>
      </c>
      <c r="JM41" t="s">
        <v>137</v>
      </c>
      <c r="JN41" t="s">
        <v>137</v>
      </c>
      <c r="JO41" t="s">
        <v>137</v>
      </c>
      <c r="JP41" t="s">
        <v>137</v>
      </c>
      <c r="JQ41" t="s">
        <v>137</v>
      </c>
      <c r="JR41" t="s">
        <v>137</v>
      </c>
      <c r="JS41" t="s">
        <v>137</v>
      </c>
      <c r="JT41" t="s">
        <v>137</v>
      </c>
      <c r="JU41" t="s">
        <v>137</v>
      </c>
      <c r="JV41" t="s">
        <v>137</v>
      </c>
      <c r="JW41" t="s">
        <v>137</v>
      </c>
      <c r="JX41" t="s">
        <v>137</v>
      </c>
      <c r="JY41" t="s">
        <v>137</v>
      </c>
      <c r="JZ41" t="s">
        <v>137</v>
      </c>
      <c r="KA41" t="s">
        <v>137</v>
      </c>
      <c r="KB41" t="s">
        <v>137</v>
      </c>
      <c r="KC41" t="s">
        <v>137</v>
      </c>
      <c r="KD41" t="s">
        <v>137</v>
      </c>
      <c r="KE41" t="s">
        <v>137</v>
      </c>
      <c r="KF41" t="s">
        <v>137</v>
      </c>
      <c r="KG41" t="s">
        <v>137</v>
      </c>
      <c r="KH41" t="s">
        <v>137</v>
      </c>
      <c r="KI41" t="s">
        <v>137</v>
      </c>
      <c r="KJ41" t="s">
        <v>137</v>
      </c>
      <c r="KK41" t="s">
        <v>137</v>
      </c>
      <c r="KL41" t="s">
        <v>137</v>
      </c>
      <c r="KM41" t="s">
        <v>137</v>
      </c>
      <c r="KN41" t="s">
        <v>137</v>
      </c>
      <c r="KO41" t="s">
        <v>137</v>
      </c>
      <c r="KP41" t="s">
        <v>137</v>
      </c>
      <c r="KQ41" t="s">
        <v>137</v>
      </c>
      <c r="KR41" t="s">
        <v>137</v>
      </c>
      <c r="KS41" t="s">
        <v>137</v>
      </c>
      <c r="KT41" t="s">
        <v>137</v>
      </c>
      <c r="KU41" t="s">
        <v>137</v>
      </c>
      <c r="KV41" t="s">
        <v>137</v>
      </c>
      <c r="KW41" t="s">
        <v>137</v>
      </c>
      <c r="KX41" t="s">
        <v>137</v>
      </c>
      <c r="KY41" t="s">
        <v>137</v>
      </c>
      <c r="KZ41" t="s">
        <v>137</v>
      </c>
      <c r="LA41" t="s">
        <v>137</v>
      </c>
      <c r="LB41" t="s">
        <v>137</v>
      </c>
      <c r="LC41" t="s">
        <v>137</v>
      </c>
      <c r="LD41" t="s">
        <v>137</v>
      </c>
      <c r="LE41" t="s">
        <v>137</v>
      </c>
      <c r="LF41" t="s">
        <v>137</v>
      </c>
      <c r="LG41" t="s">
        <v>137</v>
      </c>
      <c r="LH41" t="s">
        <v>137</v>
      </c>
      <c r="LI41" t="s">
        <v>137</v>
      </c>
      <c r="LJ41" t="s">
        <v>137</v>
      </c>
      <c r="LK41" t="s">
        <v>137</v>
      </c>
      <c r="LL41" t="s">
        <v>137</v>
      </c>
      <c r="LM41" t="s">
        <v>137</v>
      </c>
      <c r="LN41" t="s">
        <v>137</v>
      </c>
      <c r="LO41" t="s">
        <v>137</v>
      </c>
      <c r="LP41" t="s">
        <v>137</v>
      </c>
      <c r="LQ41" t="s">
        <v>137</v>
      </c>
      <c r="LR41" t="s">
        <v>137</v>
      </c>
      <c r="LS41" t="s">
        <v>137</v>
      </c>
      <c r="LT41" t="s">
        <v>137</v>
      </c>
      <c r="LU41" t="s">
        <v>137</v>
      </c>
      <c r="LV41" t="s">
        <v>137</v>
      </c>
      <c r="LW41" t="s">
        <v>137</v>
      </c>
      <c r="LX41" t="s">
        <v>137</v>
      </c>
      <c r="LY41" t="s">
        <v>137</v>
      </c>
      <c r="LZ41" t="s">
        <v>137</v>
      </c>
      <c r="MA41" t="s">
        <v>137</v>
      </c>
      <c r="MB41" t="s">
        <v>137</v>
      </c>
      <c r="MC41" t="s">
        <v>137</v>
      </c>
      <c r="MD41" t="s">
        <v>137</v>
      </c>
      <c r="ME41" t="s">
        <v>137</v>
      </c>
      <c r="MF41" t="s">
        <v>137</v>
      </c>
      <c r="MG41" t="s">
        <v>137</v>
      </c>
      <c r="MH41" t="s">
        <v>137</v>
      </c>
      <c r="MI41" t="s">
        <v>137</v>
      </c>
      <c r="MJ41" t="s">
        <v>137</v>
      </c>
      <c r="MK41" t="s">
        <v>137</v>
      </c>
      <c r="ML41" t="s">
        <v>137</v>
      </c>
      <c r="MM41" t="s">
        <v>137</v>
      </c>
      <c r="MN41" t="s">
        <v>137</v>
      </c>
      <c r="MO41" t="s">
        <v>137</v>
      </c>
      <c r="MP41" t="s">
        <v>137</v>
      </c>
      <c r="MQ41" t="s">
        <v>137</v>
      </c>
      <c r="MR41" t="s">
        <v>137</v>
      </c>
      <c r="MS41" t="s">
        <v>137</v>
      </c>
      <c r="MT41" t="s">
        <v>137</v>
      </c>
      <c r="MU41" t="s">
        <v>137</v>
      </c>
      <c r="MV41" t="s">
        <v>137</v>
      </c>
      <c r="MW41" t="s">
        <v>137</v>
      </c>
      <c r="MX41" t="s">
        <v>137</v>
      </c>
      <c r="MY41" t="s">
        <v>137</v>
      </c>
      <c r="MZ41" t="s">
        <v>137</v>
      </c>
      <c r="NA41" t="s">
        <v>137</v>
      </c>
      <c r="NB41" t="s">
        <v>137</v>
      </c>
      <c r="NC41" t="s">
        <v>137</v>
      </c>
      <c r="ND41" t="s">
        <v>137</v>
      </c>
      <c r="NE41" t="s">
        <v>137</v>
      </c>
      <c r="NF41" t="s">
        <v>137</v>
      </c>
      <c r="NG41" t="s">
        <v>137</v>
      </c>
      <c r="NH41" t="s">
        <v>137</v>
      </c>
      <c r="NI41" t="s">
        <v>137</v>
      </c>
      <c r="NJ41" t="s">
        <v>137</v>
      </c>
      <c r="NK41" t="s">
        <v>137</v>
      </c>
      <c r="NL41" t="s">
        <v>137</v>
      </c>
      <c r="NM41" t="s">
        <v>137</v>
      </c>
      <c r="NN41" t="s">
        <v>137</v>
      </c>
      <c r="NO41" t="s">
        <v>137</v>
      </c>
      <c r="NP41" t="s">
        <v>137</v>
      </c>
      <c r="NQ41" t="s">
        <v>137</v>
      </c>
      <c r="NR41" t="s">
        <v>137</v>
      </c>
      <c r="NS41" t="s">
        <v>137</v>
      </c>
      <c r="NT41" t="s">
        <v>137</v>
      </c>
      <c r="NU41" t="s">
        <v>137</v>
      </c>
      <c r="NV41" t="s">
        <v>137</v>
      </c>
      <c r="NW41" t="s">
        <v>137</v>
      </c>
      <c r="NX41" t="s">
        <v>137</v>
      </c>
      <c r="NY41" t="s">
        <v>137</v>
      </c>
      <c r="NZ41" t="s">
        <v>137</v>
      </c>
      <c r="OA41" t="s">
        <v>137</v>
      </c>
      <c r="OB41" t="s">
        <v>137</v>
      </c>
      <c r="OC41" t="s">
        <v>137</v>
      </c>
      <c r="OD41" t="s">
        <v>137</v>
      </c>
      <c r="OE41" t="s">
        <v>137</v>
      </c>
      <c r="OF41" t="s">
        <v>137</v>
      </c>
      <c r="OG41" t="s">
        <v>137</v>
      </c>
      <c r="OH41" t="s">
        <v>137</v>
      </c>
      <c r="OI41" t="s">
        <v>137</v>
      </c>
      <c r="OJ41" t="s">
        <v>137</v>
      </c>
      <c r="OK41" t="s">
        <v>137</v>
      </c>
      <c r="OL41" t="s">
        <v>137</v>
      </c>
      <c r="OM41" t="s">
        <v>137</v>
      </c>
      <c r="ON41" t="s">
        <v>137</v>
      </c>
      <c r="OO41" t="s">
        <v>137</v>
      </c>
      <c r="OP41" t="s">
        <v>137</v>
      </c>
      <c r="OQ41" t="s">
        <v>137</v>
      </c>
      <c r="OR41" t="s">
        <v>137</v>
      </c>
      <c r="OS41" t="s">
        <v>137</v>
      </c>
      <c r="OT41" t="s">
        <v>137</v>
      </c>
      <c r="OU41" t="s">
        <v>137</v>
      </c>
      <c r="OV41" t="s">
        <v>137</v>
      </c>
      <c r="OW41" t="s">
        <v>137</v>
      </c>
      <c r="OX41" t="s">
        <v>137</v>
      </c>
      <c r="OY41" t="s">
        <v>137</v>
      </c>
      <c r="OZ41" t="s">
        <v>137</v>
      </c>
      <c r="PA41" t="s">
        <v>137</v>
      </c>
      <c r="PB41" t="s">
        <v>137</v>
      </c>
      <c r="PC41" t="s">
        <v>137</v>
      </c>
      <c r="PD41" t="s">
        <v>137</v>
      </c>
      <c r="PE41" t="s">
        <v>137</v>
      </c>
      <c r="PF41" t="s">
        <v>137</v>
      </c>
      <c r="PG41" t="s">
        <v>137</v>
      </c>
      <c r="PH41" t="s">
        <v>137</v>
      </c>
      <c r="PI41" t="s">
        <v>137</v>
      </c>
      <c r="PJ41" t="s">
        <v>137</v>
      </c>
      <c r="PK41" t="s">
        <v>137</v>
      </c>
      <c r="PL41" t="s">
        <v>137</v>
      </c>
      <c r="PM41" t="s">
        <v>137</v>
      </c>
      <c r="PN41" t="s">
        <v>137</v>
      </c>
      <c r="PO41" t="s">
        <v>137</v>
      </c>
      <c r="PP41" t="s">
        <v>137</v>
      </c>
      <c r="PQ41" t="s">
        <v>137</v>
      </c>
      <c r="PR41" t="s">
        <v>137</v>
      </c>
      <c r="PS41" t="s">
        <v>137</v>
      </c>
      <c r="PT41" t="s">
        <v>137</v>
      </c>
      <c r="PU41" t="s">
        <v>137</v>
      </c>
      <c r="PV41" t="s">
        <v>137</v>
      </c>
      <c r="PW41" t="s">
        <v>137</v>
      </c>
      <c r="PX41" t="s">
        <v>137</v>
      </c>
      <c r="PY41" t="s">
        <v>137</v>
      </c>
      <c r="PZ41" t="s">
        <v>137</v>
      </c>
      <c r="QA41" t="s">
        <v>137</v>
      </c>
      <c r="QB41" t="s">
        <v>137</v>
      </c>
      <c r="QC41" t="s">
        <v>137</v>
      </c>
      <c r="QD41" t="s">
        <v>137</v>
      </c>
      <c r="QE41" t="s">
        <v>137</v>
      </c>
      <c r="QF41" t="s">
        <v>137</v>
      </c>
      <c r="QG41" t="s">
        <v>137</v>
      </c>
      <c r="QH41" t="s">
        <v>137</v>
      </c>
      <c r="QI41" t="s">
        <v>137</v>
      </c>
      <c r="QJ41" t="s">
        <v>137</v>
      </c>
      <c r="QK41" t="s">
        <v>137</v>
      </c>
      <c r="QL41" t="s">
        <v>137</v>
      </c>
      <c r="QM41" t="s">
        <v>137</v>
      </c>
      <c r="QN41" t="s">
        <v>137</v>
      </c>
      <c r="QO41" t="s">
        <v>137</v>
      </c>
    </row>
    <row r="42" spans="1:457" x14ac:dyDescent="0.2">
      <c r="A42" t="s">
        <v>154</v>
      </c>
      <c r="B42" s="3">
        <v>38626</v>
      </c>
      <c r="C42" t="s">
        <v>15</v>
      </c>
      <c r="E42" t="s">
        <v>137</v>
      </c>
      <c r="F42">
        <v>23.965499999999999</v>
      </c>
      <c r="G42">
        <v>28.522600000000001</v>
      </c>
      <c r="H42">
        <v>28.3843</v>
      </c>
      <c r="I42">
        <v>25.147600000000001</v>
      </c>
      <c r="J42">
        <v>22.9892</v>
      </c>
      <c r="K42" t="s">
        <v>137</v>
      </c>
      <c r="L42" t="s">
        <v>137</v>
      </c>
      <c r="M42">
        <v>23.11</v>
      </c>
      <c r="N42">
        <v>23.966000000000001</v>
      </c>
      <c r="O42">
        <v>23.383099999999999</v>
      </c>
      <c r="P42">
        <v>23.6233</v>
      </c>
      <c r="Q42">
        <v>24.5364</v>
      </c>
      <c r="R42" t="s">
        <v>137</v>
      </c>
      <c r="S42" t="s">
        <v>137</v>
      </c>
      <c r="T42">
        <v>24.122800000000002</v>
      </c>
      <c r="U42">
        <v>24.0108</v>
      </c>
      <c r="V42">
        <v>22.448399999999999</v>
      </c>
      <c r="W42">
        <v>22.535599999999999</v>
      </c>
      <c r="X42">
        <v>22.497199999999999</v>
      </c>
      <c r="Y42" t="s">
        <v>137</v>
      </c>
      <c r="Z42" t="s">
        <v>137</v>
      </c>
      <c r="AA42">
        <v>22.734999999999999</v>
      </c>
      <c r="AB42">
        <v>23.2881</v>
      </c>
      <c r="AC42">
        <v>23.686299999999999</v>
      </c>
      <c r="AD42">
        <v>23.0946</v>
      </c>
      <c r="AE42">
        <v>22.548999999999999</v>
      </c>
      <c r="AF42" t="s">
        <v>137</v>
      </c>
      <c r="AG42" t="s">
        <v>137</v>
      </c>
      <c r="AH42">
        <v>22.645800000000001</v>
      </c>
      <c r="AI42">
        <v>22.639700000000001</v>
      </c>
      <c r="AJ42">
        <v>22.400099999999998</v>
      </c>
      <c r="AK42">
        <v>22.409800000000001</v>
      </c>
      <c r="AL42">
        <v>22.5884</v>
      </c>
      <c r="AM42" t="s">
        <v>137</v>
      </c>
      <c r="AN42" t="s">
        <v>137</v>
      </c>
      <c r="AO42">
        <v>22.241499999999998</v>
      </c>
      <c r="AP42">
        <v>21.986699999999999</v>
      </c>
      <c r="AQ42">
        <v>21.816099999999999</v>
      </c>
      <c r="AR42">
        <v>21.098400000000002</v>
      </c>
      <c r="AS42">
        <v>19.514199999999999</v>
      </c>
      <c r="AT42" t="s">
        <v>137</v>
      </c>
      <c r="AU42" t="s">
        <v>137</v>
      </c>
      <c r="AV42">
        <v>19.989599999999999</v>
      </c>
      <c r="AW42">
        <v>20.348600000000001</v>
      </c>
      <c r="AX42">
        <v>20.5611</v>
      </c>
      <c r="AY42">
        <v>20.986999999999998</v>
      </c>
      <c r="AZ42">
        <v>21.047000000000001</v>
      </c>
      <c r="BA42" t="s">
        <v>137</v>
      </c>
      <c r="BB42" t="s">
        <v>137</v>
      </c>
      <c r="BC42">
        <v>21.134399999999999</v>
      </c>
      <c r="BD42">
        <v>21.921299999999999</v>
      </c>
      <c r="BE42">
        <v>22.169799999999999</v>
      </c>
      <c r="BF42">
        <v>21.299199999999999</v>
      </c>
      <c r="BG42">
        <v>21.779599999999999</v>
      </c>
      <c r="BH42" t="s">
        <v>137</v>
      </c>
      <c r="BI42" t="s">
        <v>137</v>
      </c>
      <c r="BJ42">
        <v>22.521899999999999</v>
      </c>
      <c r="BK42">
        <v>22.819099999999999</v>
      </c>
      <c r="BL42">
        <v>22.777699999999999</v>
      </c>
      <c r="BM42">
        <v>22.767800000000001</v>
      </c>
      <c r="BN42">
        <v>22.753799999999998</v>
      </c>
      <c r="BO42" t="s">
        <v>137</v>
      </c>
      <c r="BP42" t="s">
        <v>137</v>
      </c>
      <c r="BQ42">
        <v>22.9041</v>
      </c>
      <c r="BR42">
        <v>22.656099999999999</v>
      </c>
      <c r="BS42">
        <v>22.792899999999999</v>
      </c>
      <c r="BT42">
        <v>23.101700000000001</v>
      </c>
      <c r="BU42">
        <v>23.178999999999998</v>
      </c>
      <c r="BV42" t="s">
        <v>137</v>
      </c>
      <c r="BW42" t="s">
        <v>137</v>
      </c>
      <c r="BX42">
        <v>24.005299999999998</v>
      </c>
      <c r="BY42">
        <v>24.269500000000001</v>
      </c>
      <c r="BZ42">
        <v>23.9176</v>
      </c>
      <c r="CA42">
        <v>24.181000000000001</v>
      </c>
      <c r="CB42">
        <v>24.093399999999999</v>
      </c>
      <c r="CC42" t="s">
        <v>137</v>
      </c>
      <c r="CD42" t="s">
        <v>137</v>
      </c>
      <c r="CE42">
        <v>24.018899999999999</v>
      </c>
      <c r="CF42">
        <v>24.235199999999999</v>
      </c>
      <c r="CG42">
        <v>23.083500000000001</v>
      </c>
      <c r="CH42">
        <v>23.260300000000001</v>
      </c>
      <c r="CI42">
        <v>23.254799999999999</v>
      </c>
      <c r="CJ42" t="s">
        <v>137</v>
      </c>
      <c r="CK42" t="s">
        <v>137</v>
      </c>
      <c r="CL42">
        <v>23.535</v>
      </c>
      <c r="CM42">
        <v>23.8919</v>
      </c>
      <c r="CN42">
        <v>23.907699999999998</v>
      </c>
      <c r="CO42">
        <v>23.939</v>
      </c>
      <c r="CP42">
        <v>23.956700000000001</v>
      </c>
      <c r="CQ42" t="s">
        <v>137</v>
      </c>
      <c r="CR42" t="s">
        <v>137</v>
      </c>
      <c r="CS42">
        <v>24.0474</v>
      </c>
      <c r="CT42">
        <v>23.987500000000001</v>
      </c>
      <c r="CU42">
        <v>24.034400000000002</v>
      </c>
      <c r="CV42">
        <v>24.117100000000001</v>
      </c>
      <c r="CW42">
        <v>24.1325</v>
      </c>
      <c r="CX42" t="s">
        <v>137</v>
      </c>
      <c r="CY42" t="s">
        <v>137</v>
      </c>
      <c r="CZ42">
        <v>24.132300000000001</v>
      </c>
      <c r="DA42">
        <v>24.150700000000001</v>
      </c>
      <c r="DB42">
        <v>24.136199999999999</v>
      </c>
      <c r="DC42">
        <v>23.863900000000001</v>
      </c>
      <c r="DD42">
        <v>23.842199999999998</v>
      </c>
      <c r="DE42" t="s">
        <v>137</v>
      </c>
      <c r="DF42" t="s">
        <v>137</v>
      </c>
      <c r="DG42">
        <v>23.875800000000002</v>
      </c>
      <c r="DH42">
        <v>23.865600000000001</v>
      </c>
      <c r="DI42">
        <v>23.917999999999999</v>
      </c>
      <c r="DJ42">
        <v>20.998200000000001</v>
      </c>
      <c r="DK42">
        <v>20.886299999999999</v>
      </c>
      <c r="DL42" t="s">
        <v>137</v>
      </c>
      <c r="DM42" t="s">
        <v>137</v>
      </c>
      <c r="DN42">
        <v>20.860399999999998</v>
      </c>
      <c r="DO42">
        <v>20.8583</v>
      </c>
      <c r="DP42">
        <v>20.8704</v>
      </c>
      <c r="DQ42">
        <v>20.9069</v>
      </c>
      <c r="DR42">
        <v>18.899999999999999</v>
      </c>
      <c r="DS42" t="s">
        <v>137</v>
      </c>
      <c r="DT42" t="s">
        <v>137</v>
      </c>
      <c r="DU42">
        <v>18.0459</v>
      </c>
      <c r="DV42">
        <v>18.065000000000001</v>
      </c>
      <c r="DW42">
        <v>18.074300000000001</v>
      </c>
      <c r="DX42">
        <v>18.100300000000001</v>
      </c>
      <c r="DY42">
        <v>18.197099999999999</v>
      </c>
      <c r="DZ42" t="s">
        <v>137</v>
      </c>
      <c r="EA42" t="s">
        <v>137</v>
      </c>
      <c r="EB42">
        <v>18.2912</v>
      </c>
      <c r="EC42">
        <v>18.4786</v>
      </c>
      <c r="ED42">
        <v>18.148499999999999</v>
      </c>
      <c r="EE42">
        <v>17.811699999999998</v>
      </c>
      <c r="EF42">
        <v>17.494299999999999</v>
      </c>
      <c r="EG42" t="s">
        <v>137</v>
      </c>
      <c r="EH42" t="s">
        <v>137</v>
      </c>
      <c r="EI42">
        <v>17.759699999999999</v>
      </c>
      <c r="EJ42">
        <v>17.838899999999999</v>
      </c>
      <c r="EK42">
        <v>17.769200000000001</v>
      </c>
      <c r="EL42">
        <v>17.5946</v>
      </c>
      <c r="EM42">
        <v>17.707999999999998</v>
      </c>
      <c r="EN42" t="s">
        <v>137</v>
      </c>
      <c r="EO42" t="s">
        <v>137</v>
      </c>
      <c r="EP42">
        <v>17.787800000000001</v>
      </c>
      <c r="EQ42">
        <v>18.0609</v>
      </c>
      <c r="ER42">
        <v>18.7698</v>
      </c>
      <c r="ES42">
        <v>19.148900000000001</v>
      </c>
      <c r="ET42">
        <v>19.277999999999999</v>
      </c>
      <c r="EU42" t="s">
        <v>137</v>
      </c>
      <c r="EV42" t="s">
        <v>137</v>
      </c>
      <c r="EW42">
        <v>20.068999999999999</v>
      </c>
      <c r="EX42">
        <v>20.2028</v>
      </c>
      <c r="EY42">
        <v>19.971599999999999</v>
      </c>
      <c r="EZ42">
        <v>20.004799999999999</v>
      </c>
      <c r="FA42">
        <v>19.9497</v>
      </c>
      <c r="FB42" t="s">
        <v>137</v>
      </c>
      <c r="FC42" t="s">
        <v>137</v>
      </c>
      <c r="FD42">
        <v>19.716699999999999</v>
      </c>
      <c r="FE42">
        <v>19.437200000000001</v>
      </c>
      <c r="FF42">
        <v>18.866299999999999</v>
      </c>
      <c r="FG42">
        <v>18.796199999999999</v>
      </c>
      <c r="FH42">
        <v>17.9968</v>
      </c>
      <c r="FI42" t="s">
        <v>137</v>
      </c>
      <c r="FJ42" t="s">
        <v>137</v>
      </c>
      <c r="FK42">
        <v>18.353300000000001</v>
      </c>
      <c r="FL42">
        <v>18.380600000000001</v>
      </c>
      <c r="FM42">
        <v>18.417400000000001</v>
      </c>
      <c r="FN42">
        <v>19.1252</v>
      </c>
      <c r="FO42">
        <v>18.989100000000001</v>
      </c>
      <c r="FP42" t="s">
        <v>137</v>
      </c>
      <c r="FQ42" t="s">
        <v>137</v>
      </c>
      <c r="FR42">
        <v>19.278400000000001</v>
      </c>
      <c r="FS42">
        <v>19.1922</v>
      </c>
      <c r="FT42">
        <v>19.202400000000001</v>
      </c>
      <c r="FU42">
        <v>19.8277</v>
      </c>
      <c r="FV42">
        <v>19.341200000000001</v>
      </c>
      <c r="FW42" t="s">
        <v>137</v>
      </c>
      <c r="FX42" t="s">
        <v>137</v>
      </c>
      <c r="FY42">
        <v>19.578399999999998</v>
      </c>
      <c r="FZ42">
        <v>19.579000000000001</v>
      </c>
      <c r="GA42">
        <v>19.639500000000002</v>
      </c>
      <c r="GB42">
        <v>20.959700000000002</v>
      </c>
      <c r="GC42">
        <v>20.938600000000001</v>
      </c>
      <c r="GD42" t="s">
        <v>137</v>
      </c>
      <c r="GE42" t="s">
        <v>137</v>
      </c>
      <c r="GF42">
        <v>21.115500000000001</v>
      </c>
      <c r="GG42">
        <v>20.669</v>
      </c>
      <c r="GH42">
        <v>20.680499999999999</v>
      </c>
      <c r="GI42">
        <v>20.9496</v>
      </c>
      <c r="GJ42">
        <v>23.047899999999998</v>
      </c>
      <c r="GK42" t="s">
        <v>137</v>
      </c>
      <c r="GL42" t="s">
        <v>137</v>
      </c>
      <c r="GM42">
        <v>24.1279</v>
      </c>
      <c r="GN42">
        <v>25.271000000000001</v>
      </c>
      <c r="GO42">
        <v>26.673400000000001</v>
      </c>
      <c r="GP42">
        <v>28.976199999999999</v>
      </c>
      <c r="GQ42">
        <v>29.372800000000002</v>
      </c>
      <c r="GR42" t="s">
        <v>137</v>
      </c>
      <c r="GS42" t="s">
        <v>137</v>
      </c>
      <c r="GT42">
        <v>30.174900000000001</v>
      </c>
      <c r="GU42">
        <v>30.6021</v>
      </c>
      <c r="GV42">
        <v>31.315300000000001</v>
      </c>
      <c r="GW42">
        <v>34.013500000000001</v>
      </c>
      <c r="GX42">
        <v>34.261099999999999</v>
      </c>
      <c r="GY42" t="s">
        <v>137</v>
      </c>
      <c r="GZ42" t="s">
        <v>137</v>
      </c>
      <c r="HA42">
        <v>34.944200000000002</v>
      </c>
      <c r="HB42">
        <v>34.971299999999999</v>
      </c>
      <c r="HC42">
        <v>34.998600000000003</v>
      </c>
      <c r="HD42">
        <v>34.3476</v>
      </c>
      <c r="HE42">
        <v>35.107399999999998</v>
      </c>
      <c r="HF42" t="s">
        <v>137</v>
      </c>
      <c r="HG42" t="s">
        <v>137</v>
      </c>
      <c r="HH42">
        <v>35.678899999999999</v>
      </c>
      <c r="HI42">
        <v>34.120800000000003</v>
      </c>
      <c r="HJ42">
        <v>33.6479</v>
      </c>
      <c r="HK42">
        <v>32.303400000000003</v>
      </c>
      <c r="HL42">
        <v>32.101199999999999</v>
      </c>
      <c r="HM42" t="s">
        <v>137</v>
      </c>
      <c r="HN42" t="s">
        <v>137</v>
      </c>
      <c r="HO42">
        <v>31.593699999999998</v>
      </c>
      <c r="HP42">
        <v>31.2715</v>
      </c>
      <c r="HQ42">
        <v>31.876200000000001</v>
      </c>
      <c r="HR42">
        <v>32.654800000000002</v>
      </c>
      <c r="HS42">
        <v>32.675600000000003</v>
      </c>
      <c r="HT42" t="s">
        <v>137</v>
      </c>
      <c r="HU42" t="s">
        <v>137</v>
      </c>
      <c r="HV42">
        <v>32.6997</v>
      </c>
      <c r="HW42">
        <v>32.088500000000003</v>
      </c>
      <c r="HX42">
        <v>34.388500000000001</v>
      </c>
      <c r="HY42">
        <v>34.597799999999999</v>
      </c>
      <c r="HZ42">
        <v>35.151600000000002</v>
      </c>
      <c r="IA42" t="s">
        <v>137</v>
      </c>
      <c r="IB42" t="s">
        <v>137</v>
      </c>
      <c r="IC42">
        <v>31.785299999999999</v>
      </c>
      <c r="ID42">
        <v>31.808499999999999</v>
      </c>
      <c r="IE42">
        <v>33.2119</v>
      </c>
      <c r="IF42">
        <v>34.7881</v>
      </c>
      <c r="IG42">
        <v>35.896299999999997</v>
      </c>
      <c r="IH42" t="s">
        <v>137</v>
      </c>
      <c r="II42" t="s">
        <v>137</v>
      </c>
      <c r="IJ42">
        <v>37.718499999999999</v>
      </c>
      <c r="IK42">
        <v>40.045200000000001</v>
      </c>
      <c r="IL42">
        <v>39.021299999999997</v>
      </c>
      <c r="IM42">
        <v>36.817300000000003</v>
      </c>
      <c r="IN42">
        <v>36.847799999999999</v>
      </c>
      <c r="IO42" t="s">
        <v>137</v>
      </c>
      <c r="IP42" t="s">
        <v>137</v>
      </c>
      <c r="IQ42">
        <v>42.738100000000003</v>
      </c>
      <c r="IR42">
        <v>39.9056</v>
      </c>
      <c r="IS42">
        <v>37.970399999999998</v>
      </c>
      <c r="IT42">
        <v>37.451999999999998</v>
      </c>
      <c r="IU42">
        <v>37.795900000000003</v>
      </c>
      <c r="IV42" t="s">
        <v>137</v>
      </c>
      <c r="IW42" t="s">
        <v>137</v>
      </c>
      <c r="IX42">
        <v>37.821899999999999</v>
      </c>
      <c r="IY42">
        <v>33.994900000000001</v>
      </c>
      <c r="IZ42">
        <v>34.298699999999997</v>
      </c>
      <c r="JA42">
        <v>35.349699999999999</v>
      </c>
      <c r="JB42">
        <v>32.430500000000002</v>
      </c>
      <c r="JC42" t="s">
        <v>137</v>
      </c>
      <c r="JD42" t="s">
        <v>137</v>
      </c>
      <c r="JE42">
        <v>31.244900000000001</v>
      </c>
      <c r="JF42">
        <v>30.786300000000001</v>
      </c>
      <c r="JG42">
        <v>31.831900000000001</v>
      </c>
      <c r="JH42">
        <v>32.063000000000002</v>
      </c>
      <c r="JI42">
        <v>33.097900000000003</v>
      </c>
      <c r="JJ42" t="s">
        <v>137</v>
      </c>
      <c r="JK42" t="s">
        <v>137</v>
      </c>
      <c r="JL42">
        <v>33.123399999999997</v>
      </c>
      <c r="JM42">
        <v>33.149099999999997</v>
      </c>
      <c r="JN42">
        <v>33.174700000000001</v>
      </c>
      <c r="JO42">
        <v>33.252099999999999</v>
      </c>
      <c r="JP42">
        <v>33.277999999999999</v>
      </c>
      <c r="JQ42" t="s">
        <v>137</v>
      </c>
      <c r="JR42" t="s">
        <v>137</v>
      </c>
      <c r="JS42">
        <v>26.184000000000001</v>
      </c>
      <c r="JT42">
        <v>25.414300000000001</v>
      </c>
      <c r="JU42">
        <v>24.9651</v>
      </c>
      <c r="JV42">
        <v>25.743500000000001</v>
      </c>
      <c r="JW42">
        <v>26.2011</v>
      </c>
      <c r="JX42" t="s">
        <v>137</v>
      </c>
      <c r="JY42" t="s">
        <v>137</v>
      </c>
      <c r="JZ42">
        <v>26.224699999999999</v>
      </c>
      <c r="KA42">
        <v>26.499400000000001</v>
      </c>
      <c r="KB42">
        <v>27.1569</v>
      </c>
      <c r="KC42">
        <v>27.113399999999999</v>
      </c>
      <c r="KD42">
        <v>27.131900000000002</v>
      </c>
      <c r="KE42" t="s">
        <v>137</v>
      </c>
      <c r="KF42" t="s">
        <v>137</v>
      </c>
      <c r="KG42">
        <v>27.713899999999999</v>
      </c>
      <c r="KH42">
        <v>27.421600000000002</v>
      </c>
      <c r="KI42">
        <v>26.938400000000001</v>
      </c>
      <c r="KJ42">
        <v>28.234400000000001</v>
      </c>
      <c r="KK42">
        <v>27.469000000000001</v>
      </c>
      <c r="KL42" t="s">
        <v>137</v>
      </c>
      <c r="KM42" t="s">
        <v>137</v>
      </c>
      <c r="KN42">
        <v>26.2395</v>
      </c>
      <c r="KO42">
        <v>26.133099999999999</v>
      </c>
      <c r="KP42">
        <v>25.966000000000001</v>
      </c>
      <c r="KQ42">
        <v>26.4848</v>
      </c>
      <c r="KR42">
        <v>24.346800000000002</v>
      </c>
      <c r="KS42" t="s">
        <v>137</v>
      </c>
      <c r="KT42" t="s">
        <v>137</v>
      </c>
      <c r="KU42">
        <v>24.3611</v>
      </c>
      <c r="KV42">
        <v>24.724</v>
      </c>
      <c r="KW42">
        <v>24.880600000000001</v>
      </c>
      <c r="KX42">
        <v>24.9252</v>
      </c>
      <c r="KY42">
        <v>25.011700000000001</v>
      </c>
      <c r="KZ42" t="s">
        <v>137</v>
      </c>
      <c r="LA42" t="s">
        <v>137</v>
      </c>
      <c r="LB42">
        <v>23.917999999999999</v>
      </c>
      <c r="LC42">
        <v>23.825500000000002</v>
      </c>
      <c r="LD42">
        <v>23.367899999999999</v>
      </c>
      <c r="LE42">
        <v>23.486699999999999</v>
      </c>
      <c r="LF42">
        <v>23.802600000000002</v>
      </c>
      <c r="LG42" t="s">
        <v>137</v>
      </c>
      <c r="LH42" t="s">
        <v>137</v>
      </c>
      <c r="LI42">
        <v>23.618600000000001</v>
      </c>
      <c r="LJ42">
        <v>23.5671</v>
      </c>
      <c r="LK42">
        <v>23.978100000000001</v>
      </c>
      <c r="LL42">
        <v>23.427199999999999</v>
      </c>
      <c r="LM42">
        <v>23.440899999999999</v>
      </c>
      <c r="LN42" t="s">
        <v>137</v>
      </c>
      <c r="LO42" t="s">
        <v>137</v>
      </c>
      <c r="LP42">
        <v>23.584900000000001</v>
      </c>
      <c r="LQ42">
        <v>23.598700000000001</v>
      </c>
      <c r="LR42">
        <v>23.6127</v>
      </c>
      <c r="LS42">
        <v>22.4681</v>
      </c>
      <c r="LT42">
        <v>22.347999999999999</v>
      </c>
      <c r="LU42" t="s">
        <v>137</v>
      </c>
      <c r="LV42" t="s">
        <v>137</v>
      </c>
      <c r="LW42">
        <v>22.3489</v>
      </c>
      <c r="LX42">
        <v>22.342500000000001</v>
      </c>
      <c r="LY42">
        <v>22.355399999999999</v>
      </c>
      <c r="LZ42">
        <v>22.394200000000001</v>
      </c>
      <c r="MA42">
        <v>22.407</v>
      </c>
      <c r="MB42" t="s">
        <v>137</v>
      </c>
      <c r="MC42" t="s">
        <v>137</v>
      </c>
      <c r="MD42">
        <v>22.419899999999998</v>
      </c>
      <c r="ME42">
        <v>21.890999999999998</v>
      </c>
      <c r="MF42">
        <v>21.160599999999999</v>
      </c>
      <c r="MG42">
        <v>20.822600000000001</v>
      </c>
      <c r="MH42">
        <v>20.847300000000001</v>
      </c>
      <c r="MI42" t="s">
        <v>137</v>
      </c>
      <c r="MJ42" t="s">
        <v>137</v>
      </c>
      <c r="MK42">
        <v>20.859000000000002</v>
      </c>
      <c r="ML42">
        <v>20.884</v>
      </c>
      <c r="MM42">
        <v>21.2895</v>
      </c>
      <c r="MN42">
        <v>21.493300000000001</v>
      </c>
      <c r="MO42">
        <v>21.510200000000001</v>
      </c>
      <c r="MP42" t="s">
        <v>137</v>
      </c>
      <c r="MQ42" t="s">
        <v>137</v>
      </c>
      <c r="MR42">
        <v>21.669</v>
      </c>
      <c r="MS42">
        <v>21.769100000000002</v>
      </c>
      <c r="MT42">
        <v>21.7911</v>
      </c>
      <c r="MU42">
        <v>21.8521</v>
      </c>
      <c r="MV42">
        <v>21.8413</v>
      </c>
      <c r="MW42" t="s">
        <v>137</v>
      </c>
      <c r="MX42" t="s">
        <v>137</v>
      </c>
      <c r="MY42">
        <v>21.970800000000001</v>
      </c>
      <c r="MZ42">
        <v>23.7241</v>
      </c>
      <c r="NA42">
        <v>23.477</v>
      </c>
      <c r="NB42">
        <v>24.567499999999999</v>
      </c>
      <c r="NC42">
        <v>24.482800000000001</v>
      </c>
      <c r="ND42" t="s">
        <v>137</v>
      </c>
      <c r="NE42" t="s">
        <v>137</v>
      </c>
      <c r="NF42">
        <v>24.497699999999998</v>
      </c>
      <c r="NG42">
        <v>21.815899999999999</v>
      </c>
      <c r="NH42">
        <v>21.828600000000002</v>
      </c>
      <c r="NI42">
        <v>21.866800000000001</v>
      </c>
      <c r="NJ42">
        <v>21.677600000000002</v>
      </c>
      <c r="NK42" t="s">
        <v>137</v>
      </c>
      <c r="NL42" t="s">
        <v>137</v>
      </c>
      <c r="NM42" t="s">
        <v>137</v>
      </c>
      <c r="NN42" t="s">
        <v>137</v>
      </c>
      <c r="NO42" t="s">
        <v>137</v>
      </c>
      <c r="NP42" t="s">
        <v>137</v>
      </c>
      <c r="NQ42" t="s">
        <v>137</v>
      </c>
      <c r="NR42" t="s">
        <v>137</v>
      </c>
      <c r="NS42" t="s">
        <v>137</v>
      </c>
      <c r="NT42" t="s">
        <v>137</v>
      </c>
      <c r="NU42" t="s">
        <v>137</v>
      </c>
      <c r="NV42" t="s">
        <v>137</v>
      </c>
      <c r="NW42" t="s">
        <v>137</v>
      </c>
      <c r="NX42" t="s">
        <v>137</v>
      </c>
      <c r="NY42" t="s">
        <v>137</v>
      </c>
      <c r="NZ42" t="s">
        <v>137</v>
      </c>
      <c r="OA42" t="s">
        <v>137</v>
      </c>
      <c r="OB42" t="s">
        <v>137</v>
      </c>
      <c r="OC42" t="s">
        <v>137</v>
      </c>
      <c r="OD42" t="s">
        <v>137</v>
      </c>
      <c r="OE42" t="s">
        <v>137</v>
      </c>
      <c r="OF42" t="s">
        <v>137</v>
      </c>
      <c r="OG42" t="s">
        <v>137</v>
      </c>
      <c r="OH42" t="s">
        <v>137</v>
      </c>
      <c r="OI42" t="s">
        <v>137</v>
      </c>
      <c r="OJ42" t="s">
        <v>137</v>
      </c>
      <c r="OK42" t="s">
        <v>137</v>
      </c>
      <c r="OL42" t="s">
        <v>137</v>
      </c>
      <c r="OM42" t="s">
        <v>137</v>
      </c>
      <c r="ON42" t="s">
        <v>137</v>
      </c>
      <c r="OO42" t="s">
        <v>137</v>
      </c>
      <c r="OP42" t="s">
        <v>137</v>
      </c>
      <c r="OQ42" t="s">
        <v>137</v>
      </c>
      <c r="OR42" t="s">
        <v>137</v>
      </c>
      <c r="OS42" t="s">
        <v>137</v>
      </c>
      <c r="OT42" t="s">
        <v>137</v>
      </c>
      <c r="OU42" t="s">
        <v>137</v>
      </c>
      <c r="OV42" t="s">
        <v>137</v>
      </c>
      <c r="OW42" t="s">
        <v>137</v>
      </c>
      <c r="OX42" t="s">
        <v>137</v>
      </c>
      <c r="OY42" t="s">
        <v>137</v>
      </c>
      <c r="OZ42" t="s">
        <v>137</v>
      </c>
      <c r="PA42" t="s">
        <v>137</v>
      </c>
      <c r="PB42" t="s">
        <v>137</v>
      </c>
      <c r="PC42" t="s">
        <v>137</v>
      </c>
      <c r="PD42" t="s">
        <v>137</v>
      </c>
      <c r="PE42" t="s">
        <v>137</v>
      </c>
      <c r="PF42" t="s">
        <v>137</v>
      </c>
      <c r="PG42" t="s">
        <v>137</v>
      </c>
      <c r="PH42" t="s">
        <v>137</v>
      </c>
      <c r="PI42" t="s">
        <v>137</v>
      </c>
      <c r="PJ42" t="s">
        <v>137</v>
      </c>
      <c r="PK42" t="s">
        <v>137</v>
      </c>
      <c r="PL42" t="s">
        <v>137</v>
      </c>
      <c r="PM42" t="s">
        <v>137</v>
      </c>
      <c r="PN42" t="s">
        <v>137</v>
      </c>
      <c r="PO42" t="s">
        <v>137</v>
      </c>
      <c r="PP42" t="s">
        <v>137</v>
      </c>
      <c r="PQ42" t="s">
        <v>137</v>
      </c>
      <c r="PR42" t="s">
        <v>137</v>
      </c>
      <c r="PS42" t="s">
        <v>137</v>
      </c>
      <c r="PT42" t="s">
        <v>137</v>
      </c>
      <c r="PU42" t="s">
        <v>137</v>
      </c>
      <c r="PV42" t="s">
        <v>137</v>
      </c>
      <c r="PW42" t="s">
        <v>137</v>
      </c>
      <c r="PX42" t="s">
        <v>137</v>
      </c>
      <c r="PY42" t="s">
        <v>137</v>
      </c>
      <c r="PZ42" t="s">
        <v>137</v>
      </c>
      <c r="QA42" t="s">
        <v>137</v>
      </c>
      <c r="QB42" t="s">
        <v>137</v>
      </c>
      <c r="QC42" t="s">
        <v>137</v>
      </c>
      <c r="QD42" t="s">
        <v>137</v>
      </c>
      <c r="QE42" t="s">
        <v>137</v>
      </c>
      <c r="QF42" t="s">
        <v>137</v>
      </c>
      <c r="QG42" t="s">
        <v>137</v>
      </c>
      <c r="QH42" t="s">
        <v>137</v>
      </c>
      <c r="QI42" t="s">
        <v>137</v>
      </c>
      <c r="QJ42" t="s">
        <v>137</v>
      </c>
      <c r="QK42" t="s">
        <v>137</v>
      </c>
      <c r="QL42" t="s">
        <v>137</v>
      </c>
      <c r="QM42" t="s">
        <v>137</v>
      </c>
      <c r="QN42" t="s">
        <v>137</v>
      </c>
      <c r="QO42" t="s">
        <v>137</v>
      </c>
    </row>
    <row r="43" spans="1:457" x14ac:dyDescent="0.2">
      <c r="A43" t="s">
        <v>155</v>
      </c>
      <c r="B43" s="3">
        <v>40350</v>
      </c>
      <c r="C43" t="s">
        <v>17</v>
      </c>
      <c r="E43" t="s">
        <v>137</v>
      </c>
      <c r="F43">
        <v>21.578299999999999</v>
      </c>
      <c r="G43">
        <v>28.6982</v>
      </c>
      <c r="H43">
        <v>28.3828</v>
      </c>
      <c r="I43">
        <v>25.3613</v>
      </c>
      <c r="J43">
        <v>23.453399999999998</v>
      </c>
      <c r="K43" t="s">
        <v>137</v>
      </c>
      <c r="L43" t="s">
        <v>137</v>
      </c>
      <c r="M43">
        <v>23.219000000000001</v>
      </c>
      <c r="N43">
        <v>24.802900000000001</v>
      </c>
      <c r="O43">
        <v>23.5427</v>
      </c>
      <c r="P43">
        <v>23.744199999999999</v>
      </c>
      <c r="Q43">
        <v>24.747499999999999</v>
      </c>
      <c r="R43" t="s">
        <v>137</v>
      </c>
      <c r="S43" t="s">
        <v>137</v>
      </c>
      <c r="T43">
        <v>24.663499999999999</v>
      </c>
      <c r="U43">
        <v>24.488199999999999</v>
      </c>
      <c r="V43">
        <v>22.8904</v>
      </c>
      <c r="W43">
        <v>22.983000000000001</v>
      </c>
      <c r="X43">
        <v>22.756399999999999</v>
      </c>
      <c r="Y43" t="s">
        <v>137</v>
      </c>
      <c r="Z43" t="s">
        <v>137</v>
      </c>
      <c r="AA43">
        <v>22.8185</v>
      </c>
      <c r="AB43">
        <v>23.553100000000001</v>
      </c>
      <c r="AC43">
        <v>24.337499999999999</v>
      </c>
      <c r="AD43">
        <v>23.618400000000001</v>
      </c>
      <c r="AE43">
        <v>23.265699999999999</v>
      </c>
      <c r="AF43" t="s">
        <v>137</v>
      </c>
      <c r="AG43" t="s">
        <v>137</v>
      </c>
      <c r="AH43">
        <v>23.285900000000002</v>
      </c>
      <c r="AI43">
        <v>23.318300000000001</v>
      </c>
      <c r="AJ43">
        <v>22.9299</v>
      </c>
      <c r="AK43">
        <v>22.994599999999998</v>
      </c>
      <c r="AL43">
        <v>23.143899999999999</v>
      </c>
      <c r="AM43" t="s">
        <v>137</v>
      </c>
      <c r="AN43" t="s">
        <v>137</v>
      </c>
      <c r="AO43">
        <v>22.988700000000001</v>
      </c>
      <c r="AP43">
        <v>22.557600000000001</v>
      </c>
      <c r="AQ43">
        <v>22.610600000000002</v>
      </c>
      <c r="AR43">
        <v>21.476900000000001</v>
      </c>
      <c r="AS43">
        <v>19.997299999999999</v>
      </c>
      <c r="AT43" t="s">
        <v>137</v>
      </c>
      <c r="AU43" t="s">
        <v>137</v>
      </c>
      <c r="AV43">
        <v>20.504100000000001</v>
      </c>
      <c r="AW43">
        <v>21.4558</v>
      </c>
      <c r="AX43">
        <v>20.906400000000001</v>
      </c>
      <c r="AY43">
        <v>21.2715</v>
      </c>
      <c r="AZ43">
        <v>21.65</v>
      </c>
      <c r="BA43" t="s">
        <v>137</v>
      </c>
      <c r="BB43" t="s">
        <v>137</v>
      </c>
      <c r="BC43">
        <v>21.748899999999999</v>
      </c>
      <c r="BD43">
        <v>22.596800000000002</v>
      </c>
      <c r="BE43">
        <v>23.007999999999999</v>
      </c>
      <c r="BF43">
        <v>21.892700000000001</v>
      </c>
      <c r="BG43">
        <v>22.284700000000001</v>
      </c>
      <c r="BH43" t="s">
        <v>137</v>
      </c>
      <c r="BI43" t="s">
        <v>137</v>
      </c>
      <c r="BJ43">
        <v>22.952500000000001</v>
      </c>
      <c r="BK43">
        <v>23.9499</v>
      </c>
      <c r="BL43">
        <v>23.6981</v>
      </c>
      <c r="BM43">
        <v>23.673100000000002</v>
      </c>
      <c r="BN43">
        <v>23.896799999999999</v>
      </c>
      <c r="BO43" t="s">
        <v>137</v>
      </c>
      <c r="BP43" t="s">
        <v>137</v>
      </c>
      <c r="BQ43">
        <v>23.691600000000001</v>
      </c>
      <c r="BR43">
        <v>23.451799999999999</v>
      </c>
      <c r="BS43">
        <v>23.625800000000002</v>
      </c>
      <c r="BT43">
        <v>24.410399999999999</v>
      </c>
      <c r="BU43">
        <v>24.049700000000001</v>
      </c>
      <c r="BV43" t="s">
        <v>137</v>
      </c>
      <c r="BW43" t="s">
        <v>137</v>
      </c>
      <c r="BX43">
        <v>24.446899999999999</v>
      </c>
      <c r="BY43">
        <v>25.306000000000001</v>
      </c>
      <c r="BZ43">
        <v>25.276900000000001</v>
      </c>
      <c r="CA43">
        <v>24.5398</v>
      </c>
      <c r="CB43">
        <v>24.697900000000001</v>
      </c>
      <c r="CC43" t="s">
        <v>137</v>
      </c>
      <c r="CD43" t="s">
        <v>137</v>
      </c>
      <c r="CE43">
        <v>24.7043</v>
      </c>
      <c r="CF43">
        <v>25.215299999999999</v>
      </c>
      <c r="CG43">
        <v>24.268999999999998</v>
      </c>
      <c r="CH43">
        <v>23.948</v>
      </c>
      <c r="CI43">
        <v>24.051400000000001</v>
      </c>
      <c r="CJ43" t="s">
        <v>137</v>
      </c>
      <c r="CK43" t="s">
        <v>137</v>
      </c>
      <c r="CL43">
        <v>24.066299999999998</v>
      </c>
      <c r="CM43">
        <v>24.216899999999999</v>
      </c>
      <c r="CN43">
        <v>24.226099999999999</v>
      </c>
      <c r="CO43">
        <v>24.2697</v>
      </c>
      <c r="CP43">
        <v>24.292999999999999</v>
      </c>
      <c r="CQ43" t="s">
        <v>137</v>
      </c>
      <c r="CR43" t="s">
        <v>137</v>
      </c>
      <c r="CS43">
        <v>24.374500000000001</v>
      </c>
      <c r="CT43">
        <v>24.317900000000002</v>
      </c>
      <c r="CU43">
        <v>24.363199999999999</v>
      </c>
      <c r="CV43">
        <v>24.4467</v>
      </c>
      <c r="CW43">
        <v>24.465699999999998</v>
      </c>
      <c r="CX43" t="s">
        <v>137</v>
      </c>
      <c r="CY43" t="s">
        <v>137</v>
      </c>
      <c r="CZ43">
        <v>24.459</v>
      </c>
      <c r="DA43">
        <v>24.479900000000001</v>
      </c>
      <c r="DB43">
        <v>24.462399999999999</v>
      </c>
      <c r="DC43">
        <v>24.556100000000001</v>
      </c>
      <c r="DD43">
        <v>24.0486</v>
      </c>
      <c r="DE43" t="s">
        <v>137</v>
      </c>
      <c r="DF43" t="s">
        <v>137</v>
      </c>
      <c r="DG43">
        <v>24.0822</v>
      </c>
      <c r="DH43">
        <v>22.9176</v>
      </c>
      <c r="DI43">
        <v>21.089400000000001</v>
      </c>
      <c r="DJ43">
        <v>20.613900000000001</v>
      </c>
      <c r="DK43">
        <v>21.0059</v>
      </c>
      <c r="DL43" t="s">
        <v>137</v>
      </c>
      <c r="DM43" t="s">
        <v>137</v>
      </c>
      <c r="DN43">
        <v>20.9084</v>
      </c>
      <c r="DO43">
        <v>20.9206</v>
      </c>
      <c r="DP43">
        <v>20.9329</v>
      </c>
      <c r="DQ43">
        <v>20.9696</v>
      </c>
      <c r="DR43">
        <v>19.409099999999999</v>
      </c>
      <c r="DS43" t="s">
        <v>137</v>
      </c>
      <c r="DT43" t="s">
        <v>137</v>
      </c>
      <c r="DU43">
        <v>18.235199999999999</v>
      </c>
      <c r="DV43">
        <v>18.244599999999998</v>
      </c>
      <c r="DW43">
        <v>18.253900000000002</v>
      </c>
      <c r="DX43">
        <v>18.138200000000001</v>
      </c>
      <c r="DY43">
        <v>18.565799999999999</v>
      </c>
      <c r="DZ43" t="s">
        <v>137</v>
      </c>
      <c r="EA43" t="s">
        <v>137</v>
      </c>
      <c r="EB43">
        <v>18.668299999999999</v>
      </c>
      <c r="EC43">
        <v>18.6036</v>
      </c>
      <c r="ED43">
        <v>18.2836</v>
      </c>
      <c r="EE43">
        <v>17.848500000000001</v>
      </c>
      <c r="EF43">
        <v>17.998699999999999</v>
      </c>
      <c r="EG43" t="s">
        <v>137</v>
      </c>
      <c r="EH43" t="s">
        <v>137</v>
      </c>
      <c r="EI43">
        <v>18.096900000000002</v>
      </c>
      <c r="EJ43">
        <v>17.999300000000002</v>
      </c>
      <c r="EK43">
        <v>18.069199999999999</v>
      </c>
      <c r="EL43">
        <v>17.789899999999999</v>
      </c>
      <c r="EM43">
        <v>17.886600000000001</v>
      </c>
      <c r="EN43" t="s">
        <v>137</v>
      </c>
      <c r="EO43" t="s">
        <v>137</v>
      </c>
      <c r="EP43">
        <v>18.028400000000001</v>
      </c>
      <c r="EQ43">
        <v>18.117799999999999</v>
      </c>
      <c r="ER43">
        <v>18.684200000000001</v>
      </c>
      <c r="ES43">
        <v>19.383199999999999</v>
      </c>
      <c r="ET43">
        <v>19.393599999999999</v>
      </c>
      <c r="EU43" t="s">
        <v>137</v>
      </c>
      <c r="EV43" t="s">
        <v>137</v>
      </c>
      <c r="EW43">
        <v>20.264500000000002</v>
      </c>
      <c r="EX43">
        <v>20.3383</v>
      </c>
      <c r="EY43">
        <v>19.935300000000002</v>
      </c>
      <c r="EZ43">
        <v>20.008500000000002</v>
      </c>
      <c r="FA43">
        <v>19.8156</v>
      </c>
      <c r="FB43" t="s">
        <v>137</v>
      </c>
      <c r="FC43" t="s">
        <v>137</v>
      </c>
      <c r="FD43">
        <v>19.526</v>
      </c>
      <c r="FE43">
        <v>19.281099999999999</v>
      </c>
      <c r="FF43">
        <v>18.775300000000001</v>
      </c>
      <c r="FG43">
        <v>18.599699999999999</v>
      </c>
      <c r="FH43">
        <v>18.0822</v>
      </c>
      <c r="FI43" t="s">
        <v>137</v>
      </c>
      <c r="FJ43" t="s">
        <v>137</v>
      </c>
      <c r="FK43">
        <v>18.2713</v>
      </c>
      <c r="FL43">
        <v>18.1907</v>
      </c>
      <c r="FM43">
        <v>18.472799999999999</v>
      </c>
      <c r="FN43">
        <v>18.687100000000001</v>
      </c>
      <c r="FO43">
        <v>18.998799999999999</v>
      </c>
      <c r="FP43" t="s">
        <v>137</v>
      </c>
      <c r="FQ43" t="s">
        <v>137</v>
      </c>
      <c r="FR43">
        <v>18.989799999999999</v>
      </c>
      <c r="FS43">
        <v>19</v>
      </c>
      <c r="FT43">
        <v>19.010300000000001</v>
      </c>
      <c r="FU43">
        <v>19.577100000000002</v>
      </c>
      <c r="FV43">
        <v>19.263300000000001</v>
      </c>
      <c r="FW43" t="s">
        <v>137</v>
      </c>
      <c r="FX43" t="s">
        <v>137</v>
      </c>
      <c r="FY43">
        <v>19.400500000000001</v>
      </c>
      <c r="FZ43">
        <v>19.509599999999999</v>
      </c>
      <c r="GA43">
        <v>19.520199999999999</v>
      </c>
      <c r="GB43">
        <v>19.701499999999999</v>
      </c>
      <c r="GC43">
        <v>20.993300000000001</v>
      </c>
      <c r="GD43" t="s">
        <v>137</v>
      </c>
      <c r="GE43" t="s">
        <v>137</v>
      </c>
      <c r="GF43">
        <v>21.224599999999999</v>
      </c>
      <c r="GG43">
        <v>20.6797</v>
      </c>
      <c r="GH43">
        <v>20.7666</v>
      </c>
      <c r="GI43">
        <v>21.284500000000001</v>
      </c>
      <c r="GJ43">
        <v>22.7225</v>
      </c>
      <c r="GK43" t="s">
        <v>137</v>
      </c>
      <c r="GL43" t="s">
        <v>137</v>
      </c>
      <c r="GM43">
        <v>24.1279</v>
      </c>
      <c r="GN43">
        <v>25.271000000000001</v>
      </c>
      <c r="GO43">
        <v>26.835100000000001</v>
      </c>
      <c r="GP43">
        <v>28.976199999999999</v>
      </c>
      <c r="GQ43">
        <v>29.372800000000002</v>
      </c>
      <c r="GR43" t="s">
        <v>137</v>
      </c>
      <c r="GS43" t="s">
        <v>137</v>
      </c>
      <c r="GT43">
        <v>30.3765</v>
      </c>
      <c r="GU43">
        <v>31.0184</v>
      </c>
      <c r="GV43">
        <v>31.882899999999999</v>
      </c>
      <c r="GW43">
        <v>34.2669</v>
      </c>
      <c r="GX43">
        <v>34.420099999999998</v>
      </c>
      <c r="GY43" t="s">
        <v>137</v>
      </c>
      <c r="GZ43" t="s">
        <v>137</v>
      </c>
      <c r="HA43">
        <v>34.944200000000002</v>
      </c>
      <c r="HB43">
        <v>34.971299999999999</v>
      </c>
      <c r="HC43">
        <v>34.998600000000003</v>
      </c>
      <c r="HD43">
        <v>35.458199999999998</v>
      </c>
      <c r="HE43">
        <v>35.789099999999998</v>
      </c>
      <c r="HF43" t="s">
        <v>137</v>
      </c>
      <c r="HG43" t="s">
        <v>137</v>
      </c>
      <c r="HH43">
        <v>36.240200000000002</v>
      </c>
      <c r="HI43">
        <v>36.269199999999998</v>
      </c>
      <c r="HJ43">
        <v>35.189599999999999</v>
      </c>
      <c r="HK43">
        <v>33.998100000000001</v>
      </c>
      <c r="HL43">
        <v>33.023699999999998</v>
      </c>
      <c r="HM43" t="s">
        <v>137</v>
      </c>
      <c r="HN43" t="s">
        <v>137</v>
      </c>
      <c r="HO43">
        <v>31.9681</v>
      </c>
      <c r="HP43">
        <v>31.704000000000001</v>
      </c>
      <c r="HQ43">
        <v>32.144799999999996</v>
      </c>
      <c r="HR43">
        <v>33.077199999999998</v>
      </c>
      <c r="HS43">
        <v>33.101999999999997</v>
      </c>
      <c r="HT43" t="s">
        <v>137</v>
      </c>
      <c r="HU43" t="s">
        <v>137</v>
      </c>
      <c r="HV43">
        <v>33.126899999999999</v>
      </c>
      <c r="HW43">
        <v>33.0092</v>
      </c>
      <c r="HX43">
        <v>34.777099999999997</v>
      </c>
      <c r="HY43">
        <v>35.123800000000003</v>
      </c>
      <c r="HZ43">
        <v>35.9512</v>
      </c>
      <c r="IA43" t="s">
        <v>137</v>
      </c>
      <c r="IB43" t="s">
        <v>137</v>
      </c>
      <c r="IC43">
        <v>32.230800000000002</v>
      </c>
      <c r="ID43">
        <v>32.713099999999997</v>
      </c>
      <c r="IE43">
        <v>33.773899999999998</v>
      </c>
      <c r="IF43">
        <v>33.851700000000001</v>
      </c>
      <c r="IG43">
        <v>35.896299999999997</v>
      </c>
      <c r="IH43" t="s">
        <v>137</v>
      </c>
      <c r="II43" t="s">
        <v>137</v>
      </c>
      <c r="IJ43">
        <v>37.954000000000001</v>
      </c>
      <c r="IK43">
        <v>39.447899999999997</v>
      </c>
      <c r="IL43">
        <v>39.6526</v>
      </c>
      <c r="IM43">
        <v>37.748699999999999</v>
      </c>
      <c r="IN43">
        <v>37.780700000000003</v>
      </c>
      <c r="IO43" t="s">
        <v>137</v>
      </c>
      <c r="IP43" t="s">
        <v>137</v>
      </c>
      <c r="IQ43">
        <v>42.882599999999996</v>
      </c>
      <c r="IR43">
        <v>39.9056</v>
      </c>
      <c r="IS43">
        <v>38.2849</v>
      </c>
      <c r="IT43">
        <v>37.757399999999997</v>
      </c>
      <c r="IU43">
        <v>37.7896</v>
      </c>
      <c r="IV43" t="s">
        <v>137</v>
      </c>
      <c r="IW43" t="s">
        <v>137</v>
      </c>
      <c r="IX43">
        <v>38.133499999999998</v>
      </c>
      <c r="IY43">
        <v>34.4756</v>
      </c>
      <c r="IZ43">
        <v>34.735700000000001</v>
      </c>
      <c r="JA43">
        <v>35.566499999999998</v>
      </c>
      <c r="JB43">
        <v>33.366500000000002</v>
      </c>
      <c r="JC43" t="s">
        <v>137</v>
      </c>
      <c r="JD43" t="s">
        <v>137</v>
      </c>
      <c r="JE43">
        <v>32.004899999999999</v>
      </c>
      <c r="JF43">
        <v>31.59</v>
      </c>
      <c r="JG43">
        <v>32.052999999999997</v>
      </c>
      <c r="JH43">
        <v>31.575600000000001</v>
      </c>
      <c r="JI43">
        <v>32.060400000000001</v>
      </c>
      <c r="JJ43" t="s">
        <v>137</v>
      </c>
      <c r="JK43" t="s">
        <v>137</v>
      </c>
      <c r="JL43">
        <v>32.084699999999998</v>
      </c>
      <c r="JM43">
        <v>32.108899999999998</v>
      </c>
      <c r="JN43">
        <v>32.133200000000002</v>
      </c>
      <c r="JO43">
        <v>32.206200000000003</v>
      </c>
      <c r="JP43">
        <v>32.230800000000002</v>
      </c>
      <c r="JQ43" t="s">
        <v>137</v>
      </c>
      <c r="JR43" t="s">
        <v>137</v>
      </c>
      <c r="JS43">
        <v>32.255400000000002</v>
      </c>
      <c r="JT43">
        <v>25.652100000000001</v>
      </c>
      <c r="JU43">
        <v>25.3718</v>
      </c>
      <c r="JV43">
        <v>25.215900000000001</v>
      </c>
      <c r="JW43">
        <v>25.378799999999998</v>
      </c>
      <c r="JX43" t="s">
        <v>137</v>
      </c>
      <c r="JY43" t="s">
        <v>137</v>
      </c>
      <c r="JZ43">
        <v>25.722899999999999</v>
      </c>
      <c r="KA43">
        <v>25.634899999999998</v>
      </c>
      <c r="KB43">
        <v>26.737200000000001</v>
      </c>
      <c r="KC43">
        <v>26.4724</v>
      </c>
      <c r="KD43">
        <v>26.3797</v>
      </c>
      <c r="KE43" t="s">
        <v>137</v>
      </c>
      <c r="KF43" t="s">
        <v>137</v>
      </c>
      <c r="KG43">
        <v>26.827300000000001</v>
      </c>
      <c r="KH43">
        <v>26.7971</v>
      </c>
      <c r="KI43">
        <v>26.229500000000002</v>
      </c>
      <c r="KJ43">
        <v>27.497199999999999</v>
      </c>
      <c r="KK43">
        <v>27.2653</v>
      </c>
      <c r="KL43" t="s">
        <v>137</v>
      </c>
      <c r="KM43" t="s">
        <v>137</v>
      </c>
      <c r="KN43">
        <v>26.3018</v>
      </c>
      <c r="KO43">
        <v>26.071400000000001</v>
      </c>
      <c r="KP43">
        <v>25.966000000000001</v>
      </c>
      <c r="KQ43">
        <v>26.4848</v>
      </c>
      <c r="KR43">
        <v>24.4849</v>
      </c>
      <c r="KS43" t="s">
        <v>137</v>
      </c>
      <c r="KT43" t="s">
        <v>137</v>
      </c>
      <c r="KU43">
        <v>24.499400000000001</v>
      </c>
      <c r="KV43">
        <v>24.724</v>
      </c>
      <c r="KW43">
        <v>24.880600000000001</v>
      </c>
      <c r="KX43">
        <v>24.9252</v>
      </c>
      <c r="KY43">
        <v>25.011700000000001</v>
      </c>
      <c r="KZ43" t="s">
        <v>137</v>
      </c>
      <c r="LA43" t="s">
        <v>137</v>
      </c>
      <c r="LB43">
        <v>23.917999999999999</v>
      </c>
      <c r="LC43">
        <v>23.932099999999998</v>
      </c>
      <c r="LD43">
        <v>23.445399999999999</v>
      </c>
      <c r="LE43">
        <v>23.564699999999998</v>
      </c>
      <c r="LF43">
        <v>23.8689</v>
      </c>
      <c r="LG43" t="s">
        <v>137</v>
      </c>
      <c r="LH43" t="s">
        <v>137</v>
      </c>
      <c r="LI43">
        <v>23.618600000000001</v>
      </c>
      <c r="LJ43">
        <v>23.5671</v>
      </c>
      <c r="LK43">
        <v>23.978100000000001</v>
      </c>
      <c r="LL43">
        <v>23.557099999999998</v>
      </c>
      <c r="LM43">
        <v>23.570900000000002</v>
      </c>
      <c r="LN43" t="s">
        <v>137</v>
      </c>
      <c r="LO43" t="s">
        <v>137</v>
      </c>
      <c r="LP43">
        <v>23.716200000000001</v>
      </c>
      <c r="LQ43">
        <v>23.7302</v>
      </c>
      <c r="LR43">
        <v>23.744199999999999</v>
      </c>
      <c r="LS43">
        <v>22.5411</v>
      </c>
      <c r="LT43">
        <v>22.4084</v>
      </c>
      <c r="LU43" t="s">
        <v>137</v>
      </c>
      <c r="LV43" t="s">
        <v>137</v>
      </c>
      <c r="LW43">
        <v>22.421299999999999</v>
      </c>
      <c r="LX43">
        <v>22.365100000000002</v>
      </c>
      <c r="LY43">
        <v>22.378</v>
      </c>
      <c r="LZ43">
        <v>22.416799999999999</v>
      </c>
      <c r="MA43">
        <v>22.4298</v>
      </c>
      <c r="MB43" t="s">
        <v>137</v>
      </c>
      <c r="MC43" t="s">
        <v>137</v>
      </c>
      <c r="MD43">
        <v>22.442699999999999</v>
      </c>
      <c r="ME43">
        <v>21.0867</v>
      </c>
      <c r="MF43">
        <v>21.196300000000001</v>
      </c>
      <c r="MG43">
        <v>21.068000000000001</v>
      </c>
      <c r="MH43">
        <v>20.860600000000002</v>
      </c>
      <c r="MI43" t="s">
        <v>137</v>
      </c>
      <c r="MJ43" t="s">
        <v>137</v>
      </c>
      <c r="MK43">
        <v>20.872299999999999</v>
      </c>
      <c r="ML43">
        <v>20.884</v>
      </c>
      <c r="MM43">
        <v>20.895800000000001</v>
      </c>
      <c r="MN43">
        <v>22.0916</v>
      </c>
      <c r="MO43">
        <v>21.275400000000001</v>
      </c>
      <c r="MP43" t="s">
        <v>137</v>
      </c>
      <c r="MQ43" t="s">
        <v>137</v>
      </c>
      <c r="MR43">
        <v>21.858799999999999</v>
      </c>
      <c r="MS43">
        <v>22.225300000000001</v>
      </c>
      <c r="MT43">
        <v>22.286000000000001</v>
      </c>
      <c r="MU43">
        <v>22.436</v>
      </c>
      <c r="MV43">
        <v>22.502500000000001</v>
      </c>
      <c r="MW43" t="s">
        <v>137</v>
      </c>
      <c r="MX43" t="s">
        <v>137</v>
      </c>
      <c r="MY43">
        <v>22.603400000000001</v>
      </c>
      <c r="MZ43">
        <v>23.697800000000001</v>
      </c>
      <c r="NA43">
        <v>23.311900000000001</v>
      </c>
      <c r="NB43">
        <v>25.5548</v>
      </c>
      <c r="NC43">
        <v>21.790600000000001</v>
      </c>
      <c r="ND43" t="s">
        <v>137</v>
      </c>
      <c r="NE43" t="s">
        <v>137</v>
      </c>
      <c r="NF43">
        <v>21.8033</v>
      </c>
      <c r="NG43">
        <v>21.246400000000001</v>
      </c>
      <c r="NH43">
        <v>20.709599999999998</v>
      </c>
      <c r="NI43">
        <v>20.745100000000001</v>
      </c>
      <c r="NJ43">
        <v>20.4359</v>
      </c>
      <c r="NK43" t="s">
        <v>137</v>
      </c>
      <c r="NL43" t="s">
        <v>137</v>
      </c>
      <c r="NM43" t="s">
        <v>137</v>
      </c>
      <c r="NN43" t="s">
        <v>137</v>
      </c>
      <c r="NO43" t="s">
        <v>137</v>
      </c>
      <c r="NP43" t="s">
        <v>137</v>
      </c>
      <c r="NQ43" t="s">
        <v>137</v>
      </c>
      <c r="NR43" t="s">
        <v>137</v>
      </c>
      <c r="NS43" t="s">
        <v>137</v>
      </c>
      <c r="NT43" t="s">
        <v>137</v>
      </c>
      <c r="NU43" t="s">
        <v>137</v>
      </c>
      <c r="NV43" t="s">
        <v>137</v>
      </c>
      <c r="NW43" t="s">
        <v>137</v>
      </c>
      <c r="NX43" t="s">
        <v>137</v>
      </c>
      <c r="NY43" t="s">
        <v>137</v>
      </c>
      <c r="NZ43" t="s">
        <v>137</v>
      </c>
      <c r="OA43" t="s">
        <v>137</v>
      </c>
      <c r="OB43" t="s">
        <v>137</v>
      </c>
      <c r="OC43" t="s">
        <v>137</v>
      </c>
      <c r="OD43" t="s">
        <v>137</v>
      </c>
      <c r="OE43" t="s">
        <v>137</v>
      </c>
      <c r="OF43" t="s">
        <v>137</v>
      </c>
      <c r="OG43" t="s">
        <v>137</v>
      </c>
      <c r="OH43" t="s">
        <v>137</v>
      </c>
      <c r="OI43" t="s">
        <v>137</v>
      </c>
      <c r="OJ43" t="s">
        <v>137</v>
      </c>
      <c r="OK43" t="s">
        <v>137</v>
      </c>
      <c r="OL43" t="s">
        <v>137</v>
      </c>
      <c r="OM43" t="s">
        <v>137</v>
      </c>
      <c r="ON43" t="s">
        <v>137</v>
      </c>
      <c r="OO43" t="s">
        <v>137</v>
      </c>
      <c r="OP43" t="s">
        <v>137</v>
      </c>
      <c r="OQ43" t="s">
        <v>137</v>
      </c>
      <c r="OR43" t="s">
        <v>137</v>
      </c>
      <c r="OS43" t="s">
        <v>137</v>
      </c>
      <c r="OT43" t="s">
        <v>137</v>
      </c>
      <c r="OU43" t="s">
        <v>137</v>
      </c>
      <c r="OV43" t="s">
        <v>137</v>
      </c>
      <c r="OW43" t="s">
        <v>137</v>
      </c>
      <c r="OX43" t="s">
        <v>137</v>
      </c>
      <c r="OY43" t="s">
        <v>137</v>
      </c>
      <c r="OZ43" t="s">
        <v>137</v>
      </c>
      <c r="PA43" t="s">
        <v>137</v>
      </c>
      <c r="PB43" t="s">
        <v>137</v>
      </c>
      <c r="PC43" t="s">
        <v>137</v>
      </c>
      <c r="PD43" t="s">
        <v>137</v>
      </c>
      <c r="PE43" t="s">
        <v>137</v>
      </c>
      <c r="PF43" t="s">
        <v>137</v>
      </c>
      <c r="PG43" t="s">
        <v>137</v>
      </c>
      <c r="PH43" t="s">
        <v>137</v>
      </c>
      <c r="PI43" t="s">
        <v>137</v>
      </c>
      <c r="PJ43" t="s">
        <v>137</v>
      </c>
      <c r="PK43" t="s">
        <v>137</v>
      </c>
      <c r="PL43" t="s">
        <v>137</v>
      </c>
      <c r="PM43" t="s">
        <v>137</v>
      </c>
      <c r="PN43" t="s">
        <v>137</v>
      </c>
      <c r="PO43" t="s">
        <v>137</v>
      </c>
      <c r="PP43" t="s">
        <v>137</v>
      </c>
      <c r="PQ43" t="s">
        <v>137</v>
      </c>
      <c r="PR43" t="s">
        <v>137</v>
      </c>
      <c r="PS43" t="s">
        <v>137</v>
      </c>
      <c r="PT43" t="s">
        <v>137</v>
      </c>
      <c r="PU43" t="s">
        <v>137</v>
      </c>
      <c r="PV43" t="s">
        <v>137</v>
      </c>
      <c r="PW43" t="s">
        <v>137</v>
      </c>
      <c r="PX43" t="s">
        <v>137</v>
      </c>
      <c r="PY43" t="s">
        <v>137</v>
      </c>
      <c r="PZ43" t="s">
        <v>137</v>
      </c>
      <c r="QA43" t="s">
        <v>137</v>
      </c>
      <c r="QB43" t="s">
        <v>137</v>
      </c>
      <c r="QC43" t="s">
        <v>137</v>
      </c>
      <c r="QD43" t="s">
        <v>137</v>
      </c>
      <c r="QE43" t="s">
        <v>137</v>
      </c>
      <c r="QF43" t="s">
        <v>137</v>
      </c>
      <c r="QG43" t="s">
        <v>137</v>
      </c>
      <c r="QH43" t="s">
        <v>137</v>
      </c>
      <c r="QI43" t="s">
        <v>137</v>
      </c>
      <c r="QJ43" t="s">
        <v>137</v>
      </c>
      <c r="QK43" t="s">
        <v>137</v>
      </c>
      <c r="QL43" t="s">
        <v>137</v>
      </c>
      <c r="QM43" t="s">
        <v>137</v>
      </c>
      <c r="QN43" t="s">
        <v>137</v>
      </c>
      <c r="QO43" t="s">
        <v>137</v>
      </c>
    </row>
    <row r="44" spans="1:457" x14ac:dyDescent="0.2">
      <c r="A44" t="s">
        <v>162</v>
      </c>
      <c r="B44" s="3">
        <v>40350</v>
      </c>
      <c r="C44" t="s">
        <v>19</v>
      </c>
      <c r="E44" t="s">
        <v>137</v>
      </c>
      <c r="F44" t="s">
        <v>137</v>
      </c>
      <c r="G44" t="s">
        <v>137</v>
      </c>
      <c r="H44" t="s">
        <v>137</v>
      </c>
      <c r="I44" t="s">
        <v>137</v>
      </c>
      <c r="J44" t="s">
        <v>137</v>
      </c>
      <c r="K44" t="s">
        <v>137</v>
      </c>
      <c r="L44" t="s">
        <v>137</v>
      </c>
      <c r="M44" t="s">
        <v>137</v>
      </c>
      <c r="N44" t="s">
        <v>137</v>
      </c>
      <c r="O44" t="s">
        <v>137</v>
      </c>
      <c r="P44" t="s">
        <v>137</v>
      </c>
      <c r="Q44" t="s">
        <v>137</v>
      </c>
      <c r="R44" t="s">
        <v>137</v>
      </c>
      <c r="S44" t="s">
        <v>137</v>
      </c>
      <c r="T44" t="s">
        <v>137</v>
      </c>
      <c r="U44" t="s">
        <v>137</v>
      </c>
      <c r="V44" t="s">
        <v>137</v>
      </c>
      <c r="W44" t="s">
        <v>137</v>
      </c>
      <c r="X44" t="s">
        <v>137</v>
      </c>
      <c r="Y44" t="s">
        <v>137</v>
      </c>
      <c r="Z44" t="s">
        <v>137</v>
      </c>
      <c r="AA44" t="s">
        <v>137</v>
      </c>
      <c r="AB44" t="s">
        <v>137</v>
      </c>
      <c r="AC44" t="s">
        <v>137</v>
      </c>
      <c r="AD44" t="s">
        <v>137</v>
      </c>
      <c r="AE44" t="s">
        <v>137</v>
      </c>
      <c r="AF44" t="s">
        <v>137</v>
      </c>
      <c r="AG44" t="s">
        <v>137</v>
      </c>
      <c r="AH44" t="s">
        <v>137</v>
      </c>
      <c r="AI44" t="s">
        <v>137</v>
      </c>
      <c r="AJ44" t="s">
        <v>137</v>
      </c>
      <c r="AK44" t="s">
        <v>137</v>
      </c>
      <c r="AL44" t="s">
        <v>137</v>
      </c>
      <c r="AM44" t="s">
        <v>137</v>
      </c>
      <c r="AN44" t="s">
        <v>137</v>
      </c>
      <c r="AO44" t="s">
        <v>137</v>
      </c>
      <c r="AP44" t="s">
        <v>137</v>
      </c>
      <c r="AQ44" t="s">
        <v>137</v>
      </c>
      <c r="AR44" t="s">
        <v>137</v>
      </c>
      <c r="AS44" t="s">
        <v>137</v>
      </c>
      <c r="AT44" t="s">
        <v>137</v>
      </c>
      <c r="AU44" t="s">
        <v>137</v>
      </c>
      <c r="AV44" t="s">
        <v>137</v>
      </c>
      <c r="AW44" t="s">
        <v>137</v>
      </c>
      <c r="AX44" t="s">
        <v>137</v>
      </c>
      <c r="AY44" t="s">
        <v>137</v>
      </c>
      <c r="AZ44" t="s">
        <v>137</v>
      </c>
      <c r="BA44" t="s">
        <v>137</v>
      </c>
      <c r="BB44" t="s">
        <v>137</v>
      </c>
      <c r="BC44" t="s">
        <v>137</v>
      </c>
      <c r="BD44" t="s">
        <v>137</v>
      </c>
      <c r="BE44" t="s">
        <v>137</v>
      </c>
      <c r="BF44" t="s">
        <v>137</v>
      </c>
      <c r="BG44" t="s">
        <v>137</v>
      </c>
      <c r="BH44" t="s">
        <v>137</v>
      </c>
      <c r="BI44" t="s">
        <v>137</v>
      </c>
      <c r="BJ44" t="s">
        <v>137</v>
      </c>
      <c r="BK44" t="s">
        <v>137</v>
      </c>
      <c r="BL44" t="s">
        <v>137</v>
      </c>
      <c r="BM44" t="s">
        <v>137</v>
      </c>
      <c r="BN44" t="s">
        <v>137</v>
      </c>
      <c r="BO44" t="s">
        <v>137</v>
      </c>
      <c r="BP44" t="s">
        <v>137</v>
      </c>
      <c r="BQ44" t="s">
        <v>137</v>
      </c>
      <c r="BR44" t="s">
        <v>137</v>
      </c>
      <c r="BS44" t="s">
        <v>137</v>
      </c>
      <c r="BT44" t="s">
        <v>137</v>
      </c>
      <c r="BU44" t="s">
        <v>137</v>
      </c>
      <c r="BV44" t="s">
        <v>137</v>
      </c>
      <c r="BW44" t="s">
        <v>137</v>
      </c>
      <c r="BX44" t="s">
        <v>137</v>
      </c>
      <c r="BY44" t="s">
        <v>137</v>
      </c>
      <c r="BZ44" t="s">
        <v>137</v>
      </c>
      <c r="CA44" t="s">
        <v>137</v>
      </c>
      <c r="CB44" t="s">
        <v>137</v>
      </c>
      <c r="CC44" t="s">
        <v>137</v>
      </c>
      <c r="CD44" t="s">
        <v>137</v>
      </c>
      <c r="CE44" t="s">
        <v>137</v>
      </c>
      <c r="CF44" t="s">
        <v>137</v>
      </c>
      <c r="CG44" t="s">
        <v>137</v>
      </c>
      <c r="CH44" t="s">
        <v>137</v>
      </c>
      <c r="CI44" t="s">
        <v>137</v>
      </c>
      <c r="CJ44" t="s">
        <v>137</v>
      </c>
      <c r="CK44" t="s">
        <v>137</v>
      </c>
      <c r="CL44" t="s">
        <v>137</v>
      </c>
      <c r="CM44" t="s">
        <v>137</v>
      </c>
      <c r="CN44" t="s">
        <v>137</v>
      </c>
      <c r="CO44" t="s">
        <v>137</v>
      </c>
      <c r="CP44" t="s">
        <v>137</v>
      </c>
      <c r="CQ44" t="s">
        <v>137</v>
      </c>
      <c r="CR44" t="s">
        <v>137</v>
      </c>
      <c r="CS44" t="s">
        <v>137</v>
      </c>
      <c r="CT44" t="s">
        <v>137</v>
      </c>
      <c r="CU44" t="s">
        <v>137</v>
      </c>
      <c r="CV44" t="s">
        <v>137</v>
      </c>
      <c r="CW44" t="s">
        <v>137</v>
      </c>
      <c r="CX44" t="s">
        <v>137</v>
      </c>
      <c r="CY44" t="s">
        <v>137</v>
      </c>
      <c r="CZ44" t="s">
        <v>137</v>
      </c>
      <c r="DA44" t="s">
        <v>137</v>
      </c>
      <c r="DB44" t="s">
        <v>137</v>
      </c>
      <c r="DC44" t="s">
        <v>137</v>
      </c>
      <c r="DD44" t="s">
        <v>137</v>
      </c>
      <c r="DE44" t="s">
        <v>137</v>
      </c>
      <c r="DF44" t="s">
        <v>137</v>
      </c>
      <c r="DG44" t="s">
        <v>137</v>
      </c>
      <c r="DH44" t="s">
        <v>137</v>
      </c>
      <c r="DI44" t="s">
        <v>137</v>
      </c>
      <c r="DJ44" t="s">
        <v>137</v>
      </c>
      <c r="DK44" t="s">
        <v>137</v>
      </c>
      <c r="DL44" t="s">
        <v>137</v>
      </c>
      <c r="DM44" t="s">
        <v>137</v>
      </c>
      <c r="DN44" t="s">
        <v>137</v>
      </c>
      <c r="DO44" t="s">
        <v>137</v>
      </c>
      <c r="DP44" t="s">
        <v>137</v>
      </c>
      <c r="DQ44" t="s">
        <v>137</v>
      </c>
      <c r="DR44" t="s">
        <v>137</v>
      </c>
      <c r="DS44" t="s">
        <v>137</v>
      </c>
      <c r="DT44" t="s">
        <v>137</v>
      </c>
      <c r="DU44" t="s">
        <v>137</v>
      </c>
      <c r="DV44" t="s">
        <v>137</v>
      </c>
      <c r="DW44" t="s">
        <v>137</v>
      </c>
      <c r="DX44" t="s">
        <v>137</v>
      </c>
      <c r="DY44" t="s">
        <v>137</v>
      </c>
      <c r="DZ44" t="s">
        <v>137</v>
      </c>
      <c r="EA44" t="s">
        <v>137</v>
      </c>
      <c r="EB44" t="s">
        <v>137</v>
      </c>
      <c r="EC44" t="s">
        <v>137</v>
      </c>
      <c r="ED44" t="s">
        <v>137</v>
      </c>
      <c r="EE44" t="s">
        <v>137</v>
      </c>
      <c r="EF44" t="s">
        <v>137</v>
      </c>
      <c r="EG44" t="s">
        <v>137</v>
      </c>
      <c r="EH44" t="s">
        <v>137</v>
      </c>
      <c r="EI44" t="s">
        <v>137</v>
      </c>
      <c r="EJ44" t="s">
        <v>137</v>
      </c>
      <c r="EK44" t="s">
        <v>137</v>
      </c>
      <c r="EL44" t="s">
        <v>137</v>
      </c>
      <c r="EM44" t="s">
        <v>137</v>
      </c>
      <c r="EN44" t="s">
        <v>137</v>
      </c>
      <c r="EO44" t="s">
        <v>137</v>
      </c>
      <c r="EP44" t="s">
        <v>137</v>
      </c>
      <c r="EQ44" t="s">
        <v>137</v>
      </c>
      <c r="ER44" t="s">
        <v>137</v>
      </c>
      <c r="ES44" t="s">
        <v>137</v>
      </c>
      <c r="ET44" t="s">
        <v>137</v>
      </c>
      <c r="EU44" t="s">
        <v>137</v>
      </c>
      <c r="EV44" t="s">
        <v>137</v>
      </c>
      <c r="EW44" t="s">
        <v>137</v>
      </c>
      <c r="EX44" t="s">
        <v>137</v>
      </c>
      <c r="EY44" t="s">
        <v>137</v>
      </c>
      <c r="EZ44" t="s">
        <v>137</v>
      </c>
      <c r="FA44" t="s">
        <v>137</v>
      </c>
      <c r="FB44" t="s">
        <v>137</v>
      </c>
      <c r="FC44" t="s">
        <v>137</v>
      </c>
      <c r="FD44" t="s">
        <v>137</v>
      </c>
      <c r="FE44" t="s">
        <v>137</v>
      </c>
      <c r="FF44" t="s">
        <v>137</v>
      </c>
      <c r="FG44" t="s">
        <v>137</v>
      </c>
      <c r="FH44" t="s">
        <v>137</v>
      </c>
      <c r="FI44" t="s">
        <v>137</v>
      </c>
      <c r="FJ44" t="s">
        <v>137</v>
      </c>
      <c r="FK44" t="s">
        <v>137</v>
      </c>
      <c r="FL44" t="s">
        <v>137</v>
      </c>
      <c r="FM44" t="s">
        <v>137</v>
      </c>
      <c r="FN44" t="s">
        <v>137</v>
      </c>
      <c r="FO44" t="s">
        <v>137</v>
      </c>
      <c r="FP44" t="s">
        <v>137</v>
      </c>
      <c r="FQ44" t="s">
        <v>137</v>
      </c>
      <c r="FR44" t="s">
        <v>137</v>
      </c>
      <c r="FS44" t="s">
        <v>137</v>
      </c>
      <c r="FT44" t="s">
        <v>137</v>
      </c>
      <c r="FU44" t="s">
        <v>137</v>
      </c>
      <c r="FV44" t="s">
        <v>137</v>
      </c>
      <c r="FW44" t="s">
        <v>137</v>
      </c>
      <c r="FX44" t="s">
        <v>137</v>
      </c>
      <c r="FY44" t="s">
        <v>137</v>
      </c>
      <c r="FZ44" t="s">
        <v>137</v>
      </c>
      <c r="GA44" t="s">
        <v>137</v>
      </c>
      <c r="GB44" t="s">
        <v>137</v>
      </c>
      <c r="GC44" t="s">
        <v>137</v>
      </c>
      <c r="GD44" t="s">
        <v>137</v>
      </c>
      <c r="GE44" t="s">
        <v>137</v>
      </c>
      <c r="GF44" t="s">
        <v>137</v>
      </c>
      <c r="GG44" t="s">
        <v>137</v>
      </c>
      <c r="GH44" t="s">
        <v>137</v>
      </c>
      <c r="GI44" t="s">
        <v>137</v>
      </c>
      <c r="GJ44" t="s">
        <v>137</v>
      </c>
      <c r="GK44" t="s">
        <v>137</v>
      </c>
      <c r="GL44" t="s">
        <v>137</v>
      </c>
      <c r="GM44" t="s">
        <v>137</v>
      </c>
      <c r="GN44" t="s">
        <v>137</v>
      </c>
      <c r="GO44" t="s">
        <v>137</v>
      </c>
      <c r="GP44" t="s">
        <v>137</v>
      </c>
      <c r="GQ44" t="s">
        <v>137</v>
      </c>
      <c r="GR44" t="s">
        <v>137</v>
      </c>
      <c r="GS44" t="s">
        <v>137</v>
      </c>
      <c r="GT44" t="s">
        <v>137</v>
      </c>
      <c r="GU44" t="s">
        <v>137</v>
      </c>
      <c r="GV44" t="s">
        <v>137</v>
      </c>
      <c r="GW44" t="s">
        <v>137</v>
      </c>
      <c r="GX44" t="s">
        <v>137</v>
      </c>
      <c r="GY44" t="s">
        <v>137</v>
      </c>
      <c r="GZ44" t="s">
        <v>137</v>
      </c>
      <c r="HA44" t="s">
        <v>137</v>
      </c>
      <c r="HB44" t="s">
        <v>137</v>
      </c>
      <c r="HC44" t="s">
        <v>137</v>
      </c>
      <c r="HD44" t="s">
        <v>137</v>
      </c>
      <c r="HE44" t="s">
        <v>137</v>
      </c>
      <c r="HF44" t="s">
        <v>137</v>
      </c>
      <c r="HG44" t="s">
        <v>137</v>
      </c>
      <c r="HH44" t="s">
        <v>137</v>
      </c>
      <c r="HI44" t="s">
        <v>137</v>
      </c>
      <c r="HJ44" t="s">
        <v>137</v>
      </c>
      <c r="HK44" t="s">
        <v>137</v>
      </c>
      <c r="HL44" t="s">
        <v>137</v>
      </c>
      <c r="HM44" t="s">
        <v>137</v>
      </c>
      <c r="HN44" t="s">
        <v>137</v>
      </c>
      <c r="HO44" t="s">
        <v>137</v>
      </c>
      <c r="HP44" t="s">
        <v>137</v>
      </c>
      <c r="HQ44" t="s">
        <v>137</v>
      </c>
      <c r="HR44" t="s">
        <v>137</v>
      </c>
      <c r="HS44" t="s">
        <v>137</v>
      </c>
      <c r="HT44" t="s">
        <v>137</v>
      </c>
      <c r="HU44" t="s">
        <v>137</v>
      </c>
      <c r="HV44" t="s">
        <v>137</v>
      </c>
      <c r="HW44" t="s">
        <v>137</v>
      </c>
      <c r="HX44" t="s">
        <v>137</v>
      </c>
      <c r="HY44" t="s">
        <v>137</v>
      </c>
      <c r="HZ44" t="s">
        <v>137</v>
      </c>
      <c r="IA44" t="s">
        <v>137</v>
      </c>
      <c r="IB44" t="s">
        <v>137</v>
      </c>
      <c r="IC44" t="s">
        <v>137</v>
      </c>
      <c r="ID44" t="s">
        <v>137</v>
      </c>
      <c r="IE44" t="s">
        <v>137</v>
      </c>
      <c r="IF44" t="s">
        <v>137</v>
      </c>
      <c r="IG44" t="s">
        <v>137</v>
      </c>
      <c r="IH44" t="s">
        <v>137</v>
      </c>
      <c r="II44" t="s">
        <v>137</v>
      </c>
      <c r="IJ44" t="s">
        <v>137</v>
      </c>
      <c r="IK44" t="s">
        <v>137</v>
      </c>
      <c r="IL44" t="s">
        <v>137</v>
      </c>
      <c r="IM44" t="s">
        <v>137</v>
      </c>
      <c r="IN44" t="s">
        <v>137</v>
      </c>
      <c r="IO44" t="s">
        <v>137</v>
      </c>
      <c r="IP44" t="s">
        <v>137</v>
      </c>
      <c r="IQ44" t="s">
        <v>137</v>
      </c>
      <c r="IR44" t="s">
        <v>137</v>
      </c>
      <c r="IS44" t="s">
        <v>137</v>
      </c>
      <c r="IT44" t="s">
        <v>137</v>
      </c>
      <c r="IU44" t="s">
        <v>137</v>
      </c>
      <c r="IV44" t="s">
        <v>137</v>
      </c>
      <c r="IW44" t="s">
        <v>137</v>
      </c>
      <c r="IX44" t="s">
        <v>137</v>
      </c>
      <c r="IY44" t="s">
        <v>137</v>
      </c>
      <c r="IZ44" t="s">
        <v>137</v>
      </c>
      <c r="JA44" t="s">
        <v>137</v>
      </c>
      <c r="JB44" t="s">
        <v>137</v>
      </c>
      <c r="JC44" t="s">
        <v>137</v>
      </c>
      <c r="JD44" t="s">
        <v>137</v>
      </c>
      <c r="JE44" t="s">
        <v>137</v>
      </c>
      <c r="JF44" t="s">
        <v>137</v>
      </c>
      <c r="JG44" t="s">
        <v>137</v>
      </c>
      <c r="JH44" t="s">
        <v>137</v>
      </c>
      <c r="JI44" t="s">
        <v>137</v>
      </c>
      <c r="JJ44" t="s">
        <v>137</v>
      </c>
      <c r="JK44" t="s">
        <v>137</v>
      </c>
      <c r="JL44" t="s">
        <v>137</v>
      </c>
      <c r="JM44" t="s">
        <v>137</v>
      </c>
      <c r="JN44" t="s">
        <v>137</v>
      </c>
      <c r="JO44" t="s">
        <v>137</v>
      </c>
      <c r="JP44" t="s">
        <v>137</v>
      </c>
      <c r="JQ44" t="s">
        <v>137</v>
      </c>
      <c r="JR44" t="s">
        <v>137</v>
      </c>
      <c r="JS44" t="s">
        <v>137</v>
      </c>
      <c r="JT44" t="s">
        <v>137</v>
      </c>
      <c r="JU44" t="s">
        <v>137</v>
      </c>
      <c r="JV44" t="s">
        <v>137</v>
      </c>
      <c r="JW44" t="s">
        <v>137</v>
      </c>
      <c r="JX44" t="s">
        <v>137</v>
      </c>
      <c r="JY44" t="s">
        <v>137</v>
      </c>
      <c r="JZ44" t="s">
        <v>137</v>
      </c>
      <c r="KA44" t="s">
        <v>137</v>
      </c>
      <c r="KB44" t="s">
        <v>137</v>
      </c>
      <c r="KC44" t="s">
        <v>137</v>
      </c>
      <c r="KD44" t="s">
        <v>137</v>
      </c>
      <c r="KE44" t="s">
        <v>137</v>
      </c>
      <c r="KF44" t="s">
        <v>137</v>
      </c>
      <c r="KG44" t="s">
        <v>137</v>
      </c>
      <c r="KH44" t="s">
        <v>137</v>
      </c>
      <c r="KI44" t="s">
        <v>137</v>
      </c>
      <c r="KJ44" t="s">
        <v>137</v>
      </c>
      <c r="KK44" t="s">
        <v>137</v>
      </c>
      <c r="KL44" t="s">
        <v>137</v>
      </c>
      <c r="KM44" t="s">
        <v>137</v>
      </c>
      <c r="KN44" t="s">
        <v>137</v>
      </c>
      <c r="KO44" t="s">
        <v>137</v>
      </c>
      <c r="KP44" t="s">
        <v>137</v>
      </c>
      <c r="KQ44" t="s">
        <v>137</v>
      </c>
      <c r="KR44" t="s">
        <v>137</v>
      </c>
      <c r="KS44" t="s">
        <v>137</v>
      </c>
      <c r="KT44" t="s">
        <v>137</v>
      </c>
      <c r="KU44" t="s">
        <v>137</v>
      </c>
      <c r="KV44" t="s">
        <v>137</v>
      </c>
      <c r="KW44" t="s">
        <v>137</v>
      </c>
      <c r="KX44" t="s">
        <v>137</v>
      </c>
      <c r="KY44" t="s">
        <v>137</v>
      </c>
      <c r="KZ44" t="s">
        <v>137</v>
      </c>
      <c r="LA44" t="s">
        <v>137</v>
      </c>
      <c r="LB44" t="s">
        <v>137</v>
      </c>
      <c r="LC44" t="s">
        <v>137</v>
      </c>
      <c r="LD44" t="s">
        <v>137</v>
      </c>
      <c r="LE44" t="s">
        <v>137</v>
      </c>
      <c r="LF44" t="s">
        <v>137</v>
      </c>
      <c r="LG44" t="s">
        <v>137</v>
      </c>
      <c r="LH44" t="s">
        <v>137</v>
      </c>
      <c r="LI44" t="s">
        <v>137</v>
      </c>
      <c r="LJ44" t="s">
        <v>137</v>
      </c>
      <c r="LK44" t="s">
        <v>137</v>
      </c>
      <c r="LL44" t="s">
        <v>137</v>
      </c>
      <c r="LM44" t="s">
        <v>137</v>
      </c>
      <c r="LN44" t="s">
        <v>137</v>
      </c>
      <c r="LO44" t="s">
        <v>137</v>
      </c>
      <c r="LP44" t="s">
        <v>137</v>
      </c>
      <c r="LQ44" t="s">
        <v>137</v>
      </c>
      <c r="LR44" t="s">
        <v>137</v>
      </c>
      <c r="LS44" t="s">
        <v>137</v>
      </c>
      <c r="LT44" t="s">
        <v>137</v>
      </c>
      <c r="LU44" t="s">
        <v>137</v>
      </c>
      <c r="LV44" t="s">
        <v>137</v>
      </c>
      <c r="LW44" t="s">
        <v>137</v>
      </c>
      <c r="LX44" t="s">
        <v>137</v>
      </c>
      <c r="LY44" t="s">
        <v>137</v>
      </c>
      <c r="LZ44" t="s">
        <v>137</v>
      </c>
      <c r="MA44" t="s">
        <v>137</v>
      </c>
      <c r="MB44" t="s">
        <v>137</v>
      </c>
      <c r="MC44" t="s">
        <v>137</v>
      </c>
      <c r="MD44" t="s">
        <v>137</v>
      </c>
      <c r="ME44" t="s">
        <v>137</v>
      </c>
      <c r="MF44" t="s">
        <v>137</v>
      </c>
      <c r="MG44" t="s">
        <v>137</v>
      </c>
      <c r="MH44" t="s">
        <v>137</v>
      </c>
      <c r="MI44" t="s">
        <v>137</v>
      </c>
      <c r="MJ44" t="s">
        <v>137</v>
      </c>
      <c r="MK44" t="s">
        <v>137</v>
      </c>
      <c r="ML44" t="s">
        <v>137</v>
      </c>
      <c r="MM44" t="s">
        <v>137</v>
      </c>
      <c r="MN44" t="s">
        <v>137</v>
      </c>
      <c r="MO44" t="s">
        <v>137</v>
      </c>
      <c r="MP44" t="s">
        <v>137</v>
      </c>
      <c r="MQ44" t="s">
        <v>137</v>
      </c>
      <c r="MR44" t="s">
        <v>137</v>
      </c>
      <c r="MS44" t="s">
        <v>137</v>
      </c>
      <c r="MT44" t="s">
        <v>137</v>
      </c>
      <c r="MU44" t="s">
        <v>137</v>
      </c>
      <c r="MV44" t="s">
        <v>137</v>
      </c>
      <c r="MW44" t="s">
        <v>137</v>
      </c>
      <c r="MX44" t="s">
        <v>137</v>
      </c>
      <c r="MY44" t="s">
        <v>137</v>
      </c>
      <c r="MZ44" t="s">
        <v>137</v>
      </c>
      <c r="NA44" t="s">
        <v>137</v>
      </c>
      <c r="NB44" t="s">
        <v>137</v>
      </c>
      <c r="NC44" t="s">
        <v>137</v>
      </c>
      <c r="ND44" t="s">
        <v>137</v>
      </c>
      <c r="NE44" t="s">
        <v>137</v>
      </c>
      <c r="NF44" t="s">
        <v>137</v>
      </c>
      <c r="NG44" t="s">
        <v>137</v>
      </c>
      <c r="NH44" t="s">
        <v>137</v>
      </c>
      <c r="NI44" t="s">
        <v>137</v>
      </c>
      <c r="NJ44" t="s">
        <v>137</v>
      </c>
      <c r="NK44" t="s">
        <v>137</v>
      </c>
      <c r="NL44" t="s">
        <v>137</v>
      </c>
      <c r="NM44" t="s">
        <v>137</v>
      </c>
      <c r="NN44" t="s">
        <v>137</v>
      </c>
      <c r="NO44" t="s">
        <v>137</v>
      </c>
      <c r="NP44" t="s">
        <v>137</v>
      </c>
      <c r="NQ44" t="s">
        <v>137</v>
      </c>
      <c r="NR44" t="s">
        <v>137</v>
      </c>
      <c r="NS44" t="s">
        <v>137</v>
      </c>
      <c r="NT44" t="s">
        <v>137</v>
      </c>
      <c r="NU44" t="s">
        <v>137</v>
      </c>
      <c r="NV44" t="s">
        <v>137</v>
      </c>
      <c r="NW44" t="s">
        <v>137</v>
      </c>
      <c r="NX44" t="s">
        <v>137</v>
      </c>
      <c r="NY44" t="s">
        <v>137</v>
      </c>
      <c r="NZ44" t="s">
        <v>137</v>
      </c>
      <c r="OA44" t="s">
        <v>137</v>
      </c>
      <c r="OB44" t="s">
        <v>137</v>
      </c>
      <c r="OC44" t="s">
        <v>137</v>
      </c>
      <c r="OD44" t="s">
        <v>137</v>
      </c>
      <c r="OE44" t="s">
        <v>137</v>
      </c>
      <c r="OF44" t="s">
        <v>137</v>
      </c>
      <c r="OG44" t="s">
        <v>137</v>
      </c>
      <c r="OH44" t="s">
        <v>137</v>
      </c>
      <c r="OI44" t="s">
        <v>137</v>
      </c>
      <c r="OJ44" t="s">
        <v>137</v>
      </c>
      <c r="OK44" t="s">
        <v>137</v>
      </c>
      <c r="OL44" t="s">
        <v>137</v>
      </c>
      <c r="OM44" t="s">
        <v>137</v>
      </c>
      <c r="ON44" t="s">
        <v>137</v>
      </c>
      <c r="OO44" t="s">
        <v>137</v>
      </c>
      <c r="OP44" t="s">
        <v>137</v>
      </c>
      <c r="OQ44" t="s">
        <v>137</v>
      </c>
      <c r="OR44" t="s">
        <v>137</v>
      </c>
      <c r="OS44" t="s">
        <v>137</v>
      </c>
      <c r="OT44" t="s">
        <v>137</v>
      </c>
      <c r="OU44" t="s">
        <v>137</v>
      </c>
      <c r="OV44" t="s">
        <v>137</v>
      </c>
      <c r="OW44" t="s">
        <v>137</v>
      </c>
      <c r="OX44" t="s">
        <v>137</v>
      </c>
      <c r="OY44" t="s">
        <v>137</v>
      </c>
      <c r="OZ44" t="s">
        <v>137</v>
      </c>
      <c r="PA44" t="s">
        <v>137</v>
      </c>
      <c r="PB44" t="s">
        <v>137</v>
      </c>
      <c r="PC44" t="s">
        <v>137</v>
      </c>
      <c r="PD44" t="s">
        <v>137</v>
      </c>
      <c r="PE44" t="s">
        <v>137</v>
      </c>
      <c r="PF44" t="s">
        <v>137</v>
      </c>
      <c r="PG44" t="s">
        <v>137</v>
      </c>
      <c r="PH44" t="s">
        <v>137</v>
      </c>
      <c r="PI44" t="s">
        <v>137</v>
      </c>
      <c r="PJ44" t="s">
        <v>137</v>
      </c>
      <c r="PK44" t="s">
        <v>137</v>
      </c>
      <c r="PL44" t="s">
        <v>137</v>
      </c>
      <c r="PM44" t="s">
        <v>137</v>
      </c>
      <c r="PN44" t="s">
        <v>137</v>
      </c>
      <c r="PO44" t="s">
        <v>137</v>
      </c>
      <c r="PP44" t="s">
        <v>137</v>
      </c>
      <c r="PQ44" t="s">
        <v>137</v>
      </c>
      <c r="PR44" t="s">
        <v>137</v>
      </c>
      <c r="PS44" t="s">
        <v>137</v>
      </c>
      <c r="PT44" t="s">
        <v>137</v>
      </c>
      <c r="PU44" t="s">
        <v>137</v>
      </c>
      <c r="PV44" t="s">
        <v>137</v>
      </c>
      <c r="PW44" t="s">
        <v>137</v>
      </c>
      <c r="PX44" t="s">
        <v>137</v>
      </c>
      <c r="PY44" t="s">
        <v>137</v>
      </c>
      <c r="PZ44" t="s">
        <v>137</v>
      </c>
      <c r="QA44" t="s">
        <v>137</v>
      </c>
      <c r="QB44" t="s">
        <v>137</v>
      </c>
      <c r="QC44" t="s">
        <v>137</v>
      </c>
      <c r="QD44" t="s">
        <v>137</v>
      </c>
      <c r="QE44" t="s">
        <v>137</v>
      </c>
      <c r="QF44" t="s">
        <v>137</v>
      </c>
      <c r="QG44" t="s">
        <v>137</v>
      </c>
      <c r="QH44" t="s">
        <v>137</v>
      </c>
      <c r="QI44" t="s">
        <v>137</v>
      </c>
      <c r="QJ44" t="s">
        <v>137</v>
      </c>
      <c r="QK44" t="s">
        <v>137</v>
      </c>
      <c r="QL44" t="s">
        <v>137</v>
      </c>
      <c r="QM44" t="s">
        <v>137</v>
      </c>
      <c r="QN44" t="s">
        <v>137</v>
      </c>
      <c r="QO44" t="s">
        <v>137</v>
      </c>
    </row>
    <row r="45" spans="1:457" x14ac:dyDescent="0.2">
      <c r="A45" t="s">
        <v>156</v>
      </c>
      <c r="B45" s="3">
        <v>38626</v>
      </c>
      <c r="C45" t="s">
        <v>25</v>
      </c>
      <c r="E45" t="s">
        <v>137</v>
      </c>
      <c r="F45" t="s">
        <v>137</v>
      </c>
      <c r="G45" t="s">
        <v>137</v>
      </c>
      <c r="H45" t="s">
        <v>137</v>
      </c>
      <c r="I45" t="s">
        <v>137</v>
      </c>
      <c r="J45" t="s">
        <v>137</v>
      </c>
      <c r="K45" t="s">
        <v>137</v>
      </c>
      <c r="L45" t="s">
        <v>137</v>
      </c>
      <c r="M45" t="s">
        <v>137</v>
      </c>
      <c r="N45" t="s">
        <v>137</v>
      </c>
      <c r="O45" t="s">
        <v>137</v>
      </c>
      <c r="P45" t="s">
        <v>137</v>
      </c>
      <c r="Q45" t="s">
        <v>137</v>
      </c>
      <c r="R45" t="s">
        <v>137</v>
      </c>
      <c r="S45" t="s">
        <v>137</v>
      </c>
      <c r="T45" t="s">
        <v>137</v>
      </c>
      <c r="U45" t="s">
        <v>137</v>
      </c>
      <c r="V45" t="s">
        <v>137</v>
      </c>
      <c r="W45" t="s">
        <v>137</v>
      </c>
      <c r="X45" t="s">
        <v>137</v>
      </c>
      <c r="Y45" t="s">
        <v>137</v>
      </c>
      <c r="Z45" t="s">
        <v>137</v>
      </c>
      <c r="AA45" t="s">
        <v>137</v>
      </c>
      <c r="AB45" t="s">
        <v>137</v>
      </c>
      <c r="AC45" t="s">
        <v>137</v>
      </c>
      <c r="AD45" t="s">
        <v>137</v>
      </c>
      <c r="AE45" t="s">
        <v>137</v>
      </c>
      <c r="AF45" t="s">
        <v>137</v>
      </c>
      <c r="AG45" t="s">
        <v>137</v>
      </c>
      <c r="AH45" t="s">
        <v>137</v>
      </c>
      <c r="AI45" t="s">
        <v>137</v>
      </c>
      <c r="AJ45" t="s">
        <v>137</v>
      </c>
      <c r="AK45" t="s">
        <v>137</v>
      </c>
      <c r="AL45" t="s">
        <v>137</v>
      </c>
      <c r="AM45" t="s">
        <v>137</v>
      </c>
      <c r="AN45" t="s">
        <v>137</v>
      </c>
      <c r="AO45" t="s">
        <v>137</v>
      </c>
      <c r="AP45" t="s">
        <v>137</v>
      </c>
      <c r="AQ45" t="s">
        <v>137</v>
      </c>
      <c r="AR45" t="s">
        <v>137</v>
      </c>
      <c r="AS45" t="s">
        <v>137</v>
      </c>
      <c r="AT45" t="s">
        <v>137</v>
      </c>
      <c r="AU45" t="s">
        <v>137</v>
      </c>
      <c r="AV45" t="s">
        <v>137</v>
      </c>
      <c r="AW45" t="s">
        <v>137</v>
      </c>
      <c r="AX45" t="s">
        <v>137</v>
      </c>
      <c r="AY45" t="s">
        <v>137</v>
      </c>
      <c r="AZ45" t="s">
        <v>137</v>
      </c>
      <c r="BA45" t="s">
        <v>137</v>
      </c>
      <c r="BB45" t="s">
        <v>137</v>
      </c>
      <c r="BC45" t="s">
        <v>137</v>
      </c>
      <c r="BD45" t="s">
        <v>137</v>
      </c>
      <c r="BE45" t="s">
        <v>137</v>
      </c>
      <c r="BF45" t="s">
        <v>137</v>
      </c>
      <c r="BG45" t="s">
        <v>137</v>
      </c>
      <c r="BH45" t="s">
        <v>137</v>
      </c>
      <c r="BI45" t="s">
        <v>137</v>
      </c>
      <c r="BJ45" t="s">
        <v>137</v>
      </c>
      <c r="BK45" t="s">
        <v>137</v>
      </c>
      <c r="BL45" t="s">
        <v>137</v>
      </c>
      <c r="BM45" t="s">
        <v>137</v>
      </c>
      <c r="BN45" t="s">
        <v>137</v>
      </c>
      <c r="BO45" t="s">
        <v>137</v>
      </c>
      <c r="BP45" t="s">
        <v>137</v>
      </c>
      <c r="BQ45" t="s">
        <v>137</v>
      </c>
      <c r="BR45" t="s">
        <v>137</v>
      </c>
      <c r="BS45" t="s">
        <v>137</v>
      </c>
      <c r="BT45" t="s">
        <v>137</v>
      </c>
      <c r="BU45" t="s">
        <v>137</v>
      </c>
      <c r="BV45" t="s">
        <v>137</v>
      </c>
      <c r="BW45" t="s">
        <v>137</v>
      </c>
      <c r="BX45" t="s">
        <v>137</v>
      </c>
      <c r="BY45" t="s">
        <v>137</v>
      </c>
      <c r="BZ45" t="s">
        <v>137</v>
      </c>
      <c r="CA45" t="s">
        <v>137</v>
      </c>
      <c r="CB45" t="s">
        <v>137</v>
      </c>
      <c r="CC45" t="s">
        <v>137</v>
      </c>
      <c r="CD45" t="s">
        <v>137</v>
      </c>
      <c r="CE45" t="s">
        <v>137</v>
      </c>
      <c r="CF45" t="s">
        <v>137</v>
      </c>
      <c r="CG45" t="s">
        <v>137</v>
      </c>
      <c r="CH45" t="s">
        <v>137</v>
      </c>
      <c r="CI45" t="s">
        <v>137</v>
      </c>
      <c r="CJ45" t="s">
        <v>137</v>
      </c>
      <c r="CK45" t="s">
        <v>137</v>
      </c>
      <c r="CL45" t="s">
        <v>137</v>
      </c>
      <c r="CM45" t="s">
        <v>137</v>
      </c>
      <c r="CN45" t="s">
        <v>137</v>
      </c>
      <c r="CO45" t="s">
        <v>137</v>
      </c>
      <c r="CP45" t="s">
        <v>137</v>
      </c>
      <c r="CQ45" t="s">
        <v>137</v>
      </c>
      <c r="CR45" t="s">
        <v>137</v>
      </c>
      <c r="CS45" t="s">
        <v>137</v>
      </c>
      <c r="CT45" t="s">
        <v>137</v>
      </c>
      <c r="CU45" t="s">
        <v>137</v>
      </c>
      <c r="CV45" t="s">
        <v>137</v>
      </c>
      <c r="CW45" t="s">
        <v>137</v>
      </c>
      <c r="CX45" t="s">
        <v>137</v>
      </c>
      <c r="CY45" t="s">
        <v>137</v>
      </c>
      <c r="CZ45" t="s">
        <v>137</v>
      </c>
      <c r="DA45" t="s">
        <v>137</v>
      </c>
      <c r="DB45" t="s">
        <v>137</v>
      </c>
      <c r="DC45" t="s">
        <v>137</v>
      </c>
      <c r="DD45" t="s">
        <v>137</v>
      </c>
      <c r="DE45" t="s">
        <v>137</v>
      </c>
      <c r="DF45" t="s">
        <v>137</v>
      </c>
      <c r="DG45" t="s">
        <v>137</v>
      </c>
      <c r="DH45" t="s">
        <v>137</v>
      </c>
      <c r="DI45" t="s">
        <v>137</v>
      </c>
      <c r="DJ45" t="s">
        <v>137</v>
      </c>
      <c r="DK45" t="s">
        <v>137</v>
      </c>
      <c r="DL45" t="s">
        <v>137</v>
      </c>
      <c r="DM45" t="s">
        <v>137</v>
      </c>
      <c r="DN45" t="s">
        <v>137</v>
      </c>
      <c r="DO45" t="s">
        <v>137</v>
      </c>
      <c r="DP45" t="s">
        <v>137</v>
      </c>
      <c r="DQ45" t="s">
        <v>137</v>
      </c>
      <c r="DR45" t="s">
        <v>137</v>
      </c>
      <c r="DS45" t="s">
        <v>137</v>
      </c>
      <c r="DT45" t="s">
        <v>137</v>
      </c>
      <c r="DU45" t="s">
        <v>137</v>
      </c>
      <c r="DV45" t="s">
        <v>137</v>
      </c>
      <c r="DW45" t="s">
        <v>137</v>
      </c>
      <c r="DX45" t="s">
        <v>137</v>
      </c>
      <c r="DY45" t="s">
        <v>137</v>
      </c>
      <c r="DZ45" t="s">
        <v>137</v>
      </c>
      <c r="EA45" t="s">
        <v>137</v>
      </c>
      <c r="EB45" t="s">
        <v>137</v>
      </c>
      <c r="EC45" t="s">
        <v>137</v>
      </c>
      <c r="ED45" t="s">
        <v>137</v>
      </c>
      <c r="EE45" t="s">
        <v>137</v>
      </c>
      <c r="EF45" t="s">
        <v>137</v>
      </c>
      <c r="EG45" t="s">
        <v>137</v>
      </c>
      <c r="EH45" t="s">
        <v>137</v>
      </c>
      <c r="EI45" t="s">
        <v>137</v>
      </c>
      <c r="EJ45" t="s">
        <v>137</v>
      </c>
      <c r="EK45" t="s">
        <v>137</v>
      </c>
      <c r="EL45" t="s">
        <v>137</v>
      </c>
      <c r="EM45" t="s">
        <v>137</v>
      </c>
      <c r="EN45" t="s">
        <v>137</v>
      </c>
      <c r="EO45" t="s">
        <v>137</v>
      </c>
      <c r="EP45" t="s">
        <v>137</v>
      </c>
      <c r="EQ45" t="s">
        <v>137</v>
      </c>
      <c r="ER45" t="s">
        <v>137</v>
      </c>
      <c r="ES45" t="s">
        <v>137</v>
      </c>
      <c r="ET45" t="s">
        <v>137</v>
      </c>
      <c r="EU45" t="s">
        <v>137</v>
      </c>
      <c r="EV45" t="s">
        <v>137</v>
      </c>
      <c r="EW45" t="s">
        <v>137</v>
      </c>
      <c r="EX45" t="s">
        <v>137</v>
      </c>
      <c r="EY45" t="s">
        <v>137</v>
      </c>
      <c r="EZ45" t="s">
        <v>137</v>
      </c>
      <c r="FA45" t="s">
        <v>137</v>
      </c>
      <c r="FB45" t="s">
        <v>137</v>
      </c>
      <c r="FC45" t="s">
        <v>137</v>
      </c>
      <c r="FD45" t="s">
        <v>137</v>
      </c>
      <c r="FE45" t="s">
        <v>137</v>
      </c>
      <c r="FF45" t="s">
        <v>137</v>
      </c>
      <c r="FG45" t="s">
        <v>137</v>
      </c>
      <c r="FH45" t="s">
        <v>137</v>
      </c>
      <c r="FI45" t="s">
        <v>137</v>
      </c>
      <c r="FJ45" t="s">
        <v>137</v>
      </c>
      <c r="FK45" t="s">
        <v>137</v>
      </c>
      <c r="FL45" t="s">
        <v>137</v>
      </c>
      <c r="FM45" t="s">
        <v>137</v>
      </c>
      <c r="FN45" t="s">
        <v>137</v>
      </c>
      <c r="FO45" t="s">
        <v>137</v>
      </c>
      <c r="FP45" t="s">
        <v>137</v>
      </c>
      <c r="FQ45" t="s">
        <v>137</v>
      </c>
      <c r="FR45" t="s">
        <v>137</v>
      </c>
      <c r="FS45" t="s">
        <v>137</v>
      </c>
      <c r="FT45" t="s">
        <v>137</v>
      </c>
      <c r="FU45" t="s">
        <v>137</v>
      </c>
      <c r="FV45" t="s">
        <v>137</v>
      </c>
      <c r="FW45" t="s">
        <v>137</v>
      </c>
      <c r="FX45" t="s">
        <v>137</v>
      </c>
      <c r="FY45" t="s">
        <v>137</v>
      </c>
      <c r="FZ45" t="s">
        <v>137</v>
      </c>
      <c r="GA45" t="s">
        <v>137</v>
      </c>
      <c r="GB45" t="s">
        <v>137</v>
      </c>
      <c r="GC45" t="s">
        <v>137</v>
      </c>
      <c r="GD45" t="s">
        <v>137</v>
      </c>
      <c r="GE45" t="s">
        <v>137</v>
      </c>
      <c r="GF45" t="s">
        <v>137</v>
      </c>
      <c r="GG45" t="s">
        <v>137</v>
      </c>
      <c r="GH45" t="s">
        <v>137</v>
      </c>
      <c r="GI45" t="s">
        <v>137</v>
      </c>
      <c r="GJ45" t="s">
        <v>137</v>
      </c>
      <c r="GK45" t="s">
        <v>137</v>
      </c>
      <c r="GL45" t="s">
        <v>137</v>
      </c>
      <c r="GM45" t="s">
        <v>137</v>
      </c>
      <c r="GN45" t="s">
        <v>137</v>
      </c>
      <c r="GO45" t="s">
        <v>137</v>
      </c>
      <c r="GP45" t="s">
        <v>137</v>
      </c>
      <c r="GQ45" t="s">
        <v>137</v>
      </c>
      <c r="GR45" t="s">
        <v>137</v>
      </c>
      <c r="GS45" t="s">
        <v>137</v>
      </c>
      <c r="GT45" t="s">
        <v>137</v>
      </c>
      <c r="GU45" t="s">
        <v>137</v>
      </c>
      <c r="GV45" t="s">
        <v>137</v>
      </c>
      <c r="GW45" t="s">
        <v>137</v>
      </c>
      <c r="GX45" t="s">
        <v>137</v>
      </c>
      <c r="GY45" t="s">
        <v>137</v>
      </c>
      <c r="GZ45" t="s">
        <v>137</v>
      </c>
      <c r="HA45" t="s">
        <v>137</v>
      </c>
      <c r="HB45" t="s">
        <v>137</v>
      </c>
      <c r="HC45" t="s">
        <v>137</v>
      </c>
      <c r="HD45" t="s">
        <v>137</v>
      </c>
      <c r="HE45" t="s">
        <v>137</v>
      </c>
      <c r="HF45" t="s">
        <v>137</v>
      </c>
      <c r="HG45" t="s">
        <v>137</v>
      </c>
      <c r="HH45" t="s">
        <v>137</v>
      </c>
      <c r="HI45" t="s">
        <v>137</v>
      </c>
      <c r="HJ45" t="s">
        <v>137</v>
      </c>
      <c r="HK45" t="s">
        <v>137</v>
      </c>
      <c r="HL45" t="s">
        <v>137</v>
      </c>
      <c r="HM45" t="s">
        <v>137</v>
      </c>
      <c r="HN45" t="s">
        <v>137</v>
      </c>
      <c r="HO45" t="s">
        <v>137</v>
      </c>
      <c r="HP45" t="s">
        <v>137</v>
      </c>
      <c r="HQ45" t="s">
        <v>137</v>
      </c>
      <c r="HR45" t="s">
        <v>137</v>
      </c>
      <c r="HS45" t="s">
        <v>137</v>
      </c>
      <c r="HT45" t="s">
        <v>137</v>
      </c>
      <c r="HU45" t="s">
        <v>137</v>
      </c>
      <c r="HV45" t="s">
        <v>137</v>
      </c>
      <c r="HW45" t="s">
        <v>137</v>
      </c>
      <c r="HX45" t="s">
        <v>137</v>
      </c>
      <c r="HY45" t="s">
        <v>137</v>
      </c>
      <c r="HZ45" t="s">
        <v>137</v>
      </c>
      <c r="IA45" t="s">
        <v>137</v>
      </c>
      <c r="IB45" t="s">
        <v>137</v>
      </c>
      <c r="IC45" t="s">
        <v>137</v>
      </c>
      <c r="ID45" t="s">
        <v>137</v>
      </c>
      <c r="IE45" t="s">
        <v>137</v>
      </c>
      <c r="IF45" t="s">
        <v>137</v>
      </c>
      <c r="IG45" t="s">
        <v>137</v>
      </c>
      <c r="IH45" t="s">
        <v>137</v>
      </c>
      <c r="II45" t="s">
        <v>137</v>
      </c>
      <c r="IJ45" t="s">
        <v>137</v>
      </c>
      <c r="IK45" t="s">
        <v>137</v>
      </c>
      <c r="IL45" t="s">
        <v>137</v>
      </c>
      <c r="IM45" t="s">
        <v>137</v>
      </c>
      <c r="IN45" t="s">
        <v>137</v>
      </c>
      <c r="IO45" t="s">
        <v>137</v>
      </c>
      <c r="IP45" t="s">
        <v>137</v>
      </c>
      <c r="IQ45" t="s">
        <v>137</v>
      </c>
      <c r="IR45" t="s">
        <v>137</v>
      </c>
      <c r="IS45" t="s">
        <v>137</v>
      </c>
      <c r="IT45" t="s">
        <v>137</v>
      </c>
      <c r="IU45" t="s">
        <v>137</v>
      </c>
      <c r="IV45" t="s">
        <v>137</v>
      </c>
      <c r="IW45" t="s">
        <v>137</v>
      </c>
      <c r="IX45" t="s">
        <v>137</v>
      </c>
      <c r="IY45" t="s">
        <v>137</v>
      </c>
      <c r="IZ45" t="s">
        <v>137</v>
      </c>
      <c r="JA45" t="s">
        <v>137</v>
      </c>
      <c r="JB45" t="s">
        <v>137</v>
      </c>
      <c r="JC45" t="s">
        <v>137</v>
      </c>
      <c r="JD45" t="s">
        <v>137</v>
      </c>
      <c r="JE45" t="s">
        <v>137</v>
      </c>
      <c r="JF45" t="s">
        <v>137</v>
      </c>
      <c r="JG45" t="s">
        <v>137</v>
      </c>
      <c r="JH45" t="s">
        <v>137</v>
      </c>
      <c r="JI45" t="s">
        <v>137</v>
      </c>
      <c r="JJ45" t="s">
        <v>137</v>
      </c>
      <c r="JK45" t="s">
        <v>137</v>
      </c>
      <c r="JL45" t="s">
        <v>137</v>
      </c>
      <c r="JM45" t="s">
        <v>137</v>
      </c>
      <c r="JN45" t="s">
        <v>137</v>
      </c>
      <c r="JO45" t="s">
        <v>137</v>
      </c>
      <c r="JP45" t="s">
        <v>137</v>
      </c>
      <c r="JQ45" t="s">
        <v>137</v>
      </c>
      <c r="JR45" t="s">
        <v>137</v>
      </c>
      <c r="JS45" t="s">
        <v>137</v>
      </c>
      <c r="JT45" t="s">
        <v>137</v>
      </c>
      <c r="JU45" t="s">
        <v>137</v>
      </c>
      <c r="JV45" t="s">
        <v>137</v>
      </c>
      <c r="JW45" t="s">
        <v>137</v>
      </c>
      <c r="JX45" t="s">
        <v>137</v>
      </c>
      <c r="JY45" t="s">
        <v>137</v>
      </c>
      <c r="JZ45" t="s">
        <v>137</v>
      </c>
      <c r="KA45" t="s">
        <v>137</v>
      </c>
      <c r="KB45" t="s">
        <v>137</v>
      </c>
      <c r="KC45" t="s">
        <v>137</v>
      </c>
      <c r="KD45" t="s">
        <v>137</v>
      </c>
      <c r="KE45" t="s">
        <v>137</v>
      </c>
      <c r="KF45" t="s">
        <v>137</v>
      </c>
      <c r="KG45" t="s">
        <v>137</v>
      </c>
      <c r="KH45" t="s">
        <v>137</v>
      </c>
      <c r="KI45" t="s">
        <v>137</v>
      </c>
      <c r="KJ45" t="s">
        <v>137</v>
      </c>
      <c r="KK45" t="s">
        <v>137</v>
      </c>
      <c r="KL45" t="s">
        <v>137</v>
      </c>
      <c r="KM45" t="s">
        <v>137</v>
      </c>
      <c r="KN45" t="s">
        <v>137</v>
      </c>
      <c r="KO45" t="s">
        <v>137</v>
      </c>
      <c r="KP45" t="s">
        <v>137</v>
      </c>
      <c r="KQ45" t="s">
        <v>137</v>
      </c>
      <c r="KR45" t="s">
        <v>137</v>
      </c>
      <c r="KS45" t="s">
        <v>137</v>
      </c>
      <c r="KT45" t="s">
        <v>137</v>
      </c>
      <c r="KU45" t="s">
        <v>137</v>
      </c>
      <c r="KV45" t="s">
        <v>137</v>
      </c>
      <c r="KW45" t="s">
        <v>137</v>
      </c>
      <c r="KX45" t="s">
        <v>137</v>
      </c>
      <c r="KY45" t="s">
        <v>137</v>
      </c>
      <c r="KZ45" t="s">
        <v>137</v>
      </c>
      <c r="LA45" t="s">
        <v>137</v>
      </c>
      <c r="LB45" t="s">
        <v>137</v>
      </c>
      <c r="LC45" t="s">
        <v>137</v>
      </c>
      <c r="LD45" t="s">
        <v>137</v>
      </c>
      <c r="LE45" t="s">
        <v>137</v>
      </c>
      <c r="LF45" t="s">
        <v>137</v>
      </c>
      <c r="LG45" t="s">
        <v>137</v>
      </c>
      <c r="LH45" t="s">
        <v>137</v>
      </c>
      <c r="LI45" t="s">
        <v>137</v>
      </c>
      <c r="LJ45" t="s">
        <v>137</v>
      </c>
      <c r="LK45" t="s">
        <v>137</v>
      </c>
      <c r="LL45" t="s">
        <v>137</v>
      </c>
      <c r="LM45" t="s">
        <v>137</v>
      </c>
      <c r="LN45" t="s">
        <v>137</v>
      </c>
      <c r="LO45" t="s">
        <v>137</v>
      </c>
      <c r="LP45" t="s">
        <v>137</v>
      </c>
      <c r="LQ45" t="s">
        <v>137</v>
      </c>
      <c r="LR45" t="s">
        <v>137</v>
      </c>
      <c r="LS45" t="s">
        <v>137</v>
      </c>
      <c r="LT45" t="s">
        <v>137</v>
      </c>
      <c r="LU45" t="s">
        <v>137</v>
      </c>
      <c r="LV45" t="s">
        <v>137</v>
      </c>
      <c r="LW45" t="s">
        <v>137</v>
      </c>
      <c r="LX45" t="s">
        <v>137</v>
      </c>
      <c r="LY45" t="s">
        <v>137</v>
      </c>
      <c r="LZ45" t="s">
        <v>137</v>
      </c>
      <c r="MA45" t="s">
        <v>137</v>
      </c>
      <c r="MB45" t="s">
        <v>137</v>
      </c>
      <c r="MC45" t="s">
        <v>137</v>
      </c>
      <c r="MD45" t="s">
        <v>137</v>
      </c>
      <c r="ME45" t="s">
        <v>137</v>
      </c>
      <c r="MF45" t="s">
        <v>137</v>
      </c>
      <c r="MG45" t="s">
        <v>137</v>
      </c>
      <c r="MH45" t="s">
        <v>137</v>
      </c>
      <c r="MI45" t="s">
        <v>137</v>
      </c>
      <c r="MJ45" t="s">
        <v>137</v>
      </c>
      <c r="MK45" t="s">
        <v>137</v>
      </c>
      <c r="ML45" t="s">
        <v>137</v>
      </c>
      <c r="MM45" t="s">
        <v>137</v>
      </c>
      <c r="MN45" t="s">
        <v>137</v>
      </c>
      <c r="MO45" t="s">
        <v>137</v>
      </c>
      <c r="MP45" t="s">
        <v>137</v>
      </c>
      <c r="MQ45" t="s">
        <v>137</v>
      </c>
      <c r="MR45" t="s">
        <v>137</v>
      </c>
      <c r="MS45" t="s">
        <v>137</v>
      </c>
      <c r="MT45" t="s">
        <v>137</v>
      </c>
      <c r="MU45" t="s">
        <v>137</v>
      </c>
      <c r="MV45" t="s">
        <v>137</v>
      </c>
      <c r="MW45" t="s">
        <v>137</v>
      </c>
      <c r="MX45" t="s">
        <v>137</v>
      </c>
      <c r="MY45" t="s">
        <v>137</v>
      </c>
      <c r="MZ45" t="s">
        <v>137</v>
      </c>
      <c r="NA45" t="s">
        <v>137</v>
      </c>
      <c r="NB45" t="s">
        <v>137</v>
      </c>
      <c r="NC45" t="s">
        <v>137</v>
      </c>
      <c r="ND45" t="s">
        <v>137</v>
      </c>
      <c r="NE45" t="s">
        <v>137</v>
      </c>
      <c r="NF45" t="s">
        <v>137</v>
      </c>
      <c r="NG45" t="s">
        <v>137</v>
      </c>
      <c r="NH45" t="s">
        <v>137</v>
      </c>
      <c r="NI45" t="s">
        <v>137</v>
      </c>
      <c r="NJ45" t="s">
        <v>137</v>
      </c>
      <c r="NK45" t="s">
        <v>137</v>
      </c>
      <c r="NL45" t="s">
        <v>137</v>
      </c>
      <c r="NM45" t="s">
        <v>137</v>
      </c>
      <c r="NN45" t="s">
        <v>137</v>
      </c>
      <c r="NO45" t="s">
        <v>137</v>
      </c>
      <c r="NP45" t="s">
        <v>137</v>
      </c>
      <c r="NQ45" t="s">
        <v>137</v>
      </c>
      <c r="NR45" t="s">
        <v>137</v>
      </c>
      <c r="NS45" t="s">
        <v>137</v>
      </c>
      <c r="NT45" t="s">
        <v>137</v>
      </c>
      <c r="NU45" t="s">
        <v>137</v>
      </c>
      <c r="NV45" t="s">
        <v>137</v>
      </c>
      <c r="NW45" t="s">
        <v>137</v>
      </c>
      <c r="NX45" t="s">
        <v>137</v>
      </c>
      <c r="NY45" t="s">
        <v>137</v>
      </c>
      <c r="NZ45" t="s">
        <v>137</v>
      </c>
      <c r="OA45" t="s">
        <v>137</v>
      </c>
      <c r="OB45" t="s">
        <v>137</v>
      </c>
      <c r="OC45" t="s">
        <v>137</v>
      </c>
      <c r="OD45" t="s">
        <v>137</v>
      </c>
      <c r="OE45" t="s">
        <v>137</v>
      </c>
      <c r="OF45" t="s">
        <v>137</v>
      </c>
      <c r="OG45" t="s">
        <v>137</v>
      </c>
      <c r="OH45" t="s">
        <v>137</v>
      </c>
      <c r="OI45" t="s">
        <v>137</v>
      </c>
      <c r="OJ45" t="s">
        <v>137</v>
      </c>
      <c r="OK45" t="s">
        <v>137</v>
      </c>
      <c r="OL45" t="s">
        <v>137</v>
      </c>
      <c r="OM45" t="s">
        <v>137</v>
      </c>
      <c r="ON45" t="s">
        <v>137</v>
      </c>
      <c r="OO45" t="s">
        <v>137</v>
      </c>
      <c r="OP45" t="s">
        <v>137</v>
      </c>
      <c r="OQ45" t="s">
        <v>137</v>
      </c>
      <c r="OR45" t="s">
        <v>137</v>
      </c>
      <c r="OS45" t="s">
        <v>137</v>
      </c>
      <c r="OT45" t="s">
        <v>137</v>
      </c>
      <c r="OU45" t="s">
        <v>137</v>
      </c>
      <c r="OV45" t="s">
        <v>137</v>
      </c>
      <c r="OW45" t="s">
        <v>137</v>
      </c>
      <c r="OX45" t="s">
        <v>137</v>
      </c>
      <c r="OY45" t="s">
        <v>137</v>
      </c>
      <c r="OZ45" t="s">
        <v>137</v>
      </c>
      <c r="PA45" t="s">
        <v>137</v>
      </c>
      <c r="PB45" t="s">
        <v>137</v>
      </c>
      <c r="PC45" t="s">
        <v>137</v>
      </c>
      <c r="PD45" t="s">
        <v>137</v>
      </c>
      <c r="PE45" t="s">
        <v>137</v>
      </c>
      <c r="PF45" t="s">
        <v>137</v>
      </c>
      <c r="PG45" t="s">
        <v>137</v>
      </c>
      <c r="PH45" t="s">
        <v>137</v>
      </c>
      <c r="PI45" t="s">
        <v>137</v>
      </c>
      <c r="PJ45" t="s">
        <v>137</v>
      </c>
      <c r="PK45" t="s">
        <v>137</v>
      </c>
      <c r="PL45" t="s">
        <v>137</v>
      </c>
      <c r="PM45" t="s">
        <v>137</v>
      </c>
      <c r="PN45" t="s">
        <v>137</v>
      </c>
      <c r="PO45" t="s">
        <v>137</v>
      </c>
      <c r="PP45" t="s">
        <v>137</v>
      </c>
      <c r="PQ45" t="s">
        <v>137</v>
      </c>
      <c r="PR45" t="s">
        <v>137</v>
      </c>
      <c r="PS45" t="s">
        <v>137</v>
      </c>
      <c r="PT45" t="s">
        <v>137</v>
      </c>
      <c r="PU45" t="s">
        <v>137</v>
      </c>
      <c r="PV45" t="s">
        <v>137</v>
      </c>
      <c r="PW45" t="s">
        <v>137</v>
      </c>
      <c r="PX45" t="s">
        <v>137</v>
      </c>
      <c r="PY45" t="s">
        <v>137</v>
      </c>
      <c r="PZ45" t="s">
        <v>137</v>
      </c>
      <c r="QA45" t="s">
        <v>137</v>
      </c>
      <c r="QB45" t="s">
        <v>137</v>
      </c>
      <c r="QC45" t="s">
        <v>137</v>
      </c>
      <c r="QD45" t="s">
        <v>137</v>
      </c>
      <c r="QE45" t="s">
        <v>137</v>
      </c>
      <c r="QF45" t="s">
        <v>137</v>
      </c>
      <c r="QG45" t="s">
        <v>137</v>
      </c>
      <c r="QH45" t="s">
        <v>137</v>
      </c>
      <c r="QI45" t="s">
        <v>137</v>
      </c>
      <c r="QJ45" t="s">
        <v>137</v>
      </c>
      <c r="QK45" t="s">
        <v>137</v>
      </c>
      <c r="QL45" t="s">
        <v>137</v>
      </c>
      <c r="QM45" t="s">
        <v>137</v>
      </c>
      <c r="QN45" t="s">
        <v>137</v>
      </c>
      <c r="QO45" t="s">
        <v>137</v>
      </c>
    </row>
    <row r="46" spans="1:457" x14ac:dyDescent="0.2">
      <c r="A46" t="s">
        <v>158</v>
      </c>
      <c r="B46" s="3">
        <v>40296</v>
      </c>
      <c r="C46" t="s">
        <v>27</v>
      </c>
      <c r="E46" t="s">
        <v>137</v>
      </c>
      <c r="F46" t="s">
        <v>137</v>
      </c>
      <c r="G46" t="s">
        <v>137</v>
      </c>
      <c r="H46" t="s">
        <v>137</v>
      </c>
      <c r="I46" t="s">
        <v>137</v>
      </c>
      <c r="J46" t="s">
        <v>137</v>
      </c>
      <c r="K46" t="s">
        <v>137</v>
      </c>
      <c r="L46" t="s">
        <v>137</v>
      </c>
      <c r="M46" t="s">
        <v>137</v>
      </c>
      <c r="N46" t="s">
        <v>137</v>
      </c>
      <c r="O46" t="s">
        <v>137</v>
      </c>
      <c r="P46" t="s">
        <v>137</v>
      </c>
      <c r="Q46" t="s">
        <v>137</v>
      </c>
      <c r="R46" t="s">
        <v>137</v>
      </c>
      <c r="S46" t="s">
        <v>137</v>
      </c>
      <c r="T46" t="s">
        <v>137</v>
      </c>
      <c r="U46" t="s">
        <v>137</v>
      </c>
      <c r="V46" t="s">
        <v>137</v>
      </c>
      <c r="W46" t="s">
        <v>137</v>
      </c>
      <c r="X46" t="s">
        <v>137</v>
      </c>
      <c r="Y46" t="s">
        <v>137</v>
      </c>
      <c r="Z46" t="s">
        <v>137</v>
      </c>
      <c r="AA46" t="s">
        <v>137</v>
      </c>
      <c r="AB46" t="s">
        <v>137</v>
      </c>
      <c r="AC46" t="s">
        <v>137</v>
      </c>
      <c r="AD46" t="s">
        <v>137</v>
      </c>
      <c r="AE46" t="s">
        <v>137</v>
      </c>
      <c r="AF46" t="s">
        <v>137</v>
      </c>
      <c r="AG46" t="s">
        <v>137</v>
      </c>
      <c r="AH46" t="s">
        <v>137</v>
      </c>
      <c r="AI46" t="s">
        <v>137</v>
      </c>
      <c r="AJ46" t="s">
        <v>137</v>
      </c>
      <c r="AK46" t="s">
        <v>137</v>
      </c>
      <c r="AL46" t="s">
        <v>137</v>
      </c>
      <c r="AM46" t="s">
        <v>137</v>
      </c>
      <c r="AN46" t="s">
        <v>137</v>
      </c>
      <c r="AO46" t="s">
        <v>137</v>
      </c>
      <c r="AP46" t="s">
        <v>137</v>
      </c>
      <c r="AQ46" t="s">
        <v>137</v>
      </c>
      <c r="AR46" t="s">
        <v>137</v>
      </c>
      <c r="AS46" t="s">
        <v>137</v>
      </c>
      <c r="AT46" t="s">
        <v>137</v>
      </c>
      <c r="AU46" t="s">
        <v>137</v>
      </c>
      <c r="AV46" t="s">
        <v>137</v>
      </c>
      <c r="AW46" t="s">
        <v>137</v>
      </c>
      <c r="AX46" t="s">
        <v>137</v>
      </c>
      <c r="AY46" t="s">
        <v>137</v>
      </c>
      <c r="AZ46" t="s">
        <v>137</v>
      </c>
      <c r="BA46" t="s">
        <v>137</v>
      </c>
      <c r="BB46" t="s">
        <v>137</v>
      </c>
      <c r="BC46" t="s">
        <v>137</v>
      </c>
      <c r="BD46" t="s">
        <v>137</v>
      </c>
      <c r="BE46" t="s">
        <v>137</v>
      </c>
      <c r="BF46" t="s">
        <v>137</v>
      </c>
      <c r="BG46" t="s">
        <v>137</v>
      </c>
      <c r="BH46" t="s">
        <v>137</v>
      </c>
      <c r="BI46" t="s">
        <v>137</v>
      </c>
      <c r="BJ46" t="s">
        <v>137</v>
      </c>
      <c r="BK46" t="s">
        <v>137</v>
      </c>
      <c r="BL46" t="s">
        <v>137</v>
      </c>
      <c r="BM46" t="s">
        <v>137</v>
      </c>
      <c r="BN46" t="s">
        <v>137</v>
      </c>
      <c r="BO46" t="s">
        <v>137</v>
      </c>
      <c r="BP46" t="s">
        <v>137</v>
      </c>
      <c r="BQ46" t="s">
        <v>137</v>
      </c>
      <c r="BR46" t="s">
        <v>137</v>
      </c>
      <c r="BS46" t="s">
        <v>137</v>
      </c>
      <c r="BT46" t="s">
        <v>137</v>
      </c>
      <c r="BU46" t="s">
        <v>137</v>
      </c>
      <c r="BV46" t="s">
        <v>137</v>
      </c>
      <c r="BW46" t="s">
        <v>137</v>
      </c>
      <c r="BX46" t="s">
        <v>137</v>
      </c>
      <c r="BY46" t="s">
        <v>137</v>
      </c>
      <c r="BZ46" t="s">
        <v>137</v>
      </c>
      <c r="CA46" t="s">
        <v>137</v>
      </c>
      <c r="CB46" t="s">
        <v>137</v>
      </c>
      <c r="CC46" t="s">
        <v>137</v>
      </c>
      <c r="CD46" t="s">
        <v>137</v>
      </c>
      <c r="CE46" t="s">
        <v>137</v>
      </c>
      <c r="CF46" t="s">
        <v>137</v>
      </c>
      <c r="CG46" t="s">
        <v>137</v>
      </c>
      <c r="CH46" t="s">
        <v>137</v>
      </c>
      <c r="CI46" t="s">
        <v>137</v>
      </c>
      <c r="CJ46" t="s">
        <v>137</v>
      </c>
      <c r="CK46" t="s">
        <v>137</v>
      </c>
      <c r="CL46" t="s">
        <v>137</v>
      </c>
      <c r="CM46" t="s">
        <v>137</v>
      </c>
      <c r="CN46" t="s">
        <v>137</v>
      </c>
      <c r="CO46" t="s">
        <v>137</v>
      </c>
      <c r="CP46" t="s">
        <v>137</v>
      </c>
      <c r="CQ46" t="s">
        <v>137</v>
      </c>
      <c r="CR46" t="s">
        <v>137</v>
      </c>
      <c r="CS46" t="s">
        <v>137</v>
      </c>
      <c r="CT46" t="s">
        <v>137</v>
      </c>
      <c r="CU46" t="s">
        <v>137</v>
      </c>
      <c r="CV46" t="s">
        <v>137</v>
      </c>
      <c r="CW46" t="s">
        <v>137</v>
      </c>
      <c r="CX46" t="s">
        <v>137</v>
      </c>
      <c r="CY46" t="s">
        <v>137</v>
      </c>
      <c r="CZ46" t="s">
        <v>137</v>
      </c>
      <c r="DA46" t="s">
        <v>137</v>
      </c>
      <c r="DB46" t="s">
        <v>137</v>
      </c>
      <c r="DC46" t="s">
        <v>137</v>
      </c>
      <c r="DD46" t="s">
        <v>137</v>
      </c>
      <c r="DE46" t="s">
        <v>137</v>
      </c>
      <c r="DF46" t="s">
        <v>137</v>
      </c>
      <c r="DG46" t="s">
        <v>137</v>
      </c>
      <c r="DH46" t="s">
        <v>137</v>
      </c>
      <c r="DI46" t="s">
        <v>137</v>
      </c>
      <c r="DJ46" t="s">
        <v>137</v>
      </c>
      <c r="DK46" t="s">
        <v>137</v>
      </c>
      <c r="DL46" t="s">
        <v>137</v>
      </c>
      <c r="DM46" t="s">
        <v>137</v>
      </c>
      <c r="DN46" t="s">
        <v>137</v>
      </c>
      <c r="DO46" t="s">
        <v>137</v>
      </c>
      <c r="DP46" t="s">
        <v>137</v>
      </c>
      <c r="DQ46" t="s">
        <v>137</v>
      </c>
      <c r="DR46" t="s">
        <v>137</v>
      </c>
      <c r="DS46" t="s">
        <v>137</v>
      </c>
      <c r="DT46" t="s">
        <v>137</v>
      </c>
      <c r="DU46" t="s">
        <v>137</v>
      </c>
      <c r="DV46" t="s">
        <v>137</v>
      </c>
      <c r="DW46" t="s">
        <v>137</v>
      </c>
      <c r="DX46" t="s">
        <v>137</v>
      </c>
      <c r="DY46" t="s">
        <v>137</v>
      </c>
      <c r="DZ46" t="s">
        <v>137</v>
      </c>
      <c r="EA46" t="s">
        <v>137</v>
      </c>
      <c r="EB46" t="s">
        <v>137</v>
      </c>
      <c r="EC46" t="s">
        <v>137</v>
      </c>
      <c r="ED46" t="s">
        <v>137</v>
      </c>
      <c r="EE46" t="s">
        <v>137</v>
      </c>
      <c r="EF46" t="s">
        <v>137</v>
      </c>
      <c r="EG46" t="s">
        <v>137</v>
      </c>
      <c r="EH46" t="s">
        <v>137</v>
      </c>
      <c r="EI46" t="s">
        <v>137</v>
      </c>
      <c r="EJ46" t="s">
        <v>137</v>
      </c>
      <c r="EK46" t="s">
        <v>137</v>
      </c>
      <c r="EL46" t="s">
        <v>137</v>
      </c>
      <c r="EM46" t="s">
        <v>137</v>
      </c>
      <c r="EN46" t="s">
        <v>137</v>
      </c>
      <c r="EO46" t="s">
        <v>137</v>
      </c>
      <c r="EP46" t="s">
        <v>137</v>
      </c>
      <c r="EQ46" t="s">
        <v>137</v>
      </c>
      <c r="ER46" t="s">
        <v>137</v>
      </c>
      <c r="ES46" t="s">
        <v>137</v>
      </c>
      <c r="ET46" t="s">
        <v>137</v>
      </c>
      <c r="EU46" t="s">
        <v>137</v>
      </c>
      <c r="EV46" t="s">
        <v>137</v>
      </c>
      <c r="EW46" t="s">
        <v>137</v>
      </c>
      <c r="EX46" t="s">
        <v>137</v>
      </c>
      <c r="EY46" t="s">
        <v>137</v>
      </c>
      <c r="EZ46" t="s">
        <v>137</v>
      </c>
      <c r="FA46" t="s">
        <v>137</v>
      </c>
      <c r="FB46" t="s">
        <v>137</v>
      </c>
      <c r="FC46" t="s">
        <v>137</v>
      </c>
      <c r="FD46" t="s">
        <v>137</v>
      </c>
      <c r="FE46" t="s">
        <v>137</v>
      </c>
      <c r="FF46" t="s">
        <v>137</v>
      </c>
      <c r="FG46" t="s">
        <v>137</v>
      </c>
      <c r="FH46" t="s">
        <v>137</v>
      </c>
      <c r="FI46" t="s">
        <v>137</v>
      </c>
      <c r="FJ46" t="s">
        <v>137</v>
      </c>
      <c r="FK46" t="s">
        <v>137</v>
      </c>
      <c r="FL46" t="s">
        <v>137</v>
      </c>
      <c r="FM46" t="s">
        <v>137</v>
      </c>
      <c r="FN46" t="s">
        <v>137</v>
      </c>
      <c r="FO46" t="s">
        <v>137</v>
      </c>
      <c r="FP46" t="s">
        <v>137</v>
      </c>
      <c r="FQ46" t="s">
        <v>137</v>
      </c>
      <c r="FR46" t="s">
        <v>137</v>
      </c>
      <c r="FS46" t="s">
        <v>137</v>
      </c>
      <c r="FT46" t="s">
        <v>137</v>
      </c>
      <c r="FU46" t="s">
        <v>137</v>
      </c>
      <c r="FV46" t="s">
        <v>137</v>
      </c>
      <c r="FW46" t="s">
        <v>137</v>
      </c>
      <c r="FX46" t="s">
        <v>137</v>
      </c>
      <c r="FY46" t="s">
        <v>137</v>
      </c>
      <c r="FZ46" t="s">
        <v>137</v>
      </c>
      <c r="GA46" t="s">
        <v>137</v>
      </c>
      <c r="GB46" t="s">
        <v>137</v>
      </c>
      <c r="GC46" t="s">
        <v>137</v>
      </c>
      <c r="GD46" t="s">
        <v>137</v>
      </c>
      <c r="GE46" t="s">
        <v>137</v>
      </c>
      <c r="GF46" t="s">
        <v>137</v>
      </c>
      <c r="GG46" t="s">
        <v>137</v>
      </c>
      <c r="GH46" t="s">
        <v>137</v>
      </c>
      <c r="GI46" t="s">
        <v>137</v>
      </c>
      <c r="GJ46" t="s">
        <v>137</v>
      </c>
      <c r="GK46" t="s">
        <v>137</v>
      </c>
      <c r="GL46" t="s">
        <v>137</v>
      </c>
      <c r="GM46" t="s">
        <v>137</v>
      </c>
      <c r="GN46" t="s">
        <v>137</v>
      </c>
      <c r="GO46" t="s">
        <v>137</v>
      </c>
      <c r="GP46" t="s">
        <v>137</v>
      </c>
      <c r="GQ46" t="s">
        <v>137</v>
      </c>
      <c r="GR46" t="s">
        <v>137</v>
      </c>
      <c r="GS46" t="s">
        <v>137</v>
      </c>
      <c r="GT46" t="s">
        <v>137</v>
      </c>
      <c r="GU46" t="s">
        <v>137</v>
      </c>
      <c r="GV46" t="s">
        <v>137</v>
      </c>
      <c r="GW46" t="s">
        <v>137</v>
      </c>
      <c r="GX46" t="s">
        <v>137</v>
      </c>
      <c r="GY46" t="s">
        <v>137</v>
      </c>
      <c r="GZ46" t="s">
        <v>137</v>
      </c>
      <c r="HA46" t="s">
        <v>137</v>
      </c>
      <c r="HB46" t="s">
        <v>137</v>
      </c>
      <c r="HC46" t="s">
        <v>137</v>
      </c>
      <c r="HD46" t="s">
        <v>137</v>
      </c>
      <c r="HE46" t="s">
        <v>137</v>
      </c>
      <c r="HF46" t="s">
        <v>137</v>
      </c>
      <c r="HG46" t="s">
        <v>137</v>
      </c>
      <c r="HH46" t="s">
        <v>137</v>
      </c>
      <c r="HI46" t="s">
        <v>137</v>
      </c>
      <c r="HJ46" t="s">
        <v>137</v>
      </c>
      <c r="HK46" t="s">
        <v>137</v>
      </c>
      <c r="HL46" t="s">
        <v>137</v>
      </c>
      <c r="HM46" t="s">
        <v>137</v>
      </c>
      <c r="HN46" t="s">
        <v>137</v>
      </c>
      <c r="HO46" t="s">
        <v>137</v>
      </c>
      <c r="HP46" t="s">
        <v>137</v>
      </c>
      <c r="HQ46" t="s">
        <v>137</v>
      </c>
      <c r="HR46" t="s">
        <v>137</v>
      </c>
      <c r="HS46" t="s">
        <v>137</v>
      </c>
      <c r="HT46" t="s">
        <v>137</v>
      </c>
      <c r="HU46" t="s">
        <v>137</v>
      </c>
      <c r="HV46" t="s">
        <v>137</v>
      </c>
      <c r="HW46" t="s">
        <v>137</v>
      </c>
      <c r="HX46" t="s">
        <v>137</v>
      </c>
      <c r="HY46" t="s">
        <v>137</v>
      </c>
      <c r="HZ46" t="s">
        <v>137</v>
      </c>
      <c r="IA46" t="s">
        <v>137</v>
      </c>
      <c r="IB46" t="s">
        <v>137</v>
      </c>
      <c r="IC46" t="s">
        <v>137</v>
      </c>
      <c r="ID46" t="s">
        <v>137</v>
      </c>
      <c r="IE46" t="s">
        <v>137</v>
      </c>
      <c r="IF46" t="s">
        <v>137</v>
      </c>
      <c r="IG46" t="s">
        <v>137</v>
      </c>
      <c r="IH46" t="s">
        <v>137</v>
      </c>
      <c r="II46" t="s">
        <v>137</v>
      </c>
      <c r="IJ46" t="s">
        <v>137</v>
      </c>
      <c r="IK46" t="s">
        <v>137</v>
      </c>
      <c r="IL46" t="s">
        <v>137</v>
      </c>
      <c r="IM46" t="s">
        <v>137</v>
      </c>
      <c r="IN46" t="s">
        <v>137</v>
      </c>
      <c r="IO46" t="s">
        <v>137</v>
      </c>
      <c r="IP46" t="s">
        <v>137</v>
      </c>
      <c r="IQ46" t="s">
        <v>137</v>
      </c>
      <c r="IR46" t="s">
        <v>137</v>
      </c>
      <c r="IS46" t="s">
        <v>137</v>
      </c>
      <c r="IT46" t="s">
        <v>137</v>
      </c>
      <c r="IU46" t="s">
        <v>137</v>
      </c>
      <c r="IV46" t="s">
        <v>137</v>
      </c>
      <c r="IW46" t="s">
        <v>137</v>
      </c>
      <c r="IX46" t="s">
        <v>137</v>
      </c>
      <c r="IY46" t="s">
        <v>137</v>
      </c>
      <c r="IZ46" t="s">
        <v>137</v>
      </c>
      <c r="JA46" t="s">
        <v>137</v>
      </c>
      <c r="JB46" t="s">
        <v>137</v>
      </c>
      <c r="JC46" t="s">
        <v>137</v>
      </c>
      <c r="JD46" t="s">
        <v>137</v>
      </c>
      <c r="JE46" t="s">
        <v>137</v>
      </c>
      <c r="JF46" t="s">
        <v>137</v>
      </c>
      <c r="JG46" t="s">
        <v>137</v>
      </c>
      <c r="JH46" t="s">
        <v>137</v>
      </c>
      <c r="JI46" t="s">
        <v>137</v>
      </c>
      <c r="JJ46" t="s">
        <v>137</v>
      </c>
      <c r="JK46" t="s">
        <v>137</v>
      </c>
      <c r="JL46" t="s">
        <v>137</v>
      </c>
      <c r="JM46" t="s">
        <v>137</v>
      </c>
      <c r="JN46" t="s">
        <v>137</v>
      </c>
      <c r="JO46" t="s">
        <v>137</v>
      </c>
      <c r="JP46" t="s">
        <v>137</v>
      </c>
      <c r="JQ46" t="s">
        <v>137</v>
      </c>
      <c r="JR46" t="s">
        <v>137</v>
      </c>
      <c r="JS46" t="s">
        <v>137</v>
      </c>
      <c r="JT46" t="s">
        <v>137</v>
      </c>
      <c r="JU46" t="s">
        <v>137</v>
      </c>
      <c r="JV46" t="s">
        <v>137</v>
      </c>
      <c r="JW46" t="s">
        <v>137</v>
      </c>
      <c r="JX46" t="s">
        <v>137</v>
      </c>
      <c r="JY46" t="s">
        <v>137</v>
      </c>
      <c r="JZ46" t="s">
        <v>137</v>
      </c>
      <c r="KA46" t="s">
        <v>137</v>
      </c>
      <c r="KB46" t="s">
        <v>137</v>
      </c>
      <c r="KC46" t="s">
        <v>137</v>
      </c>
      <c r="KD46" t="s">
        <v>137</v>
      </c>
      <c r="KE46" t="s">
        <v>137</v>
      </c>
      <c r="KF46" t="s">
        <v>137</v>
      </c>
      <c r="KG46" t="s">
        <v>137</v>
      </c>
      <c r="KH46" t="s">
        <v>137</v>
      </c>
      <c r="KI46" t="s">
        <v>137</v>
      </c>
      <c r="KJ46" t="s">
        <v>137</v>
      </c>
      <c r="KK46" t="s">
        <v>137</v>
      </c>
      <c r="KL46" t="s">
        <v>137</v>
      </c>
      <c r="KM46" t="s">
        <v>137</v>
      </c>
      <c r="KN46" t="s">
        <v>137</v>
      </c>
      <c r="KO46" t="s">
        <v>137</v>
      </c>
      <c r="KP46" t="s">
        <v>137</v>
      </c>
      <c r="KQ46" t="s">
        <v>137</v>
      </c>
      <c r="KR46" t="s">
        <v>137</v>
      </c>
      <c r="KS46" t="s">
        <v>137</v>
      </c>
      <c r="KT46" t="s">
        <v>137</v>
      </c>
      <c r="KU46" t="s">
        <v>137</v>
      </c>
      <c r="KV46" t="s">
        <v>137</v>
      </c>
      <c r="KW46" t="s">
        <v>137</v>
      </c>
      <c r="KX46" t="s">
        <v>137</v>
      </c>
      <c r="KY46" t="s">
        <v>137</v>
      </c>
      <c r="KZ46" t="s">
        <v>137</v>
      </c>
      <c r="LA46" t="s">
        <v>137</v>
      </c>
      <c r="LB46" t="s">
        <v>137</v>
      </c>
      <c r="LC46" t="s">
        <v>137</v>
      </c>
      <c r="LD46" t="s">
        <v>137</v>
      </c>
      <c r="LE46" t="s">
        <v>137</v>
      </c>
      <c r="LF46" t="s">
        <v>137</v>
      </c>
      <c r="LG46" t="s">
        <v>137</v>
      </c>
      <c r="LH46" t="s">
        <v>137</v>
      </c>
      <c r="LI46" t="s">
        <v>137</v>
      </c>
      <c r="LJ46" t="s">
        <v>137</v>
      </c>
      <c r="LK46" t="s">
        <v>137</v>
      </c>
      <c r="LL46" t="s">
        <v>137</v>
      </c>
      <c r="LM46" t="s">
        <v>137</v>
      </c>
      <c r="LN46" t="s">
        <v>137</v>
      </c>
      <c r="LO46" t="s">
        <v>137</v>
      </c>
      <c r="LP46" t="s">
        <v>137</v>
      </c>
      <c r="LQ46" t="s">
        <v>137</v>
      </c>
      <c r="LR46" t="s">
        <v>137</v>
      </c>
      <c r="LS46" t="s">
        <v>137</v>
      </c>
      <c r="LT46" t="s">
        <v>137</v>
      </c>
      <c r="LU46" t="s">
        <v>137</v>
      </c>
      <c r="LV46" t="s">
        <v>137</v>
      </c>
      <c r="LW46" t="s">
        <v>137</v>
      </c>
      <c r="LX46" t="s">
        <v>137</v>
      </c>
      <c r="LY46" t="s">
        <v>137</v>
      </c>
      <c r="LZ46" t="s">
        <v>137</v>
      </c>
      <c r="MA46" t="s">
        <v>137</v>
      </c>
      <c r="MB46" t="s">
        <v>137</v>
      </c>
      <c r="MC46" t="s">
        <v>137</v>
      </c>
      <c r="MD46" t="s">
        <v>137</v>
      </c>
      <c r="ME46" t="s">
        <v>137</v>
      </c>
      <c r="MF46" t="s">
        <v>137</v>
      </c>
      <c r="MG46" t="s">
        <v>137</v>
      </c>
      <c r="MH46" t="s">
        <v>137</v>
      </c>
      <c r="MI46" t="s">
        <v>137</v>
      </c>
      <c r="MJ46" t="s">
        <v>137</v>
      </c>
      <c r="MK46" t="s">
        <v>137</v>
      </c>
      <c r="ML46" t="s">
        <v>137</v>
      </c>
      <c r="MM46" t="s">
        <v>137</v>
      </c>
      <c r="MN46" t="s">
        <v>137</v>
      </c>
      <c r="MO46" t="s">
        <v>137</v>
      </c>
      <c r="MP46" t="s">
        <v>137</v>
      </c>
      <c r="MQ46" t="s">
        <v>137</v>
      </c>
      <c r="MR46" t="s">
        <v>137</v>
      </c>
      <c r="MS46" t="s">
        <v>137</v>
      </c>
      <c r="MT46" t="s">
        <v>137</v>
      </c>
      <c r="MU46" t="s">
        <v>137</v>
      </c>
      <c r="MV46" t="s">
        <v>137</v>
      </c>
      <c r="MW46" t="s">
        <v>137</v>
      </c>
      <c r="MX46" t="s">
        <v>137</v>
      </c>
      <c r="MY46" t="s">
        <v>137</v>
      </c>
      <c r="MZ46" t="s">
        <v>137</v>
      </c>
      <c r="NA46" t="s">
        <v>137</v>
      </c>
      <c r="NB46" t="s">
        <v>137</v>
      </c>
      <c r="NC46" t="s">
        <v>137</v>
      </c>
      <c r="ND46" t="s">
        <v>137</v>
      </c>
      <c r="NE46" t="s">
        <v>137</v>
      </c>
      <c r="NF46" t="s">
        <v>137</v>
      </c>
      <c r="NG46" t="s">
        <v>137</v>
      </c>
      <c r="NH46" t="s">
        <v>137</v>
      </c>
      <c r="NI46" t="s">
        <v>137</v>
      </c>
      <c r="NJ46" t="s">
        <v>137</v>
      </c>
      <c r="NK46" t="s">
        <v>137</v>
      </c>
      <c r="NL46" t="s">
        <v>137</v>
      </c>
      <c r="NM46" t="s">
        <v>137</v>
      </c>
      <c r="NN46" t="s">
        <v>137</v>
      </c>
      <c r="NO46" t="s">
        <v>137</v>
      </c>
      <c r="NP46" t="s">
        <v>137</v>
      </c>
      <c r="NQ46" t="s">
        <v>137</v>
      </c>
      <c r="NR46" t="s">
        <v>137</v>
      </c>
      <c r="NS46" t="s">
        <v>137</v>
      </c>
      <c r="NT46" t="s">
        <v>137</v>
      </c>
      <c r="NU46" t="s">
        <v>137</v>
      </c>
      <c r="NV46" t="s">
        <v>137</v>
      </c>
      <c r="NW46" t="s">
        <v>137</v>
      </c>
      <c r="NX46" t="s">
        <v>137</v>
      </c>
      <c r="NY46" t="s">
        <v>137</v>
      </c>
      <c r="NZ46" t="s">
        <v>137</v>
      </c>
      <c r="OA46" t="s">
        <v>137</v>
      </c>
      <c r="OB46" t="s">
        <v>137</v>
      </c>
      <c r="OC46" t="s">
        <v>137</v>
      </c>
      <c r="OD46" t="s">
        <v>137</v>
      </c>
      <c r="OE46" t="s">
        <v>137</v>
      </c>
      <c r="OF46" t="s">
        <v>137</v>
      </c>
      <c r="OG46" t="s">
        <v>137</v>
      </c>
      <c r="OH46" t="s">
        <v>137</v>
      </c>
      <c r="OI46" t="s">
        <v>137</v>
      </c>
      <c r="OJ46" t="s">
        <v>137</v>
      </c>
      <c r="OK46" t="s">
        <v>137</v>
      </c>
      <c r="OL46" t="s">
        <v>137</v>
      </c>
      <c r="OM46" t="s">
        <v>137</v>
      </c>
      <c r="ON46" t="s">
        <v>137</v>
      </c>
      <c r="OO46" t="s">
        <v>137</v>
      </c>
      <c r="OP46" t="s">
        <v>137</v>
      </c>
      <c r="OQ46" t="s">
        <v>137</v>
      </c>
      <c r="OR46" t="s">
        <v>137</v>
      </c>
      <c r="OS46" t="s">
        <v>137</v>
      </c>
      <c r="OT46" t="s">
        <v>137</v>
      </c>
      <c r="OU46" t="s">
        <v>137</v>
      </c>
      <c r="OV46" t="s">
        <v>137</v>
      </c>
      <c r="OW46" t="s">
        <v>137</v>
      </c>
      <c r="OX46" t="s">
        <v>137</v>
      </c>
      <c r="OY46" t="s">
        <v>137</v>
      </c>
      <c r="OZ46" t="s">
        <v>137</v>
      </c>
      <c r="PA46" t="s">
        <v>137</v>
      </c>
      <c r="PB46" t="s">
        <v>137</v>
      </c>
      <c r="PC46" t="s">
        <v>137</v>
      </c>
      <c r="PD46" t="s">
        <v>137</v>
      </c>
      <c r="PE46" t="s">
        <v>137</v>
      </c>
      <c r="PF46" t="s">
        <v>137</v>
      </c>
      <c r="PG46" t="s">
        <v>137</v>
      </c>
      <c r="PH46" t="s">
        <v>137</v>
      </c>
      <c r="PI46" t="s">
        <v>137</v>
      </c>
      <c r="PJ46" t="s">
        <v>137</v>
      </c>
      <c r="PK46" t="s">
        <v>137</v>
      </c>
      <c r="PL46" t="s">
        <v>137</v>
      </c>
      <c r="PM46" t="s">
        <v>137</v>
      </c>
      <c r="PN46" t="s">
        <v>137</v>
      </c>
      <c r="PO46" t="s">
        <v>137</v>
      </c>
      <c r="PP46" t="s">
        <v>137</v>
      </c>
      <c r="PQ46" t="s">
        <v>137</v>
      </c>
      <c r="PR46" t="s">
        <v>137</v>
      </c>
      <c r="PS46" t="s">
        <v>137</v>
      </c>
      <c r="PT46" t="s">
        <v>137</v>
      </c>
      <c r="PU46" t="s">
        <v>137</v>
      </c>
      <c r="PV46" t="s">
        <v>137</v>
      </c>
      <c r="PW46" t="s">
        <v>137</v>
      </c>
      <c r="PX46" t="s">
        <v>137</v>
      </c>
      <c r="PY46" t="s">
        <v>137</v>
      </c>
      <c r="PZ46" t="s">
        <v>137</v>
      </c>
      <c r="QA46" t="s">
        <v>137</v>
      </c>
      <c r="QB46" t="s">
        <v>137</v>
      </c>
      <c r="QC46" t="s">
        <v>137</v>
      </c>
      <c r="QD46" t="s">
        <v>137</v>
      </c>
      <c r="QE46" t="s">
        <v>137</v>
      </c>
      <c r="QF46" t="s">
        <v>137</v>
      </c>
      <c r="QG46" t="s">
        <v>137</v>
      </c>
      <c r="QH46" t="s">
        <v>137</v>
      </c>
      <c r="QI46" t="s">
        <v>137</v>
      </c>
      <c r="QJ46" t="s">
        <v>137</v>
      </c>
      <c r="QK46" t="s">
        <v>137</v>
      </c>
      <c r="QL46" t="s">
        <v>137</v>
      </c>
      <c r="QM46" t="s">
        <v>137</v>
      </c>
      <c r="QN46" t="s">
        <v>137</v>
      </c>
      <c r="QO46" t="s">
        <v>137</v>
      </c>
    </row>
    <row r="47" spans="1:457" x14ac:dyDescent="0.2">
      <c r="A47" t="s">
        <v>163</v>
      </c>
      <c r="B47" s="3">
        <v>40296</v>
      </c>
      <c r="C47" t="s">
        <v>29</v>
      </c>
      <c r="E47" t="s">
        <v>137</v>
      </c>
      <c r="F47" t="s">
        <v>137</v>
      </c>
      <c r="G47" t="s">
        <v>137</v>
      </c>
      <c r="H47" t="s">
        <v>137</v>
      </c>
      <c r="I47" t="s">
        <v>137</v>
      </c>
      <c r="J47" t="s">
        <v>137</v>
      </c>
      <c r="K47" t="s">
        <v>137</v>
      </c>
      <c r="L47" t="s">
        <v>137</v>
      </c>
      <c r="M47" t="s">
        <v>137</v>
      </c>
      <c r="N47" t="s">
        <v>137</v>
      </c>
      <c r="O47" t="s">
        <v>137</v>
      </c>
      <c r="P47" t="s">
        <v>137</v>
      </c>
      <c r="Q47" t="s">
        <v>137</v>
      </c>
      <c r="R47" t="s">
        <v>137</v>
      </c>
      <c r="S47" t="s">
        <v>137</v>
      </c>
      <c r="T47" t="s">
        <v>137</v>
      </c>
      <c r="U47" t="s">
        <v>137</v>
      </c>
      <c r="V47" t="s">
        <v>137</v>
      </c>
      <c r="W47" t="s">
        <v>137</v>
      </c>
      <c r="X47" t="s">
        <v>137</v>
      </c>
      <c r="Y47" t="s">
        <v>137</v>
      </c>
      <c r="Z47" t="s">
        <v>137</v>
      </c>
      <c r="AA47" t="s">
        <v>137</v>
      </c>
      <c r="AB47" t="s">
        <v>137</v>
      </c>
      <c r="AC47" t="s">
        <v>137</v>
      </c>
      <c r="AD47" t="s">
        <v>137</v>
      </c>
      <c r="AE47" t="s">
        <v>137</v>
      </c>
      <c r="AF47" t="s">
        <v>137</v>
      </c>
      <c r="AG47" t="s">
        <v>137</v>
      </c>
      <c r="AH47" t="s">
        <v>137</v>
      </c>
      <c r="AI47" t="s">
        <v>137</v>
      </c>
      <c r="AJ47" t="s">
        <v>137</v>
      </c>
      <c r="AK47" t="s">
        <v>137</v>
      </c>
      <c r="AL47" t="s">
        <v>137</v>
      </c>
      <c r="AM47" t="s">
        <v>137</v>
      </c>
      <c r="AN47" t="s">
        <v>137</v>
      </c>
      <c r="AO47" t="s">
        <v>137</v>
      </c>
      <c r="AP47" t="s">
        <v>137</v>
      </c>
      <c r="AQ47" t="s">
        <v>137</v>
      </c>
      <c r="AR47" t="s">
        <v>137</v>
      </c>
      <c r="AS47" t="s">
        <v>137</v>
      </c>
      <c r="AT47" t="s">
        <v>137</v>
      </c>
      <c r="AU47" t="s">
        <v>137</v>
      </c>
      <c r="AV47" t="s">
        <v>137</v>
      </c>
      <c r="AW47" t="s">
        <v>137</v>
      </c>
      <c r="AX47" t="s">
        <v>137</v>
      </c>
      <c r="AY47" t="s">
        <v>137</v>
      </c>
      <c r="AZ47" t="s">
        <v>137</v>
      </c>
      <c r="BA47" t="s">
        <v>137</v>
      </c>
      <c r="BB47" t="s">
        <v>137</v>
      </c>
      <c r="BC47" t="s">
        <v>137</v>
      </c>
      <c r="BD47" t="s">
        <v>137</v>
      </c>
      <c r="BE47" t="s">
        <v>137</v>
      </c>
      <c r="BF47" t="s">
        <v>137</v>
      </c>
      <c r="BG47" t="s">
        <v>137</v>
      </c>
      <c r="BH47" t="s">
        <v>137</v>
      </c>
      <c r="BI47" t="s">
        <v>137</v>
      </c>
      <c r="BJ47" t="s">
        <v>137</v>
      </c>
      <c r="BK47" t="s">
        <v>137</v>
      </c>
      <c r="BL47" t="s">
        <v>137</v>
      </c>
      <c r="BM47" t="s">
        <v>137</v>
      </c>
      <c r="BN47" t="s">
        <v>137</v>
      </c>
      <c r="BO47" t="s">
        <v>137</v>
      </c>
      <c r="BP47" t="s">
        <v>137</v>
      </c>
      <c r="BQ47" t="s">
        <v>137</v>
      </c>
      <c r="BR47" t="s">
        <v>137</v>
      </c>
      <c r="BS47" t="s">
        <v>137</v>
      </c>
      <c r="BT47" t="s">
        <v>137</v>
      </c>
      <c r="BU47" t="s">
        <v>137</v>
      </c>
      <c r="BV47" t="s">
        <v>137</v>
      </c>
      <c r="BW47" t="s">
        <v>137</v>
      </c>
      <c r="BX47" t="s">
        <v>137</v>
      </c>
      <c r="BY47" t="s">
        <v>137</v>
      </c>
      <c r="BZ47" t="s">
        <v>137</v>
      </c>
      <c r="CA47" t="s">
        <v>137</v>
      </c>
      <c r="CB47" t="s">
        <v>137</v>
      </c>
      <c r="CC47" t="s">
        <v>137</v>
      </c>
      <c r="CD47" t="s">
        <v>137</v>
      </c>
      <c r="CE47" t="s">
        <v>137</v>
      </c>
      <c r="CF47" t="s">
        <v>137</v>
      </c>
      <c r="CG47" t="s">
        <v>137</v>
      </c>
      <c r="CH47" t="s">
        <v>137</v>
      </c>
      <c r="CI47" t="s">
        <v>137</v>
      </c>
      <c r="CJ47" t="s">
        <v>137</v>
      </c>
      <c r="CK47" t="s">
        <v>137</v>
      </c>
      <c r="CL47" t="s">
        <v>137</v>
      </c>
      <c r="CM47" t="s">
        <v>137</v>
      </c>
      <c r="CN47" t="s">
        <v>137</v>
      </c>
      <c r="CO47" t="s">
        <v>137</v>
      </c>
      <c r="CP47" t="s">
        <v>137</v>
      </c>
      <c r="CQ47" t="s">
        <v>137</v>
      </c>
      <c r="CR47" t="s">
        <v>137</v>
      </c>
      <c r="CS47" t="s">
        <v>137</v>
      </c>
      <c r="CT47" t="s">
        <v>137</v>
      </c>
      <c r="CU47" t="s">
        <v>137</v>
      </c>
      <c r="CV47" t="s">
        <v>137</v>
      </c>
      <c r="CW47" t="s">
        <v>137</v>
      </c>
      <c r="CX47" t="s">
        <v>137</v>
      </c>
      <c r="CY47" t="s">
        <v>137</v>
      </c>
      <c r="CZ47" t="s">
        <v>137</v>
      </c>
      <c r="DA47" t="s">
        <v>137</v>
      </c>
      <c r="DB47" t="s">
        <v>137</v>
      </c>
      <c r="DC47" t="s">
        <v>137</v>
      </c>
      <c r="DD47" t="s">
        <v>137</v>
      </c>
      <c r="DE47" t="s">
        <v>137</v>
      </c>
      <c r="DF47" t="s">
        <v>137</v>
      </c>
      <c r="DG47" t="s">
        <v>137</v>
      </c>
      <c r="DH47" t="s">
        <v>137</v>
      </c>
      <c r="DI47" t="s">
        <v>137</v>
      </c>
      <c r="DJ47" t="s">
        <v>137</v>
      </c>
      <c r="DK47" t="s">
        <v>137</v>
      </c>
      <c r="DL47" t="s">
        <v>137</v>
      </c>
      <c r="DM47" t="s">
        <v>137</v>
      </c>
      <c r="DN47" t="s">
        <v>137</v>
      </c>
      <c r="DO47" t="s">
        <v>137</v>
      </c>
      <c r="DP47" t="s">
        <v>137</v>
      </c>
      <c r="DQ47" t="s">
        <v>137</v>
      </c>
      <c r="DR47" t="s">
        <v>137</v>
      </c>
      <c r="DS47" t="s">
        <v>137</v>
      </c>
      <c r="DT47" t="s">
        <v>137</v>
      </c>
      <c r="DU47" t="s">
        <v>137</v>
      </c>
      <c r="DV47" t="s">
        <v>137</v>
      </c>
      <c r="DW47" t="s">
        <v>137</v>
      </c>
      <c r="DX47" t="s">
        <v>137</v>
      </c>
      <c r="DY47" t="s">
        <v>137</v>
      </c>
      <c r="DZ47" t="s">
        <v>137</v>
      </c>
      <c r="EA47" t="s">
        <v>137</v>
      </c>
      <c r="EB47" t="s">
        <v>137</v>
      </c>
      <c r="EC47" t="s">
        <v>137</v>
      </c>
      <c r="ED47" t="s">
        <v>137</v>
      </c>
      <c r="EE47" t="s">
        <v>137</v>
      </c>
      <c r="EF47" t="s">
        <v>137</v>
      </c>
      <c r="EG47" t="s">
        <v>137</v>
      </c>
      <c r="EH47" t="s">
        <v>137</v>
      </c>
      <c r="EI47" t="s">
        <v>137</v>
      </c>
      <c r="EJ47" t="s">
        <v>137</v>
      </c>
      <c r="EK47" t="s">
        <v>137</v>
      </c>
      <c r="EL47" t="s">
        <v>137</v>
      </c>
      <c r="EM47" t="s">
        <v>137</v>
      </c>
      <c r="EN47" t="s">
        <v>137</v>
      </c>
      <c r="EO47" t="s">
        <v>137</v>
      </c>
      <c r="EP47" t="s">
        <v>137</v>
      </c>
      <c r="EQ47" t="s">
        <v>137</v>
      </c>
      <c r="ER47" t="s">
        <v>137</v>
      </c>
      <c r="ES47" t="s">
        <v>137</v>
      </c>
      <c r="ET47" t="s">
        <v>137</v>
      </c>
      <c r="EU47" t="s">
        <v>137</v>
      </c>
      <c r="EV47" t="s">
        <v>137</v>
      </c>
      <c r="EW47" t="s">
        <v>137</v>
      </c>
      <c r="EX47" t="s">
        <v>137</v>
      </c>
      <c r="EY47" t="s">
        <v>137</v>
      </c>
      <c r="EZ47" t="s">
        <v>137</v>
      </c>
      <c r="FA47" t="s">
        <v>137</v>
      </c>
      <c r="FB47" t="s">
        <v>137</v>
      </c>
      <c r="FC47" t="s">
        <v>137</v>
      </c>
      <c r="FD47" t="s">
        <v>137</v>
      </c>
      <c r="FE47" t="s">
        <v>137</v>
      </c>
      <c r="FF47" t="s">
        <v>137</v>
      </c>
      <c r="FG47" t="s">
        <v>137</v>
      </c>
      <c r="FH47" t="s">
        <v>137</v>
      </c>
      <c r="FI47" t="s">
        <v>137</v>
      </c>
      <c r="FJ47" t="s">
        <v>137</v>
      </c>
      <c r="FK47" t="s">
        <v>137</v>
      </c>
      <c r="FL47" t="s">
        <v>137</v>
      </c>
      <c r="FM47" t="s">
        <v>137</v>
      </c>
      <c r="FN47" t="s">
        <v>137</v>
      </c>
      <c r="FO47" t="s">
        <v>137</v>
      </c>
      <c r="FP47" t="s">
        <v>137</v>
      </c>
      <c r="FQ47" t="s">
        <v>137</v>
      </c>
      <c r="FR47" t="s">
        <v>137</v>
      </c>
      <c r="FS47" t="s">
        <v>137</v>
      </c>
      <c r="FT47" t="s">
        <v>137</v>
      </c>
      <c r="FU47" t="s">
        <v>137</v>
      </c>
      <c r="FV47" t="s">
        <v>137</v>
      </c>
      <c r="FW47" t="s">
        <v>137</v>
      </c>
      <c r="FX47" t="s">
        <v>137</v>
      </c>
      <c r="FY47" t="s">
        <v>137</v>
      </c>
      <c r="FZ47" t="s">
        <v>137</v>
      </c>
      <c r="GA47" t="s">
        <v>137</v>
      </c>
      <c r="GB47" t="s">
        <v>137</v>
      </c>
      <c r="GC47" t="s">
        <v>137</v>
      </c>
      <c r="GD47" t="s">
        <v>137</v>
      </c>
      <c r="GE47" t="s">
        <v>137</v>
      </c>
      <c r="GF47" t="s">
        <v>137</v>
      </c>
      <c r="GG47" t="s">
        <v>137</v>
      </c>
      <c r="GH47" t="s">
        <v>137</v>
      </c>
      <c r="GI47" t="s">
        <v>137</v>
      </c>
      <c r="GJ47" t="s">
        <v>137</v>
      </c>
      <c r="GK47" t="s">
        <v>137</v>
      </c>
      <c r="GL47" t="s">
        <v>137</v>
      </c>
      <c r="GM47" t="s">
        <v>137</v>
      </c>
      <c r="GN47" t="s">
        <v>137</v>
      </c>
      <c r="GO47" t="s">
        <v>137</v>
      </c>
      <c r="GP47" t="s">
        <v>137</v>
      </c>
      <c r="GQ47" t="s">
        <v>137</v>
      </c>
      <c r="GR47" t="s">
        <v>137</v>
      </c>
      <c r="GS47" t="s">
        <v>137</v>
      </c>
      <c r="GT47" t="s">
        <v>137</v>
      </c>
      <c r="GU47" t="s">
        <v>137</v>
      </c>
      <c r="GV47" t="s">
        <v>137</v>
      </c>
      <c r="GW47" t="s">
        <v>137</v>
      </c>
      <c r="GX47" t="s">
        <v>137</v>
      </c>
      <c r="GY47" t="s">
        <v>137</v>
      </c>
      <c r="GZ47" t="s">
        <v>137</v>
      </c>
      <c r="HA47" t="s">
        <v>137</v>
      </c>
      <c r="HB47" t="s">
        <v>137</v>
      </c>
      <c r="HC47" t="s">
        <v>137</v>
      </c>
      <c r="HD47" t="s">
        <v>137</v>
      </c>
      <c r="HE47" t="s">
        <v>137</v>
      </c>
      <c r="HF47" t="s">
        <v>137</v>
      </c>
      <c r="HG47" t="s">
        <v>137</v>
      </c>
      <c r="HH47" t="s">
        <v>137</v>
      </c>
      <c r="HI47" t="s">
        <v>137</v>
      </c>
      <c r="HJ47" t="s">
        <v>137</v>
      </c>
      <c r="HK47" t="s">
        <v>137</v>
      </c>
      <c r="HL47" t="s">
        <v>137</v>
      </c>
      <c r="HM47" t="s">
        <v>137</v>
      </c>
      <c r="HN47" t="s">
        <v>137</v>
      </c>
      <c r="HO47" t="s">
        <v>137</v>
      </c>
      <c r="HP47" t="s">
        <v>137</v>
      </c>
      <c r="HQ47" t="s">
        <v>137</v>
      </c>
      <c r="HR47" t="s">
        <v>137</v>
      </c>
      <c r="HS47" t="s">
        <v>137</v>
      </c>
      <c r="HT47" t="s">
        <v>137</v>
      </c>
      <c r="HU47" t="s">
        <v>137</v>
      </c>
      <c r="HV47" t="s">
        <v>137</v>
      </c>
      <c r="HW47" t="s">
        <v>137</v>
      </c>
      <c r="HX47" t="s">
        <v>137</v>
      </c>
      <c r="HY47" t="s">
        <v>137</v>
      </c>
      <c r="HZ47" t="s">
        <v>137</v>
      </c>
      <c r="IA47" t="s">
        <v>137</v>
      </c>
      <c r="IB47" t="s">
        <v>137</v>
      </c>
      <c r="IC47" t="s">
        <v>137</v>
      </c>
      <c r="ID47" t="s">
        <v>137</v>
      </c>
      <c r="IE47" t="s">
        <v>137</v>
      </c>
      <c r="IF47" t="s">
        <v>137</v>
      </c>
      <c r="IG47" t="s">
        <v>137</v>
      </c>
      <c r="IH47" t="s">
        <v>137</v>
      </c>
      <c r="II47" t="s">
        <v>137</v>
      </c>
      <c r="IJ47" t="s">
        <v>137</v>
      </c>
      <c r="IK47" t="s">
        <v>137</v>
      </c>
      <c r="IL47" t="s">
        <v>137</v>
      </c>
      <c r="IM47" t="s">
        <v>137</v>
      </c>
      <c r="IN47" t="s">
        <v>137</v>
      </c>
      <c r="IO47" t="s">
        <v>137</v>
      </c>
      <c r="IP47" t="s">
        <v>137</v>
      </c>
      <c r="IQ47" t="s">
        <v>137</v>
      </c>
      <c r="IR47" t="s">
        <v>137</v>
      </c>
      <c r="IS47" t="s">
        <v>137</v>
      </c>
      <c r="IT47" t="s">
        <v>137</v>
      </c>
      <c r="IU47" t="s">
        <v>137</v>
      </c>
      <c r="IV47" t="s">
        <v>137</v>
      </c>
      <c r="IW47" t="s">
        <v>137</v>
      </c>
      <c r="IX47" t="s">
        <v>137</v>
      </c>
      <c r="IY47" t="s">
        <v>137</v>
      </c>
      <c r="IZ47" t="s">
        <v>137</v>
      </c>
      <c r="JA47" t="s">
        <v>137</v>
      </c>
      <c r="JB47" t="s">
        <v>137</v>
      </c>
      <c r="JC47" t="s">
        <v>137</v>
      </c>
      <c r="JD47" t="s">
        <v>137</v>
      </c>
      <c r="JE47" t="s">
        <v>137</v>
      </c>
      <c r="JF47" t="s">
        <v>137</v>
      </c>
      <c r="JG47" t="s">
        <v>137</v>
      </c>
      <c r="JH47" t="s">
        <v>137</v>
      </c>
      <c r="JI47" t="s">
        <v>137</v>
      </c>
      <c r="JJ47" t="s">
        <v>137</v>
      </c>
      <c r="JK47" t="s">
        <v>137</v>
      </c>
      <c r="JL47" t="s">
        <v>137</v>
      </c>
      <c r="JM47" t="s">
        <v>137</v>
      </c>
      <c r="JN47" t="s">
        <v>137</v>
      </c>
      <c r="JO47" t="s">
        <v>137</v>
      </c>
      <c r="JP47" t="s">
        <v>137</v>
      </c>
      <c r="JQ47" t="s">
        <v>137</v>
      </c>
      <c r="JR47" t="s">
        <v>137</v>
      </c>
      <c r="JS47" t="s">
        <v>137</v>
      </c>
      <c r="JT47" t="s">
        <v>137</v>
      </c>
      <c r="JU47" t="s">
        <v>137</v>
      </c>
      <c r="JV47" t="s">
        <v>137</v>
      </c>
      <c r="JW47" t="s">
        <v>137</v>
      </c>
      <c r="JX47" t="s">
        <v>137</v>
      </c>
      <c r="JY47" t="s">
        <v>137</v>
      </c>
      <c r="JZ47" t="s">
        <v>137</v>
      </c>
      <c r="KA47" t="s">
        <v>137</v>
      </c>
      <c r="KB47" t="s">
        <v>137</v>
      </c>
      <c r="KC47" t="s">
        <v>137</v>
      </c>
      <c r="KD47" t="s">
        <v>137</v>
      </c>
      <c r="KE47" t="s">
        <v>137</v>
      </c>
      <c r="KF47" t="s">
        <v>137</v>
      </c>
      <c r="KG47" t="s">
        <v>137</v>
      </c>
      <c r="KH47" t="s">
        <v>137</v>
      </c>
      <c r="KI47" t="s">
        <v>137</v>
      </c>
      <c r="KJ47" t="s">
        <v>137</v>
      </c>
      <c r="KK47" t="s">
        <v>137</v>
      </c>
      <c r="KL47" t="s">
        <v>137</v>
      </c>
      <c r="KM47" t="s">
        <v>137</v>
      </c>
      <c r="KN47" t="s">
        <v>137</v>
      </c>
      <c r="KO47" t="s">
        <v>137</v>
      </c>
      <c r="KP47" t="s">
        <v>137</v>
      </c>
      <c r="KQ47" t="s">
        <v>137</v>
      </c>
      <c r="KR47" t="s">
        <v>137</v>
      </c>
      <c r="KS47" t="s">
        <v>137</v>
      </c>
      <c r="KT47" t="s">
        <v>137</v>
      </c>
      <c r="KU47" t="s">
        <v>137</v>
      </c>
      <c r="KV47" t="s">
        <v>137</v>
      </c>
      <c r="KW47" t="s">
        <v>137</v>
      </c>
      <c r="KX47" t="s">
        <v>137</v>
      </c>
      <c r="KY47" t="s">
        <v>137</v>
      </c>
      <c r="KZ47" t="s">
        <v>137</v>
      </c>
      <c r="LA47" t="s">
        <v>137</v>
      </c>
      <c r="LB47" t="s">
        <v>137</v>
      </c>
      <c r="LC47" t="s">
        <v>137</v>
      </c>
      <c r="LD47" t="s">
        <v>137</v>
      </c>
      <c r="LE47" t="s">
        <v>137</v>
      </c>
      <c r="LF47" t="s">
        <v>137</v>
      </c>
      <c r="LG47" t="s">
        <v>137</v>
      </c>
      <c r="LH47" t="s">
        <v>137</v>
      </c>
      <c r="LI47" t="s">
        <v>137</v>
      </c>
      <c r="LJ47" t="s">
        <v>137</v>
      </c>
      <c r="LK47" t="s">
        <v>137</v>
      </c>
      <c r="LL47" t="s">
        <v>137</v>
      </c>
      <c r="LM47" t="s">
        <v>137</v>
      </c>
      <c r="LN47" t="s">
        <v>137</v>
      </c>
      <c r="LO47" t="s">
        <v>137</v>
      </c>
      <c r="LP47" t="s">
        <v>137</v>
      </c>
      <c r="LQ47" t="s">
        <v>137</v>
      </c>
      <c r="LR47" t="s">
        <v>137</v>
      </c>
      <c r="LS47" t="s">
        <v>137</v>
      </c>
      <c r="LT47" t="s">
        <v>137</v>
      </c>
      <c r="LU47" t="s">
        <v>137</v>
      </c>
      <c r="LV47" t="s">
        <v>137</v>
      </c>
      <c r="LW47" t="s">
        <v>137</v>
      </c>
      <c r="LX47" t="s">
        <v>137</v>
      </c>
      <c r="LY47" t="s">
        <v>137</v>
      </c>
      <c r="LZ47" t="s">
        <v>137</v>
      </c>
      <c r="MA47" t="s">
        <v>137</v>
      </c>
      <c r="MB47" t="s">
        <v>137</v>
      </c>
      <c r="MC47" t="s">
        <v>137</v>
      </c>
      <c r="MD47" t="s">
        <v>137</v>
      </c>
      <c r="ME47" t="s">
        <v>137</v>
      </c>
      <c r="MF47" t="s">
        <v>137</v>
      </c>
      <c r="MG47" t="s">
        <v>137</v>
      </c>
      <c r="MH47" t="s">
        <v>137</v>
      </c>
      <c r="MI47" t="s">
        <v>137</v>
      </c>
      <c r="MJ47" t="s">
        <v>137</v>
      </c>
      <c r="MK47" t="s">
        <v>137</v>
      </c>
      <c r="ML47" t="s">
        <v>137</v>
      </c>
      <c r="MM47" t="s">
        <v>137</v>
      </c>
      <c r="MN47" t="s">
        <v>137</v>
      </c>
      <c r="MO47" t="s">
        <v>137</v>
      </c>
      <c r="MP47" t="s">
        <v>137</v>
      </c>
      <c r="MQ47" t="s">
        <v>137</v>
      </c>
      <c r="MR47" t="s">
        <v>137</v>
      </c>
      <c r="MS47" t="s">
        <v>137</v>
      </c>
      <c r="MT47" t="s">
        <v>137</v>
      </c>
      <c r="MU47" t="s">
        <v>137</v>
      </c>
      <c r="MV47" t="s">
        <v>137</v>
      </c>
      <c r="MW47" t="s">
        <v>137</v>
      </c>
      <c r="MX47" t="s">
        <v>137</v>
      </c>
      <c r="MY47" t="s">
        <v>137</v>
      </c>
      <c r="MZ47" t="s">
        <v>137</v>
      </c>
      <c r="NA47" t="s">
        <v>137</v>
      </c>
      <c r="NB47" t="s">
        <v>137</v>
      </c>
      <c r="NC47" t="s">
        <v>137</v>
      </c>
      <c r="ND47" t="s">
        <v>137</v>
      </c>
      <c r="NE47" t="s">
        <v>137</v>
      </c>
      <c r="NF47" t="s">
        <v>137</v>
      </c>
      <c r="NG47" t="s">
        <v>137</v>
      </c>
      <c r="NH47" t="s">
        <v>137</v>
      </c>
      <c r="NI47" t="s">
        <v>137</v>
      </c>
      <c r="NJ47" t="s">
        <v>137</v>
      </c>
      <c r="NK47" t="s">
        <v>137</v>
      </c>
      <c r="NL47" t="s">
        <v>137</v>
      </c>
      <c r="NM47" t="s">
        <v>137</v>
      </c>
      <c r="NN47" t="s">
        <v>137</v>
      </c>
      <c r="NO47" t="s">
        <v>137</v>
      </c>
      <c r="NP47" t="s">
        <v>137</v>
      </c>
      <c r="NQ47" t="s">
        <v>137</v>
      </c>
      <c r="NR47" t="s">
        <v>137</v>
      </c>
      <c r="NS47" t="s">
        <v>137</v>
      </c>
      <c r="NT47" t="s">
        <v>137</v>
      </c>
      <c r="NU47" t="s">
        <v>137</v>
      </c>
      <c r="NV47" t="s">
        <v>137</v>
      </c>
      <c r="NW47" t="s">
        <v>137</v>
      </c>
      <c r="NX47" t="s">
        <v>137</v>
      </c>
      <c r="NY47" t="s">
        <v>137</v>
      </c>
      <c r="NZ47" t="s">
        <v>137</v>
      </c>
      <c r="OA47" t="s">
        <v>137</v>
      </c>
      <c r="OB47" t="s">
        <v>137</v>
      </c>
      <c r="OC47" t="s">
        <v>137</v>
      </c>
      <c r="OD47" t="s">
        <v>137</v>
      </c>
      <c r="OE47" t="s">
        <v>137</v>
      </c>
      <c r="OF47" t="s">
        <v>137</v>
      </c>
      <c r="OG47" t="s">
        <v>137</v>
      </c>
      <c r="OH47" t="s">
        <v>137</v>
      </c>
      <c r="OI47" t="s">
        <v>137</v>
      </c>
      <c r="OJ47" t="s">
        <v>137</v>
      </c>
      <c r="OK47" t="s">
        <v>137</v>
      </c>
      <c r="OL47" t="s">
        <v>137</v>
      </c>
      <c r="OM47" t="s">
        <v>137</v>
      </c>
      <c r="ON47" t="s">
        <v>137</v>
      </c>
      <c r="OO47" t="s">
        <v>137</v>
      </c>
      <c r="OP47" t="s">
        <v>137</v>
      </c>
      <c r="OQ47" t="s">
        <v>137</v>
      </c>
      <c r="OR47" t="s">
        <v>137</v>
      </c>
      <c r="OS47" t="s">
        <v>137</v>
      </c>
      <c r="OT47" t="s">
        <v>137</v>
      </c>
      <c r="OU47" t="s">
        <v>137</v>
      </c>
      <c r="OV47" t="s">
        <v>137</v>
      </c>
      <c r="OW47" t="s">
        <v>137</v>
      </c>
      <c r="OX47" t="s">
        <v>137</v>
      </c>
      <c r="OY47" t="s">
        <v>137</v>
      </c>
      <c r="OZ47" t="s">
        <v>137</v>
      </c>
      <c r="PA47" t="s">
        <v>137</v>
      </c>
      <c r="PB47" t="s">
        <v>137</v>
      </c>
      <c r="PC47" t="s">
        <v>137</v>
      </c>
      <c r="PD47" t="s">
        <v>137</v>
      </c>
      <c r="PE47" t="s">
        <v>137</v>
      </c>
      <c r="PF47" t="s">
        <v>137</v>
      </c>
      <c r="PG47" t="s">
        <v>137</v>
      </c>
      <c r="PH47" t="s">
        <v>137</v>
      </c>
      <c r="PI47" t="s">
        <v>137</v>
      </c>
      <c r="PJ47" t="s">
        <v>137</v>
      </c>
      <c r="PK47" t="s">
        <v>137</v>
      </c>
      <c r="PL47" t="s">
        <v>137</v>
      </c>
      <c r="PM47" t="s">
        <v>137</v>
      </c>
      <c r="PN47" t="s">
        <v>137</v>
      </c>
      <c r="PO47" t="s">
        <v>137</v>
      </c>
      <c r="PP47" t="s">
        <v>137</v>
      </c>
      <c r="PQ47" t="s">
        <v>137</v>
      </c>
      <c r="PR47" t="s">
        <v>137</v>
      </c>
      <c r="PS47" t="s">
        <v>137</v>
      </c>
      <c r="PT47" t="s">
        <v>137</v>
      </c>
      <c r="PU47" t="s">
        <v>137</v>
      </c>
      <c r="PV47" t="s">
        <v>137</v>
      </c>
      <c r="PW47" t="s">
        <v>137</v>
      </c>
      <c r="PX47" t="s">
        <v>137</v>
      </c>
      <c r="PY47" t="s">
        <v>137</v>
      </c>
      <c r="PZ47" t="s">
        <v>137</v>
      </c>
      <c r="QA47" t="s">
        <v>137</v>
      </c>
      <c r="QB47" t="s">
        <v>137</v>
      </c>
      <c r="QC47" t="s">
        <v>137</v>
      </c>
      <c r="QD47" t="s">
        <v>137</v>
      </c>
      <c r="QE47" t="s">
        <v>137</v>
      </c>
      <c r="QF47" t="s">
        <v>137</v>
      </c>
      <c r="QG47" t="s">
        <v>137</v>
      </c>
      <c r="QH47" t="s">
        <v>137</v>
      </c>
      <c r="QI47" t="s">
        <v>137</v>
      </c>
      <c r="QJ47" t="s">
        <v>137</v>
      </c>
      <c r="QK47" t="s">
        <v>137</v>
      </c>
      <c r="QL47" t="s">
        <v>137</v>
      </c>
      <c r="QM47" t="s">
        <v>137</v>
      </c>
      <c r="QN47" t="s">
        <v>137</v>
      </c>
      <c r="QO47" t="s">
        <v>137</v>
      </c>
    </row>
    <row r="48" spans="1:457" x14ac:dyDescent="0.2">
      <c r="A48" t="s">
        <v>117</v>
      </c>
      <c r="B48" s="3">
        <v>42482</v>
      </c>
      <c r="C48" t="s">
        <v>74</v>
      </c>
      <c r="E48" t="s">
        <v>137</v>
      </c>
      <c r="F48">
        <v>88.037599999999998</v>
      </c>
      <c r="G48">
        <v>88.788200000000003</v>
      </c>
      <c r="H48">
        <v>80.400099999999995</v>
      </c>
      <c r="I48">
        <v>73.896100000000004</v>
      </c>
      <c r="J48">
        <v>73.707300000000004</v>
      </c>
      <c r="K48" t="s">
        <v>137</v>
      </c>
      <c r="L48" t="s">
        <v>137</v>
      </c>
      <c r="M48">
        <v>67.297600000000003</v>
      </c>
      <c r="N48">
        <v>67.254900000000006</v>
      </c>
      <c r="O48">
        <v>65.404899999999998</v>
      </c>
      <c r="P48">
        <v>67.247600000000006</v>
      </c>
      <c r="Q48">
        <v>70.124799999999993</v>
      </c>
      <c r="R48" t="s">
        <v>137</v>
      </c>
      <c r="S48" t="s">
        <v>137</v>
      </c>
      <c r="T48">
        <v>73.194800000000001</v>
      </c>
      <c r="U48">
        <v>69.187700000000007</v>
      </c>
      <c r="V48">
        <v>66.571899999999999</v>
      </c>
      <c r="W48">
        <v>68.640600000000006</v>
      </c>
      <c r="X48">
        <v>69.376099999999994</v>
      </c>
      <c r="Y48" t="s">
        <v>137</v>
      </c>
      <c r="Z48" t="s">
        <v>137</v>
      </c>
      <c r="AA48">
        <v>72.612799999999993</v>
      </c>
      <c r="AB48">
        <v>76.081599999999995</v>
      </c>
      <c r="AC48">
        <v>76.877799999999993</v>
      </c>
      <c r="AD48">
        <v>78.153400000000005</v>
      </c>
      <c r="AE48">
        <v>76.124700000000004</v>
      </c>
      <c r="AF48" t="s">
        <v>137</v>
      </c>
      <c r="AG48" t="s">
        <v>137</v>
      </c>
      <c r="AH48">
        <v>72.741299999999995</v>
      </c>
      <c r="AI48">
        <v>73.410499999999999</v>
      </c>
      <c r="AJ48">
        <v>73.324100000000001</v>
      </c>
      <c r="AK48">
        <v>74.105699999999999</v>
      </c>
      <c r="AL48">
        <v>72.091700000000003</v>
      </c>
      <c r="AM48" t="s">
        <v>137</v>
      </c>
      <c r="AN48" t="s">
        <v>137</v>
      </c>
      <c r="AO48">
        <v>70.165400000000005</v>
      </c>
      <c r="AP48">
        <v>68.580699999999993</v>
      </c>
      <c r="AQ48">
        <v>67.101299999999995</v>
      </c>
      <c r="AR48">
        <v>62.186300000000003</v>
      </c>
      <c r="AS48">
        <v>63.714399999999998</v>
      </c>
      <c r="AT48" t="s">
        <v>137</v>
      </c>
      <c r="AU48" t="s">
        <v>137</v>
      </c>
      <c r="AV48">
        <v>66.0458</v>
      </c>
      <c r="AW48">
        <v>65.166300000000007</v>
      </c>
      <c r="AX48">
        <v>67.843000000000004</v>
      </c>
      <c r="AY48">
        <v>67.213499999999996</v>
      </c>
      <c r="AZ48">
        <v>71.187299999999993</v>
      </c>
      <c r="BA48" t="s">
        <v>137</v>
      </c>
      <c r="BB48" t="s">
        <v>137</v>
      </c>
      <c r="BC48">
        <v>75.902500000000003</v>
      </c>
      <c r="BD48">
        <v>82.569500000000005</v>
      </c>
      <c r="BE48">
        <v>81.049199999999999</v>
      </c>
      <c r="BF48">
        <v>80.195700000000002</v>
      </c>
      <c r="BG48">
        <v>83.052999999999997</v>
      </c>
      <c r="BH48" t="s">
        <v>137</v>
      </c>
      <c r="BI48" t="s">
        <v>137</v>
      </c>
      <c r="BJ48">
        <v>88.562399999999997</v>
      </c>
      <c r="BK48">
        <v>84.899900000000002</v>
      </c>
      <c r="BL48">
        <v>86.194299999999998</v>
      </c>
      <c r="BM48">
        <v>88.412899999999993</v>
      </c>
      <c r="BN48">
        <v>89.122</v>
      </c>
      <c r="BO48" t="s">
        <v>137</v>
      </c>
      <c r="BP48" t="s">
        <v>137</v>
      </c>
      <c r="BQ48">
        <v>89.330600000000004</v>
      </c>
      <c r="BR48">
        <v>89.795900000000003</v>
      </c>
      <c r="BS48">
        <v>92.433999999999997</v>
      </c>
      <c r="BT48">
        <v>93.000900000000001</v>
      </c>
      <c r="BU48">
        <v>95.589600000000004</v>
      </c>
      <c r="BV48" t="s">
        <v>137</v>
      </c>
      <c r="BW48" t="s">
        <v>137</v>
      </c>
      <c r="BX48">
        <v>97.018799999999999</v>
      </c>
      <c r="BY48">
        <v>101.0005</v>
      </c>
      <c r="BZ48">
        <v>101.48180000000001</v>
      </c>
      <c r="CA48">
        <v>99.453400000000002</v>
      </c>
      <c r="CB48">
        <v>101.47450000000001</v>
      </c>
      <c r="CC48" t="s">
        <v>137</v>
      </c>
      <c r="CD48" t="s">
        <v>137</v>
      </c>
      <c r="CE48">
        <v>103.5569</v>
      </c>
      <c r="CF48">
        <v>97.671800000000005</v>
      </c>
      <c r="CG48">
        <v>94.088499999999996</v>
      </c>
      <c r="CH48">
        <v>88.718000000000004</v>
      </c>
      <c r="CI48">
        <v>92.778999999999996</v>
      </c>
      <c r="CJ48" t="s">
        <v>137</v>
      </c>
      <c r="CK48" t="s">
        <v>137</v>
      </c>
      <c r="CL48">
        <v>94.588200000000001</v>
      </c>
      <c r="CM48">
        <v>93.038799999999995</v>
      </c>
      <c r="CN48">
        <v>93.675600000000003</v>
      </c>
      <c r="CO48">
        <v>94.830100000000002</v>
      </c>
      <c r="CP48">
        <v>93.020200000000003</v>
      </c>
      <c r="CQ48" t="s">
        <v>137</v>
      </c>
      <c r="CR48" t="s">
        <v>137</v>
      </c>
      <c r="CS48">
        <v>101.3982</v>
      </c>
      <c r="CT48">
        <v>98.584599999999995</v>
      </c>
      <c r="CU48">
        <v>95.771600000000007</v>
      </c>
      <c r="CV48">
        <v>98.650499999999994</v>
      </c>
      <c r="CW48">
        <v>94.173599999999993</v>
      </c>
      <c r="CX48" t="s">
        <v>137</v>
      </c>
      <c r="CY48" t="s">
        <v>137</v>
      </c>
      <c r="CZ48">
        <v>85.7774</v>
      </c>
      <c r="DA48">
        <v>84.628500000000003</v>
      </c>
      <c r="DB48">
        <v>83.724299999999999</v>
      </c>
      <c r="DC48">
        <v>83.327699999999993</v>
      </c>
      <c r="DD48">
        <v>83.250500000000002</v>
      </c>
      <c r="DE48" t="s">
        <v>137</v>
      </c>
      <c r="DF48" t="s">
        <v>137</v>
      </c>
      <c r="DG48">
        <v>85.728499999999997</v>
      </c>
      <c r="DH48">
        <v>78.657899999999998</v>
      </c>
      <c r="DI48">
        <v>75.807100000000005</v>
      </c>
      <c r="DJ48">
        <v>79.263099999999994</v>
      </c>
      <c r="DK48">
        <v>80.468500000000006</v>
      </c>
      <c r="DL48" t="s">
        <v>137</v>
      </c>
      <c r="DM48" t="s">
        <v>137</v>
      </c>
      <c r="DN48">
        <v>78.2</v>
      </c>
      <c r="DO48">
        <v>77.3596</v>
      </c>
      <c r="DP48">
        <v>77.639300000000006</v>
      </c>
      <c r="DQ48">
        <v>76.737200000000001</v>
      </c>
      <c r="DR48">
        <v>74.593800000000002</v>
      </c>
      <c r="DS48" t="s">
        <v>137</v>
      </c>
      <c r="DT48" t="s">
        <v>137</v>
      </c>
      <c r="DU48">
        <v>74.360299999999995</v>
      </c>
      <c r="DV48">
        <v>73.992000000000004</v>
      </c>
      <c r="DW48">
        <v>75.347099999999998</v>
      </c>
      <c r="DX48">
        <v>77.904799999999994</v>
      </c>
      <c r="DY48">
        <v>77.444599999999994</v>
      </c>
      <c r="DZ48" t="s">
        <v>137</v>
      </c>
      <c r="EA48" t="s">
        <v>137</v>
      </c>
      <c r="EB48">
        <v>83.779899999999998</v>
      </c>
      <c r="EC48">
        <v>81.972300000000004</v>
      </c>
      <c r="ED48">
        <v>80.729699999999994</v>
      </c>
      <c r="EE48">
        <v>77.878399999999999</v>
      </c>
      <c r="EF48">
        <v>79.005300000000005</v>
      </c>
      <c r="EG48" t="s">
        <v>137</v>
      </c>
      <c r="EH48" t="s">
        <v>137</v>
      </c>
      <c r="EI48">
        <v>76.929299999999998</v>
      </c>
      <c r="EJ48">
        <v>77.935900000000004</v>
      </c>
      <c r="EK48">
        <v>75.31</v>
      </c>
      <c r="EL48">
        <v>75.490799999999993</v>
      </c>
      <c r="EM48">
        <v>76.893699999999995</v>
      </c>
      <c r="EN48" t="s">
        <v>137</v>
      </c>
      <c r="EO48" t="s">
        <v>137</v>
      </c>
      <c r="EP48">
        <v>78.130099999999999</v>
      </c>
      <c r="EQ48">
        <v>81.048299999999998</v>
      </c>
      <c r="ER48">
        <v>82.9405</v>
      </c>
      <c r="ES48">
        <v>82.450500000000005</v>
      </c>
      <c r="ET48">
        <v>85.378500000000003</v>
      </c>
      <c r="EU48" t="s">
        <v>137</v>
      </c>
      <c r="EV48" t="s">
        <v>137</v>
      </c>
      <c r="EW48">
        <v>88.379900000000006</v>
      </c>
      <c r="EX48">
        <v>84.895200000000003</v>
      </c>
      <c r="EY48">
        <v>79.958399999999997</v>
      </c>
      <c r="EZ48">
        <v>80.019599999999997</v>
      </c>
      <c r="FA48">
        <v>82.525599999999997</v>
      </c>
      <c r="FB48" t="s">
        <v>137</v>
      </c>
      <c r="FC48" t="s">
        <v>137</v>
      </c>
      <c r="FD48">
        <v>78.274600000000007</v>
      </c>
      <c r="FE48">
        <v>73.508499999999998</v>
      </c>
      <c r="FF48">
        <v>73.093400000000003</v>
      </c>
      <c r="FG48">
        <v>74.616399999999999</v>
      </c>
      <c r="FH48">
        <v>71.867000000000004</v>
      </c>
      <c r="FI48" t="s">
        <v>137</v>
      </c>
      <c r="FJ48" t="s">
        <v>137</v>
      </c>
      <c r="FK48">
        <v>73.688900000000004</v>
      </c>
      <c r="FL48">
        <v>80.336600000000004</v>
      </c>
      <c r="FM48">
        <v>79.803399999999996</v>
      </c>
      <c r="FN48">
        <v>80.538899999999998</v>
      </c>
      <c r="FO48">
        <v>81.362200000000001</v>
      </c>
      <c r="FP48" t="s">
        <v>137</v>
      </c>
      <c r="FQ48" t="s">
        <v>137</v>
      </c>
      <c r="FR48">
        <v>81.745699999999999</v>
      </c>
      <c r="FS48">
        <v>81.941400000000002</v>
      </c>
      <c r="FT48">
        <v>82.144300000000001</v>
      </c>
      <c r="FU48">
        <v>82.778800000000004</v>
      </c>
      <c r="FV48">
        <v>83.004800000000003</v>
      </c>
      <c r="FW48" t="s">
        <v>137</v>
      </c>
      <c r="FX48" t="s">
        <v>137</v>
      </c>
      <c r="FY48">
        <v>83.232399999999998</v>
      </c>
      <c r="FZ48">
        <v>83.410600000000002</v>
      </c>
      <c r="GA48">
        <v>83.641099999999994</v>
      </c>
      <c r="GB48">
        <v>84.6267</v>
      </c>
      <c r="GC48">
        <v>84.865200000000002</v>
      </c>
      <c r="GD48" t="s">
        <v>137</v>
      </c>
      <c r="GE48" t="s">
        <v>137</v>
      </c>
      <c r="GF48">
        <v>85.105099999999993</v>
      </c>
      <c r="GG48">
        <v>85.442400000000006</v>
      </c>
      <c r="GH48">
        <v>93.512600000000006</v>
      </c>
      <c r="GI48">
        <v>101.44499999999999</v>
      </c>
      <c r="GJ48">
        <v>106.0104</v>
      </c>
      <c r="GK48" t="s">
        <v>137</v>
      </c>
      <c r="GL48" t="s">
        <v>137</v>
      </c>
      <c r="GM48">
        <v>139.86199999999999</v>
      </c>
      <c r="GN48">
        <v>141.2672</v>
      </c>
      <c r="GO48">
        <v>147.59610000000001</v>
      </c>
      <c r="GP48">
        <v>171.74019999999999</v>
      </c>
      <c r="GQ48">
        <v>175.51499999999999</v>
      </c>
      <c r="GR48" t="s">
        <v>137</v>
      </c>
      <c r="GS48" t="s">
        <v>137</v>
      </c>
      <c r="GT48">
        <v>201.8486</v>
      </c>
      <c r="GU48">
        <v>196.04740000000001</v>
      </c>
      <c r="GV48">
        <v>258.18599999999998</v>
      </c>
      <c r="GW48">
        <v>254.73670000000001</v>
      </c>
      <c r="GX48">
        <v>262.49020000000002</v>
      </c>
      <c r="GY48" t="s">
        <v>137</v>
      </c>
      <c r="GZ48" t="s">
        <v>137</v>
      </c>
      <c r="HA48">
        <v>294.73849999999999</v>
      </c>
      <c r="HB48">
        <v>301.38990000000001</v>
      </c>
      <c r="HC48">
        <v>291.74099999999999</v>
      </c>
      <c r="HD48">
        <v>277.0752</v>
      </c>
      <c r="HE48">
        <v>286.93040000000002</v>
      </c>
      <c r="HF48" t="s">
        <v>137</v>
      </c>
      <c r="HG48" t="s">
        <v>137</v>
      </c>
      <c r="HH48">
        <v>276.20209999999997</v>
      </c>
      <c r="HI48">
        <v>265.74509999999998</v>
      </c>
      <c r="HJ48">
        <v>258.92259999999999</v>
      </c>
      <c r="HK48">
        <v>256.51490000000001</v>
      </c>
      <c r="HL48">
        <v>252.2097</v>
      </c>
      <c r="HM48" t="s">
        <v>137</v>
      </c>
      <c r="HN48" t="s">
        <v>137</v>
      </c>
      <c r="HO48">
        <v>234.62119999999999</v>
      </c>
      <c r="HP48">
        <v>234.98070000000001</v>
      </c>
      <c r="HQ48">
        <v>244.7475</v>
      </c>
      <c r="HR48">
        <v>252.74039999999999</v>
      </c>
      <c r="HS48">
        <v>253.89619999999999</v>
      </c>
      <c r="HT48" t="s">
        <v>137</v>
      </c>
      <c r="HU48" t="s">
        <v>137</v>
      </c>
      <c r="HV48">
        <v>254.27170000000001</v>
      </c>
      <c r="HW48">
        <v>259.78269999999998</v>
      </c>
      <c r="HX48">
        <v>267.95650000000001</v>
      </c>
      <c r="HY48">
        <v>274.89060000000001</v>
      </c>
      <c r="HZ48">
        <v>244.31530000000001</v>
      </c>
      <c r="IA48" t="s">
        <v>137</v>
      </c>
      <c r="IB48" t="s">
        <v>137</v>
      </c>
      <c r="IC48">
        <v>241.2628</v>
      </c>
      <c r="ID48">
        <v>250.34829999999999</v>
      </c>
      <c r="IE48">
        <v>257.98899999999998</v>
      </c>
      <c r="IF48">
        <v>266.67039999999997</v>
      </c>
      <c r="IG48">
        <v>297.32569999999998</v>
      </c>
      <c r="IH48" t="s">
        <v>137</v>
      </c>
      <c r="II48" t="s">
        <v>137</v>
      </c>
      <c r="IJ48">
        <v>292.82589999999999</v>
      </c>
      <c r="IK48">
        <v>291.33519999999999</v>
      </c>
      <c r="IL48">
        <v>289.65260000000001</v>
      </c>
      <c r="IM48">
        <v>306.47000000000003</v>
      </c>
      <c r="IN48">
        <v>304.5847</v>
      </c>
      <c r="IO48" t="s">
        <v>137</v>
      </c>
      <c r="IP48" t="s">
        <v>137</v>
      </c>
      <c r="IQ48">
        <v>319.75220000000002</v>
      </c>
      <c r="IR48">
        <v>301.38569999999999</v>
      </c>
      <c r="IS48">
        <v>292.17309999999998</v>
      </c>
      <c r="IT48">
        <v>291.0686</v>
      </c>
      <c r="IU48">
        <v>293.41699999999997</v>
      </c>
      <c r="IV48" t="s">
        <v>137</v>
      </c>
      <c r="IW48" t="s">
        <v>137</v>
      </c>
      <c r="IX48">
        <v>267.33760000000001</v>
      </c>
      <c r="IY48">
        <v>243.56970000000001</v>
      </c>
      <c r="IZ48">
        <v>241.959</v>
      </c>
      <c r="JA48">
        <v>241.476</v>
      </c>
      <c r="JB48">
        <v>213.6302</v>
      </c>
      <c r="JC48" t="s">
        <v>137</v>
      </c>
      <c r="JD48" t="s">
        <v>137</v>
      </c>
      <c r="JE48">
        <v>198.39500000000001</v>
      </c>
      <c r="JF48">
        <v>207.81139999999999</v>
      </c>
      <c r="JG48">
        <v>216.74440000000001</v>
      </c>
      <c r="JH48">
        <v>216.45740000000001</v>
      </c>
      <c r="JI48">
        <v>216.59039999999999</v>
      </c>
      <c r="JJ48" t="s">
        <v>137</v>
      </c>
      <c r="JK48" t="s">
        <v>137</v>
      </c>
      <c r="JL48">
        <v>215.69130000000001</v>
      </c>
      <c r="JM48">
        <v>208.041</v>
      </c>
      <c r="JN48">
        <v>197.6182</v>
      </c>
      <c r="JO48">
        <v>210.44120000000001</v>
      </c>
      <c r="JP48">
        <v>208.65389999999999</v>
      </c>
      <c r="JQ48" t="s">
        <v>137</v>
      </c>
      <c r="JR48" t="s">
        <v>137</v>
      </c>
      <c r="JS48">
        <v>193.10149999999999</v>
      </c>
      <c r="JT48">
        <v>202.4453</v>
      </c>
      <c r="JU48">
        <v>197.98060000000001</v>
      </c>
      <c r="JV48">
        <v>204.72810000000001</v>
      </c>
      <c r="JW48">
        <v>209.19929999999999</v>
      </c>
      <c r="JX48" t="s">
        <v>137</v>
      </c>
      <c r="JY48" t="s">
        <v>137</v>
      </c>
      <c r="JZ48">
        <v>204.38820000000001</v>
      </c>
      <c r="KA48">
        <v>217.48519999999999</v>
      </c>
      <c r="KB48">
        <v>212.56</v>
      </c>
      <c r="KC48">
        <v>214.0789</v>
      </c>
      <c r="KD48">
        <v>209.3596</v>
      </c>
      <c r="KE48" t="s">
        <v>137</v>
      </c>
      <c r="KF48" t="s">
        <v>137</v>
      </c>
      <c r="KG48">
        <v>215.73</v>
      </c>
      <c r="KH48">
        <v>206.2346</v>
      </c>
      <c r="KI48">
        <v>209.19</v>
      </c>
      <c r="KJ48">
        <v>217.2688</v>
      </c>
      <c r="KK48">
        <v>215.3905</v>
      </c>
      <c r="KL48" t="s">
        <v>137</v>
      </c>
      <c r="KM48" t="s">
        <v>137</v>
      </c>
      <c r="KN48">
        <v>213.3785</v>
      </c>
      <c r="KO48">
        <v>208.71860000000001</v>
      </c>
      <c r="KP48">
        <v>213.4306</v>
      </c>
      <c r="KQ48">
        <v>218.0976</v>
      </c>
      <c r="KR48">
        <v>227.6902</v>
      </c>
      <c r="KS48" t="s">
        <v>137</v>
      </c>
      <c r="KT48" t="s">
        <v>137</v>
      </c>
      <c r="KU48">
        <v>218.4522</v>
      </c>
      <c r="KV48">
        <v>224.85990000000001</v>
      </c>
      <c r="KW48">
        <v>225.10640000000001</v>
      </c>
      <c r="KX48">
        <v>231.5256</v>
      </c>
      <c r="KY48">
        <v>233.2218</v>
      </c>
      <c r="KZ48" t="s">
        <v>137</v>
      </c>
      <c r="LA48" t="s">
        <v>137</v>
      </c>
      <c r="LB48">
        <v>217.6619</v>
      </c>
      <c r="LC48">
        <v>213.90219999999999</v>
      </c>
      <c r="LD48">
        <v>209.11420000000001</v>
      </c>
      <c r="LE48">
        <v>212.97040000000001</v>
      </c>
      <c r="LF48">
        <v>215.2783</v>
      </c>
      <c r="LG48" t="s">
        <v>137</v>
      </c>
      <c r="LH48" t="s">
        <v>137</v>
      </c>
      <c r="LI48">
        <v>214.5855</v>
      </c>
      <c r="LJ48">
        <v>223.27539999999999</v>
      </c>
      <c r="LK48">
        <v>225.0565</v>
      </c>
      <c r="LL48">
        <v>227.3305</v>
      </c>
      <c r="LM48">
        <v>231.76490000000001</v>
      </c>
      <c r="LN48" t="s">
        <v>137</v>
      </c>
      <c r="LO48" t="s">
        <v>137</v>
      </c>
      <c r="LP48">
        <v>235.27260000000001</v>
      </c>
      <c r="LQ48">
        <v>232.7996</v>
      </c>
      <c r="LR48">
        <v>225.05969999999999</v>
      </c>
      <c r="LS48">
        <v>217.75989999999999</v>
      </c>
      <c r="LT48">
        <v>218.93809999999999</v>
      </c>
      <c r="LU48" t="s">
        <v>137</v>
      </c>
      <c r="LV48" t="s">
        <v>137</v>
      </c>
      <c r="LW48">
        <v>220.15020000000001</v>
      </c>
      <c r="LX48">
        <v>223.37719999999999</v>
      </c>
      <c r="LY48">
        <v>228.85130000000001</v>
      </c>
      <c r="LZ48">
        <v>232.1054</v>
      </c>
      <c r="MA48">
        <v>232.255</v>
      </c>
      <c r="MB48" t="s">
        <v>137</v>
      </c>
      <c r="MC48" t="s">
        <v>137</v>
      </c>
      <c r="MD48">
        <v>236.4222</v>
      </c>
      <c r="ME48">
        <v>197.97659999999999</v>
      </c>
      <c r="MF48">
        <v>193.13640000000001</v>
      </c>
      <c r="MG48">
        <v>195.1283</v>
      </c>
      <c r="MH48">
        <v>203.2808</v>
      </c>
      <c r="MI48" t="s">
        <v>137</v>
      </c>
      <c r="MJ48" t="s">
        <v>137</v>
      </c>
      <c r="MK48">
        <v>204.83840000000001</v>
      </c>
      <c r="ML48">
        <v>204.71539999999999</v>
      </c>
      <c r="MM48">
        <v>207.2715</v>
      </c>
      <c r="MN48">
        <v>210.34639999999999</v>
      </c>
      <c r="MO48">
        <v>212.8004</v>
      </c>
      <c r="MP48" t="s">
        <v>137</v>
      </c>
      <c r="MQ48" t="s">
        <v>137</v>
      </c>
      <c r="MR48">
        <v>216.0035</v>
      </c>
      <c r="MS48">
        <v>219.13570000000001</v>
      </c>
      <c r="MT48">
        <v>217.68039999999999</v>
      </c>
      <c r="MU48">
        <v>225.22890000000001</v>
      </c>
      <c r="MV48">
        <v>226.86099999999999</v>
      </c>
      <c r="MW48" t="s">
        <v>137</v>
      </c>
      <c r="MX48" t="s">
        <v>137</v>
      </c>
      <c r="MY48">
        <v>226.4649</v>
      </c>
      <c r="MZ48">
        <v>227.33500000000001</v>
      </c>
      <c r="NA48">
        <v>228.68629999999999</v>
      </c>
      <c r="NB48">
        <v>232.92490000000001</v>
      </c>
      <c r="NC48">
        <v>232.47579999999999</v>
      </c>
      <c r="ND48" t="s">
        <v>137</v>
      </c>
      <c r="NE48" t="s">
        <v>137</v>
      </c>
      <c r="NF48">
        <v>235.3365</v>
      </c>
      <c r="NG48">
        <v>231.18010000000001</v>
      </c>
      <c r="NH48">
        <v>233.94300000000001</v>
      </c>
      <c r="NI48">
        <v>216.41970000000001</v>
      </c>
      <c r="NJ48">
        <v>237.92439999999999</v>
      </c>
      <c r="NK48" t="s">
        <v>137</v>
      </c>
      <c r="NL48" t="s">
        <v>137</v>
      </c>
      <c r="NM48" t="s">
        <v>137</v>
      </c>
      <c r="NN48" t="s">
        <v>137</v>
      </c>
      <c r="NO48" t="s">
        <v>137</v>
      </c>
      <c r="NP48" t="s">
        <v>137</v>
      </c>
      <c r="NQ48" t="s">
        <v>137</v>
      </c>
      <c r="NR48" t="s">
        <v>137</v>
      </c>
      <c r="NS48" t="s">
        <v>137</v>
      </c>
      <c r="NT48" t="s">
        <v>137</v>
      </c>
      <c r="NU48" t="s">
        <v>137</v>
      </c>
      <c r="NV48" t="s">
        <v>137</v>
      </c>
      <c r="NW48" t="s">
        <v>137</v>
      </c>
      <c r="NX48" t="s">
        <v>137</v>
      </c>
      <c r="NY48" t="s">
        <v>137</v>
      </c>
      <c r="NZ48" t="s">
        <v>137</v>
      </c>
      <c r="OA48" t="s">
        <v>137</v>
      </c>
      <c r="OB48" t="s">
        <v>137</v>
      </c>
      <c r="OC48" t="s">
        <v>137</v>
      </c>
      <c r="OD48" t="s">
        <v>137</v>
      </c>
      <c r="OE48" t="s">
        <v>137</v>
      </c>
      <c r="OF48" t="s">
        <v>137</v>
      </c>
      <c r="OG48" t="s">
        <v>137</v>
      </c>
      <c r="OH48" t="s">
        <v>137</v>
      </c>
      <c r="OI48" t="s">
        <v>137</v>
      </c>
      <c r="OJ48" t="s">
        <v>137</v>
      </c>
      <c r="OK48" t="s">
        <v>137</v>
      </c>
      <c r="OL48" t="s">
        <v>137</v>
      </c>
      <c r="OM48" t="s">
        <v>137</v>
      </c>
      <c r="ON48" t="s">
        <v>137</v>
      </c>
      <c r="OO48" t="s">
        <v>137</v>
      </c>
      <c r="OP48" t="s">
        <v>137</v>
      </c>
      <c r="OQ48" t="s">
        <v>137</v>
      </c>
      <c r="OR48" t="s">
        <v>137</v>
      </c>
      <c r="OS48" t="s">
        <v>137</v>
      </c>
      <c r="OT48" t="s">
        <v>137</v>
      </c>
      <c r="OU48" t="s">
        <v>137</v>
      </c>
      <c r="OV48" t="s">
        <v>137</v>
      </c>
      <c r="OW48" t="s">
        <v>137</v>
      </c>
      <c r="OX48" t="s">
        <v>137</v>
      </c>
      <c r="OY48" t="s">
        <v>137</v>
      </c>
      <c r="OZ48" t="s">
        <v>137</v>
      </c>
      <c r="PA48" t="s">
        <v>137</v>
      </c>
      <c r="PB48" t="s">
        <v>137</v>
      </c>
      <c r="PC48" t="s">
        <v>137</v>
      </c>
      <c r="PD48" t="s">
        <v>137</v>
      </c>
      <c r="PE48" t="s">
        <v>137</v>
      </c>
      <c r="PF48" t="s">
        <v>137</v>
      </c>
      <c r="PG48" t="s">
        <v>137</v>
      </c>
      <c r="PH48" t="s">
        <v>137</v>
      </c>
      <c r="PI48" t="s">
        <v>137</v>
      </c>
      <c r="PJ48" t="s">
        <v>137</v>
      </c>
      <c r="PK48" t="s">
        <v>137</v>
      </c>
      <c r="PL48" t="s">
        <v>137</v>
      </c>
      <c r="PM48" t="s">
        <v>137</v>
      </c>
      <c r="PN48" t="s">
        <v>137</v>
      </c>
      <c r="PO48" t="s">
        <v>137</v>
      </c>
      <c r="PP48" t="s">
        <v>137</v>
      </c>
      <c r="PQ48" t="s">
        <v>137</v>
      </c>
      <c r="PR48" t="s">
        <v>137</v>
      </c>
      <c r="PS48" t="s">
        <v>137</v>
      </c>
      <c r="PT48" t="s">
        <v>137</v>
      </c>
      <c r="PU48" t="s">
        <v>137</v>
      </c>
      <c r="PV48" t="s">
        <v>137</v>
      </c>
      <c r="PW48" t="s">
        <v>137</v>
      </c>
      <c r="PX48" t="s">
        <v>137</v>
      </c>
      <c r="PY48" t="s">
        <v>137</v>
      </c>
      <c r="PZ48" t="s">
        <v>137</v>
      </c>
      <c r="QA48" t="s">
        <v>137</v>
      </c>
      <c r="QB48" t="s">
        <v>137</v>
      </c>
      <c r="QC48" t="s">
        <v>137</v>
      </c>
      <c r="QD48" t="s">
        <v>137</v>
      </c>
      <c r="QE48" t="s">
        <v>137</v>
      </c>
      <c r="QF48" t="s">
        <v>137</v>
      </c>
      <c r="QG48" t="s">
        <v>137</v>
      </c>
      <c r="QH48" t="s">
        <v>137</v>
      </c>
      <c r="QI48" t="s">
        <v>137</v>
      </c>
      <c r="QJ48" t="s">
        <v>137</v>
      </c>
      <c r="QK48" t="s">
        <v>137</v>
      </c>
      <c r="QL48" t="s">
        <v>137</v>
      </c>
      <c r="QM48" t="s">
        <v>137</v>
      </c>
      <c r="QN48" t="s">
        <v>137</v>
      </c>
      <c r="QO48" t="s">
        <v>137</v>
      </c>
    </row>
    <row r="49" spans="1:457" x14ac:dyDescent="0.2">
      <c r="A49" t="s">
        <v>118</v>
      </c>
      <c r="B49" s="3">
        <v>42761</v>
      </c>
      <c r="C49" t="s">
        <v>76</v>
      </c>
      <c r="E49" t="s">
        <v>137</v>
      </c>
      <c r="F49">
        <v>61.906399999999998</v>
      </c>
      <c r="G49">
        <v>61.178400000000003</v>
      </c>
      <c r="H49">
        <v>58.622100000000003</v>
      </c>
      <c r="I49">
        <v>53.907800000000002</v>
      </c>
      <c r="J49">
        <v>52.871899999999997</v>
      </c>
      <c r="K49" t="s">
        <v>137</v>
      </c>
      <c r="L49" t="s">
        <v>137</v>
      </c>
      <c r="M49">
        <v>48.550199999999997</v>
      </c>
      <c r="N49">
        <v>49.182699999999997</v>
      </c>
      <c r="O49">
        <v>49.851599999999998</v>
      </c>
      <c r="P49">
        <v>50.761000000000003</v>
      </c>
      <c r="Q49">
        <v>53.072000000000003</v>
      </c>
      <c r="R49" t="s">
        <v>137</v>
      </c>
      <c r="S49" t="s">
        <v>137</v>
      </c>
      <c r="T49">
        <v>54.497500000000002</v>
      </c>
      <c r="U49">
        <v>54.237499999999997</v>
      </c>
      <c r="V49">
        <v>52.102699999999999</v>
      </c>
      <c r="W49">
        <v>53.648800000000001</v>
      </c>
      <c r="X49">
        <v>52.959899999999998</v>
      </c>
      <c r="Y49" t="s">
        <v>137</v>
      </c>
      <c r="Z49" t="s">
        <v>137</v>
      </c>
      <c r="AA49">
        <v>55.104100000000003</v>
      </c>
      <c r="AB49">
        <v>57.257199999999997</v>
      </c>
      <c r="AC49">
        <v>57.8812</v>
      </c>
      <c r="AD49">
        <v>57.671999999999997</v>
      </c>
      <c r="AE49">
        <v>56.871600000000001</v>
      </c>
      <c r="AF49" t="s">
        <v>137</v>
      </c>
      <c r="AG49" t="s">
        <v>137</v>
      </c>
      <c r="AH49">
        <v>55.915799999999997</v>
      </c>
      <c r="AI49">
        <v>56.599400000000003</v>
      </c>
      <c r="AJ49">
        <v>56.475099999999998</v>
      </c>
      <c r="AK49">
        <v>56.466000000000001</v>
      </c>
      <c r="AL49">
        <v>57.015500000000003</v>
      </c>
      <c r="AM49" t="s">
        <v>137</v>
      </c>
      <c r="AN49" t="s">
        <v>137</v>
      </c>
      <c r="AO49">
        <v>55.2896</v>
      </c>
      <c r="AP49">
        <v>54.648299999999999</v>
      </c>
      <c r="AQ49">
        <v>53.014800000000001</v>
      </c>
      <c r="AR49">
        <v>50.055999999999997</v>
      </c>
      <c r="AS49">
        <v>49.7468</v>
      </c>
      <c r="AT49" t="s">
        <v>137</v>
      </c>
      <c r="AU49" t="s">
        <v>137</v>
      </c>
      <c r="AV49">
        <v>49.868000000000002</v>
      </c>
      <c r="AW49">
        <v>50.876199999999997</v>
      </c>
      <c r="AX49">
        <v>52.374499999999998</v>
      </c>
      <c r="AY49">
        <v>52.432000000000002</v>
      </c>
      <c r="AZ49">
        <v>53.1541</v>
      </c>
      <c r="BA49" t="s">
        <v>137</v>
      </c>
      <c r="BB49" t="s">
        <v>137</v>
      </c>
      <c r="BC49">
        <v>55.433300000000003</v>
      </c>
      <c r="BD49">
        <v>57.344099999999997</v>
      </c>
      <c r="BE49">
        <v>57.1068</v>
      </c>
      <c r="BF49">
        <v>55.096699999999998</v>
      </c>
      <c r="BG49">
        <v>56.037599999999998</v>
      </c>
      <c r="BH49" t="s">
        <v>137</v>
      </c>
      <c r="BI49" t="s">
        <v>137</v>
      </c>
      <c r="BJ49">
        <v>59.2318</v>
      </c>
      <c r="BK49">
        <v>59.011699999999998</v>
      </c>
      <c r="BL49">
        <v>58.7331</v>
      </c>
      <c r="BM49">
        <v>59.839399999999998</v>
      </c>
      <c r="BN49">
        <v>60.1282</v>
      </c>
      <c r="BO49" t="s">
        <v>137</v>
      </c>
      <c r="BP49" t="s">
        <v>137</v>
      </c>
      <c r="BQ49">
        <v>60.762900000000002</v>
      </c>
      <c r="BR49">
        <v>60.8688</v>
      </c>
      <c r="BS49">
        <v>61.344000000000001</v>
      </c>
      <c r="BT49">
        <v>62.714399999999998</v>
      </c>
      <c r="BU49">
        <v>64.2423</v>
      </c>
      <c r="BV49" t="s">
        <v>137</v>
      </c>
      <c r="BW49" t="s">
        <v>137</v>
      </c>
      <c r="BX49">
        <v>63.363399999999999</v>
      </c>
      <c r="BY49">
        <v>67.005200000000002</v>
      </c>
      <c r="BZ49">
        <v>68.132499999999993</v>
      </c>
      <c r="CA49">
        <v>65.306700000000006</v>
      </c>
      <c r="CB49">
        <v>66.223699999999994</v>
      </c>
      <c r="CC49" t="s">
        <v>137</v>
      </c>
      <c r="CD49" t="s">
        <v>137</v>
      </c>
      <c r="CE49">
        <v>66.465299999999999</v>
      </c>
      <c r="CF49">
        <v>65.785300000000007</v>
      </c>
      <c r="CG49">
        <v>61.603000000000002</v>
      </c>
      <c r="CH49">
        <v>59.361400000000003</v>
      </c>
      <c r="CI49">
        <v>60.083599999999997</v>
      </c>
      <c r="CJ49" t="s">
        <v>137</v>
      </c>
      <c r="CK49" t="s">
        <v>137</v>
      </c>
      <c r="CL49">
        <v>61.001199999999997</v>
      </c>
      <c r="CM49">
        <v>61.232199999999999</v>
      </c>
      <c r="CN49">
        <v>61.124099999999999</v>
      </c>
      <c r="CO49">
        <v>62.236400000000003</v>
      </c>
      <c r="CP49">
        <v>61.625</v>
      </c>
      <c r="CQ49" t="s">
        <v>137</v>
      </c>
      <c r="CR49" t="s">
        <v>137</v>
      </c>
      <c r="CS49">
        <v>63.445099999999996</v>
      </c>
      <c r="CT49">
        <v>64.222899999999996</v>
      </c>
      <c r="CU49">
        <v>63.374400000000001</v>
      </c>
      <c r="CV49">
        <v>64.385000000000005</v>
      </c>
      <c r="CW49">
        <v>62.676900000000003</v>
      </c>
      <c r="CX49" t="s">
        <v>137</v>
      </c>
      <c r="CY49" t="s">
        <v>137</v>
      </c>
      <c r="CZ49">
        <v>58.067900000000002</v>
      </c>
      <c r="DA49">
        <v>55.895400000000002</v>
      </c>
      <c r="DB49">
        <v>55.948099999999997</v>
      </c>
      <c r="DC49">
        <v>53.284599999999998</v>
      </c>
      <c r="DD49">
        <v>54.359299999999998</v>
      </c>
      <c r="DE49" t="s">
        <v>137</v>
      </c>
      <c r="DF49" t="s">
        <v>137</v>
      </c>
      <c r="DG49">
        <v>54.748899999999999</v>
      </c>
      <c r="DH49">
        <v>54.042400000000001</v>
      </c>
      <c r="DI49">
        <v>50.713500000000003</v>
      </c>
      <c r="DJ49">
        <v>51.914299999999997</v>
      </c>
      <c r="DK49">
        <v>52.573999999999998</v>
      </c>
      <c r="DL49" t="s">
        <v>137</v>
      </c>
      <c r="DM49" t="s">
        <v>137</v>
      </c>
      <c r="DN49">
        <v>52.719099999999997</v>
      </c>
      <c r="DO49">
        <v>50.484099999999998</v>
      </c>
      <c r="DP49">
        <v>50.551699999999997</v>
      </c>
      <c r="DQ49">
        <v>49.982500000000002</v>
      </c>
      <c r="DR49">
        <v>48.134900000000002</v>
      </c>
      <c r="DS49" t="s">
        <v>137</v>
      </c>
      <c r="DT49" t="s">
        <v>137</v>
      </c>
      <c r="DU49">
        <v>48.28</v>
      </c>
      <c r="DV49">
        <v>48.502099999999999</v>
      </c>
      <c r="DW49">
        <v>48.107700000000001</v>
      </c>
      <c r="DX49">
        <v>50.435400000000001</v>
      </c>
      <c r="DY49">
        <v>50.567900000000002</v>
      </c>
      <c r="DZ49" t="s">
        <v>137</v>
      </c>
      <c r="EA49" t="s">
        <v>137</v>
      </c>
      <c r="EB49">
        <v>54.902900000000002</v>
      </c>
      <c r="EC49">
        <v>52.6877</v>
      </c>
      <c r="ED49">
        <v>53.509799999999998</v>
      </c>
      <c r="EE49">
        <v>51.064700000000002</v>
      </c>
      <c r="EF49">
        <v>50.481499999999997</v>
      </c>
      <c r="EG49" t="s">
        <v>137</v>
      </c>
      <c r="EH49" t="s">
        <v>137</v>
      </c>
      <c r="EI49">
        <v>51.084899999999998</v>
      </c>
      <c r="EJ49">
        <v>51.436199999999999</v>
      </c>
      <c r="EK49">
        <v>50.947800000000001</v>
      </c>
      <c r="EL49">
        <v>50.191099999999999</v>
      </c>
      <c r="EM49">
        <v>50.582900000000002</v>
      </c>
      <c r="EN49" t="s">
        <v>137</v>
      </c>
      <c r="EO49" t="s">
        <v>137</v>
      </c>
      <c r="EP49">
        <v>51.180300000000003</v>
      </c>
      <c r="EQ49">
        <v>52.109000000000002</v>
      </c>
      <c r="ER49">
        <v>54.717100000000002</v>
      </c>
      <c r="ES49">
        <v>54.422400000000003</v>
      </c>
      <c r="ET49">
        <v>55.300800000000002</v>
      </c>
      <c r="EU49" t="s">
        <v>137</v>
      </c>
      <c r="EV49" t="s">
        <v>137</v>
      </c>
      <c r="EW49">
        <v>58.456099999999999</v>
      </c>
      <c r="EX49">
        <v>56.870199999999997</v>
      </c>
      <c r="EY49">
        <v>53.795299999999997</v>
      </c>
      <c r="EZ49">
        <v>53.991300000000003</v>
      </c>
      <c r="FA49">
        <v>54.2179</v>
      </c>
      <c r="FB49" t="s">
        <v>137</v>
      </c>
      <c r="FC49" t="s">
        <v>137</v>
      </c>
      <c r="FD49">
        <v>52.517200000000003</v>
      </c>
      <c r="FE49">
        <v>51.202599999999997</v>
      </c>
      <c r="FF49">
        <v>49.454000000000001</v>
      </c>
      <c r="FG49">
        <v>50.397100000000002</v>
      </c>
      <c r="FH49">
        <v>47.918599999999998</v>
      </c>
      <c r="FI49" t="s">
        <v>137</v>
      </c>
      <c r="FJ49" t="s">
        <v>137</v>
      </c>
      <c r="FK49">
        <v>48.890799999999999</v>
      </c>
      <c r="FL49">
        <v>50.441499999999998</v>
      </c>
      <c r="FM49">
        <v>51.6708</v>
      </c>
      <c r="FN49">
        <v>55.205199999999998</v>
      </c>
      <c r="FO49">
        <v>54.347000000000001</v>
      </c>
      <c r="FP49" t="s">
        <v>137</v>
      </c>
      <c r="FQ49" t="s">
        <v>137</v>
      </c>
      <c r="FR49">
        <v>54.585000000000001</v>
      </c>
      <c r="FS49">
        <v>54.353000000000002</v>
      </c>
      <c r="FT49">
        <v>55.244199999999999</v>
      </c>
      <c r="FU49">
        <v>57.490699999999997</v>
      </c>
      <c r="FV49">
        <v>55.828899999999997</v>
      </c>
      <c r="FW49" t="s">
        <v>137</v>
      </c>
      <c r="FX49" t="s">
        <v>137</v>
      </c>
      <c r="FY49">
        <v>57.706699999999998</v>
      </c>
      <c r="FZ49">
        <v>56.6584</v>
      </c>
      <c r="GA49">
        <v>56.351300000000002</v>
      </c>
      <c r="GB49">
        <v>58.8093</v>
      </c>
      <c r="GC49">
        <v>63.301499999999997</v>
      </c>
      <c r="GD49" t="s">
        <v>137</v>
      </c>
      <c r="GE49" t="s">
        <v>137</v>
      </c>
      <c r="GF49">
        <v>61.653399999999998</v>
      </c>
      <c r="GG49">
        <v>60.2239</v>
      </c>
      <c r="GH49">
        <v>59.390099999999997</v>
      </c>
      <c r="GI49">
        <v>61.876800000000003</v>
      </c>
      <c r="GJ49">
        <v>63.7271</v>
      </c>
      <c r="GK49" t="s">
        <v>137</v>
      </c>
      <c r="GL49" t="s">
        <v>137</v>
      </c>
      <c r="GM49">
        <v>63.823999999999998</v>
      </c>
      <c r="GN49">
        <v>81.056200000000004</v>
      </c>
      <c r="GO49">
        <v>82.631100000000004</v>
      </c>
      <c r="GP49">
        <v>93.107200000000006</v>
      </c>
      <c r="GQ49">
        <v>94.593800000000002</v>
      </c>
      <c r="GR49" t="s">
        <v>137</v>
      </c>
      <c r="GS49" t="s">
        <v>137</v>
      </c>
      <c r="GT49">
        <v>99.8399</v>
      </c>
      <c r="GU49">
        <v>109.8322</v>
      </c>
      <c r="GV49">
        <v>106.55200000000001</v>
      </c>
      <c r="GW49">
        <v>128.56100000000001</v>
      </c>
      <c r="GX49">
        <v>121.6786</v>
      </c>
      <c r="GY49" t="s">
        <v>137</v>
      </c>
      <c r="GZ49" t="s">
        <v>137</v>
      </c>
      <c r="HA49">
        <v>132.45269999999999</v>
      </c>
      <c r="HB49">
        <v>131.0822</v>
      </c>
      <c r="HC49">
        <v>129.78819999999999</v>
      </c>
      <c r="HD49">
        <v>125.18219999999999</v>
      </c>
      <c r="HE49">
        <v>125.82089999999999</v>
      </c>
      <c r="HF49" t="s">
        <v>137</v>
      </c>
      <c r="HG49" t="s">
        <v>137</v>
      </c>
      <c r="HH49">
        <v>124.8032</v>
      </c>
      <c r="HI49">
        <v>119.09310000000001</v>
      </c>
      <c r="HJ49">
        <v>120.7869</v>
      </c>
      <c r="HK49">
        <v>117.79559999999999</v>
      </c>
      <c r="HL49">
        <v>113.5497</v>
      </c>
      <c r="HM49" t="s">
        <v>137</v>
      </c>
      <c r="HN49" t="s">
        <v>137</v>
      </c>
      <c r="HO49">
        <v>110.0226</v>
      </c>
      <c r="HP49">
        <v>110.5788</v>
      </c>
      <c r="HQ49">
        <v>115.48650000000001</v>
      </c>
      <c r="HR49">
        <v>117.6194</v>
      </c>
      <c r="HS49">
        <v>117.8429</v>
      </c>
      <c r="HT49" t="s">
        <v>137</v>
      </c>
      <c r="HU49" t="s">
        <v>137</v>
      </c>
      <c r="HV49">
        <v>118.0673</v>
      </c>
      <c r="HW49">
        <v>124.23950000000001</v>
      </c>
      <c r="HX49">
        <v>119.9362</v>
      </c>
      <c r="HY49">
        <v>120.6328</v>
      </c>
      <c r="HZ49">
        <v>120.8674</v>
      </c>
      <c r="IA49" t="s">
        <v>137</v>
      </c>
      <c r="IB49" t="s">
        <v>137</v>
      </c>
      <c r="IC49">
        <v>111.8479</v>
      </c>
      <c r="ID49">
        <v>114.6846</v>
      </c>
      <c r="IE49">
        <v>118.2916</v>
      </c>
      <c r="IF49">
        <v>130.67779999999999</v>
      </c>
      <c r="IG49">
        <v>132.1157</v>
      </c>
      <c r="IH49" t="s">
        <v>137</v>
      </c>
      <c r="II49" t="s">
        <v>137</v>
      </c>
      <c r="IJ49">
        <v>133.5984</v>
      </c>
      <c r="IK49">
        <v>132.99709999999999</v>
      </c>
      <c r="IL49">
        <v>125.8734</v>
      </c>
      <c r="IM49">
        <v>136.5746</v>
      </c>
      <c r="IN49">
        <v>135.53720000000001</v>
      </c>
      <c r="IO49" t="s">
        <v>137</v>
      </c>
      <c r="IP49" t="s">
        <v>137</v>
      </c>
      <c r="IQ49">
        <v>143.6481</v>
      </c>
      <c r="IR49">
        <v>137.4803</v>
      </c>
      <c r="IS49">
        <v>126.37909999999999</v>
      </c>
      <c r="IT49">
        <v>131.55940000000001</v>
      </c>
      <c r="IU49">
        <v>131.58580000000001</v>
      </c>
      <c r="IV49" t="s">
        <v>137</v>
      </c>
      <c r="IW49" t="s">
        <v>137</v>
      </c>
      <c r="IX49">
        <v>124.76600000000001</v>
      </c>
      <c r="IY49">
        <v>109.05629999999999</v>
      </c>
      <c r="IZ49">
        <v>108.0223</v>
      </c>
      <c r="JA49">
        <v>112.2734</v>
      </c>
      <c r="JB49">
        <v>101.3522</v>
      </c>
      <c r="JC49" t="s">
        <v>137</v>
      </c>
      <c r="JD49" t="s">
        <v>137</v>
      </c>
      <c r="JE49">
        <v>94.287700000000001</v>
      </c>
      <c r="JF49">
        <v>95.638199999999998</v>
      </c>
      <c r="JG49">
        <v>99.043899999999994</v>
      </c>
      <c r="JH49">
        <v>100.3896</v>
      </c>
      <c r="JI49">
        <v>101.9288</v>
      </c>
      <c r="JJ49" t="s">
        <v>137</v>
      </c>
      <c r="JK49" t="s">
        <v>137</v>
      </c>
      <c r="JL49">
        <v>102.28319999999999</v>
      </c>
      <c r="JM49">
        <v>102.4661</v>
      </c>
      <c r="JN49">
        <v>102.6751</v>
      </c>
      <c r="JO49">
        <v>96.975099999999998</v>
      </c>
      <c r="JP49">
        <v>97.036500000000004</v>
      </c>
      <c r="JQ49" t="s">
        <v>137</v>
      </c>
      <c r="JR49" t="s">
        <v>137</v>
      </c>
      <c r="JS49">
        <v>89.977999999999994</v>
      </c>
      <c r="JT49">
        <v>89.560500000000005</v>
      </c>
      <c r="JU49">
        <v>88.921599999999998</v>
      </c>
      <c r="JV49">
        <v>88.3202</v>
      </c>
      <c r="JW49">
        <v>89.146600000000007</v>
      </c>
      <c r="JX49" t="s">
        <v>137</v>
      </c>
      <c r="JY49" t="s">
        <v>137</v>
      </c>
      <c r="JZ49">
        <v>89.936800000000005</v>
      </c>
      <c r="KA49">
        <v>92.0625</v>
      </c>
      <c r="KB49">
        <v>91.173199999999994</v>
      </c>
      <c r="KC49">
        <v>90.633200000000002</v>
      </c>
      <c r="KD49">
        <v>90.775999999999996</v>
      </c>
      <c r="KE49" t="s">
        <v>137</v>
      </c>
      <c r="KF49" t="s">
        <v>137</v>
      </c>
      <c r="KG49">
        <v>91.873699999999999</v>
      </c>
      <c r="KH49">
        <v>89.8827</v>
      </c>
      <c r="KI49">
        <v>89.822699999999998</v>
      </c>
      <c r="KJ49">
        <v>94.096599999999995</v>
      </c>
      <c r="KK49">
        <v>92.930999999999997</v>
      </c>
      <c r="KL49" t="s">
        <v>137</v>
      </c>
      <c r="KM49" t="s">
        <v>137</v>
      </c>
      <c r="KN49">
        <v>90.173100000000005</v>
      </c>
      <c r="KO49">
        <v>88.561099999999996</v>
      </c>
      <c r="KP49">
        <v>90.156400000000005</v>
      </c>
      <c r="KQ49">
        <v>91.290099999999995</v>
      </c>
      <c r="KR49">
        <v>94.258399999999995</v>
      </c>
      <c r="KS49" t="s">
        <v>137</v>
      </c>
      <c r="KT49" t="s">
        <v>137</v>
      </c>
      <c r="KU49">
        <v>92.718800000000002</v>
      </c>
      <c r="KV49">
        <v>92.873000000000005</v>
      </c>
      <c r="KW49">
        <v>91.295299999999997</v>
      </c>
      <c r="KX49">
        <v>93.154300000000006</v>
      </c>
      <c r="KY49">
        <v>93.9422</v>
      </c>
      <c r="KZ49" t="s">
        <v>137</v>
      </c>
      <c r="LA49" t="s">
        <v>137</v>
      </c>
      <c r="LB49">
        <v>91.732699999999994</v>
      </c>
      <c r="LC49">
        <v>90.6006</v>
      </c>
      <c r="LD49">
        <v>87.520399999999995</v>
      </c>
      <c r="LE49">
        <v>90.303100000000001</v>
      </c>
      <c r="LF49">
        <v>89.406700000000001</v>
      </c>
      <c r="LG49" t="s">
        <v>137</v>
      </c>
      <c r="LH49" t="s">
        <v>137</v>
      </c>
      <c r="LI49">
        <v>88.387500000000003</v>
      </c>
      <c r="LJ49">
        <v>92.434299999999993</v>
      </c>
      <c r="LK49">
        <v>91.212000000000003</v>
      </c>
      <c r="LL49">
        <v>90.786299999999997</v>
      </c>
      <c r="LM49">
        <v>91.703400000000002</v>
      </c>
      <c r="LN49" t="s">
        <v>137</v>
      </c>
      <c r="LO49" t="s">
        <v>137</v>
      </c>
      <c r="LP49">
        <v>92.278199999999998</v>
      </c>
      <c r="LQ49">
        <v>90.886899999999997</v>
      </c>
      <c r="LR49">
        <v>90.050899999999999</v>
      </c>
      <c r="LS49">
        <v>86.219800000000006</v>
      </c>
      <c r="LT49">
        <v>87.000699999999995</v>
      </c>
      <c r="LU49" t="s">
        <v>137</v>
      </c>
      <c r="LV49" t="s">
        <v>137</v>
      </c>
      <c r="LW49">
        <v>86.247399999999999</v>
      </c>
      <c r="LX49">
        <v>87.934899999999999</v>
      </c>
      <c r="LY49">
        <v>88.750699999999995</v>
      </c>
      <c r="LZ49">
        <v>89.316199999999995</v>
      </c>
      <c r="MA49">
        <v>88.065600000000003</v>
      </c>
      <c r="MB49" t="s">
        <v>137</v>
      </c>
      <c r="MC49" t="s">
        <v>137</v>
      </c>
      <c r="MD49">
        <v>89.770399999999995</v>
      </c>
      <c r="ME49">
        <v>75.590699999999998</v>
      </c>
      <c r="MF49">
        <v>75.229699999999994</v>
      </c>
      <c r="MG49">
        <v>77.169600000000003</v>
      </c>
      <c r="MH49">
        <v>78.937899999999999</v>
      </c>
      <c r="MI49" t="s">
        <v>137</v>
      </c>
      <c r="MJ49" t="s">
        <v>137</v>
      </c>
      <c r="MK49">
        <v>78.216099999999997</v>
      </c>
      <c r="ML49">
        <v>78.016000000000005</v>
      </c>
      <c r="MM49">
        <v>78.949600000000004</v>
      </c>
      <c r="MN49">
        <v>79.441900000000004</v>
      </c>
      <c r="MO49">
        <v>79.904899999999998</v>
      </c>
      <c r="MP49" t="s">
        <v>137</v>
      </c>
      <c r="MQ49" t="s">
        <v>137</v>
      </c>
      <c r="MR49">
        <v>80.765000000000001</v>
      </c>
      <c r="MS49">
        <v>81.427000000000007</v>
      </c>
      <c r="MT49">
        <v>81.168899999999994</v>
      </c>
      <c r="MU49">
        <v>81.578599999999994</v>
      </c>
      <c r="MV49">
        <v>81.998099999999994</v>
      </c>
      <c r="MW49" t="s">
        <v>137</v>
      </c>
      <c r="MX49" t="s">
        <v>137</v>
      </c>
      <c r="MY49">
        <v>86.837500000000006</v>
      </c>
      <c r="MZ49">
        <v>88.283199999999994</v>
      </c>
      <c r="NA49">
        <v>91.221999999999994</v>
      </c>
      <c r="NB49">
        <v>91.846299999999999</v>
      </c>
      <c r="NC49">
        <v>84.148799999999994</v>
      </c>
      <c r="ND49" t="s">
        <v>137</v>
      </c>
      <c r="NE49" t="s">
        <v>137</v>
      </c>
      <c r="NF49">
        <v>85.5047</v>
      </c>
      <c r="NG49">
        <v>84.010099999999994</v>
      </c>
      <c r="NH49">
        <v>79.924700000000001</v>
      </c>
      <c r="NI49">
        <v>80.808199999999999</v>
      </c>
      <c r="NJ49">
        <v>80.989999999999995</v>
      </c>
      <c r="NK49" t="s">
        <v>137</v>
      </c>
      <c r="NL49" t="s">
        <v>137</v>
      </c>
      <c r="NM49" t="s">
        <v>137</v>
      </c>
      <c r="NN49" t="s">
        <v>137</v>
      </c>
      <c r="NO49" t="s">
        <v>137</v>
      </c>
      <c r="NP49" t="s">
        <v>137</v>
      </c>
      <c r="NQ49" t="s">
        <v>137</v>
      </c>
      <c r="NR49" t="s">
        <v>137</v>
      </c>
      <c r="NS49" t="s">
        <v>137</v>
      </c>
      <c r="NT49" t="s">
        <v>137</v>
      </c>
      <c r="NU49" t="s">
        <v>137</v>
      </c>
      <c r="NV49" t="s">
        <v>137</v>
      </c>
      <c r="NW49" t="s">
        <v>137</v>
      </c>
      <c r="NX49" t="s">
        <v>137</v>
      </c>
      <c r="NY49" t="s">
        <v>137</v>
      </c>
      <c r="NZ49" t="s">
        <v>137</v>
      </c>
      <c r="OA49" t="s">
        <v>137</v>
      </c>
      <c r="OB49" t="s">
        <v>137</v>
      </c>
      <c r="OC49" t="s">
        <v>137</v>
      </c>
      <c r="OD49" t="s">
        <v>137</v>
      </c>
      <c r="OE49" t="s">
        <v>137</v>
      </c>
      <c r="OF49" t="s">
        <v>137</v>
      </c>
      <c r="OG49" t="s">
        <v>137</v>
      </c>
      <c r="OH49" t="s">
        <v>137</v>
      </c>
      <c r="OI49" t="s">
        <v>137</v>
      </c>
      <c r="OJ49" t="s">
        <v>137</v>
      </c>
      <c r="OK49" t="s">
        <v>137</v>
      </c>
      <c r="OL49" t="s">
        <v>137</v>
      </c>
      <c r="OM49" t="s">
        <v>137</v>
      </c>
      <c r="ON49" t="s">
        <v>137</v>
      </c>
      <c r="OO49" t="s">
        <v>137</v>
      </c>
      <c r="OP49" t="s">
        <v>137</v>
      </c>
      <c r="OQ49" t="s">
        <v>137</v>
      </c>
      <c r="OR49" t="s">
        <v>137</v>
      </c>
      <c r="OS49" t="s">
        <v>137</v>
      </c>
      <c r="OT49" t="s">
        <v>137</v>
      </c>
      <c r="OU49" t="s">
        <v>137</v>
      </c>
      <c r="OV49" t="s">
        <v>137</v>
      </c>
      <c r="OW49" t="s">
        <v>137</v>
      </c>
      <c r="OX49" t="s">
        <v>137</v>
      </c>
      <c r="OY49" t="s">
        <v>137</v>
      </c>
      <c r="OZ49" t="s">
        <v>137</v>
      </c>
      <c r="PA49" t="s">
        <v>137</v>
      </c>
      <c r="PB49" t="s">
        <v>137</v>
      </c>
      <c r="PC49" t="s">
        <v>137</v>
      </c>
      <c r="PD49" t="s">
        <v>137</v>
      </c>
      <c r="PE49" t="s">
        <v>137</v>
      </c>
      <c r="PF49" t="s">
        <v>137</v>
      </c>
      <c r="PG49" t="s">
        <v>137</v>
      </c>
      <c r="PH49" t="s">
        <v>137</v>
      </c>
      <c r="PI49" t="s">
        <v>137</v>
      </c>
      <c r="PJ49" t="s">
        <v>137</v>
      </c>
      <c r="PK49" t="s">
        <v>137</v>
      </c>
      <c r="PL49" t="s">
        <v>137</v>
      </c>
      <c r="PM49" t="s">
        <v>137</v>
      </c>
      <c r="PN49" t="s">
        <v>137</v>
      </c>
      <c r="PO49" t="s">
        <v>137</v>
      </c>
      <c r="PP49" t="s">
        <v>137</v>
      </c>
      <c r="PQ49" t="s">
        <v>137</v>
      </c>
      <c r="PR49" t="s">
        <v>137</v>
      </c>
      <c r="PS49" t="s">
        <v>137</v>
      </c>
      <c r="PT49" t="s">
        <v>137</v>
      </c>
      <c r="PU49" t="s">
        <v>137</v>
      </c>
      <c r="PV49" t="s">
        <v>137</v>
      </c>
      <c r="PW49" t="s">
        <v>137</v>
      </c>
      <c r="PX49" t="s">
        <v>137</v>
      </c>
      <c r="PY49" t="s">
        <v>137</v>
      </c>
      <c r="PZ49" t="s">
        <v>137</v>
      </c>
      <c r="QA49" t="s">
        <v>137</v>
      </c>
      <c r="QB49" t="s">
        <v>137</v>
      </c>
      <c r="QC49" t="s">
        <v>137</v>
      </c>
      <c r="QD49" t="s">
        <v>137</v>
      </c>
      <c r="QE49" t="s">
        <v>137</v>
      </c>
      <c r="QF49" t="s">
        <v>137</v>
      </c>
      <c r="QG49" t="s">
        <v>137</v>
      </c>
      <c r="QH49" t="s">
        <v>137</v>
      </c>
      <c r="QI49" t="s">
        <v>137</v>
      </c>
      <c r="QJ49" t="s">
        <v>137</v>
      </c>
      <c r="QK49" t="s">
        <v>137</v>
      </c>
      <c r="QL49" t="s">
        <v>137</v>
      </c>
      <c r="QM49" t="s">
        <v>137</v>
      </c>
      <c r="QN49" t="s">
        <v>137</v>
      </c>
      <c r="QO49" t="s">
        <v>137</v>
      </c>
    </row>
    <row r="50" spans="1:457" x14ac:dyDescent="0.2">
      <c r="A50" t="s">
        <v>119</v>
      </c>
      <c r="B50" s="3">
        <v>43111</v>
      </c>
      <c r="C50" t="s">
        <v>32</v>
      </c>
      <c r="E50" t="s">
        <v>137</v>
      </c>
      <c r="F50">
        <v>42.350499999999997</v>
      </c>
      <c r="G50">
        <v>43.473199999999999</v>
      </c>
      <c r="H50">
        <v>41.356499999999997</v>
      </c>
      <c r="I50">
        <v>39.4236</v>
      </c>
      <c r="J50">
        <v>36.497700000000002</v>
      </c>
      <c r="K50" t="s">
        <v>137</v>
      </c>
      <c r="L50" t="s">
        <v>137</v>
      </c>
      <c r="M50">
        <v>36.782600000000002</v>
      </c>
      <c r="N50">
        <v>37.5974</v>
      </c>
      <c r="O50">
        <v>36.8369</v>
      </c>
      <c r="P50">
        <v>37.311599999999999</v>
      </c>
      <c r="Q50">
        <v>39.5197</v>
      </c>
      <c r="R50" t="s">
        <v>137</v>
      </c>
      <c r="S50" t="s">
        <v>137</v>
      </c>
      <c r="T50">
        <v>40.301200000000001</v>
      </c>
      <c r="U50">
        <v>5.1863999999999999</v>
      </c>
      <c r="V50">
        <v>38.535299999999999</v>
      </c>
      <c r="W50">
        <v>38.5854</v>
      </c>
      <c r="X50">
        <v>38.2057</v>
      </c>
      <c r="Y50" t="s">
        <v>137</v>
      </c>
      <c r="Z50" t="s">
        <v>137</v>
      </c>
      <c r="AA50">
        <v>40.045299999999997</v>
      </c>
      <c r="AB50">
        <v>40.6539</v>
      </c>
      <c r="AC50">
        <v>42.597799999999999</v>
      </c>
      <c r="AD50">
        <v>40.925899999999999</v>
      </c>
      <c r="AE50">
        <v>39.943800000000003</v>
      </c>
      <c r="AF50" t="s">
        <v>137</v>
      </c>
      <c r="AG50" t="s">
        <v>137</v>
      </c>
      <c r="AH50">
        <v>39.5488</v>
      </c>
      <c r="AI50">
        <v>39.720700000000001</v>
      </c>
      <c r="AJ50">
        <v>39.893700000000003</v>
      </c>
      <c r="AK50">
        <v>39.986699999999999</v>
      </c>
      <c r="AL50">
        <v>39.591299999999997</v>
      </c>
      <c r="AM50" t="s">
        <v>137</v>
      </c>
      <c r="AN50" t="s">
        <v>137</v>
      </c>
      <c r="AO50">
        <v>38.646500000000003</v>
      </c>
      <c r="AP50">
        <v>38.4026</v>
      </c>
      <c r="AQ50">
        <v>37.490299999999998</v>
      </c>
      <c r="AR50">
        <v>35.14</v>
      </c>
      <c r="AS50">
        <v>35.415300000000002</v>
      </c>
      <c r="AT50" t="s">
        <v>137</v>
      </c>
      <c r="AU50" t="s">
        <v>137</v>
      </c>
      <c r="AV50">
        <v>36.312600000000003</v>
      </c>
      <c r="AW50">
        <v>36.355800000000002</v>
      </c>
      <c r="AX50">
        <v>37.427900000000001</v>
      </c>
      <c r="AY50">
        <v>37.3827</v>
      </c>
      <c r="AZ50">
        <v>38.676200000000001</v>
      </c>
      <c r="BA50" t="s">
        <v>137</v>
      </c>
      <c r="BB50" t="s">
        <v>137</v>
      </c>
      <c r="BC50">
        <v>39.351700000000001</v>
      </c>
      <c r="BD50">
        <v>40.5261</v>
      </c>
      <c r="BE50">
        <v>39.414299999999997</v>
      </c>
      <c r="BF50">
        <v>38.262</v>
      </c>
      <c r="BG50">
        <v>39.540199999999999</v>
      </c>
      <c r="BH50" t="s">
        <v>137</v>
      </c>
      <c r="BI50" t="s">
        <v>137</v>
      </c>
      <c r="BJ50">
        <v>42.521500000000003</v>
      </c>
      <c r="BK50">
        <v>41.344799999999999</v>
      </c>
      <c r="BL50">
        <v>41.945300000000003</v>
      </c>
      <c r="BM50">
        <v>42.9711</v>
      </c>
      <c r="BN50">
        <v>42.683399999999999</v>
      </c>
      <c r="BO50" t="s">
        <v>137</v>
      </c>
      <c r="BP50" t="s">
        <v>137</v>
      </c>
      <c r="BQ50">
        <v>43.510100000000001</v>
      </c>
      <c r="BR50">
        <v>43.736499999999999</v>
      </c>
      <c r="BS50">
        <v>43.744799999999998</v>
      </c>
      <c r="BT50">
        <v>44.1755</v>
      </c>
      <c r="BU50">
        <v>45.864400000000003</v>
      </c>
      <c r="BV50" t="s">
        <v>137</v>
      </c>
      <c r="BW50" t="s">
        <v>137</v>
      </c>
      <c r="BX50">
        <v>45.566299999999998</v>
      </c>
      <c r="BY50">
        <v>47.147799999999997</v>
      </c>
      <c r="BZ50">
        <v>46.665799999999997</v>
      </c>
      <c r="CA50">
        <v>45.759900000000002</v>
      </c>
      <c r="CB50">
        <v>46.308700000000002</v>
      </c>
      <c r="CC50" t="s">
        <v>137</v>
      </c>
      <c r="CD50" t="s">
        <v>137</v>
      </c>
      <c r="CE50">
        <v>46.52</v>
      </c>
      <c r="CF50">
        <v>45.041499999999999</v>
      </c>
      <c r="CG50">
        <v>43.940399999999997</v>
      </c>
      <c r="CH50">
        <v>43.1006</v>
      </c>
      <c r="CI50">
        <v>43.7697</v>
      </c>
      <c r="CJ50" t="s">
        <v>137</v>
      </c>
      <c r="CK50" t="s">
        <v>137</v>
      </c>
      <c r="CL50">
        <v>44.127800000000001</v>
      </c>
      <c r="CM50">
        <v>43.526299999999999</v>
      </c>
      <c r="CN50">
        <v>43.882100000000001</v>
      </c>
      <c r="CO50">
        <v>45.382899999999999</v>
      </c>
      <c r="CP50">
        <v>45.108400000000003</v>
      </c>
      <c r="CQ50" t="s">
        <v>137</v>
      </c>
      <c r="CR50" t="s">
        <v>137</v>
      </c>
      <c r="CS50">
        <v>46.396299999999997</v>
      </c>
      <c r="CT50">
        <v>28.857800000000001</v>
      </c>
      <c r="CU50">
        <v>45.294199999999996</v>
      </c>
      <c r="CV50">
        <v>45.580300000000001</v>
      </c>
      <c r="CW50">
        <v>44.463700000000003</v>
      </c>
      <c r="CX50" t="s">
        <v>137</v>
      </c>
      <c r="CY50" t="s">
        <v>137</v>
      </c>
      <c r="CZ50">
        <v>41.780999999999999</v>
      </c>
      <c r="DA50">
        <v>40.099699999999999</v>
      </c>
      <c r="DB50">
        <v>39.561999999999998</v>
      </c>
      <c r="DC50">
        <v>37.995899999999999</v>
      </c>
      <c r="DD50">
        <v>38.164200000000001</v>
      </c>
      <c r="DE50" t="s">
        <v>137</v>
      </c>
      <c r="DF50" t="s">
        <v>137</v>
      </c>
      <c r="DG50">
        <v>39.306199999999997</v>
      </c>
      <c r="DH50">
        <v>36.496400000000001</v>
      </c>
      <c r="DI50">
        <v>35.754899999999999</v>
      </c>
      <c r="DJ50">
        <v>36.881900000000002</v>
      </c>
      <c r="DK50">
        <v>36.913400000000003</v>
      </c>
      <c r="DL50" t="s">
        <v>137</v>
      </c>
      <c r="DM50" t="s">
        <v>137</v>
      </c>
      <c r="DN50">
        <v>36.682000000000002</v>
      </c>
      <c r="DO50">
        <v>35.936100000000003</v>
      </c>
      <c r="DP50">
        <v>35.966500000000003</v>
      </c>
      <c r="DQ50">
        <v>35.547400000000003</v>
      </c>
      <c r="DR50">
        <v>34.331699999999998</v>
      </c>
      <c r="DS50" t="s">
        <v>137</v>
      </c>
      <c r="DT50" t="s">
        <v>137</v>
      </c>
      <c r="DU50">
        <v>34.454099999999997</v>
      </c>
      <c r="DV50">
        <v>34.4833</v>
      </c>
      <c r="DW50">
        <v>34.512300000000003</v>
      </c>
      <c r="DX50">
        <v>34.600200000000001</v>
      </c>
      <c r="DY50">
        <v>36.405000000000001</v>
      </c>
      <c r="DZ50" t="s">
        <v>137</v>
      </c>
      <c r="EA50" t="s">
        <v>137</v>
      </c>
      <c r="EB50">
        <v>37.360399999999998</v>
      </c>
      <c r="EC50">
        <v>36.729799999999997</v>
      </c>
      <c r="ED50">
        <v>36.893599999999999</v>
      </c>
      <c r="EE50">
        <v>35.813800000000001</v>
      </c>
      <c r="EF50">
        <v>35.4604</v>
      </c>
      <c r="EG50" t="s">
        <v>137</v>
      </c>
      <c r="EH50" t="s">
        <v>137</v>
      </c>
      <c r="EI50">
        <v>35.488999999999997</v>
      </c>
      <c r="EJ50">
        <v>37.289900000000003</v>
      </c>
      <c r="EK50">
        <v>36.579300000000003</v>
      </c>
      <c r="EL50">
        <v>36.543399999999998</v>
      </c>
      <c r="EM50">
        <v>36.307200000000002</v>
      </c>
      <c r="EN50" t="s">
        <v>137</v>
      </c>
      <c r="EO50" t="s">
        <v>137</v>
      </c>
      <c r="EP50">
        <v>37.308500000000002</v>
      </c>
      <c r="EQ50">
        <v>37.830399999999997</v>
      </c>
      <c r="ER50">
        <v>38.826500000000003</v>
      </c>
      <c r="ES50">
        <v>39.064799999999998</v>
      </c>
      <c r="ET50">
        <v>40.241799999999998</v>
      </c>
      <c r="EU50" t="s">
        <v>137</v>
      </c>
      <c r="EV50" t="s">
        <v>137</v>
      </c>
      <c r="EW50">
        <v>41.609200000000001</v>
      </c>
      <c r="EX50">
        <v>40.897399999999998</v>
      </c>
      <c r="EY50">
        <v>39.3384</v>
      </c>
      <c r="EZ50">
        <v>38.701900000000002</v>
      </c>
      <c r="FA50">
        <v>39.439</v>
      </c>
      <c r="FB50" t="s">
        <v>137</v>
      </c>
      <c r="FC50" t="s">
        <v>137</v>
      </c>
      <c r="FD50">
        <v>37.939500000000002</v>
      </c>
      <c r="FE50">
        <v>36.368899999999996</v>
      </c>
      <c r="FF50">
        <v>36.1389</v>
      </c>
      <c r="FG50">
        <v>35.970799999999997</v>
      </c>
      <c r="FH50">
        <v>34.855499999999999</v>
      </c>
      <c r="FI50" t="s">
        <v>137</v>
      </c>
      <c r="FJ50" t="s">
        <v>137</v>
      </c>
      <c r="FK50">
        <v>35.136200000000002</v>
      </c>
      <c r="FL50">
        <v>36.415500000000002</v>
      </c>
      <c r="FM50">
        <v>36.747599999999998</v>
      </c>
      <c r="FN50">
        <v>38.330599999999997</v>
      </c>
      <c r="FO50">
        <v>37.678600000000003</v>
      </c>
      <c r="FP50" t="s">
        <v>137</v>
      </c>
      <c r="FQ50" t="s">
        <v>137</v>
      </c>
      <c r="FR50">
        <v>37.710999999999999</v>
      </c>
      <c r="FS50">
        <v>37.880099999999999</v>
      </c>
      <c r="FT50">
        <v>38.325299999999999</v>
      </c>
      <c r="FU50">
        <v>39.552100000000003</v>
      </c>
      <c r="FV50">
        <v>38.598100000000002</v>
      </c>
      <c r="FW50" t="s">
        <v>137</v>
      </c>
      <c r="FX50" t="s">
        <v>137</v>
      </c>
      <c r="FY50">
        <v>38.968299999999999</v>
      </c>
      <c r="FZ50">
        <v>39.228700000000003</v>
      </c>
      <c r="GA50">
        <v>38.8399</v>
      </c>
      <c r="GB50">
        <v>42.062399999999997</v>
      </c>
      <c r="GC50">
        <v>43.188800000000001</v>
      </c>
      <c r="GD50" t="s">
        <v>137</v>
      </c>
      <c r="GE50" t="s">
        <v>137</v>
      </c>
      <c r="GF50">
        <v>42.446599999999997</v>
      </c>
      <c r="GG50">
        <v>41.265799999999999</v>
      </c>
      <c r="GH50">
        <v>41.152999999999999</v>
      </c>
      <c r="GI50">
        <v>44.228200000000001</v>
      </c>
      <c r="GJ50">
        <v>45.590200000000003</v>
      </c>
      <c r="GK50" t="s">
        <v>137</v>
      </c>
      <c r="GL50" t="s">
        <v>137</v>
      </c>
      <c r="GM50">
        <v>52.401499999999999</v>
      </c>
      <c r="GN50">
        <v>52.451900000000002</v>
      </c>
      <c r="GO50">
        <v>55.397599999999997</v>
      </c>
      <c r="GP50">
        <v>59.617400000000004</v>
      </c>
      <c r="GQ50">
        <v>56.046900000000001</v>
      </c>
      <c r="GR50" t="s">
        <v>137</v>
      </c>
      <c r="GS50" t="s">
        <v>137</v>
      </c>
      <c r="GT50">
        <v>64.490399999999994</v>
      </c>
      <c r="GU50">
        <v>63.509900000000002</v>
      </c>
      <c r="GV50">
        <v>73.678899999999999</v>
      </c>
      <c r="GW50">
        <v>74.5625</v>
      </c>
      <c r="GX50">
        <v>73.987700000000004</v>
      </c>
      <c r="GY50" t="s">
        <v>137</v>
      </c>
      <c r="GZ50" t="s">
        <v>137</v>
      </c>
      <c r="HA50">
        <v>78.485600000000005</v>
      </c>
      <c r="HB50">
        <v>79.612899999999996</v>
      </c>
      <c r="HC50">
        <v>75.878200000000007</v>
      </c>
      <c r="HD50">
        <v>75.448999999999998</v>
      </c>
      <c r="HE50">
        <v>75.864800000000002</v>
      </c>
      <c r="HF50" t="s">
        <v>137</v>
      </c>
      <c r="HG50" t="s">
        <v>137</v>
      </c>
      <c r="HH50">
        <v>72.931399999999996</v>
      </c>
      <c r="HI50">
        <v>72.376999999999995</v>
      </c>
      <c r="HJ50">
        <v>71.021199999999993</v>
      </c>
      <c r="HK50">
        <v>72.061599999999999</v>
      </c>
      <c r="HL50">
        <v>68.553700000000006</v>
      </c>
      <c r="HM50" t="s">
        <v>137</v>
      </c>
      <c r="HN50" t="s">
        <v>137</v>
      </c>
      <c r="HO50">
        <v>67.489099999999993</v>
      </c>
      <c r="HP50">
        <v>69.5184</v>
      </c>
      <c r="HQ50">
        <v>68.484700000000004</v>
      </c>
      <c r="HR50">
        <v>76.927499999999995</v>
      </c>
      <c r="HS50">
        <v>71.447599999999994</v>
      </c>
      <c r="HT50" t="s">
        <v>137</v>
      </c>
      <c r="HU50" t="s">
        <v>137</v>
      </c>
      <c r="HV50">
        <v>70.617000000000004</v>
      </c>
      <c r="HW50">
        <v>68.351299999999995</v>
      </c>
      <c r="HX50">
        <v>71.375</v>
      </c>
      <c r="HY50">
        <v>74.660600000000002</v>
      </c>
      <c r="HZ50">
        <v>62.2928</v>
      </c>
      <c r="IA50" t="s">
        <v>137</v>
      </c>
      <c r="IB50" t="s">
        <v>137</v>
      </c>
      <c r="IC50">
        <v>64.1447</v>
      </c>
      <c r="ID50">
        <v>64.737300000000005</v>
      </c>
      <c r="IE50">
        <v>67.805499999999995</v>
      </c>
      <c r="IF50">
        <v>70.644000000000005</v>
      </c>
      <c r="IG50">
        <v>71.9345</v>
      </c>
      <c r="IH50" t="s">
        <v>137</v>
      </c>
      <c r="II50" t="s">
        <v>137</v>
      </c>
      <c r="IJ50">
        <v>72.633499999999998</v>
      </c>
      <c r="IK50">
        <v>71.482900000000001</v>
      </c>
      <c r="IL50">
        <v>71.867999999999995</v>
      </c>
      <c r="IM50">
        <v>73.355800000000002</v>
      </c>
      <c r="IN50">
        <v>75.702699999999993</v>
      </c>
      <c r="IO50" t="s">
        <v>137</v>
      </c>
      <c r="IP50" t="s">
        <v>137</v>
      </c>
      <c r="IQ50">
        <v>38.482599999999998</v>
      </c>
      <c r="IR50">
        <v>71.435900000000004</v>
      </c>
      <c r="IS50">
        <v>71.421999999999997</v>
      </c>
      <c r="IT50">
        <v>70.259799999999998</v>
      </c>
      <c r="IU50">
        <v>70.339399999999998</v>
      </c>
      <c r="IV50" t="s">
        <v>137</v>
      </c>
      <c r="IW50" t="s">
        <v>137</v>
      </c>
      <c r="IX50">
        <v>65.366799999999998</v>
      </c>
      <c r="IY50">
        <v>63.101999999999997</v>
      </c>
      <c r="IZ50">
        <v>62.667499999999997</v>
      </c>
      <c r="JA50">
        <v>16.666699999999999</v>
      </c>
      <c r="JB50">
        <v>59.0685</v>
      </c>
      <c r="JC50" t="s">
        <v>137</v>
      </c>
      <c r="JD50" t="s">
        <v>137</v>
      </c>
      <c r="JE50">
        <v>55.154200000000003</v>
      </c>
      <c r="JF50">
        <v>56.518599999999999</v>
      </c>
      <c r="JG50">
        <v>56.568100000000001</v>
      </c>
      <c r="JH50">
        <v>56.3172</v>
      </c>
      <c r="JI50">
        <v>58.815300000000001</v>
      </c>
      <c r="JJ50" t="s">
        <v>137</v>
      </c>
      <c r="JK50" t="s">
        <v>137</v>
      </c>
      <c r="JL50">
        <v>16.7807</v>
      </c>
      <c r="JM50">
        <v>51.355499999999999</v>
      </c>
      <c r="JN50">
        <v>52.394300000000001</v>
      </c>
      <c r="JO50">
        <v>57.433</v>
      </c>
      <c r="JP50">
        <v>52.366399999999999</v>
      </c>
      <c r="JQ50" t="s">
        <v>137</v>
      </c>
      <c r="JR50" t="s">
        <v>137</v>
      </c>
      <c r="JS50">
        <v>52.823500000000003</v>
      </c>
      <c r="JT50">
        <v>52.282200000000003</v>
      </c>
      <c r="JU50">
        <v>50.778399999999998</v>
      </c>
      <c r="JV50">
        <v>51.721400000000003</v>
      </c>
      <c r="JW50">
        <v>54.528300000000002</v>
      </c>
      <c r="JX50" t="s">
        <v>137</v>
      </c>
      <c r="JY50" t="s">
        <v>137</v>
      </c>
      <c r="JZ50">
        <v>50.672499999999999</v>
      </c>
      <c r="KA50">
        <v>53.9056</v>
      </c>
      <c r="KB50">
        <v>51.753300000000003</v>
      </c>
      <c r="KC50">
        <v>52.921700000000001</v>
      </c>
      <c r="KD50">
        <v>51.201900000000002</v>
      </c>
      <c r="KE50" t="s">
        <v>137</v>
      </c>
      <c r="KF50" t="s">
        <v>137</v>
      </c>
      <c r="KG50">
        <v>52.239600000000003</v>
      </c>
      <c r="KH50">
        <v>50.737200000000001</v>
      </c>
      <c r="KI50">
        <v>51.179099999999998</v>
      </c>
      <c r="KJ50">
        <v>52.533700000000003</v>
      </c>
      <c r="KK50">
        <v>50.828400000000002</v>
      </c>
      <c r="KL50" t="s">
        <v>137</v>
      </c>
      <c r="KM50" t="s">
        <v>137</v>
      </c>
      <c r="KN50">
        <v>50.502400000000002</v>
      </c>
      <c r="KO50">
        <v>49.989899999999999</v>
      </c>
      <c r="KP50">
        <v>52.1768</v>
      </c>
      <c r="KQ50">
        <v>51.173299999999998</v>
      </c>
      <c r="KR50">
        <v>52.611199999999997</v>
      </c>
      <c r="KS50" t="s">
        <v>137</v>
      </c>
      <c r="KT50" t="s">
        <v>137</v>
      </c>
      <c r="KU50">
        <v>50.710500000000003</v>
      </c>
      <c r="KV50">
        <v>51.154000000000003</v>
      </c>
      <c r="KW50">
        <v>51.601999999999997</v>
      </c>
      <c r="KX50">
        <v>53.208799999999997</v>
      </c>
      <c r="KY50">
        <v>53.288499999999999</v>
      </c>
      <c r="KZ50" t="s">
        <v>137</v>
      </c>
      <c r="LA50" t="s">
        <v>137</v>
      </c>
      <c r="LB50">
        <v>51.395899999999997</v>
      </c>
      <c r="LC50">
        <v>49.464300000000001</v>
      </c>
      <c r="LD50">
        <v>47.871000000000002</v>
      </c>
      <c r="LE50">
        <v>49.124699999999997</v>
      </c>
      <c r="LF50">
        <v>48.624600000000001</v>
      </c>
      <c r="LG50" t="s">
        <v>137</v>
      </c>
      <c r="LH50" t="s">
        <v>137</v>
      </c>
      <c r="LI50">
        <v>49.528199999999998</v>
      </c>
      <c r="LJ50">
        <v>52.072299999999998</v>
      </c>
      <c r="LK50">
        <v>51.325499999999998</v>
      </c>
      <c r="LL50">
        <v>50.901600000000002</v>
      </c>
      <c r="LM50">
        <v>51.943199999999997</v>
      </c>
      <c r="LN50" t="s">
        <v>137</v>
      </c>
      <c r="LO50" t="s">
        <v>137</v>
      </c>
      <c r="LP50">
        <v>52.612099999999998</v>
      </c>
      <c r="LQ50">
        <v>51.543999999999997</v>
      </c>
      <c r="LR50">
        <v>50.040999999999997</v>
      </c>
      <c r="LS50">
        <v>48.691800000000001</v>
      </c>
      <c r="LT50">
        <v>49.264499999999998</v>
      </c>
      <c r="LU50" t="s">
        <v>137</v>
      </c>
      <c r="LV50" t="s">
        <v>137</v>
      </c>
      <c r="LW50">
        <v>48.957999999999998</v>
      </c>
      <c r="LX50">
        <v>50.177300000000002</v>
      </c>
      <c r="LY50">
        <v>50.887300000000003</v>
      </c>
      <c r="LZ50">
        <v>51.031700000000001</v>
      </c>
      <c r="MA50">
        <v>49.977499999999999</v>
      </c>
      <c r="MB50" t="s">
        <v>137</v>
      </c>
      <c r="MC50" t="s">
        <v>137</v>
      </c>
      <c r="MD50">
        <v>50.704999999999998</v>
      </c>
      <c r="ME50">
        <v>44.039900000000003</v>
      </c>
      <c r="MF50">
        <v>43.839700000000001</v>
      </c>
      <c r="MG50">
        <v>45.090800000000002</v>
      </c>
      <c r="MH50">
        <v>45.340299999999999</v>
      </c>
      <c r="MI50" t="s">
        <v>137</v>
      </c>
      <c r="MJ50" t="s">
        <v>137</v>
      </c>
      <c r="MK50">
        <v>45.19</v>
      </c>
      <c r="ML50">
        <v>45.117400000000004</v>
      </c>
      <c r="MM50">
        <v>45.344299999999997</v>
      </c>
      <c r="MN50">
        <v>45.4788</v>
      </c>
      <c r="MO50">
        <v>46.820799999999998</v>
      </c>
      <c r="MP50" t="s">
        <v>137</v>
      </c>
      <c r="MQ50" t="s">
        <v>137</v>
      </c>
      <c r="MR50">
        <v>46.999499999999998</v>
      </c>
      <c r="MS50">
        <v>47.598399999999998</v>
      </c>
      <c r="MT50">
        <v>46.479700000000001</v>
      </c>
      <c r="MU50">
        <v>47.67</v>
      </c>
      <c r="MV50">
        <v>47.810699999999997</v>
      </c>
      <c r="MW50" t="s">
        <v>137</v>
      </c>
      <c r="MX50" t="s">
        <v>137</v>
      </c>
      <c r="MY50">
        <v>48.152900000000002</v>
      </c>
      <c r="MZ50">
        <v>48.322000000000003</v>
      </c>
      <c r="NA50">
        <v>49.8551</v>
      </c>
      <c r="NB50">
        <v>48.366799999999998</v>
      </c>
      <c r="NC50">
        <v>50.866399999999999</v>
      </c>
      <c r="ND50" t="s">
        <v>137</v>
      </c>
      <c r="NE50" t="s">
        <v>137</v>
      </c>
      <c r="NF50">
        <v>47.999099999999999</v>
      </c>
      <c r="NG50">
        <v>48.028300000000002</v>
      </c>
      <c r="NH50">
        <v>47.907600000000002</v>
      </c>
      <c r="NI50">
        <v>47.668199999999999</v>
      </c>
      <c r="NJ50">
        <v>47.723599999999998</v>
      </c>
      <c r="NK50" t="s">
        <v>137</v>
      </c>
      <c r="NL50" t="s">
        <v>137</v>
      </c>
      <c r="NM50" t="s">
        <v>137</v>
      </c>
      <c r="NN50" t="s">
        <v>137</v>
      </c>
      <c r="NO50" t="s">
        <v>137</v>
      </c>
      <c r="NP50" t="s">
        <v>137</v>
      </c>
      <c r="NQ50" t="s">
        <v>137</v>
      </c>
      <c r="NR50" t="s">
        <v>137</v>
      </c>
      <c r="NS50" t="s">
        <v>137</v>
      </c>
      <c r="NT50" t="s">
        <v>137</v>
      </c>
      <c r="NU50" t="s">
        <v>137</v>
      </c>
      <c r="NV50" t="s">
        <v>137</v>
      </c>
      <c r="NW50" t="s">
        <v>137</v>
      </c>
      <c r="NX50" t="s">
        <v>137</v>
      </c>
      <c r="NY50" t="s">
        <v>137</v>
      </c>
      <c r="NZ50" t="s">
        <v>137</v>
      </c>
      <c r="OA50" t="s">
        <v>137</v>
      </c>
      <c r="OB50" t="s">
        <v>137</v>
      </c>
      <c r="OC50" t="s">
        <v>137</v>
      </c>
      <c r="OD50" t="s">
        <v>137</v>
      </c>
      <c r="OE50" t="s">
        <v>137</v>
      </c>
      <c r="OF50" t="s">
        <v>137</v>
      </c>
      <c r="OG50" t="s">
        <v>137</v>
      </c>
      <c r="OH50" t="s">
        <v>137</v>
      </c>
      <c r="OI50" t="s">
        <v>137</v>
      </c>
      <c r="OJ50" t="s">
        <v>137</v>
      </c>
      <c r="OK50" t="s">
        <v>137</v>
      </c>
      <c r="OL50" t="s">
        <v>137</v>
      </c>
      <c r="OM50" t="s">
        <v>137</v>
      </c>
      <c r="ON50" t="s">
        <v>137</v>
      </c>
      <c r="OO50" t="s">
        <v>137</v>
      </c>
      <c r="OP50" t="s">
        <v>137</v>
      </c>
      <c r="OQ50" t="s">
        <v>137</v>
      </c>
      <c r="OR50" t="s">
        <v>137</v>
      </c>
      <c r="OS50" t="s">
        <v>137</v>
      </c>
      <c r="OT50" t="s">
        <v>137</v>
      </c>
      <c r="OU50" t="s">
        <v>137</v>
      </c>
      <c r="OV50" t="s">
        <v>137</v>
      </c>
      <c r="OW50" t="s">
        <v>137</v>
      </c>
      <c r="OX50" t="s">
        <v>137</v>
      </c>
      <c r="OY50" t="s">
        <v>137</v>
      </c>
      <c r="OZ50" t="s">
        <v>137</v>
      </c>
      <c r="PA50" t="s">
        <v>137</v>
      </c>
      <c r="PB50" t="s">
        <v>137</v>
      </c>
      <c r="PC50" t="s">
        <v>137</v>
      </c>
      <c r="PD50" t="s">
        <v>137</v>
      </c>
      <c r="PE50" t="s">
        <v>137</v>
      </c>
      <c r="PF50" t="s">
        <v>137</v>
      </c>
      <c r="PG50" t="s">
        <v>137</v>
      </c>
      <c r="PH50" t="s">
        <v>137</v>
      </c>
      <c r="PI50" t="s">
        <v>137</v>
      </c>
      <c r="PJ50" t="s">
        <v>137</v>
      </c>
      <c r="PK50" t="s">
        <v>137</v>
      </c>
      <c r="PL50" t="s">
        <v>137</v>
      </c>
      <c r="PM50" t="s">
        <v>137</v>
      </c>
      <c r="PN50" t="s">
        <v>137</v>
      </c>
      <c r="PO50" t="s">
        <v>137</v>
      </c>
      <c r="PP50" t="s">
        <v>137</v>
      </c>
      <c r="PQ50" t="s">
        <v>137</v>
      </c>
      <c r="PR50" t="s">
        <v>137</v>
      </c>
      <c r="PS50" t="s">
        <v>137</v>
      </c>
      <c r="PT50" t="s">
        <v>137</v>
      </c>
      <c r="PU50" t="s">
        <v>137</v>
      </c>
      <c r="PV50" t="s">
        <v>137</v>
      </c>
      <c r="PW50" t="s">
        <v>137</v>
      </c>
      <c r="PX50" t="s">
        <v>137</v>
      </c>
      <c r="PY50" t="s">
        <v>137</v>
      </c>
      <c r="PZ50" t="s">
        <v>137</v>
      </c>
      <c r="QA50" t="s">
        <v>137</v>
      </c>
      <c r="QB50" t="s">
        <v>137</v>
      </c>
      <c r="QC50" t="s">
        <v>137</v>
      </c>
      <c r="QD50" t="s">
        <v>137</v>
      </c>
      <c r="QE50" t="s">
        <v>137</v>
      </c>
      <c r="QF50" t="s">
        <v>137</v>
      </c>
      <c r="QG50" t="s">
        <v>137</v>
      </c>
      <c r="QH50" t="s">
        <v>137</v>
      </c>
      <c r="QI50" t="s">
        <v>137</v>
      </c>
      <c r="QJ50" t="s">
        <v>137</v>
      </c>
      <c r="QK50" t="s">
        <v>137</v>
      </c>
      <c r="QL50" t="s">
        <v>137</v>
      </c>
      <c r="QM50" t="s">
        <v>137</v>
      </c>
      <c r="QN50" t="s">
        <v>137</v>
      </c>
      <c r="QO50" t="s">
        <v>137</v>
      </c>
    </row>
    <row r="51" spans="1:457" x14ac:dyDescent="0.2">
      <c r="A51" t="s">
        <v>120</v>
      </c>
      <c r="B51" s="3">
        <v>42482</v>
      </c>
      <c r="C51" t="s">
        <v>78</v>
      </c>
      <c r="E51" t="s">
        <v>137</v>
      </c>
      <c r="F51">
        <v>31.190100000000001</v>
      </c>
      <c r="G51">
        <v>30.944700000000001</v>
      </c>
      <c r="H51">
        <v>29.383199999999999</v>
      </c>
      <c r="I51">
        <v>27.692599999999999</v>
      </c>
      <c r="J51">
        <v>26.634599999999999</v>
      </c>
      <c r="K51" t="s">
        <v>137</v>
      </c>
      <c r="L51" t="s">
        <v>137</v>
      </c>
      <c r="M51">
        <v>26.224299999999999</v>
      </c>
      <c r="N51">
        <v>27.457100000000001</v>
      </c>
      <c r="O51">
        <v>26.4938</v>
      </c>
      <c r="P51">
        <v>26.777100000000001</v>
      </c>
      <c r="Q51">
        <v>27.607099999999999</v>
      </c>
      <c r="R51" t="s">
        <v>137</v>
      </c>
      <c r="S51" t="s">
        <v>137</v>
      </c>
      <c r="T51">
        <v>28.153300000000002</v>
      </c>
      <c r="U51">
        <v>27.6357</v>
      </c>
      <c r="V51">
        <v>26.621400000000001</v>
      </c>
      <c r="W51">
        <v>26.932600000000001</v>
      </c>
      <c r="X51">
        <v>26.846699999999998</v>
      </c>
      <c r="Y51" t="s">
        <v>137</v>
      </c>
      <c r="Z51" t="s">
        <v>137</v>
      </c>
      <c r="AA51">
        <v>27.431699999999999</v>
      </c>
      <c r="AB51">
        <v>28.029299999999999</v>
      </c>
      <c r="AC51">
        <v>28.3032</v>
      </c>
      <c r="AD51">
        <v>28.3476</v>
      </c>
      <c r="AE51">
        <v>27.7911</v>
      </c>
      <c r="AF51" t="s">
        <v>137</v>
      </c>
      <c r="AG51" t="s">
        <v>137</v>
      </c>
      <c r="AH51">
        <v>27.764600000000002</v>
      </c>
      <c r="AI51">
        <v>27.441600000000001</v>
      </c>
      <c r="AJ51">
        <v>27.473299999999998</v>
      </c>
      <c r="AK51">
        <v>27.510100000000001</v>
      </c>
      <c r="AL51">
        <v>27.638000000000002</v>
      </c>
      <c r="AM51" t="s">
        <v>137</v>
      </c>
      <c r="AN51" t="s">
        <v>137</v>
      </c>
      <c r="AO51">
        <v>27.019300000000001</v>
      </c>
      <c r="AP51">
        <v>26.891999999999999</v>
      </c>
      <c r="AQ51">
        <v>26.392199999999999</v>
      </c>
      <c r="AR51">
        <v>25.111999999999998</v>
      </c>
      <c r="AS51">
        <v>25.117100000000001</v>
      </c>
      <c r="AT51" t="s">
        <v>137</v>
      </c>
      <c r="AU51" t="s">
        <v>137</v>
      </c>
      <c r="AV51">
        <v>25.099799999999998</v>
      </c>
      <c r="AW51">
        <v>25.517900000000001</v>
      </c>
      <c r="AX51">
        <v>26.0428</v>
      </c>
      <c r="AY51">
        <v>26.021899999999999</v>
      </c>
      <c r="AZ51">
        <v>26.583300000000001</v>
      </c>
      <c r="BA51" t="s">
        <v>137</v>
      </c>
      <c r="BB51" t="s">
        <v>137</v>
      </c>
      <c r="BC51">
        <v>26.9666</v>
      </c>
      <c r="BD51">
        <v>27.907699999999998</v>
      </c>
      <c r="BE51">
        <v>27.549099999999999</v>
      </c>
      <c r="BF51">
        <v>27.0367</v>
      </c>
      <c r="BG51">
        <v>27.2121</v>
      </c>
      <c r="BH51" t="s">
        <v>137</v>
      </c>
      <c r="BI51" t="s">
        <v>137</v>
      </c>
      <c r="BJ51">
        <v>28.509399999999999</v>
      </c>
      <c r="BK51">
        <v>28.642700000000001</v>
      </c>
      <c r="BL51">
        <v>28.341899999999999</v>
      </c>
      <c r="BM51">
        <v>28.680700000000002</v>
      </c>
      <c r="BN51">
        <v>28.885100000000001</v>
      </c>
      <c r="BO51" t="s">
        <v>137</v>
      </c>
      <c r="BP51" t="s">
        <v>137</v>
      </c>
      <c r="BQ51">
        <v>28.856300000000001</v>
      </c>
      <c r="BR51">
        <v>29.002500000000001</v>
      </c>
      <c r="BS51">
        <v>29.451799999999999</v>
      </c>
      <c r="BT51">
        <v>29.534800000000001</v>
      </c>
      <c r="BU51">
        <v>30.339300000000001</v>
      </c>
      <c r="BV51" t="s">
        <v>137</v>
      </c>
      <c r="BW51" t="s">
        <v>137</v>
      </c>
      <c r="BX51">
        <v>30.465199999999999</v>
      </c>
      <c r="BY51">
        <v>30.980699999999999</v>
      </c>
      <c r="BZ51">
        <v>31.262699999999999</v>
      </c>
      <c r="CA51">
        <v>30.543199999999999</v>
      </c>
      <c r="CB51">
        <v>30.499199999999998</v>
      </c>
      <c r="CC51" t="s">
        <v>137</v>
      </c>
      <c r="CD51" t="s">
        <v>137</v>
      </c>
      <c r="CE51">
        <v>30.455200000000001</v>
      </c>
      <c r="CF51">
        <v>30.087499999999999</v>
      </c>
      <c r="CG51">
        <v>28.623699999999999</v>
      </c>
      <c r="CH51">
        <v>27.8187</v>
      </c>
      <c r="CI51">
        <v>28.0916</v>
      </c>
      <c r="CJ51" t="s">
        <v>137</v>
      </c>
      <c r="CK51" t="s">
        <v>137</v>
      </c>
      <c r="CL51">
        <v>28.819500000000001</v>
      </c>
      <c r="CM51">
        <v>28.735700000000001</v>
      </c>
      <c r="CN51">
        <v>28.0641</v>
      </c>
      <c r="CO51">
        <v>27.9755</v>
      </c>
      <c r="CP51">
        <v>28.031199999999998</v>
      </c>
      <c r="CQ51" t="s">
        <v>137</v>
      </c>
      <c r="CR51" t="s">
        <v>137</v>
      </c>
      <c r="CS51">
        <v>28.803599999999999</v>
      </c>
      <c r="CT51">
        <v>29.642600000000002</v>
      </c>
      <c r="CU51">
        <v>28.739000000000001</v>
      </c>
      <c r="CV51">
        <v>29.214200000000002</v>
      </c>
      <c r="CW51">
        <v>28.815999999999999</v>
      </c>
      <c r="CX51" t="s">
        <v>137</v>
      </c>
      <c r="CY51" t="s">
        <v>137</v>
      </c>
      <c r="CZ51">
        <v>27.095400000000001</v>
      </c>
      <c r="DA51">
        <v>26.852499999999999</v>
      </c>
      <c r="DB51">
        <v>26.947900000000001</v>
      </c>
      <c r="DC51">
        <v>26.558199999999999</v>
      </c>
      <c r="DD51">
        <v>26.658300000000001</v>
      </c>
      <c r="DE51" t="s">
        <v>137</v>
      </c>
      <c r="DF51" t="s">
        <v>137</v>
      </c>
      <c r="DG51">
        <v>26.624300000000002</v>
      </c>
      <c r="DH51">
        <v>25.777699999999999</v>
      </c>
      <c r="DI51">
        <v>24.462599999999998</v>
      </c>
      <c r="DJ51">
        <v>25.042200000000001</v>
      </c>
      <c r="DK51">
        <v>25.069500000000001</v>
      </c>
      <c r="DL51" t="s">
        <v>137</v>
      </c>
      <c r="DM51" t="s">
        <v>137</v>
      </c>
      <c r="DN51">
        <v>24.824999999999999</v>
      </c>
      <c r="DO51">
        <v>24.3126</v>
      </c>
      <c r="DP51">
        <v>24.091699999999999</v>
      </c>
      <c r="DQ51">
        <v>23.611000000000001</v>
      </c>
      <c r="DR51">
        <v>23.4558</v>
      </c>
      <c r="DS51" t="s">
        <v>137</v>
      </c>
      <c r="DT51" t="s">
        <v>137</v>
      </c>
      <c r="DU51">
        <v>23.1447</v>
      </c>
      <c r="DV51">
        <v>23.122399999999999</v>
      </c>
      <c r="DW51">
        <v>23.1189</v>
      </c>
      <c r="DX51">
        <v>23.674199999999999</v>
      </c>
      <c r="DY51">
        <v>23.5578</v>
      </c>
      <c r="DZ51" t="s">
        <v>137</v>
      </c>
      <c r="EA51" t="s">
        <v>137</v>
      </c>
      <c r="EB51">
        <v>25.421299999999999</v>
      </c>
      <c r="EC51">
        <v>25.1252</v>
      </c>
      <c r="ED51">
        <v>25.258400000000002</v>
      </c>
      <c r="EE51">
        <v>24.704999999999998</v>
      </c>
      <c r="EF51">
        <v>24.473700000000001</v>
      </c>
      <c r="EG51" t="s">
        <v>137</v>
      </c>
      <c r="EH51" t="s">
        <v>137</v>
      </c>
      <c r="EI51">
        <v>24.4328</v>
      </c>
      <c r="EJ51">
        <v>24.443100000000001</v>
      </c>
      <c r="EK51">
        <v>24.255199999999999</v>
      </c>
      <c r="EL51">
        <v>23.9299</v>
      </c>
      <c r="EM51">
        <v>24.142700000000001</v>
      </c>
      <c r="EN51" t="s">
        <v>137</v>
      </c>
      <c r="EO51" t="s">
        <v>137</v>
      </c>
      <c r="EP51">
        <v>24.240300000000001</v>
      </c>
      <c r="EQ51">
        <v>24.709499999999998</v>
      </c>
      <c r="ER51">
        <v>25.8447</v>
      </c>
      <c r="ES51">
        <v>26.014299999999999</v>
      </c>
      <c r="ET51">
        <v>26.7683</v>
      </c>
      <c r="EU51" t="s">
        <v>137</v>
      </c>
      <c r="EV51" t="s">
        <v>137</v>
      </c>
      <c r="EW51">
        <v>27.896100000000001</v>
      </c>
      <c r="EX51">
        <v>27.584599999999998</v>
      </c>
      <c r="EY51">
        <v>26.667200000000001</v>
      </c>
      <c r="EZ51">
        <v>26.775400000000001</v>
      </c>
      <c r="FA51">
        <v>26.927099999999999</v>
      </c>
      <c r="FB51" t="s">
        <v>137</v>
      </c>
      <c r="FC51" t="s">
        <v>137</v>
      </c>
      <c r="FD51">
        <v>26.2288</v>
      </c>
      <c r="FE51">
        <v>25.341899999999999</v>
      </c>
      <c r="FF51">
        <v>24.971499999999999</v>
      </c>
      <c r="FG51">
        <v>25.226800000000001</v>
      </c>
      <c r="FH51">
        <v>24.101299999999998</v>
      </c>
      <c r="FI51" t="s">
        <v>137</v>
      </c>
      <c r="FJ51" t="s">
        <v>137</v>
      </c>
      <c r="FK51">
        <v>24.532399999999999</v>
      </c>
      <c r="FL51">
        <v>25.0776</v>
      </c>
      <c r="FM51">
        <v>25.363299999999999</v>
      </c>
      <c r="FN51">
        <v>25.4923</v>
      </c>
      <c r="FO51">
        <v>26.292400000000001</v>
      </c>
      <c r="FP51" t="s">
        <v>137</v>
      </c>
      <c r="FQ51" t="s">
        <v>137</v>
      </c>
      <c r="FR51">
        <v>26.420400000000001</v>
      </c>
      <c r="FS51">
        <v>25.686499999999999</v>
      </c>
      <c r="FT51">
        <v>26.354399999999998</v>
      </c>
      <c r="FU51">
        <v>26.867999999999999</v>
      </c>
      <c r="FV51">
        <v>26.7621</v>
      </c>
      <c r="FW51" t="s">
        <v>137</v>
      </c>
      <c r="FX51" t="s">
        <v>137</v>
      </c>
      <c r="FY51">
        <v>26.659500000000001</v>
      </c>
      <c r="FZ51">
        <v>26.704999999999998</v>
      </c>
      <c r="GA51">
        <v>26.817</v>
      </c>
      <c r="GB51">
        <v>27.2864</v>
      </c>
      <c r="GC51">
        <v>28.517900000000001</v>
      </c>
      <c r="GD51" t="s">
        <v>137</v>
      </c>
      <c r="GE51" t="s">
        <v>137</v>
      </c>
      <c r="GF51">
        <v>28.586400000000001</v>
      </c>
      <c r="GG51">
        <v>27.5518</v>
      </c>
      <c r="GH51">
        <v>27.369</v>
      </c>
      <c r="GI51">
        <v>28.2134</v>
      </c>
      <c r="GJ51">
        <v>29.572399999999998</v>
      </c>
      <c r="GK51" t="s">
        <v>137</v>
      </c>
      <c r="GL51" t="s">
        <v>137</v>
      </c>
      <c r="GM51">
        <v>30.869199999999999</v>
      </c>
      <c r="GN51">
        <v>34.243299999999998</v>
      </c>
      <c r="GO51">
        <v>34.470999999999997</v>
      </c>
      <c r="GP51">
        <v>37.124299999999998</v>
      </c>
      <c r="GQ51">
        <v>37.276600000000002</v>
      </c>
      <c r="GR51" t="s">
        <v>137</v>
      </c>
      <c r="GS51" t="s">
        <v>137</v>
      </c>
      <c r="GT51">
        <v>37.404000000000003</v>
      </c>
      <c r="GU51">
        <v>41.8508</v>
      </c>
      <c r="GV51">
        <v>42.938699999999997</v>
      </c>
      <c r="GW51">
        <v>47.298200000000001</v>
      </c>
      <c r="GX51">
        <v>46.790799999999997</v>
      </c>
      <c r="GY51" t="s">
        <v>137</v>
      </c>
      <c r="GZ51" t="s">
        <v>137</v>
      </c>
      <c r="HA51">
        <v>50.279400000000003</v>
      </c>
      <c r="HB51">
        <v>48.566699999999997</v>
      </c>
      <c r="HC51">
        <v>48.930999999999997</v>
      </c>
      <c r="HD51">
        <v>47.018500000000003</v>
      </c>
      <c r="HE51">
        <v>46.670400000000001</v>
      </c>
      <c r="HF51" t="s">
        <v>137</v>
      </c>
      <c r="HG51" t="s">
        <v>137</v>
      </c>
      <c r="HH51">
        <v>46.311700000000002</v>
      </c>
      <c r="HI51">
        <v>44.856900000000003</v>
      </c>
      <c r="HJ51">
        <v>44.436300000000003</v>
      </c>
      <c r="HK51">
        <v>44.317999999999998</v>
      </c>
      <c r="HL51">
        <v>43.070999999999998</v>
      </c>
      <c r="HM51" t="s">
        <v>137</v>
      </c>
      <c r="HN51" t="s">
        <v>137</v>
      </c>
      <c r="HO51">
        <v>42.0655</v>
      </c>
      <c r="HP51">
        <v>42.3765</v>
      </c>
      <c r="HQ51">
        <v>44.583199999999998</v>
      </c>
      <c r="HR51">
        <v>45.104999999999997</v>
      </c>
      <c r="HS51">
        <v>45.075800000000001</v>
      </c>
      <c r="HT51" t="s">
        <v>137</v>
      </c>
      <c r="HU51" t="s">
        <v>137</v>
      </c>
      <c r="HV51">
        <v>44.761899999999997</v>
      </c>
      <c r="HW51">
        <v>45.204099999999997</v>
      </c>
      <c r="HX51">
        <v>46.407899999999998</v>
      </c>
      <c r="HY51">
        <v>47.903100000000002</v>
      </c>
      <c r="HZ51">
        <v>42.590899999999998</v>
      </c>
      <c r="IA51" t="s">
        <v>137</v>
      </c>
      <c r="IB51" t="s">
        <v>137</v>
      </c>
      <c r="IC51">
        <v>39.72</v>
      </c>
      <c r="ID51">
        <v>41.923699999999997</v>
      </c>
      <c r="IE51">
        <v>43.376199999999997</v>
      </c>
      <c r="IF51">
        <v>45.297600000000003</v>
      </c>
      <c r="IG51">
        <v>46.019500000000001</v>
      </c>
      <c r="IH51" t="s">
        <v>137</v>
      </c>
      <c r="II51" t="s">
        <v>137</v>
      </c>
      <c r="IJ51">
        <v>45.7864</v>
      </c>
      <c r="IK51">
        <v>45.469200000000001</v>
      </c>
      <c r="IL51">
        <v>44.904200000000003</v>
      </c>
      <c r="IM51">
        <v>46.294600000000003</v>
      </c>
      <c r="IN51">
        <v>46.507199999999997</v>
      </c>
      <c r="IO51" t="s">
        <v>137</v>
      </c>
      <c r="IP51" t="s">
        <v>137</v>
      </c>
      <c r="IQ51">
        <v>48.101399999999998</v>
      </c>
      <c r="IR51">
        <v>46.026400000000002</v>
      </c>
      <c r="IS51">
        <v>44.677700000000002</v>
      </c>
      <c r="IT51">
        <v>44.851900000000001</v>
      </c>
      <c r="IU51">
        <v>44.758299999999998</v>
      </c>
      <c r="IV51" t="s">
        <v>137</v>
      </c>
      <c r="IW51" t="s">
        <v>137</v>
      </c>
      <c r="IX51">
        <v>42.303199999999997</v>
      </c>
      <c r="IY51">
        <v>39.9544</v>
      </c>
      <c r="IZ51">
        <v>40.059399999999997</v>
      </c>
      <c r="JA51">
        <v>40.901800000000001</v>
      </c>
      <c r="JB51">
        <v>37.855200000000004</v>
      </c>
      <c r="JC51" t="s">
        <v>137</v>
      </c>
      <c r="JD51" t="s">
        <v>137</v>
      </c>
      <c r="JE51">
        <v>36.283200000000001</v>
      </c>
      <c r="JF51">
        <v>36.952500000000001</v>
      </c>
      <c r="JG51">
        <v>37.373399999999997</v>
      </c>
      <c r="JH51">
        <v>37.156300000000002</v>
      </c>
      <c r="JI51">
        <v>36.914900000000003</v>
      </c>
      <c r="JJ51" t="s">
        <v>137</v>
      </c>
      <c r="JK51" t="s">
        <v>137</v>
      </c>
      <c r="JL51">
        <v>36.886600000000001</v>
      </c>
      <c r="JM51">
        <v>34.757100000000001</v>
      </c>
      <c r="JN51">
        <v>33.577599999999997</v>
      </c>
      <c r="JO51">
        <v>34.961799999999997</v>
      </c>
      <c r="JP51">
        <v>34.289000000000001</v>
      </c>
      <c r="JQ51" t="s">
        <v>137</v>
      </c>
      <c r="JR51" t="s">
        <v>137</v>
      </c>
      <c r="JS51">
        <v>34.265799999999999</v>
      </c>
      <c r="JT51">
        <v>34.219799999999999</v>
      </c>
      <c r="JU51">
        <v>32.7746</v>
      </c>
      <c r="JV51">
        <v>32.8626</v>
      </c>
      <c r="JW51">
        <v>33.212800000000001</v>
      </c>
      <c r="JX51" t="s">
        <v>137</v>
      </c>
      <c r="JY51" t="s">
        <v>137</v>
      </c>
      <c r="JZ51">
        <v>32.591799999999999</v>
      </c>
      <c r="KA51">
        <v>33.3337</v>
      </c>
      <c r="KB51">
        <v>33.174199999999999</v>
      </c>
      <c r="KC51">
        <v>33.5062</v>
      </c>
      <c r="KD51">
        <v>33.146599999999999</v>
      </c>
      <c r="KE51" t="s">
        <v>137</v>
      </c>
      <c r="KF51" t="s">
        <v>137</v>
      </c>
      <c r="KG51">
        <v>33.561500000000002</v>
      </c>
      <c r="KH51">
        <v>32.241300000000003</v>
      </c>
      <c r="KI51">
        <v>32.342599999999997</v>
      </c>
      <c r="KJ51">
        <v>33.295499999999997</v>
      </c>
      <c r="KK51">
        <v>32.405200000000001</v>
      </c>
      <c r="KL51" t="s">
        <v>137</v>
      </c>
      <c r="KM51" t="s">
        <v>137</v>
      </c>
      <c r="KN51">
        <v>31.518699999999999</v>
      </c>
      <c r="KO51">
        <v>30.774999999999999</v>
      </c>
      <c r="KP51">
        <v>31.632000000000001</v>
      </c>
      <c r="KQ51">
        <v>31.702500000000001</v>
      </c>
      <c r="KR51">
        <v>32.624299999999998</v>
      </c>
      <c r="KS51" t="s">
        <v>137</v>
      </c>
      <c r="KT51" t="s">
        <v>137</v>
      </c>
      <c r="KU51">
        <v>31.901599999999998</v>
      </c>
      <c r="KV51">
        <v>32.0593</v>
      </c>
      <c r="KW51">
        <v>31.880299999999998</v>
      </c>
      <c r="KX51">
        <v>32.258600000000001</v>
      </c>
      <c r="KY51">
        <v>32.489699999999999</v>
      </c>
      <c r="KZ51" t="s">
        <v>137</v>
      </c>
      <c r="LA51" t="s">
        <v>137</v>
      </c>
      <c r="LB51">
        <v>31.435600000000001</v>
      </c>
      <c r="LC51">
        <v>30.8718</v>
      </c>
      <c r="LD51">
        <v>30.4513</v>
      </c>
      <c r="LE51">
        <v>31.263999999999999</v>
      </c>
      <c r="LF51">
        <v>31.0349</v>
      </c>
      <c r="LG51" t="s">
        <v>137</v>
      </c>
      <c r="LH51" t="s">
        <v>137</v>
      </c>
      <c r="LI51">
        <v>30.968800000000002</v>
      </c>
      <c r="LJ51">
        <v>31.6968</v>
      </c>
      <c r="LK51">
        <v>31.709099999999999</v>
      </c>
      <c r="LL51">
        <v>31.216100000000001</v>
      </c>
      <c r="LM51">
        <v>31.658300000000001</v>
      </c>
      <c r="LN51" t="s">
        <v>137</v>
      </c>
      <c r="LO51" t="s">
        <v>137</v>
      </c>
      <c r="LP51">
        <v>31.7408</v>
      </c>
      <c r="LQ51">
        <v>31.543800000000001</v>
      </c>
      <c r="LR51">
        <v>30.4573</v>
      </c>
      <c r="LS51">
        <v>29.8811</v>
      </c>
      <c r="LT51">
        <v>29.844799999999999</v>
      </c>
      <c r="LU51" t="s">
        <v>137</v>
      </c>
      <c r="LV51" t="s">
        <v>137</v>
      </c>
      <c r="LW51">
        <v>29.861499999999999</v>
      </c>
      <c r="LX51">
        <v>30.190999999999999</v>
      </c>
      <c r="LY51">
        <v>30.592199999999998</v>
      </c>
      <c r="LZ51">
        <v>30.6478</v>
      </c>
      <c r="MA51">
        <v>30.275099999999998</v>
      </c>
      <c r="MB51" t="s">
        <v>137</v>
      </c>
      <c r="MC51" t="s">
        <v>137</v>
      </c>
      <c r="MD51">
        <v>30.6343</v>
      </c>
      <c r="ME51">
        <v>27.145299999999999</v>
      </c>
      <c r="MF51">
        <v>26.849299999999999</v>
      </c>
      <c r="MG51">
        <v>27.377199999999998</v>
      </c>
      <c r="MH51">
        <v>27.658300000000001</v>
      </c>
      <c r="MI51" t="s">
        <v>137</v>
      </c>
      <c r="MJ51" t="s">
        <v>137</v>
      </c>
      <c r="MK51">
        <v>27.705100000000002</v>
      </c>
      <c r="ML51">
        <v>27.669899999999998</v>
      </c>
      <c r="MM51">
        <v>27.810500000000001</v>
      </c>
      <c r="MN51">
        <v>27.922599999999999</v>
      </c>
      <c r="MO51">
        <v>28.027699999999999</v>
      </c>
      <c r="MP51" t="s">
        <v>137</v>
      </c>
      <c r="MQ51" t="s">
        <v>137</v>
      </c>
      <c r="MR51">
        <v>28.2378</v>
      </c>
      <c r="MS51">
        <v>28.363499999999998</v>
      </c>
      <c r="MT51">
        <v>28.319299999999998</v>
      </c>
      <c r="MU51">
        <v>28.537800000000001</v>
      </c>
      <c r="MV51">
        <v>28.640699999999999</v>
      </c>
      <c r="MW51" t="s">
        <v>137</v>
      </c>
      <c r="MX51" t="s">
        <v>137</v>
      </c>
      <c r="MY51">
        <v>28.616499999999998</v>
      </c>
      <c r="MZ51">
        <v>28.685300000000002</v>
      </c>
      <c r="NA51">
        <v>28.618600000000001</v>
      </c>
      <c r="NB51">
        <v>28.641400000000001</v>
      </c>
      <c r="NC51">
        <v>29.196000000000002</v>
      </c>
      <c r="ND51" t="s">
        <v>137</v>
      </c>
      <c r="NE51" t="s">
        <v>137</v>
      </c>
      <c r="NF51">
        <v>28.707599999999999</v>
      </c>
      <c r="NG51">
        <v>28.552199999999999</v>
      </c>
      <c r="NH51">
        <v>28.5425</v>
      </c>
      <c r="NI51">
        <v>28.8338</v>
      </c>
      <c r="NJ51">
        <v>28.757100000000001</v>
      </c>
      <c r="NK51" t="s">
        <v>137</v>
      </c>
      <c r="NL51" t="s">
        <v>137</v>
      </c>
      <c r="NM51" t="s">
        <v>137</v>
      </c>
      <c r="NN51" t="s">
        <v>137</v>
      </c>
      <c r="NO51" t="s">
        <v>137</v>
      </c>
      <c r="NP51" t="s">
        <v>137</v>
      </c>
      <c r="NQ51" t="s">
        <v>137</v>
      </c>
      <c r="NR51" t="s">
        <v>137</v>
      </c>
      <c r="NS51" t="s">
        <v>137</v>
      </c>
      <c r="NT51" t="s">
        <v>137</v>
      </c>
      <c r="NU51" t="s">
        <v>137</v>
      </c>
      <c r="NV51" t="s">
        <v>137</v>
      </c>
      <c r="NW51" t="s">
        <v>137</v>
      </c>
      <c r="NX51" t="s">
        <v>137</v>
      </c>
      <c r="NY51" t="s">
        <v>137</v>
      </c>
      <c r="NZ51" t="s">
        <v>137</v>
      </c>
      <c r="OA51" t="s">
        <v>137</v>
      </c>
      <c r="OB51" t="s">
        <v>137</v>
      </c>
      <c r="OC51" t="s">
        <v>137</v>
      </c>
      <c r="OD51" t="s">
        <v>137</v>
      </c>
      <c r="OE51" t="s">
        <v>137</v>
      </c>
      <c r="OF51" t="s">
        <v>137</v>
      </c>
      <c r="OG51" t="s">
        <v>137</v>
      </c>
      <c r="OH51" t="s">
        <v>137</v>
      </c>
      <c r="OI51" t="s">
        <v>137</v>
      </c>
      <c r="OJ51" t="s">
        <v>137</v>
      </c>
      <c r="OK51" t="s">
        <v>137</v>
      </c>
      <c r="OL51" t="s">
        <v>137</v>
      </c>
      <c r="OM51" t="s">
        <v>137</v>
      </c>
      <c r="ON51" t="s">
        <v>137</v>
      </c>
      <c r="OO51" t="s">
        <v>137</v>
      </c>
      <c r="OP51" t="s">
        <v>137</v>
      </c>
      <c r="OQ51" t="s">
        <v>137</v>
      </c>
      <c r="OR51" t="s">
        <v>137</v>
      </c>
      <c r="OS51" t="s">
        <v>137</v>
      </c>
      <c r="OT51" t="s">
        <v>137</v>
      </c>
      <c r="OU51" t="s">
        <v>137</v>
      </c>
      <c r="OV51" t="s">
        <v>137</v>
      </c>
      <c r="OW51" t="s">
        <v>137</v>
      </c>
      <c r="OX51" t="s">
        <v>137</v>
      </c>
      <c r="OY51" t="s">
        <v>137</v>
      </c>
      <c r="OZ51" t="s">
        <v>137</v>
      </c>
      <c r="PA51" t="s">
        <v>137</v>
      </c>
      <c r="PB51" t="s">
        <v>137</v>
      </c>
      <c r="PC51" t="s">
        <v>137</v>
      </c>
      <c r="PD51" t="s">
        <v>137</v>
      </c>
      <c r="PE51" t="s">
        <v>137</v>
      </c>
      <c r="PF51" t="s">
        <v>137</v>
      </c>
      <c r="PG51" t="s">
        <v>137</v>
      </c>
      <c r="PH51" t="s">
        <v>137</v>
      </c>
      <c r="PI51" t="s">
        <v>137</v>
      </c>
      <c r="PJ51" t="s">
        <v>137</v>
      </c>
      <c r="PK51" t="s">
        <v>137</v>
      </c>
      <c r="PL51" t="s">
        <v>137</v>
      </c>
      <c r="PM51" t="s">
        <v>137</v>
      </c>
      <c r="PN51" t="s">
        <v>137</v>
      </c>
      <c r="PO51" t="s">
        <v>137</v>
      </c>
      <c r="PP51" t="s">
        <v>137</v>
      </c>
      <c r="PQ51" t="s">
        <v>137</v>
      </c>
      <c r="PR51" t="s">
        <v>137</v>
      </c>
      <c r="PS51" t="s">
        <v>137</v>
      </c>
      <c r="PT51" t="s">
        <v>137</v>
      </c>
      <c r="PU51" t="s">
        <v>137</v>
      </c>
      <c r="PV51" t="s">
        <v>137</v>
      </c>
      <c r="PW51" t="s">
        <v>137</v>
      </c>
      <c r="PX51" t="s">
        <v>137</v>
      </c>
      <c r="PY51" t="s">
        <v>137</v>
      </c>
      <c r="PZ51" t="s">
        <v>137</v>
      </c>
      <c r="QA51" t="s">
        <v>137</v>
      </c>
      <c r="QB51" t="s">
        <v>137</v>
      </c>
      <c r="QC51" t="s">
        <v>137</v>
      </c>
      <c r="QD51" t="s">
        <v>137</v>
      </c>
      <c r="QE51" t="s">
        <v>137</v>
      </c>
      <c r="QF51" t="s">
        <v>137</v>
      </c>
      <c r="QG51" t="s">
        <v>137</v>
      </c>
      <c r="QH51" t="s">
        <v>137</v>
      </c>
      <c r="QI51" t="s">
        <v>137</v>
      </c>
      <c r="QJ51" t="s">
        <v>137</v>
      </c>
      <c r="QK51" t="s">
        <v>137</v>
      </c>
      <c r="QL51" t="s">
        <v>137</v>
      </c>
      <c r="QM51" t="s">
        <v>137</v>
      </c>
      <c r="QN51" t="s">
        <v>137</v>
      </c>
      <c r="QO51" t="s">
        <v>137</v>
      </c>
    </row>
    <row r="52" spans="1:457" x14ac:dyDescent="0.2">
      <c r="A52" t="s">
        <v>121</v>
      </c>
      <c r="B52" s="3">
        <v>42761</v>
      </c>
      <c r="C52" t="s">
        <v>81</v>
      </c>
      <c r="E52" t="s">
        <v>137</v>
      </c>
      <c r="F52">
        <v>28.375399999999999</v>
      </c>
      <c r="G52">
        <v>28.9756</v>
      </c>
      <c r="H52">
        <v>27.546900000000001</v>
      </c>
      <c r="I52">
        <v>25.979900000000001</v>
      </c>
      <c r="J52">
        <v>24.421099999999999</v>
      </c>
      <c r="K52" t="s">
        <v>137</v>
      </c>
      <c r="L52" t="s">
        <v>137</v>
      </c>
      <c r="M52">
        <v>24.425799999999999</v>
      </c>
      <c r="N52">
        <v>25.083300000000001</v>
      </c>
      <c r="O52">
        <v>24.8674</v>
      </c>
      <c r="P52">
        <v>25.028199999999998</v>
      </c>
      <c r="Q52">
        <v>26.176100000000002</v>
      </c>
      <c r="R52" t="s">
        <v>137</v>
      </c>
      <c r="S52" t="s">
        <v>137</v>
      </c>
      <c r="T52">
        <v>26.1023</v>
      </c>
      <c r="U52">
        <v>25.9512</v>
      </c>
      <c r="V52">
        <v>25.332899999999999</v>
      </c>
      <c r="W52">
        <v>25.434799999999999</v>
      </c>
      <c r="X52">
        <v>25.214700000000001</v>
      </c>
      <c r="Y52" t="s">
        <v>137</v>
      </c>
      <c r="Z52" t="s">
        <v>137</v>
      </c>
      <c r="AA52">
        <v>25.8263</v>
      </c>
      <c r="AB52">
        <v>26.300799999999999</v>
      </c>
      <c r="AC52">
        <v>26.682500000000001</v>
      </c>
      <c r="AD52">
        <v>26.4009</v>
      </c>
      <c r="AE52">
        <v>25.7791</v>
      </c>
      <c r="AF52" t="s">
        <v>137</v>
      </c>
      <c r="AG52" t="s">
        <v>137</v>
      </c>
      <c r="AH52">
        <v>25.6312</v>
      </c>
      <c r="AI52">
        <v>25.712700000000002</v>
      </c>
      <c r="AJ52">
        <v>25.794599999999999</v>
      </c>
      <c r="AK52">
        <v>25.809799999999999</v>
      </c>
      <c r="AL52">
        <v>25.738099999999999</v>
      </c>
      <c r="AM52" t="s">
        <v>137</v>
      </c>
      <c r="AN52" t="s">
        <v>137</v>
      </c>
      <c r="AO52">
        <v>25.065899999999999</v>
      </c>
      <c r="AP52">
        <v>24.997199999999999</v>
      </c>
      <c r="AQ52">
        <v>24.638500000000001</v>
      </c>
      <c r="AR52">
        <v>23.072700000000001</v>
      </c>
      <c r="AS52">
        <v>23.209</v>
      </c>
      <c r="AT52" t="s">
        <v>137</v>
      </c>
      <c r="AU52" t="s">
        <v>137</v>
      </c>
      <c r="AV52">
        <v>23.2135</v>
      </c>
      <c r="AW52">
        <v>23.4848</v>
      </c>
      <c r="AX52">
        <v>24.036100000000001</v>
      </c>
      <c r="AY52">
        <v>23.981100000000001</v>
      </c>
      <c r="AZ52">
        <v>24.335799999999999</v>
      </c>
      <c r="BA52" t="s">
        <v>137</v>
      </c>
      <c r="BB52" t="s">
        <v>137</v>
      </c>
      <c r="BC52">
        <v>24.842700000000001</v>
      </c>
      <c r="BD52">
        <v>26.290099999999999</v>
      </c>
      <c r="BE52">
        <v>25.7499</v>
      </c>
      <c r="BF52">
        <v>25.014500000000002</v>
      </c>
      <c r="BG52">
        <v>25.7712</v>
      </c>
      <c r="BH52" t="s">
        <v>137</v>
      </c>
      <c r="BI52" t="s">
        <v>137</v>
      </c>
      <c r="BJ52">
        <v>26.968800000000002</v>
      </c>
      <c r="BK52">
        <v>26.810600000000001</v>
      </c>
      <c r="BL52">
        <v>27.4209</v>
      </c>
      <c r="BM52">
        <v>27.512799999999999</v>
      </c>
      <c r="BN52">
        <v>27.4984</v>
      </c>
      <c r="BO52" t="s">
        <v>137</v>
      </c>
      <c r="BP52" t="s">
        <v>137</v>
      </c>
      <c r="BQ52">
        <v>27.5044</v>
      </c>
      <c r="BR52">
        <v>27.852499999999999</v>
      </c>
      <c r="BS52">
        <v>28.207799999999999</v>
      </c>
      <c r="BT52">
        <v>28.492799999999999</v>
      </c>
      <c r="BU52">
        <v>29.293800000000001</v>
      </c>
      <c r="BV52" t="s">
        <v>137</v>
      </c>
      <c r="BW52" t="s">
        <v>137</v>
      </c>
      <c r="BX52">
        <v>29.236499999999999</v>
      </c>
      <c r="BY52">
        <v>30.005400000000002</v>
      </c>
      <c r="BZ52">
        <v>30.012</v>
      </c>
      <c r="CA52">
        <v>29.856999999999999</v>
      </c>
      <c r="CB52">
        <v>29.275600000000001</v>
      </c>
      <c r="CC52" t="s">
        <v>137</v>
      </c>
      <c r="CD52" t="s">
        <v>137</v>
      </c>
      <c r="CE52">
        <v>29.188800000000001</v>
      </c>
      <c r="CF52">
        <v>28.2</v>
      </c>
      <c r="CG52">
        <v>27.1797</v>
      </c>
      <c r="CH52">
        <v>26.7056</v>
      </c>
      <c r="CI52">
        <v>26.711400000000001</v>
      </c>
      <c r="CJ52" t="s">
        <v>137</v>
      </c>
      <c r="CK52" t="s">
        <v>137</v>
      </c>
      <c r="CL52">
        <v>27.126799999999999</v>
      </c>
      <c r="CM52">
        <v>26.9679</v>
      </c>
      <c r="CN52">
        <v>26.836400000000001</v>
      </c>
      <c r="CO52">
        <v>27.317399999999999</v>
      </c>
      <c r="CP52">
        <v>27.2164</v>
      </c>
      <c r="CQ52" t="s">
        <v>137</v>
      </c>
      <c r="CR52" t="s">
        <v>137</v>
      </c>
      <c r="CS52">
        <v>27.004200000000001</v>
      </c>
      <c r="CT52">
        <v>28.492000000000001</v>
      </c>
      <c r="CU52">
        <v>28.584499999999998</v>
      </c>
      <c r="CV52">
        <v>27.8782</v>
      </c>
      <c r="CW52">
        <v>27.627300000000002</v>
      </c>
      <c r="CX52" t="s">
        <v>137</v>
      </c>
      <c r="CY52" t="s">
        <v>137</v>
      </c>
      <c r="CZ52">
        <v>28.081499999999998</v>
      </c>
      <c r="DA52">
        <v>28.087900000000001</v>
      </c>
      <c r="DB52">
        <v>28.0947</v>
      </c>
      <c r="DC52">
        <v>28.1143</v>
      </c>
      <c r="DD52">
        <v>25.2059</v>
      </c>
      <c r="DE52" t="s">
        <v>137</v>
      </c>
      <c r="DF52" t="s">
        <v>137</v>
      </c>
      <c r="DG52">
        <v>25.211600000000001</v>
      </c>
      <c r="DH52">
        <v>25.1585</v>
      </c>
      <c r="DI52">
        <v>23.191800000000001</v>
      </c>
      <c r="DJ52">
        <v>23.473800000000001</v>
      </c>
      <c r="DK52">
        <v>23.546500000000002</v>
      </c>
      <c r="DL52" t="s">
        <v>137</v>
      </c>
      <c r="DM52" t="s">
        <v>137</v>
      </c>
      <c r="DN52">
        <v>23.085899999999999</v>
      </c>
      <c r="DO52">
        <v>22.830100000000002</v>
      </c>
      <c r="DP52">
        <v>22.8353</v>
      </c>
      <c r="DQ52">
        <v>22.8504</v>
      </c>
      <c r="DR52">
        <v>21.910699999999999</v>
      </c>
      <c r="DS52" t="s">
        <v>137</v>
      </c>
      <c r="DT52" t="s">
        <v>137</v>
      </c>
      <c r="DU52">
        <v>21.727599999999999</v>
      </c>
      <c r="DV52">
        <v>21.793199999999999</v>
      </c>
      <c r="DW52">
        <v>21.797899999999998</v>
      </c>
      <c r="DX52">
        <v>22.0579</v>
      </c>
      <c r="DY52">
        <v>22.7133</v>
      </c>
      <c r="DZ52" t="s">
        <v>137</v>
      </c>
      <c r="EA52" t="s">
        <v>137</v>
      </c>
      <c r="EB52">
        <v>23.825500000000002</v>
      </c>
      <c r="EC52">
        <v>23.6264</v>
      </c>
      <c r="ED52">
        <v>23.831399999999999</v>
      </c>
      <c r="EE52">
        <v>22.982600000000001</v>
      </c>
      <c r="EF52">
        <v>23.051200000000001</v>
      </c>
      <c r="EG52" t="s">
        <v>137</v>
      </c>
      <c r="EH52" t="s">
        <v>137</v>
      </c>
      <c r="EI52">
        <v>22.733799999999999</v>
      </c>
      <c r="EJ52">
        <v>22.868099999999998</v>
      </c>
      <c r="EK52">
        <v>22.6799</v>
      </c>
      <c r="EL52">
        <v>22.314499999999999</v>
      </c>
      <c r="EM52">
        <v>22.572600000000001</v>
      </c>
      <c r="EN52" t="s">
        <v>137</v>
      </c>
      <c r="EO52" t="s">
        <v>137</v>
      </c>
      <c r="EP52">
        <v>22.834800000000001</v>
      </c>
      <c r="EQ52">
        <v>23.500299999999999</v>
      </c>
      <c r="ER52">
        <v>24.052900000000001</v>
      </c>
      <c r="ES52">
        <v>24.3492</v>
      </c>
      <c r="ET52">
        <v>24.928599999999999</v>
      </c>
      <c r="EU52" t="s">
        <v>137</v>
      </c>
      <c r="EV52" t="s">
        <v>137</v>
      </c>
      <c r="EW52">
        <v>24.571999999999999</v>
      </c>
      <c r="EX52">
        <v>25.6844</v>
      </c>
      <c r="EY52">
        <v>24.367899999999999</v>
      </c>
      <c r="EZ52">
        <v>24.377199999999998</v>
      </c>
      <c r="FA52">
        <v>24.439399999999999</v>
      </c>
      <c r="FB52" t="s">
        <v>137</v>
      </c>
      <c r="FC52" t="s">
        <v>137</v>
      </c>
      <c r="FD52">
        <v>23.760999999999999</v>
      </c>
      <c r="FE52">
        <v>22.834599999999998</v>
      </c>
      <c r="FF52">
        <v>22.709800000000001</v>
      </c>
      <c r="FG52">
        <v>22.722999999999999</v>
      </c>
      <c r="FH52">
        <v>22.282800000000002</v>
      </c>
      <c r="FI52" t="s">
        <v>137</v>
      </c>
      <c r="FJ52" t="s">
        <v>137</v>
      </c>
      <c r="FK52">
        <v>22.413</v>
      </c>
      <c r="FL52">
        <v>22.647200000000002</v>
      </c>
      <c r="FM52">
        <v>23.197199999999999</v>
      </c>
      <c r="FN52">
        <v>23.210699999999999</v>
      </c>
      <c r="FO52">
        <v>23.89</v>
      </c>
      <c r="FP52" t="s">
        <v>137</v>
      </c>
      <c r="FQ52" t="s">
        <v>137</v>
      </c>
      <c r="FR52">
        <v>23.9636</v>
      </c>
      <c r="FS52">
        <v>24.317599999999999</v>
      </c>
      <c r="FT52">
        <v>24.181799999999999</v>
      </c>
      <c r="FU52">
        <v>24.6934</v>
      </c>
      <c r="FV52">
        <v>24.483699999999999</v>
      </c>
      <c r="FW52" t="s">
        <v>137</v>
      </c>
      <c r="FX52" t="s">
        <v>137</v>
      </c>
      <c r="FY52">
        <v>24.276199999999999</v>
      </c>
      <c r="FZ52">
        <v>24.140999999999998</v>
      </c>
      <c r="GA52">
        <v>24.4984</v>
      </c>
      <c r="GB52">
        <v>25.097899999999999</v>
      </c>
      <c r="GC52">
        <v>26.087399999999999</v>
      </c>
      <c r="GD52" t="s">
        <v>137</v>
      </c>
      <c r="GE52" t="s">
        <v>137</v>
      </c>
      <c r="GF52">
        <v>25.556000000000001</v>
      </c>
      <c r="GG52">
        <v>25.1873</v>
      </c>
      <c r="GH52">
        <v>24.971900000000002</v>
      </c>
      <c r="GI52">
        <v>25.582699999999999</v>
      </c>
      <c r="GJ52">
        <v>26.8414</v>
      </c>
      <c r="GK52" t="s">
        <v>137</v>
      </c>
      <c r="GL52" t="s">
        <v>137</v>
      </c>
      <c r="GM52">
        <v>28.5459</v>
      </c>
      <c r="GN52">
        <v>30.423200000000001</v>
      </c>
      <c r="GO52">
        <v>31.029599999999999</v>
      </c>
      <c r="GP52">
        <v>34.128599999999999</v>
      </c>
      <c r="GQ52">
        <v>32.979500000000002</v>
      </c>
      <c r="GR52" t="s">
        <v>137</v>
      </c>
      <c r="GS52" t="s">
        <v>137</v>
      </c>
      <c r="GT52">
        <v>35.499699999999997</v>
      </c>
      <c r="GU52">
        <v>37.238500000000002</v>
      </c>
      <c r="GV52">
        <v>41.557699999999997</v>
      </c>
      <c r="GW52">
        <v>40.911900000000003</v>
      </c>
      <c r="GX52">
        <v>40.920900000000003</v>
      </c>
      <c r="GY52" t="s">
        <v>137</v>
      </c>
      <c r="GZ52" t="s">
        <v>137</v>
      </c>
      <c r="HA52">
        <v>43.571100000000001</v>
      </c>
      <c r="HB52">
        <v>42.663800000000002</v>
      </c>
      <c r="HC52">
        <v>42.317100000000003</v>
      </c>
      <c r="HD52">
        <v>41.65</v>
      </c>
      <c r="HE52">
        <v>41.659300000000002</v>
      </c>
      <c r="HF52" t="s">
        <v>137</v>
      </c>
      <c r="HG52" t="s">
        <v>137</v>
      </c>
      <c r="HH52">
        <v>40.830599999999997</v>
      </c>
      <c r="HI52">
        <v>39.244100000000003</v>
      </c>
      <c r="HJ52">
        <v>39.5657</v>
      </c>
      <c r="HK52">
        <v>38.236699999999999</v>
      </c>
      <c r="HL52">
        <v>37.390999999999998</v>
      </c>
      <c r="HM52" t="s">
        <v>137</v>
      </c>
      <c r="HN52" t="s">
        <v>137</v>
      </c>
      <c r="HO52">
        <v>36.8489</v>
      </c>
      <c r="HP52">
        <v>36.9938</v>
      </c>
      <c r="HQ52">
        <v>37.417099999999998</v>
      </c>
      <c r="HR52">
        <v>37.846800000000002</v>
      </c>
      <c r="HS52">
        <v>38.601999999999997</v>
      </c>
      <c r="HT52" t="s">
        <v>137</v>
      </c>
      <c r="HU52" t="s">
        <v>137</v>
      </c>
      <c r="HV52">
        <v>38.908700000000003</v>
      </c>
      <c r="HW52">
        <v>38.918100000000003</v>
      </c>
      <c r="HX52">
        <v>39.690800000000003</v>
      </c>
      <c r="HY52">
        <v>39.875700000000002</v>
      </c>
      <c r="HZ52">
        <v>35.643599999999999</v>
      </c>
      <c r="IA52" t="s">
        <v>137</v>
      </c>
      <c r="IB52" t="s">
        <v>137</v>
      </c>
      <c r="IC52">
        <v>35.524700000000003</v>
      </c>
      <c r="ID52">
        <v>36.575699999999998</v>
      </c>
      <c r="IE52">
        <v>38.694899999999997</v>
      </c>
      <c r="IF52">
        <v>39.943800000000003</v>
      </c>
      <c r="IG52">
        <v>41.755400000000002</v>
      </c>
      <c r="IH52" t="s">
        <v>137</v>
      </c>
      <c r="II52" t="s">
        <v>137</v>
      </c>
      <c r="IJ52">
        <v>41.595399999999998</v>
      </c>
      <c r="IK52">
        <v>41.269399999999997</v>
      </c>
      <c r="IL52">
        <v>41.447200000000002</v>
      </c>
      <c r="IM52">
        <v>42.337299999999999</v>
      </c>
      <c r="IN52">
        <v>43.242400000000004</v>
      </c>
      <c r="IO52" t="s">
        <v>137</v>
      </c>
      <c r="IP52" t="s">
        <v>137</v>
      </c>
      <c r="IQ52">
        <v>44.185499999999998</v>
      </c>
      <c r="IR52">
        <v>42.369599999999998</v>
      </c>
      <c r="IS52">
        <v>41.185899999999997</v>
      </c>
      <c r="IT52">
        <v>40.563200000000002</v>
      </c>
      <c r="IU52">
        <v>42.243600000000001</v>
      </c>
      <c r="IV52" t="s">
        <v>137</v>
      </c>
      <c r="IW52" t="s">
        <v>137</v>
      </c>
      <c r="IX52">
        <v>38.293199999999999</v>
      </c>
      <c r="IY52">
        <v>37.039099999999998</v>
      </c>
      <c r="IZ52">
        <v>37.883000000000003</v>
      </c>
      <c r="JA52">
        <v>38.198399999999999</v>
      </c>
      <c r="JB52">
        <v>36.153599999999997</v>
      </c>
      <c r="JC52" t="s">
        <v>137</v>
      </c>
      <c r="JD52" t="s">
        <v>137</v>
      </c>
      <c r="JE52">
        <v>34.654800000000002</v>
      </c>
      <c r="JF52">
        <v>34.785499999999999</v>
      </c>
      <c r="JG52">
        <v>35.4133</v>
      </c>
      <c r="JH52">
        <v>34.339399999999998</v>
      </c>
      <c r="JI52">
        <v>35.153799999999997</v>
      </c>
      <c r="JJ52" t="s">
        <v>137</v>
      </c>
      <c r="JK52" t="s">
        <v>137</v>
      </c>
      <c r="JL52">
        <v>34.476900000000001</v>
      </c>
      <c r="JM52">
        <v>30.875499999999999</v>
      </c>
      <c r="JN52">
        <v>31.389900000000001</v>
      </c>
      <c r="JO52">
        <v>33.123699999999999</v>
      </c>
      <c r="JP52">
        <v>31.311900000000001</v>
      </c>
      <c r="JQ52" t="s">
        <v>137</v>
      </c>
      <c r="JR52" t="s">
        <v>137</v>
      </c>
      <c r="JS52">
        <v>30.518999999999998</v>
      </c>
      <c r="JT52">
        <v>30.526800000000001</v>
      </c>
      <c r="JU52">
        <v>28.8445</v>
      </c>
      <c r="JV52">
        <v>29.414400000000001</v>
      </c>
      <c r="JW52">
        <v>29.796099999999999</v>
      </c>
      <c r="JX52" t="s">
        <v>137</v>
      </c>
      <c r="JY52" t="s">
        <v>137</v>
      </c>
      <c r="JZ52">
        <v>28.792000000000002</v>
      </c>
      <c r="KA52">
        <v>29.906400000000001</v>
      </c>
      <c r="KB52">
        <v>28.987100000000002</v>
      </c>
      <c r="KC52">
        <v>29.654699999999998</v>
      </c>
      <c r="KD52">
        <v>29.2912</v>
      </c>
      <c r="KE52" t="s">
        <v>137</v>
      </c>
      <c r="KF52" t="s">
        <v>137</v>
      </c>
      <c r="KG52">
        <v>29.483599999999999</v>
      </c>
      <c r="KH52">
        <v>28.495799999999999</v>
      </c>
      <c r="KI52">
        <v>28.591799999999999</v>
      </c>
      <c r="KJ52">
        <v>29.245699999999999</v>
      </c>
      <c r="KK52">
        <v>28.5334</v>
      </c>
      <c r="KL52" t="s">
        <v>137</v>
      </c>
      <c r="KM52" t="s">
        <v>137</v>
      </c>
      <c r="KN52">
        <v>28.104099999999999</v>
      </c>
      <c r="KO52">
        <v>27.516400000000001</v>
      </c>
      <c r="KP52">
        <v>28.379899999999999</v>
      </c>
      <c r="KQ52">
        <v>28.490600000000001</v>
      </c>
      <c r="KR52">
        <v>29.203600000000002</v>
      </c>
      <c r="KS52" t="s">
        <v>137</v>
      </c>
      <c r="KT52" t="s">
        <v>137</v>
      </c>
      <c r="KU52">
        <v>28.505800000000001</v>
      </c>
      <c r="KV52">
        <v>28.780100000000001</v>
      </c>
      <c r="KW52">
        <v>28.717700000000001</v>
      </c>
      <c r="KX52">
        <v>28.924700000000001</v>
      </c>
      <c r="KY52">
        <v>28.819099999999999</v>
      </c>
      <c r="KZ52" t="s">
        <v>137</v>
      </c>
      <c r="LA52" t="s">
        <v>137</v>
      </c>
      <c r="LB52">
        <v>27.865200000000002</v>
      </c>
      <c r="LC52">
        <v>27.4513</v>
      </c>
      <c r="LD52">
        <v>27.21</v>
      </c>
      <c r="LE52">
        <v>27.648599999999998</v>
      </c>
      <c r="LF52">
        <v>27.656199999999998</v>
      </c>
      <c r="LG52" t="s">
        <v>137</v>
      </c>
      <c r="LH52" t="s">
        <v>137</v>
      </c>
      <c r="LI52">
        <v>27.938800000000001</v>
      </c>
      <c r="LJ52">
        <v>28.3352</v>
      </c>
      <c r="LK52">
        <v>28.610399999999998</v>
      </c>
      <c r="LL52">
        <v>28.325900000000001</v>
      </c>
      <c r="LM52">
        <v>28.714099999999998</v>
      </c>
      <c r="LN52" t="s">
        <v>137</v>
      </c>
      <c r="LO52" t="s">
        <v>137</v>
      </c>
      <c r="LP52">
        <v>28.9147</v>
      </c>
      <c r="LQ52">
        <v>28.645499999999998</v>
      </c>
      <c r="LR52">
        <v>27.973099999999999</v>
      </c>
      <c r="LS52">
        <v>27.289200000000001</v>
      </c>
      <c r="LT52">
        <v>27.386099999999999</v>
      </c>
      <c r="LU52" t="s">
        <v>137</v>
      </c>
      <c r="LV52" t="s">
        <v>137</v>
      </c>
      <c r="LW52">
        <v>27.323</v>
      </c>
      <c r="LX52">
        <v>27.540900000000001</v>
      </c>
      <c r="LY52">
        <v>27.856400000000001</v>
      </c>
      <c r="LZ52">
        <v>27.979600000000001</v>
      </c>
      <c r="MA52">
        <v>27.552</v>
      </c>
      <c r="MB52" t="s">
        <v>137</v>
      </c>
      <c r="MC52" t="s">
        <v>137</v>
      </c>
      <c r="MD52">
        <v>27.8855</v>
      </c>
      <c r="ME52">
        <v>24.759599999999999</v>
      </c>
      <c r="MF52">
        <v>24.831199999999999</v>
      </c>
      <c r="MG52">
        <v>25.206800000000001</v>
      </c>
      <c r="MH52">
        <v>25.500399999999999</v>
      </c>
      <c r="MI52" t="s">
        <v>137</v>
      </c>
      <c r="MJ52" t="s">
        <v>137</v>
      </c>
      <c r="MK52">
        <v>25.563800000000001</v>
      </c>
      <c r="ML52">
        <v>25.492699999999999</v>
      </c>
      <c r="MM52">
        <v>25.541</v>
      </c>
      <c r="MN52">
        <v>25.6053</v>
      </c>
      <c r="MO52">
        <v>25.8142</v>
      </c>
      <c r="MP52" t="s">
        <v>137</v>
      </c>
      <c r="MQ52" t="s">
        <v>137</v>
      </c>
      <c r="MR52">
        <v>25.789000000000001</v>
      </c>
      <c r="MS52">
        <v>25.961500000000001</v>
      </c>
      <c r="MT52">
        <v>26.369700000000002</v>
      </c>
      <c r="MU52">
        <v>26.2486</v>
      </c>
      <c r="MV52">
        <v>26.574200000000001</v>
      </c>
      <c r="MW52" t="s">
        <v>137</v>
      </c>
      <c r="MX52" t="s">
        <v>137</v>
      </c>
      <c r="MY52">
        <v>26.733799999999999</v>
      </c>
      <c r="MZ52">
        <v>27.103100000000001</v>
      </c>
      <c r="NA52">
        <v>25.9268</v>
      </c>
      <c r="NB52">
        <v>27.134499999999999</v>
      </c>
      <c r="NC52">
        <v>26.81</v>
      </c>
      <c r="ND52" t="s">
        <v>137</v>
      </c>
      <c r="NE52" t="s">
        <v>137</v>
      </c>
      <c r="NF52">
        <v>26.028099999999998</v>
      </c>
      <c r="NG52">
        <v>25.203299999999999</v>
      </c>
      <c r="NH52">
        <v>25.209099999999999</v>
      </c>
      <c r="NI52">
        <v>24.644200000000001</v>
      </c>
      <c r="NJ52">
        <v>24.649899999999999</v>
      </c>
      <c r="NK52" t="s">
        <v>137</v>
      </c>
      <c r="NL52" t="s">
        <v>137</v>
      </c>
      <c r="NM52" t="s">
        <v>137</v>
      </c>
      <c r="NN52" t="s">
        <v>137</v>
      </c>
      <c r="NO52" t="s">
        <v>137</v>
      </c>
      <c r="NP52" t="s">
        <v>137</v>
      </c>
      <c r="NQ52" t="s">
        <v>137</v>
      </c>
      <c r="NR52" t="s">
        <v>137</v>
      </c>
      <c r="NS52" t="s">
        <v>137</v>
      </c>
      <c r="NT52" t="s">
        <v>137</v>
      </c>
      <c r="NU52" t="s">
        <v>137</v>
      </c>
      <c r="NV52" t="s">
        <v>137</v>
      </c>
      <c r="NW52" t="s">
        <v>137</v>
      </c>
      <c r="NX52" t="s">
        <v>137</v>
      </c>
      <c r="NY52" t="s">
        <v>137</v>
      </c>
      <c r="NZ52" t="s">
        <v>137</v>
      </c>
      <c r="OA52" t="s">
        <v>137</v>
      </c>
      <c r="OB52" t="s">
        <v>137</v>
      </c>
      <c r="OC52" t="s">
        <v>137</v>
      </c>
      <c r="OD52" t="s">
        <v>137</v>
      </c>
      <c r="OE52" t="s">
        <v>137</v>
      </c>
      <c r="OF52" t="s">
        <v>137</v>
      </c>
      <c r="OG52" t="s">
        <v>137</v>
      </c>
      <c r="OH52" t="s">
        <v>137</v>
      </c>
      <c r="OI52" t="s">
        <v>137</v>
      </c>
      <c r="OJ52" t="s">
        <v>137</v>
      </c>
      <c r="OK52" t="s">
        <v>137</v>
      </c>
      <c r="OL52" t="s">
        <v>137</v>
      </c>
      <c r="OM52" t="s">
        <v>137</v>
      </c>
      <c r="ON52" t="s">
        <v>137</v>
      </c>
      <c r="OO52" t="s">
        <v>137</v>
      </c>
      <c r="OP52" t="s">
        <v>137</v>
      </c>
      <c r="OQ52" t="s">
        <v>137</v>
      </c>
      <c r="OR52" t="s">
        <v>137</v>
      </c>
      <c r="OS52" t="s">
        <v>137</v>
      </c>
      <c r="OT52" t="s">
        <v>137</v>
      </c>
      <c r="OU52" t="s">
        <v>137</v>
      </c>
      <c r="OV52" t="s">
        <v>137</v>
      </c>
      <c r="OW52" t="s">
        <v>137</v>
      </c>
      <c r="OX52" t="s">
        <v>137</v>
      </c>
      <c r="OY52" t="s">
        <v>137</v>
      </c>
      <c r="OZ52" t="s">
        <v>137</v>
      </c>
      <c r="PA52" t="s">
        <v>137</v>
      </c>
      <c r="PB52" t="s">
        <v>137</v>
      </c>
      <c r="PC52" t="s">
        <v>137</v>
      </c>
      <c r="PD52" t="s">
        <v>137</v>
      </c>
      <c r="PE52" t="s">
        <v>137</v>
      </c>
      <c r="PF52" t="s">
        <v>137</v>
      </c>
      <c r="PG52" t="s">
        <v>137</v>
      </c>
      <c r="PH52" t="s">
        <v>137</v>
      </c>
      <c r="PI52" t="s">
        <v>137</v>
      </c>
      <c r="PJ52" t="s">
        <v>137</v>
      </c>
      <c r="PK52" t="s">
        <v>137</v>
      </c>
      <c r="PL52" t="s">
        <v>137</v>
      </c>
      <c r="PM52" t="s">
        <v>137</v>
      </c>
      <c r="PN52" t="s">
        <v>137</v>
      </c>
      <c r="PO52" t="s">
        <v>137</v>
      </c>
      <c r="PP52" t="s">
        <v>137</v>
      </c>
      <c r="PQ52" t="s">
        <v>137</v>
      </c>
      <c r="PR52" t="s">
        <v>137</v>
      </c>
      <c r="PS52" t="s">
        <v>137</v>
      </c>
      <c r="PT52" t="s">
        <v>137</v>
      </c>
      <c r="PU52" t="s">
        <v>137</v>
      </c>
      <c r="PV52" t="s">
        <v>137</v>
      </c>
      <c r="PW52" t="s">
        <v>137</v>
      </c>
      <c r="PX52" t="s">
        <v>137</v>
      </c>
      <c r="PY52" t="s">
        <v>137</v>
      </c>
      <c r="PZ52" t="s">
        <v>137</v>
      </c>
      <c r="QA52" t="s">
        <v>137</v>
      </c>
      <c r="QB52" t="s">
        <v>137</v>
      </c>
      <c r="QC52" t="s">
        <v>137</v>
      </c>
      <c r="QD52" t="s">
        <v>137</v>
      </c>
      <c r="QE52" t="s">
        <v>137</v>
      </c>
      <c r="QF52" t="s">
        <v>137</v>
      </c>
      <c r="QG52" t="s">
        <v>137</v>
      </c>
      <c r="QH52" t="s">
        <v>137</v>
      </c>
      <c r="QI52" t="s">
        <v>137</v>
      </c>
      <c r="QJ52" t="s">
        <v>137</v>
      </c>
      <c r="QK52" t="s">
        <v>137</v>
      </c>
      <c r="QL52" t="s">
        <v>137</v>
      </c>
      <c r="QM52" t="s">
        <v>137</v>
      </c>
      <c r="QN52" t="s">
        <v>137</v>
      </c>
      <c r="QO52" t="s">
        <v>137</v>
      </c>
    </row>
    <row r="53" spans="1:457" x14ac:dyDescent="0.2">
      <c r="A53" t="s">
        <v>122</v>
      </c>
      <c r="B53" s="3">
        <v>43111</v>
      </c>
      <c r="C53" t="s">
        <v>43</v>
      </c>
      <c r="E53" t="s">
        <v>137</v>
      </c>
      <c r="F53">
        <v>24.378799999999998</v>
      </c>
      <c r="G53">
        <v>25.004999999999999</v>
      </c>
      <c r="H53">
        <v>23.571300000000001</v>
      </c>
      <c r="I53">
        <v>22.672499999999999</v>
      </c>
      <c r="J53">
        <v>21.374199999999998</v>
      </c>
      <c r="K53" t="s">
        <v>137</v>
      </c>
      <c r="L53" t="s">
        <v>137</v>
      </c>
      <c r="M53">
        <v>21.566099999999999</v>
      </c>
      <c r="N53">
        <v>22.215199999999999</v>
      </c>
      <c r="O53">
        <v>21.957599999999999</v>
      </c>
      <c r="P53">
        <v>22.1647</v>
      </c>
      <c r="Q53">
        <v>23.118400000000001</v>
      </c>
      <c r="R53" t="s">
        <v>137</v>
      </c>
      <c r="S53" t="s">
        <v>137</v>
      </c>
      <c r="T53">
        <v>23.537800000000001</v>
      </c>
      <c r="U53">
        <v>23.488399999999999</v>
      </c>
      <c r="V53">
        <v>22.387</v>
      </c>
      <c r="W53">
        <v>22.457799999999999</v>
      </c>
      <c r="X53">
        <v>22.261900000000001</v>
      </c>
      <c r="Y53" t="s">
        <v>137</v>
      </c>
      <c r="Z53" t="s">
        <v>137</v>
      </c>
      <c r="AA53">
        <v>22.804500000000001</v>
      </c>
      <c r="AB53">
        <v>23.0854</v>
      </c>
      <c r="AC53">
        <v>23.159700000000001</v>
      </c>
      <c r="AD53">
        <v>23.313199999999998</v>
      </c>
      <c r="AE53">
        <v>22.898</v>
      </c>
      <c r="AF53" t="s">
        <v>137</v>
      </c>
      <c r="AG53" t="s">
        <v>137</v>
      </c>
      <c r="AH53">
        <v>22.561</v>
      </c>
      <c r="AI53">
        <v>22.700600000000001</v>
      </c>
      <c r="AJ53">
        <v>22.7729</v>
      </c>
      <c r="AK53">
        <v>22.922699999999999</v>
      </c>
      <c r="AL53">
        <v>22.7896</v>
      </c>
      <c r="AM53" t="s">
        <v>137</v>
      </c>
      <c r="AN53" t="s">
        <v>137</v>
      </c>
      <c r="AO53">
        <v>22.455200000000001</v>
      </c>
      <c r="AP53">
        <v>22.3261</v>
      </c>
      <c r="AQ53">
        <v>21.937000000000001</v>
      </c>
      <c r="AR53">
        <v>20.767700000000001</v>
      </c>
      <c r="AS53">
        <v>20.7117</v>
      </c>
      <c r="AT53" t="s">
        <v>137</v>
      </c>
      <c r="AU53" t="s">
        <v>137</v>
      </c>
      <c r="AV53">
        <v>21.2728</v>
      </c>
      <c r="AW53">
        <v>21.0199</v>
      </c>
      <c r="AX53">
        <v>21.581499999999998</v>
      </c>
      <c r="AY53">
        <v>21.870799999999999</v>
      </c>
      <c r="AZ53">
        <v>21.981200000000001</v>
      </c>
      <c r="BA53" t="s">
        <v>137</v>
      </c>
      <c r="BB53" t="s">
        <v>137</v>
      </c>
      <c r="BC53">
        <v>22.784199999999998</v>
      </c>
      <c r="BD53">
        <v>23.1343</v>
      </c>
      <c r="BE53">
        <v>22.656600000000001</v>
      </c>
      <c r="BF53">
        <v>22.267600000000002</v>
      </c>
      <c r="BG53">
        <v>22.809899999999999</v>
      </c>
      <c r="BH53" t="s">
        <v>137</v>
      </c>
      <c r="BI53" t="s">
        <v>137</v>
      </c>
      <c r="BJ53">
        <v>24.174199999999999</v>
      </c>
      <c r="BK53">
        <v>23.7361</v>
      </c>
      <c r="BL53">
        <v>24.6587</v>
      </c>
      <c r="BM53">
        <v>24.3432</v>
      </c>
      <c r="BN53">
        <v>24.272600000000001</v>
      </c>
      <c r="BO53" t="s">
        <v>137</v>
      </c>
      <c r="BP53" t="s">
        <v>137</v>
      </c>
      <c r="BQ53">
        <v>24.499400000000001</v>
      </c>
      <c r="BR53">
        <v>24.6221</v>
      </c>
      <c r="BS53">
        <v>24.7456</v>
      </c>
      <c r="BT53">
        <v>24.9163</v>
      </c>
      <c r="BU53">
        <v>25.921399999999998</v>
      </c>
      <c r="BV53" t="s">
        <v>137</v>
      </c>
      <c r="BW53" t="s">
        <v>137</v>
      </c>
      <c r="BX53">
        <v>25.485199999999999</v>
      </c>
      <c r="BY53">
        <v>26.154900000000001</v>
      </c>
      <c r="BZ53">
        <v>25.907499999999999</v>
      </c>
      <c r="CA53">
        <v>25.2684</v>
      </c>
      <c r="CB53">
        <v>25.4346</v>
      </c>
      <c r="CC53" t="s">
        <v>137</v>
      </c>
      <c r="CD53" t="s">
        <v>137</v>
      </c>
      <c r="CE53">
        <v>25.6145</v>
      </c>
      <c r="CF53">
        <v>24.654399999999999</v>
      </c>
      <c r="CG53">
        <v>23.544</v>
      </c>
      <c r="CH53">
        <v>23.203099999999999</v>
      </c>
      <c r="CI53">
        <v>23.277999999999999</v>
      </c>
      <c r="CJ53" t="s">
        <v>137</v>
      </c>
      <c r="CK53" t="s">
        <v>137</v>
      </c>
      <c r="CL53">
        <v>23.784500000000001</v>
      </c>
      <c r="CM53">
        <v>23.572199999999999</v>
      </c>
      <c r="CN53">
        <v>23.648900000000001</v>
      </c>
      <c r="CO53">
        <v>23.840499999999999</v>
      </c>
      <c r="CP53">
        <v>23.816099999999999</v>
      </c>
      <c r="CQ53" t="s">
        <v>137</v>
      </c>
      <c r="CR53" t="s">
        <v>137</v>
      </c>
      <c r="CS53">
        <v>24.7971</v>
      </c>
      <c r="CT53">
        <v>24.570699999999999</v>
      </c>
      <c r="CU53">
        <v>24.197199999999999</v>
      </c>
      <c r="CV53">
        <v>24.3626</v>
      </c>
      <c r="CW53">
        <v>24.142499999999998</v>
      </c>
      <c r="CX53" t="s">
        <v>137</v>
      </c>
      <c r="CY53" t="s">
        <v>137</v>
      </c>
      <c r="CZ53">
        <v>23.3916</v>
      </c>
      <c r="DA53">
        <v>23.282699999999998</v>
      </c>
      <c r="DB53">
        <v>23.206900000000001</v>
      </c>
      <c r="DC53">
        <v>22.477599999999999</v>
      </c>
      <c r="DD53">
        <v>22.549099999999999</v>
      </c>
      <c r="DE53" t="s">
        <v>137</v>
      </c>
      <c r="DF53" t="s">
        <v>137</v>
      </c>
      <c r="DG53">
        <v>22.688800000000001</v>
      </c>
      <c r="DH53">
        <v>21.456299999999999</v>
      </c>
      <c r="DI53">
        <v>21.09</v>
      </c>
      <c r="DJ53">
        <v>21.4114</v>
      </c>
      <c r="DK53">
        <v>21.6038</v>
      </c>
      <c r="DL53" t="s">
        <v>137</v>
      </c>
      <c r="DM53" t="s">
        <v>137</v>
      </c>
      <c r="DN53">
        <v>20.9895</v>
      </c>
      <c r="DO53">
        <v>20.6937</v>
      </c>
      <c r="DP53">
        <v>20.697900000000001</v>
      </c>
      <c r="DQ53">
        <v>20.591899999999999</v>
      </c>
      <c r="DR53">
        <v>20.0168</v>
      </c>
      <c r="DS53" t="s">
        <v>137</v>
      </c>
      <c r="DT53" t="s">
        <v>137</v>
      </c>
      <c r="DU53">
        <v>20.9255</v>
      </c>
      <c r="DV53">
        <v>19.907800000000002</v>
      </c>
      <c r="DW53">
        <v>19.9117</v>
      </c>
      <c r="DX53">
        <v>20.093900000000001</v>
      </c>
      <c r="DY53">
        <v>21.1631</v>
      </c>
      <c r="DZ53" t="s">
        <v>137</v>
      </c>
      <c r="EA53" t="s">
        <v>137</v>
      </c>
      <c r="EB53">
        <v>21.352599999999999</v>
      </c>
      <c r="EC53">
        <v>20.8081</v>
      </c>
      <c r="ED53">
        <v>21.114799999999999</v>
      </c>
      <c r="EE53">
        <v>20.75</v>
      </c>
      <c r="EF53">
        <v>20.181699999999999</v>
      </c>
      <c r="EG53" t="s">
        <v>137</v>
      </c>
      <c r="EH53" t="s">
        <v>137</v>
      </c>
      <c r="EI53">
        <v>20.3005</v>
      </c>
      <c r="EJ53">
        <v>20.952000000000002</v>
      </c>
      <c r="EK53">
        <v>20.249600000000001</v>
      </c>
      <c r="EL53">
        <v>20.274699999999999</v>
      </c>
      <c r="EM53">
        <v>20.606999999999999</v>
      </c>
      <c r="EN53" t="s">
        <v>137</v>
      </c>
      <c r="EO53" t="s">
        <v>137</v>
      </c>
      <c r="EP53">
        <v>20.776499999999999</v>
      </c>
      <c r="EQ53">
        <v>21.040900000000001</v>
      </c>
      <c r="ER53">
        <v>21.413900000000002</v>
      </c>
      <c r="ES53">
        <v>21.5504</v>
      </c>
      <c r="ET53">
        <v>22.000800000000002</v>
      </c>
      <c r="EU53" t="s">
        <v>137</v>
      </c>
      <c r="EV53" t="s">
        <v>137</v>
      </c>
      <c r="EW53">
        <v>22.598500000000001</v>
      </c>
      <c r="EX53">
        <v>22.335799999999999</v>
      </c>
      <c r="EY53">
        <v>21.3779</v>
      </c>
      <c r="EZ53">
        <v>21.447800000000001</v>
      </c>
      <c r="FA53">
        <v>21.6402</v>
      </c>
      <c r="FB53" t="s">
        <v>137</v>
      </c>
      <c r="FC53" t="s">
        <v>137</v>
      </c>
      <c r="FD53">
        <v>21.0244</v>
      </c>
      <c r="FE53">
        <v>20.200900000000001</v>
      </c>
      <c r="FF53">
        <v>20.147200000000002</v>
      </c>
      <c r="FG53">
        <v>20.2151</v>
      </c>
      <c r="FH53">
        <v>19.821300000000001</v>
      </c>
      <c r="FI53" t="s">
        <v>137</v>
      </c>
      <c r="FJ53" t="s">
        <v>137</v>
      </c>
      <c r="FK53">
        <v>19.9938</v>
      </c>
      <c r="FL53">
        <v>20.9937</v>
      </c>
      <c r="FM53">
        <v>20.757200000000001</v>
      </c>
      <c r="FN53">
        <v>21.501799999999999</v>
      </c>
      <c r="FO53">
        <v>21.3809</v>
      </c>
      <c r="FP53" t="s">
        <v>137</v>
      </c>
      <c r="FQ53" t="s">
        <v>137</v>
      </c>
      <c r="FR53">
        <v>21.322900000000001</v>
      </c>
      <c r="FS53">
        <v>21.7027</v>
      </c>
      <c r="FT53">
        <v>21.706700000000001</v>
      </c>
      <c r="FU53">
        <v>22.235199999999999</v>
      </c>
      <c r="FV53">
        <v>21.7864</v>
      </c>
      <c r="FW53" t="s">
        <v>137</v>
      </c>
      <c r="FX53" t="s">
        <v>137</v>
      </c>
      <c r="FY53">
        <v>21.726600000000001</v>
      </c>
      <c r="FZ53">
        <v>21.7944</v>
      </c>
      <c r="GA53">
        <v>22.317599999999999</v>
      </c>
      <c r="GB53">
        <v>23.217500000000001</v>
      </c>
      <c r="GC53">
        <v>23.4331</v>
      </c>
      <c r="GD53" t="s">
        <v>137</v>
      </c>
      <c r="GE53" t="s">
        <v>137</v>
      </c>
      <c r="GF53">
        <v>23.156500000000001</v>
      </c>
      <c r="GG53">
        <v>22.748699999999999</v>
      </c>
      <c r="GH53">
        <v>22.550899999999999</v>
      </c>
      <c r="GI53">
        <v>23.602499999999999</v>
      </c>
      <c r="GJ53">
        <v>24.3399</v>
      </c>
      <c r="GK53" t="s">
        <v>137</v>
      </c>
      <c r="GL53" t="s">
        <v>137</v>
      </c>
      <c r="GM53">
        <v>26.9436</v>
      </c>
      <c r="GN53">
        <v>27.6206</v>
      </c>
      <c r="GO53">
        <v>27.316299999999998</v>
      </c>
      <c r="GP53">
        <v>29.908799999999999</v>
      </c>
      <c r="GQ53">
        <v>29.8811</v>
      </c>
      <c r="GR53" t="s">
        <v>137</v>
      </c>
      <c r="GS53" t="s">
        <v>137</v>
      </c>
      <c r="GT53">
        <v>29.887</v>
      </c>
      <c r="GU53">
        <v>29.8931</v>
      </c>
      <c r="GV53">
        <v>29.899100000000001</v>
      </c>
      <c r="GW53">
        <v>35.820900000000002</v>
      </c>
      <c r="GX53">
        <v>35.464799999999997</v>
      </c>
      <c r="GY53" t="s">
        <v>137</v>
      </c>
      <c r="GZ53" t="s">
        <v>137</v>
      </c>
      <c r="HA53">
        <v>38.990499999999997</v>
      </c>
      <c r="HB53">
        <v>38.412100000000002</v>
      </c>
      <c r="HC53">
        <v>38.305799999999998</v>
      </c>
      <c r="HD53">
        <v>37.624699999999997</v>
      </c>
      <c r="HE53">
        <v>37.968200000000003</v>
      </c>
      <c r="HF53" t="s">
        <v>137</v>
      </c>
      <c r="HG53" t="s">
        <v>137</v>
      </c>
      <c r="HH53">
        <v>37.534799999999997</v>
      </c>
      <c r="HI53">
        <v>36.322899999999997</v>
      </c>
      <c r="HJ53">
        <v>35.964799999999997</v>
      </c>
      <c r="HK53">
        <v>35.21</v>
      </c>
      <c r="HL53">
        <v>34.330399999999997</v>
      </c>
      <c r="HM53" t="s">
        <v>137</v>
      </c>
      <c r="HN53" t="s">
        <v>137</v>
      </c>
      <c r="HO53">
        <v>33.745199999999997</v>
      </c>
      <c r="HP53">
        <v>33.238500000000002</v>
      </c>
      <c r="HQ53">
        <v>33.801200000000001</v>
      </c>
      <c r="HR53">
        <v>34.394500000000001</v>
      </c>
      <c r="HS53">
        <v>34.7166</v>
      </c>
      <c r="HT53" t="s">
        <v>137</v>
      </c>
      <c r="HU53" t="s">
        <v>137</v>
      </c>
      <c r="HV53">
        <v>34.037199999999999</v>
      </c>
      <c r="HW53">
        <v>34.197499999999998</v>
      </c>
      <c r="HX53">
        <v>35.561799999999998</v>
      </c>
      <c r="HY53">
        <v>34.790100000000002</v>
      </c>
      <c r="HZ53">
        <v>33.695500000000003</v>
      </c>
      <c r="IA53" t="s">
        <v>137</v>
      </c>
      <c r="IB53" t="s">
        <v>137</v>
      </c>
      <c r="IC53">
        <v>31.916</v>
      </c>
      <c r="ID53">
        <v>33.612000000000002</v>
      </c>
      <c r="IE53">
        <v>33.7363</v>
      </c>
      <c r="IF53">
        <v>35.028700000000001</v>
      </c>
      <c r="IG53">
        <v>36.706600000000002</v>
      </c>
      <c r="IH53" t="s">
        <v>137</v>
      </c>
      <c r="II53" t="s">
        <v>137</v>
      </c>
      <c r="IJ53">
        <v>37.336399999999998</v>
      </c>
      <c r="IK53">
        <v>37.5441</v>
      </c>
      <c r="IL53">
        <v>36.157600000000002</v>
      </c>
      <c r="IM53">
        <v>37.331800000000001</v>
      </c>
      <c r="IN53">
        <v>37.213299999999997</v>
      </c>
      <c r="IO53" t="s">
        <v>137</v>
      </c>
      <c r="IP53" t="s">
        <v>137</v>
      </c>
      <c r="IQ53">
        <v>39.165100000000002</v>
      </c>
      <c r="IR53">
        <v>37.928100000000001</v>
      </c>
      <c r="IS53">
        <v>35.677100000000003</v>
      </c>
      <c r="IT53">
        <v>35.988500000000002</v>
      </c>
      <c r="IU53">
        <v>36.009900000000002</v>
      </c>
      <c r="IV53" t="s">
        <v>137</v>
      </c>
      <c r="IW53" t="s">
        <v>137</v>
      </c>
      <c r="IX53">
        <v>36.171199999999999</v>
      </c>
      <c r="IY53">
        <v>31.8034</v>
      </c>
      <c r="IZ53">
        <v>32.3446</v>
      </c>
      <c r="JA53">
        <v>33.344000000000001</v>
      </c>
      <c r="JB53">
        <v>30.2822</v>
      </c>
      <c r="JC53" t="s">
        <v>137</v>
      </c>
      <c r="JD53" t="s">
        <v>137</v>
      </c>
      <c r="JE53">
        <v>29.7973</v>
      </c>
      <c r="JF53">
        <v>29.7255</v>
      </c>
      <c r="JG53">
        <v>30.353400000000001</v>
      </c>
      <c r="JH53">
        <v>30.261099999999999</v>
      </c>
      <c r="JI53">
        <v>30.188500000000001</v>
      </c>
      <c r="JJ53" t="s">
        <v>137</v>
      </c>
      <c r="JK53" t="s">
        <v>137</v>
      </c>
      <c r="JL53">
        <v>29.999300000000002</v>
      </c>
      <c r="JM53">
        <v>27.278400000000001</v>
      </c>
      <c r="JN53">
        <v>27.063600000000001</v>
      </c>
      <c r="JO53">
        <v>29.092600000000001</v>
      </c>
      <c r="JP53">
        <v>28.087700000000002</v>
      </c>
      <c r="JQ53" t="s">
        <v>137</v>
      </c>
      <c r="JR53" t="s">
        <v>137</v>
      </c>
      <c r="JS53">
        <v>26.442299999999999</v>
      </c>
      <c r="JT53">
        <v>27.206299999999999</v>
      </c>
      <c r="JU53">
        <v>26.1645</v>
      </c>
      <c r="JV53">
        <v>25.177499999999998</v>
      </c>
      <c r="JW53">
        <v>25.8337</v>
      </c>
      <c r="JX53" t="s">
        <v>137</v>
      </c>
      <c r="JY53" t="s">
        <v>137</v>
      </c>
      <c r="JZ53">
        <v>25.4117</v>
      </c>
      <c r="KA53">
        <v>25.642099999999999</v>
      </c>
      <c r="KB53">
        <v>25.342600000000001</v>
      </c>
      <c r="KC53">
        <v>25.618500000000001</v>
      </c>
      <c r="KD53">
        <v>25.542899999999999</v>
      </c>
      <c r="KE53" t="s">
        <v>137</v>
      </c>
      <c r="KF53" t="s">
        <v>137</v>
      </c>
      <c r="KG53">
        <v>25.956299999999999</v>
      </c>
      <c r="KH53">
        <v>24.998699999999999</v>
      </c>
      <c r="KI53">
        <v>25.018799999999999</v>
      </c>
      <c r="KJ53">
        <v>25.712199999999999</v>
      </c>
      <c r="KK53">
        <v>25.3672</v>
      </c>
      <c r="KL53" t="s">
        <v>137</v>
      </c>
      <c r="KM53" t="s">
        <v>137</v>
      </c>
      <c r="KN53">
        <v>24.8369</v>
      </c>
      <c r="KO53">
        <v>23.7684</v>
      </c>
      <c r="KP53">
        <v>24.609000000000002</v>
      </c>
      <c r="KQ53">
        <v>24.650600000000001</v>
      </c>
      <c r="KR53">
        <v>25.3645</v>
      </c>
      <c r="KS53" t="s">
        <v>137</v>
      </c>
      <c r="KT53" t="s">
        <v>137</v>
      </c>
      <c r="KU53">
        <v>24.619700000000002</v>
      </c>
      <c r="KV53">
        <v>24.8035</v>
      </c>
      <c r="KW53">
        <v>24.525300000000001</v>
      </c>
      <c r="KX53">
        <v>25.106400000000001</v>
      </c>
      <c r="KY53">
        <v>25.025200000000002</v>
      </c>
      <c r="KZ53" t="s">
        <v>137</v>
      </c>
      <c r="LA53" t="s">
        <v>137</v>
      </c>
      <c r="LB53">
        <v>24.382999999999999</v>
      </c>
      <c r="LC53">
        <v>24.283300000000001</v>
      </c>
      <c r="LD53">
        <v>23.705200000000001</v>
      </c>
      <c r="LE53">
        <v>24.167400000000001</v>
      </c>
      <c r="LF53">
        <v>24.106200000000001</v>
      </c>
      <c r="LG53" t="s">
        <v>137</v>
      </c>
      <c r="LH53" t="s">
        <v>137</v>
      </c>
      <c r="LI53">
        <v>23.843900000000001</v>
      </c>
      <c r="LJ53">
        <v>24.665500000000002</v>
      </c>
      <c r="LK53">
        <v>24.493200000000002</v>
      </c>
      <c r="LL53">
        <v>24.365600000000001</v>
      </c>
      <c r="LM53">
        <v>24.523900000000001</v>
      </c>
      <c r="LN53" t="s">
        <v>137</v>
      </c>
      <c r="LO53" t="s">
        <v>137</v>
      </c>
      <c r="LP53">
        <v>24.8005</v>
      </c>
      <c r="LQ53">
        <v>24.651</v>
      </c>
      <c r="LR53">
        <v>24.069700000000001</v>
      </c>
      <c r="LS53">
        <v>23.349</v>
      </c>
      <c r="LT53">
        <v>23.501100000000001</v>
      </c>
      <c r="LU53" t="s">
        <v>137</v>
      </c>
      <c r="LV53" t="s">
        <v>137</v>
      </c>
      <c r="LW53">
        <v>23.3582</v>
      </c>
      <c r="LX53">
        <v>23.6356</v>
      </c>
      <c r="LY53">
        <v>23.992699999999999</v>
      </c>
      <c r="LZ53">
        <v>24.16</v>
      </c>
      <c r="MA53">
        <v>23.484200000000001</v>
      </c>
      <c r="MB53" t="s">
        <v>137</v>
      </c>
      <c r="MC53" t="s">
        <v>137</v>
      </c>
      <c r="MD53">
        <v>23.498000000000001</v>
      </c>
      <c r="ME53">
        <v>20.944199999999999</v>
      </c>
      <c r="MF53">
        <v>21.000499999999999</v>
      </c>
      <c r="MG53">
        <v>21.504300000000001</v>
      </c>
      <c r="MH53">
        <v>21.917300000000001</v>
      </c>
      <c r="MI53" t="s">
        <v>137</v>
      </c>
      <c r="MJ53" t="s">
        <v>137</v>
      </c>
      <c r="MK53">
        <v>21.773499999999999</v>
      </c>
      <c r="ML53">
        <v>21.787099999999999</v>
      </c>
      <c r="MM53">
        <v>21.867100000000001</v>
      </c>
      <c r="MN53">
        <v>21.900099999999998</v>
      </c>
      <c r="MO53">
        <v>21.980599999999999</v>
      </c>
      <c r="MP53" t="s">
        <v>137</v>
      </c>
      <c r="MQ53" t="s">
        <v>137</v>
      </c>
      <c r="MR53">
        <v>22.014500000000002</v>
      </c>
      <c r="MS53">
        <v>22.2194</v>
      </c>
      <c r="MT53">
        <v>22.040400000000002</v>
      </c>
      <c r="MU53">
        <v>22.256900000000002</v>
      </c>
      <c r="MV53">
        <v>22.307099999999998</v>
      </c>
      <c r="MW53" t="s">
        <v>137</v>
      </c>
      <c r="MX53" t="s">
        <v>137</v>
      </c>
      <c r="MY53">
        <v>23.431899999999999</v>
      </c>
      <c r="MZ53">
        <v>23.3384</v>
      </c>
      <c r="NA53">
        <v>22.956199999999999</v>
      </c>
      <c r="NB53">
        <v>22.824999999999999</v>
      </c>
      <c r="NC53">
        <v>26.137899999999998</v>
      </c>
      <c r="ND53" t="s">
        <v>137</v>
      </c>
      <c r="NE53" t="s">
        <v>137</v>
      </c>
      <c r="NF53">
        <v>25.612200000000001</v>
      </c>
      <c r="NG53">
        <v>23.4284</v>
      </c>
      <c r="NH53">
        <v>22.121700000000001</v>
      </c>
      <c r="NI53">
        <v>22.229099999999999</v>
      </c>
      <c r="NJ53">
        <v>21.8171</v>
      </c>
      <c r="NK53" t="s">
        <v>137</v>
      </c>
      <c r="NL53" t="s">
        <v>137</v>
      </c>
      <c r="NM53" t="s">
        <v>137</v>
      </c>
      <c r="NN53" t="s">
        <v>137</v>
      </c>
      <c r="NO53" t="s">
        <v>137</v>
      </c>
      <c r="NP53" t="s">
        <v>137</v>
      </c>
      <c r="NQ53" t="s">
        <v>137</v>
      </c>
      <c r="NR53" t="s">
        <v>137</v>
      </c>
      <c r="NS53" t="s">
        <v>137</v>
      </c>
      <c r="NT53" t="s">
        <v>137</v>
      </c>
      <c r="NU53" t="s">
        <v>137</v>
      </c>
      <c r="NV53" t="s">
        <v>137</v>
      </c>
      <c r="NW53" t="s">
        <v>137</v>
      </c>
      <c r="NX53" t="s">
        <v>137</v>
      </c>
      <c r="NY53" t="s">
        <v>137</v>
      </c>
      <c r="NZ53" t="s">
        <v>137</v>
      </c>
      <c r="OA53" t="s">
        <v>137</v>
      </c>
      <c r="OB53" t="s">
        <v>137</v>
      </c>
      <c r="OC53" t="s">
        <v>137</v>
      </c>
      <c r="OD53" t="s">
        <v>137</v>
      </c>
      <c r="OE53" t="s">
        <v>137</v>
      </c>
      <c r="OF53" t="s">
        <v>137</v>
      </c>
      <c r="OG53" t="s">
        <v>137</v>
      </c>
      <c r="OH53" t="s">
        <v>137</v>
      </c>
      <c r="OI53" t="s">
        <v>137</v>
      </c>
      <c r="OJ53" t="s">
        <v>137</v>
      </c>
      <c r="OK53" t="s">
        <v>137</v>
      </c>
      <c r="OL53" t="s">
        <v>137</v>
      </c>
      <c r="OM53" t="s">
        <v>137</v>
      </c>
      <c r="ON53" t="s">
        <v>137</v>
      </c>
      <c r="OO53" t="s">
        <v>137</v>
      </c>
      <c r="OP53" t="s">
        <v>137</v>
      </c>
      <c r="OQ53" t="s">
        <v>137</v>
      </c>
      <c r="OR53" t="s">
        <v>137</v>
      </c>
      <c r="OS53" t="s">
        <v>137</v>
      </c>
      <c r="OT53" t="s">
        <v>137</v>
      </c>
      <c r="OU53" t="s">
        <v>137</v>
      </c>
      <c r="OV53" t="s">
        <v>137</v>
      </c>
      <c r="OW53" t="s">
        <v>137</v>
      </c>
      <c r="OX53" t="s">
        <v>137</v>
      </c>
      <c r="OY53" t="s">
        <v>137</v>
      </c>
      <c r="OZ53" t="s">
        <v>137</v>
      </c>
      <c r="PA53" t="s">
        <v>137</v>
      </c>
      <c r="PB53" t="s">
        <v>137</v>
      </c>
      <c r="PC53" t="s">
        <v>137</v>
      </c>
      <c r="PD53" t="s">
        <v>137</v>
      </c>
      <c r="PE53" t="s">
        <v>137</v>
      </c>
      <c r="PF53" t="s">
        <v>137</v>
      </c>
      <c r="PG53" t="s">
        <v>137</v>
      </c>
      <c r="PH53" t="s">
        <v>137</v>
      </c>
      <c r="PI53" t="s">
        <v>137</v>
      </c>
      <c r="PJ53" t="s">
        <v>137</v>
      </c>
      <c r="PK53" t="s">
        <v>137</v>
      </c>
      <c r="PL53" t="s">
        <v>137</v>
      </c>
      <c r="PM53" t="s">
        <v>137</v>
      </c>
      <c r="PN53" t="s">
        <v>137</v>
      </c>
      <c r="PO53" t="s">
        <v>137</v>
      </c>
      <c r="PP53" t="s">
        <v>137</v>
      </c>
      <c r="PQ53" t="s">
        <v>137</v>
      </c>
      <c r="PR53" t="s">
        <v>137</v>
      </c>
      <c r="PS53" t="s">
        <v>137</v>
      </c>
      <c r="PT53" t="s">
        <v>137</v>
      </c>
      <c r="PU53" t="s">
        <v>137</v>
      </c>
      <c r="PV53" t="s">
        <v>137</v>
      </c>
      <c r="PW53" t="s">
        <v>137</v>
      </c>
      <c r="PX53" t="s">
        <v>137</v>
      </c>
      <c r="PY53" t="s">
        <v>137</v>
      </c>
      <c r="PZ53" t="s">
        <v>137</v>
      </c>
      <c r="QA53" t="s">
        <v>137</v>
      </c>
      <c r="QB53" t="s">
        <v>137</v>
      </c>
      <c r="QC53" t="s">
        <v>137</v>
      </c>
      <c r="QD53" t="s">
        <v>137</v>
      </c>
      <c r="QE53" t="s">
        <v>137</v>
      </c>
      <c r="QF53" t="s">
        <v>137</v>
      </c>
      <c r="QG53" t="s">
        <v>137</v>
      </c>
      <c r="QH53" t="s">
        <v>137</v>
      </c>
      <c r="QI53" t="s">
        <v>137</v>
      </c>
      <c r="QJ53" t="s">
        <v>137</v>
      </c>
      <c r="QK53" t="s">
        <v>137</v>
      </c>
      <c r="QL53" t="s">
        <v>137</v>
      </c>
      <c r="QM53" t="s">
        <v>137</v>
      </c>
      <c r="QN53" t="s">
        <v>137</v>
      </c>
      <c r="QO53" t="s">
        <v>137</v>
      </c>
    </row>
    <row r="54" spans="1:457" x14ac:dyDescent="0.2">
      <c r="A54" t="s">
        <v>123</v>
      </c>
      <c r="B54" s="3">
        <v>42557</v>
      </c>
      <c r="C54" t="s">
        <v>83</v>
      </c>
      <c r="E54" t="s">
        <v>137</v>
      </c>
      <c r="F54">
        <v>25.4068</v>
      </c>
      <c r="G54">
        <v>25.740400000000001</v>
      </c>
      <c r="H54">
        <v>24.620699999999999</v>
      </c>
      <c r="I54">
        <v>23.351900000000001</v>
      </c>
      <c r="J54">
        <v>22.279299999999999</v>
      </c>
      <c r="K54" t="s">
        <v>137</v>
      </c>
      <c r="L54" t="s">
        <v>137</v>
      </c>
      <c r="M54">
        <v>22.5654</v>
      </c>
      <c r="N54">
        <v>22.704999999999998</v>
      </c>
      <c r="O54">
        <v>22.6068</v>
      </c>
      <c r="P54">
        <v>22.826799999999999</v>
      </c>
      <c r="Q54">
        <v>23.743300000000001</v>
      </c>
      <c r="R54" t="s">
        <v>137</v>
      </c>
      <c r="S54" t="s">
        <v>137</v>
      </c>
      <c r="T54">
        <v>23.939699999999998</v>
      </c>
      <c r="U54">
        <v>23.349</v>
      </c>
      <c r="V54">
        <v>22.9833</v>
      </c>
      <c r="W54">
        <v>23.103400000000001</v>
      </c>
      <c r="X54">
        <v>23.129300000000001</v>
      </c>
      <c r="Y54" t="s">
        <v>137</v>
      </c>
      <c r="Z54" t="s">
        <v>137</v>
      </c>
      <c r="AA54">
        <v>23.483699999999999</v>
      </c>
      <c r="AB54">
        <v>23.669499999999999</v>
      </c>
      <c r="AC54">
        <v>23.9146</v>
      </c>
      <c r="AD54">
        <v>23.748699999999999</v>
      </c>
      <c r="AE54">
        <v>23.2942</v>
      </c>
      <c r="AF54" t="s">
        <v>137</v>
      </c>
      <c r="AG54" t="s">
        <v>137</v>
      </c>
      <c r="AH54">
        <v>23.420400000000001</v>
      </c>
      <c r="AI54">
        <v>23.200800000000001</v>
      </c>
      <c r="AJ54">
        <v>23.147200000000002</v>
      </c>
      <c r="AK54">
        <v>23.2437</v>
      </c>
      <c r="AL54">
        <v>23.2715</v>
      </c>
      <c r="AM54" t="s">
        <v>137</v>
      </c>
      <c r="AN54" t="s">
        <v>137</v>
      </c>
      <c r="AO54">
        <v>22.702500000000001</v>
      </c>
      <c r="AP54">
        <v>22.5291</v>
      </c>
      <c r="AQ54">
        <v>22.2408</v>
      </c>
      <c r="AR54">
        <v>21</v>
      </c>
      <c r="AS54">
        <v>21.198399999999999</v>
      </c>
      <c r="AT54" t="s">
        <v>137</v>
      </c>
      <c r="AU54" t="s">
        <v>137</v>
      </c>
      <c r="AV54">
        <v>21.2364</v>
      </c>
      <c r="AW54">
        <v>21.53</v>
      </c>
      <c r="AX54">
        <v>22.0444</v>
      </c>
      <c r="AY54">
        <v>22.1846</v>
      </c>
      <c r="AZ54">
        <v>22.689399999999999</v>
      </c>
      <c r="BA54" t="s">
        <v>137</v>
      </c>
      <c r="BB54" t="s">
        <v>137</v>
      </c>
      <c r="BC54">
        <v>23.067699999999999</v>
      </c>
      <c r="BD54">
        <v>23.666599999999999</v>
      </c>
      <c r="BE54">
        <v>23.139399999999998</v>
      </c>
      <c r="BF54">
        <v>22.952400000000001</v>
      </c>
      <c r="BG54">
        <v>23.232399999999998</v>
      </c>
      <c r="BH54" t="s">
        <v>137</v>
      </c>
      <c r="BI54" t="s">
        <v>137</v>
      </c>
      <c r="BJ54">
        <v>24.648399999999999</v>
      </c>
      <c r="BK54">
        <v>24.223500000000001</v>
      </c>
      <c r="BL54">
        <v>24.4377</v>
      </c>
      <c r="BM54">
        <v>24.7089</v>
      </c>
      <c r="BN54">
        <v>24.670300000000001</v>
      </c>
      <c r="BO54" t="s">
        <v>137</v>
      </c>
      <c r="BP54" t="s">
        <v>137</v>
      </c>
      <c r="BQ54">
        <v>24.819700000000001</v>
      </c>
      <c r="BR54">
        <v>24.808199999999999</v>
      </c>
      <c r="BS54">
        <v>25.1402</v>
      </c>
      <c r="BT54">
        <v>25.131599999999999</v>
      </c>
      <c r="BU54">
        <v>26.047999999999998</v>
      </c>
      <c r="BV54" t="s">
        <v>137</v>
      </c>
      <c r="BW54" t="s">
        <v>137</v>
      </c>
      <c r="BX54">
        <v>26.174199999999999</v>
      </c>
      <c r="BY54">
        <v>26.500699999999998</v>
      </c>
      <c r="BZ54">
        <v>26.374700000000001</v>
      </c>
      <c r="CA54">
        <v>26.262499999999999</v>
      </c>
      <c r="CB54">
        <v>25.962700000000002</v>
      </c>
      <c r="CC54" t="s">
        <v>137</v>
      </c>
      <c r="CD54" t="s">
        <v>137</v>
      </c>
      <c r="CE54">
        <v>25.967300000000002</v>
      </c>
      <c r="CF54">
        <v>25.026</v>
      </c>
      <c r="CG54">
        <v>24.040299999999998</v>
      </c>
      <c r="CH54">
        <v>24.0227</v>
      </c>
      <c r="CI54">
        <v>24.219899999999999</v>
      </c>
      <c r="CJ54" t="s">
        <v>137</v>
      </c>
      <c r="CK54" t="s">
        <v>137</v>
      </c>
      <c r="CL54">
        <v>24.481999999999999</v>
      </c>
      <c r="CM54">
        <v>24.107700000000001</v>
      </c>
      <c r="CN54">
        <v>24.455200000000001</v>
      </c>
      <c r="CO54">
        <v>24.485600000000002</v>
      </c>
      <c r="CP54">
        <v>24.466200000000001</v>
      </c>
      <c r="CQ54" t="s">
        <v>137</v>
      </c>
      <c r="CR54" t="s">
        <v>137</v>
      </c>
      <c r="CS54">
        <v>24.771100000000001</v>
      </c>
      <c r="CT54">
        <v>25.1509</v>
      </c>
      <c r="CU54">
        <v>24.6934</v>
      </c>
      <c r="CV54">
        <v>24.9497</v>
      </c>
      <c r="CW54">
        <v>24.746400000000001</v>
      </c>
      <c r="CX54" t="s">
        <v>137</v>
      </c>
      <c r="CY54" t="s">
        <v>137</v>
      </c>
      <c r="CZ54">
        <v>23.296099999999999</v>
      </c>
      <c r="DA54">
        <v>23.380199999999999</v>
      </c>
      <c r="DB54">
        <v>23.1953</v>
      </c>
      <c r="DC54">
        <v>23.109500000000001</v>
      </c>
      <c r="DD54">
        <v>23.039200000000001</v>
      </c>
      <c r="DE54" t="s">
        <v>137</v>
      </c>
      <c r="DF54" t="s">
        <v>137</v>
      </c>
      <c r="DG54">
        <v>23.129000000000001</v>
      </c>
      <c r="DH54">
        <v>22.062999999999999</v>
      </c>
      <c r="DI54">
        <v>21.490500000000001</v>
      </c>
      <c r="DJ54">
        <v>21.866800000000001</v>
      </c>
      <c r="DK54">
        <v>21.848299999999998</v>
      </c>
      <c r="DL54" t="s">
        <v>137</v>
      </c>
      <c r="DM54" t="s">
        <v>137</v>
      </c>
      <c r="DN54">
        <v>21.520299999999999</v>
      </c>
      <c r="DO54">
        <v>21.308399999999999</v>
      </c>
      <c r="DP54">
        <v>21.312200000000001</v>
      </c>
      <c r="DQ54">
        <v>21.145099999999999</v>
      </c>
      <c r="DR54">
        <v>20.867899999999999</v>
      </c>
      <c r="DS54" t="s">
        <v>137</v>
      </c>
      <c r="DT54" t="s">
        <v>137</v>
      </c>
      <c r="DU54">
        <v>20.400099999999998</v>
      </c>
      <c r="DV54">
        <v>20.516300000000001</v>
      </c>
      <c r="DW54">
        <v>20.5198</v>
      </c>
      <c r="DX54">
        <v>20.581399999999999</v>
      </c>
      <c r="DY54">
        <v>20.6449</v>
      </c>
      <c r="DZ54" t="s">
        <v>137</v>
      </c>
      <c r="EA54" t="s">
        <v>137</v>
      </c>
      <c r="EB54">
        <v>21.777100000000001</v>
      </c>
      <c r="EC54">
        <v>21.354700000000001</v>
      </c>
      <c r="ED54">
        <v>21.8064</v>
      </c>
      <c r="EE54">
        <v>21.128599999999999</v>
      </c>
      <c r="EF54">
        <v>20.8994</v>
      </c>
      <c r="EG54" t="s">
        <v>137</v>
      </c>
      <c r="EH54" t="s">
        <v>137</v>
      </c>
      <c r="EI54">
        <v>20.842500000000001</v>
      </c>
      <c r="EJ54">
        <v>20.903300000000002</v>
      </c>
      <c r="EK54">
        <v>20.790500000000002</v>
      </c>
      <c r="EL54">
        <v>20.5137</v>
      </c>
      <c r="EM54">
        <v>20.687200000000001</v>
      </c>
      <c r="EN54" t="s">
        <v>137</v>
      </c>
      <c r="EO54" t="s">
        <v>137</v>
      </c>
      <c r="EP54">
        <v>20.969899999999999</v>
      </c>
      <c r="EQ54">
        <v>21.277100000000001</v>
      </c>
      <c r="ER54">
        <v>21.764600000000002</v>
      </c>
      <c r="ES54">
        <v>21.897600000000001</v>
      </c>
      <c r="ET54">
        <v>22.342099999999999</v>
      </c>
      <c r="EU54" t="s">
        <v>137</v>
      </c>
      <c r="EV54" t="s">
        <v>137</v>
      </c>
      <c r="EW54">
        <v>22.932400000000001</v>
      </c>
      <c r="EX54">
        <v>22.9359</v>
      </c>
      <c r="EY54">
        <v>21.9102</v>
      </c>
      <c r="EZ54">
        <v>21.916799999999999</v>
      </c>
      <c r="FA54">
        <v>22.107600000000001</v>
      </c>
      <c r="FB54" t="s">
        <v>137</v>
      </c>
      <c r="FC54" t="s">
        <v>137</v>
      </c>
      <c r="FD54">
        <v>21.3736</v>
      </c>
      <c r="FE54">
        <v>20.789000000000001</v>
      </c>
      <c r="FF54">
        <v>20.506900000000002</v>
      </c>
      <c r="FG54">
        <v>20.572399999999998</v>
      </c>
      <c r="FH54">
        <v>20.2942</v>
      </c>
      <c r="FI54" t="s">
        <v>137</v>
      </c>
      <c r="FJ54" t="s">
        <v>137</v>
      </c>
      <c r="FK54">
        <v>20.2971</v>
      </c>
      <c r="FL54">
        <v>21.219799999999999</v>
      </c>
      <c r="FM54">
        <v>20.9877</v>
      </c>
      <c r="FN54">
        <v>21.559799999999999</v>
      </c>
      <c r="FO54">
        <v>21.535399999999999</v>
      </c>
      <c r="FP54" t="s">
        <v>137</v>
      </c>
      <c r="FQ54" t="s">
        <v>137</v>
      </c>
      <c r="FR54">
        <v>21.538499999999999</v>
      </c>
      <c r="FS54">
        <v>21.421199999999999</v>
      </c>
      <c r="FT54">
        <v>21.666899999999998</v>
      </c>
      <c r="FU54">
        <v>22.364699999999999</v>
      </c>
      <c r="FV54">
        <v>22.051300000000001</v>
      </c>
      <c r="FW54" t="s">
        <v>137</v>
      </c>
      <c r="FX54" t="s">
        <v>137</v>
      </c>
      <c r="FY54">
        <v>21.867799999999999</v>
      </c>
      <c r="FZ54">
        <v>21.564699999999998</v>
      </c>
      <c r="GA54">
        <v>21.568000000000001</v>
      </c>
      <c r="GB54">
        <v>21.520700000000001</v>
      </c>
      <c r="GC54">
        <v>23.050999999999998</v>
      </c>
      <c r="GD54" t="s">
        <v>137</v>
      </c>
      <c r="GE54" t="s">
        <v>137</v>
      </c>
      <c r="GF54">
        <v>22.723400000000002</v>
      </c>
      <c r="GG54">
        <v>22.338999999999999</v>
      </c>
      <c r="GH54">
        <v>22.215199999999999</v>
      </c>
      <c r="GI54">
        <v>22.417000000000002</v>
      </c>
      <c r="GJ54">
        <v>24.116399999999999</v>
      </c>
      <c r="GK54" t="s">
        <v>137</v>
      </c>
      <c r="GL54" t="s">
        <v>137</v>
      </c>
      <c r="GM54">
        <v>24.357500000000002</v>
      </c>
      <c r="GN54">
        <v>24.3613</v>
      </c>
      <c r="GO54">
        <v>24.365300000000001</v>
      </c>
      <c r="GP54">
        <v>29.872599999999998</v>
      </c>
      <c r="GQ54">
        <v>28.312100000000001</v>
      </c>
      <c r="GR54" t="s">
        <v>137</v>
      </c>
      <c r="GS54" t="s">
        <v>137</v>
      </c>
      <c r="GT54">
        <v>31.041399999999999</v>
      </c>
      <c r="GU54">
        <v>31.8446</v>
      </c>
      <c r="GV54">
        <v>35.419699999999999</v>
      </c>
      <c r="GW54">
        <v>39.396500000000003</v>
      </c>
      <c r="GX54">
        <v>35.443300000000001</v>
      </c>
      <c r="GY54" t="s">
        <v>137</v>
      </c>
      <c r="GZ54" t="s">
        <v>137</v>
      </c>
      <c r="HA54">
        <v>40.560899999999997</v>
      </c>
      <c r="HB54">
        <v>38.0336</v>
      </c>
      <c r="HC54">
        <v>37.399700000000003</v>
      </c>
      <c r="HD54">
        <v>38.669600000000003</v>
      </c>
      <c r="HE54">
        <v>56.535699999999999</v>
      </c>
      <c r="HF54" t="s">
        <v>137</v>
      </c>
      <c r="HG54" t="s">
        <v>137</v>
      </c>
      <c r="HH54">
        <v>36.2318</v>
      </c>
      <c r="HI54">
        <v>34.527200000000001</v>
      </c>
      <c r="HJ54">
        <v>35.258000000000003</v>
      </c>
      <c r="HK54">
        <v>34.022300000000001</v>
      </c>
      <c r="HL54">
        <v>33.263399999999997</v>
      </c>
      <c r="HM54" t="s">
        <v>137</v>
      </c>
      <c r="HN54" t="s">
        <v>137</v>
      </c>
      <c r="HO54">
        <v>32.777500000000003</v>
      </c>
      <c r="HP54">
        <v>32.905000000000001</v>
      </c>
      <c r="HQ54">
        <v>34.982900000000001</v>
      </c>
      <c r="HR54">
        <v>35.910499999999999</v>
      </c>
      <c r="HS54">
        <v>34.4664</v>
      </c>
      <c r="HT54" t="s">
        <v>137</v>
      </c>
      <c r="HU54" t="s">
        <v>137</v>
      </c>
      <c r="HV54">
        <v>34.741199999999999</v>
      </c>
      <c r="HW54">
        <v>34.213900000000002</v>
      </c>
      <c r="HX54">
        <v>35.585599999999999</v>
      </c>
      <c r="HY54">
        <v>36.306600000000003</v>
      </c>
      <c r="HZ54">
        <v>33.726700000000001</v>
      </c>
      <c r="IA54" t="s">
        <v>137</v>
      </c>
      <c r="IB54" t="s">
        <v>137</v>
      </c>
      <c r="IC54">
        <v>31.684999999999999</v>
      </c>
      <c r="ID54">
        <v>34.560400000000001</v>
      </c>
      <c r="IE54">
        <v>34.133000000000003</v>
      </c>
      <c r="IF54">
        <v>36.082599999999999</v>
      </c>
      <c r="IG54">
        <v>36.089500000000001</v>
      </c>
      <c r="IH54" t="s">
        <v>137</v>
      </c>
      <c r="II54" t="s">
        <v>137</v>
      </c>
      <c r="IJ54">
        <v>36.096200000000003</v>
      </c>
      <c r="IK54">
        <v>37.088000000000001</v>
      </c>
      <c r="IL54">
        <v>36.2562</v>
      </c>
      <c r="IM54">
        <v>36.424399999999999</v>
      </c>
      <c r="IN54">
        <v>37.9758</v>
      </c>
      <c r="IO54" t="s">
        <v>137</v>
      </c>
      <c r="IP54" t="s">
        <v>137</v>
      </c>
      <c r="IQ54">
        <v>39.145800000000001</v>
      </c>
      <c r="IR54">
        <v>37.513199999999998</v>
      </c>
      <c r="IS54">
        <v>36.601500000000001</v>
      </c>
      <c r="IT54">
        <v>35.890300000000003</v>
      </c>
      <c r="IU54">
        <v>36.333599999999997</v>
      </c>
      <c r="IV54" t="s">
        <v>137</v>
      </c>
      <c r="IW54" t="s">
        <v>137</v>
      </c>
      <c r="IX54">
        <v>33.740099999999998</v>
      </c>
      <c r="IY54">
        <v>33.120800000000003</v>
      </c>
      <c r="IZ54">
        <v>33.5002</v>
      </c>
      <c r="JA54">
        <v>34.085299999999997</v>
      </c>
      <c r="JB54">
        <v>31.7349</v>
      </c>
      <c r="JC54" t="s">
        <v>137</v>
      </c>
      <c r="JD54" t="s">
        <v>137</v>
      </c>
      <c r="JE54">
        <v>29.608599999999999</v>
      </c>
      <c r="JF54">
        <v>30.541399999999999</v>
      </c>
      <c r="JG54">
        <v>30.7608</v>
      </c>
      <c r="JH54">
        <v>30.565799999999999</v>
      </c>
      <c r="JI54">
        <v>34.357100000000003</v>
      </c>
      <c r="JJ54" t="s">
        <v>137</v>
      </c>
      <c r="JK54" t="s">
        <v>137</v>
      </c>
      <c r="JL54">
        <v>30.793099999999999</v>
      </c>
      <c r="JM54">
        <v>26.6341</v>
      </c>
      <c r="JN54">
        <v>27.945</v>
      </c>
      <c r="JO54">
        <v>29.016999999999999</v>
      </c>
      <c r="JP54">
        <v>27.426500000000001</v>
      </c>
      <c r="JQ54" t="s">
        <v>137</v>
      </c>
      <c r="JR54" t="s">
        <v>137</v>
      </c>
      <c r="JS54">
        <v>26.828700000000001</v>
      </c>
      <c r="JT54">
        <v>26.749600000000001</v>
      </c>
      <c r="JU54">
        <v>25.538399999999999</v>
      </c>
      <c r="JV54">
        <v>25.7105</v>
      </c>
      <c r="JW54">
        <v>26.277799999999999</v>
      </c>
      <c r="JX54" t="s">
        <v>137</v>
      </c>
      <c r="JY54" t="s">
        <v>137</v>
      </c>
      <c r="JZ54">
        <v>25.330500000000001</v>
      </c>
      <c r="KA54">
        <v>26.4528</v>
      </c>
      <c r="KB54">
        <v>25.651900000000001</v>
      </c>
      <c r="KC54">
        <v>26.1465</v>
      </c>
      <c r="KD54">
        <v>25.990400000000001</v>
      </c>
      <c r="KE54" t="s">
        <v>137</v>
      </c>
      <c r="KF54" t="s">
        <v>137</v>
      </c>
      <c r="KG54">
        <v>26.076000000000001</v>
      </c>
      <c r="KH54">
        <v>25.140599999999999</v>
      </c>
      <c r="KI54">
        <v>25.375599999999999</v>
      </c>
      <c r="KJ54">
        <v>25.782399999999999</v>
      </c>
      <c r="KK54">
        <v>25.2422</v>
      </c>
      <c r="KL54" t="s">
        <v>137</v>
      </c>
      <c r="KM54" t="s">
        <v>137</v>
      </c>
      <c r="KN54">
        <v>24.793900000000001</v>
      </c>
      <c r="KO54">
        <v>24.213799999999999</v>
      </c>
      <c r="KP54">
        <v>25.070799999999998</v>
      </c>
      <c r="KQ54">
        <v>24.8188</v>
      </c>
      <c r="KR54">
        <v>25.354900000000001</v>
      </c>
      <c r="KS54" t="s">
        <v>137</v>
      </c>
      <c r="KT54" t="s">
        <v>137</v>
      </c>
      <c r="KU54">
        <v>24.978899999999999</v>
      </c>
      <c r="KV54">
        <v>25.365300000000001</v>
      </c>
      <c r="KW54">
        <v>25.525200000000002</v>
      </c>
      <c r="KX54">
        <v>26.001100000000001</v>
      </c>
      <c r="KY54">
        <v>26.749400000000001</v>
      </c>
      <c r="KZ54" t="s">
        <v>137</v>
      </c>
      <c r="LA54" t="s">
        <v>137</v>
      </c>
      <c r="LB54">
        <v>24.8233</v>
      </c>
      <c r="LC54">
        <v>24.135300000000001</v>
      </c>
      <c r="LD54">
        <v>23.926100000000002</v>
      </c>
      <c r="LE54">
        <v>24.366499999999998</v>
      </c>
      <c r="LF54">
        <v>24.297899999999998</v>
      </c>
      <c r="LG54" t="s">
        <v>137</v>
      </c>
      <c r="LH54" t="s">
        <v>137</v>
      </c>
      <c r="LI54">
        <v>24.601400000000002</v>
      </c>
      <c r="LJ54">
        <v>25.183700000000002</v>
      </c>
      <c r="LK54">
        <v>25.142099999999999</v>
      </c>
      <c r="LL54">
        <v>25.013100000000001</v>
      </c>
      <c r="LM54">
        <v>25.351700000000001</v>
      </c>
      <c r="LN54" t="s">
        <v>137</v>
      </c>
      <c r="LO54" t="s">
        <v>137</v>
      </c>
      <c r="LP54">
        <v>25.6569</v>
      </c>
      <c r="LQ54">
        <v>25.113499999999998</v>
      </c>
      <c r="LR54">
        <v>24.691199999999998</v>
      </c>
      <c r="LS54">
        <v>23.955200000000001</v>
      </c>
      <c r="LT54">
        <v>24.125299999999999</v>
      </c>
      <c r="LU54" t="s">
        <v>137</v>
      </c>
      <c r="LV54" t="s">
        <v>137</v>
      </c>
      <c r="LW54">
        <v>24.057600000000001</v>
      </c>
      <c r="LX54">
        <v>24.307099999999998</v>
      </c>
      <c r="LY54">
        <v>24.6876</v>
      </c>
      <c r="LZ54">
        <v>24.535399999999999</v>
      </c>
      <c r="MA54">
        <v>24.360299999999999</v>
      </c>
      <c r="MB54" t="s">
        <v>137</v>
      </c>
      <c r="MC54" t="s">
        <v>137</v>
      </c>
      <c r="MD54">
        <v>24.534099999999999</v>
      </c>
      <c r="ME54">
        <v>21.932300000000001</v>
      </c>
      <c r="MF54">
        <v>21.9191</v>
      </c>
      <c r="MG54">
        <v>22.324999999999999</v>
      </c>
      <c r="MH54">
        <v>22.520600000000002</v>
      </c>
      <c r="MI54" t="s">
        <v>137</v>
      </c>
      <c r="MJ54" t="s">
        <v>137</v>
      </c>
      <c r="MK54">
        <v>22.4693</v>
      </c>
      <c r="ML54">
        <v>22.518899999999999</v>
      </c>
      <c r="MM54">
        <v>22.503599999999999</v>
      </c>
      <c r="MN54">
        <v>22.582899999999999</v>
      </c>
      <c r="MO54">
        <v>22.8233</v>
      </c>
      <c r="MP54" t="s">
        <v>137</v>
      </c>
      <c r="MQ54" t="s">
        <v>137</v>
      </c>
      <c r="MR54">
        <v>22.746500000000001</v>
      </c>
      <c r="MS54">
        <v>22.8963</v>
      </c>
      <c r="MT54">
        <v>22.780200000000001</v>
      </c>
      <c r="MU54">
        <v>22.931899999999999</v>
      </c>
      <c r="MV54">
        <v>23.012599999999999</v>
      </c>
      <c r="MW54" t="s">
        <v>137</v>
      </c>
      <c r="MX54" t="s">
        <v>137</v>
      </c>
      <c r="MY54">
        <v>23.139199999999999</v>
      </c>
      <c r="MZ54">
        <v>23.031199999999998</v>
      </c>
      <c r="NA54">
        <v>23.005500000000001</v>
      </c>
      <c r="NB54">
        <v>23.507100000000001</v>
      </c>
      <c r="NC54">
        <v>23.132400000000001</v>
      </c>
      <c r="ND54" t="s">
        <v>137</v>
      </c>
      <c r="NE54" t="s">
        <v>137</v>
      </c>
      <c r="NF54">
        <v>23.246099999999998</v>
      </c>
      <c r="NG54">
        <v>22.2913</v>
      </c>
      <c r="NH54">
        <v>22.118600000000001</v>
      </c>
      <c r="NI54">
        <v>22.223199999999999</v>
      </c>
      <c r="NJ54">
        <v>22.226900000000001</v>
      </c>
      <c r="NK54" t="s">
        <v>137</v>
      </c>
      <c r="NL54" t="s">
        <v>137</v>
      </c>
      <c r="NM54" t="s">
        <v>137</v>
      </c>
      <c r="NN54" t="s">
        <v>137</v>
      </c>
      <c r="NO54" t="s">
        <v>137</v>
      </c>
      <c r="NP54" t="s">
        <v>137</v>
      </c>
      <c r="NQ54" t="s">
        <v>137</v>
      </c>
      <c r="NR54" t="s">
        <v>137</v>
      </c>
      <c r="NS54" t="s">
        <v>137</v>
      </c>
      <c r="NT54" t="s">
        <v>137</v>
      </c>
      <c r="NU54" t="s">
        <v>137</v>
      </c>
      <c r="NV54" t="s">
        <v>137</v>
      </c>
      <c r="NW54" t="s">
        <v>137</v>
      </c>
      <c r="NX54" t="s">
        <v>137</v>
      </c>
      <c r="NY54" t="s">
        <v>137</v>
      </c>
      <c r="NZ54" t="s">
        <v>137</v>
      </c>
      <c r="OA54" t="s">
        <v>137</v>
      </c>
      <c r="OB54" t="s">
        <v>137</v>
      </c>
      <c r="OC54" t="s">
        <v>137</v>
      </c>
      <c r="OD54" t="s">
        <v>137</v>
      </c>
      <c r="OE54" t="s">
        <v>137</v>
      </c>
      <c r="OF54" t="s">
        <v>137</v>
      </c>
      <c r="OG54" t="s">
        <v>137</v>
      </c>
      <c r="OH54" t="s">
        <v>137</v>
      </c>
      <c r="OI54" t="s">
        <v>137</v>
      </c>
      <c r="OJ54" t="s">
        <v>137</v>
      </c>
      <c r="OK54" t="s">
        <v>137</v>
      </c>
      <c r="OL54" t="s">
        <v>137</v>
      </c>
      <c r="OM54" t="s">
        <v>137</v>
      </c>
      <c r="ON54" t="s">
        <v>137</v>
      </c>
      <c r="OO54" t="s">
        <v>137</v>
      </c>
      <c r="OP54" t="s">
        <v>137</v>
      </c>
      <c r="OQ54" t="s">
        <v>137</v>
      </c>
      <c r="OR54" t="s">
        <v>137</v>
      </c>
      <c r="OS54" t="s">
        <v>137</v>
      </c>
      <c r="OT54" t="s">
        <v>137</v>
      </c>
      <c r="OU54" t="s">
        <v>137</v>
      </c>
      <c r="OV54" t="s">
        <v>137</v>
      </c>
      <c r="OW54" t="s">
        <v>137</v>
      </c>
      <c r="OX54" t="s">
        <v>137</v>
      </c>
      <c r="OY54" t="s">
        <v>137</v>
      </c>
      <c r="OZ54" t="s">
        <v>137</v>
      </c>
      <c r="PA54" t="s">
        <v>137</v>
      </c>
      <c r="PB54" t="s">
        <v>137</v>
      </c>
      <c r="PC54" t="s">
        <v>137</v>
      </c>
      <c r="PD54" t="s">
        <v>137</v>
      </c>
      <c r="PE54" t="s">
        <v>137</v>
      </c>
      <c r="PF54" t="s">
        <v>137</v>
      </c>
      <c r="PG54" t="s">
        <v>137</v>
      </c>
      <c r="PH54" t="s">
        <v>137</v>
      </c>
      <c r="PI54" t="s">
        <v>137</v>
      </c>
      <c r="PJ54" t="s">
        <v>137</v>
      </c>
      <c r="PK54" t="s">
        <v>137</v>
      </c>
      <c r="PL54" t="s">
        <v>137</v>
      </c>
      <c r="PM54" t="s">
        <v>137</v>
      </c>
      <c r="PN54" t="s">
        <v>137</v>
      </c>
      <c r="PO54" t="s">
        <v>137</v>
      </c>
      <c r="PP54" t="s">
        <v>137</v>
      </c>
      <c r="PQ54" t="s">
        <v>137</v>
      </c>
      <c r="PR54" t="s">
        <v>137</v>
      </c>
      <c r="PS54" t="s">
        <v>137</v>
      </c>
      <c r="PT54" t="s">
        <v>137</v>
      </c>
      <c r="PU54" t="s">
        <v>137</v>
      </c>
      <c r="PV54" t="s">
        <v>137</v>
      </c>
      <c r="PW54" t="s">
        <v>137</v>
      </c>
      <c r="PX54" t="s">
        <v>137</v>
      </c>
      <c r="PY54" t="s">
        <v>137</v>
      </c>
      <c r="PZ54" t="s">
        <v>137</v>
      </c>
      <c r="QA54" t="s">
        <v>137</v>
      </c>
      <c r="QB54" t="s">
        <v>137</v>
      </c>
      <c r="QC54" t="s">
        <v>137</v>
      </c>
      <c r="QD54" t="s">
        <v>137</v>
      </c>
      <c r="QE54" t="s">
        <v>137</v>
      </c>
      <c r="QF54" t="s">
        <v>137</v>
      </c>
      <c r="QG54" t="s">
        <v>137</v>
      </c>
      <c r="QH54" t="s">
        <v>137</v>
      </c>
      <c r="QI54" t="s">
        <v>137</v>
      </c>
      <c r="QJ54" t="s">
        <v>137</v>
      </c>
      <c r="QK54" t="s">
        <v>137</v>
      </c>
      <c r="QL54" t="s">
        <v>137</v>
      </c>
      <c r="QM54" t="s">
        <v>137</v>
      </c>
      <c r="QN54" t="s">
        <v>137</v>
      </c>
      <c r="QO54" t="s">
        <v>137</v>
      </c>
    </row>
    <row r="55" spans="1:457" x14ac:dyDescent="0.2">
      <c r="A55" t="s">
        <v>124</v>
      </c>
      <c r="B55" s="3">
        <v>42557</v>
      </c>
      <c r="C55" t="s">
        <v>85</v>
      </c>
      <c r="E55" t="s">
        <v>137</v>
      </c>
      <c r="F55">
        <v>22.040199999999999</v>
      </c>
      <c r="G55">
        <v>22.0166</v>
      </c>
      <c r="H55">
        <v>20.248799999999999</v>
      </c>
      <c r="I55">
        <v>19.460599999999999</v>
      </c>
      <c r="J55">
        <v>18.347799999999999</v>
      </c>
      <c r="K55" t="s">
        <v>137</v>
      </c>
      <c r="L55" t="s">
        <v>137</v>
      </c>
      <c r="M55">
        <v>18.398700000000002</v>
      </c>
      <c r="N55">
        <v>18.758400000000002</v>
      </c>
      <c r="O55">
        <v>18.603400000000001</v>
      </c>
      <c r="P55">
        <v>18.708500000000001</v>
      </c>
      <c r="Q55">
        <v>19.4651</v>
      </c>
      <c r="R55" t="s">
        <v>137</v>
      </c>
      <c r="S55" t="s">
        <v>137</v>
      </c>
      <c r="T55">
        <v>20.813400000000001</v>
      </c>
      <c r="U55">
        <v>19.299499999999998</v>
      </c>
      <c r="V55">
        <v>19.8672</v>
      </c>
      <c r="W55">
        <v>18.764900000000001</v>
      </c>
      <c r="X55">
        <v>18.610099999999999</v>
      </c>
      <c r="Y55" t="s">
        <v>137</v>
      </c>
      <c r="Z55" t="s">
        <v>137</v>
      </c>
      <c r="AA55">
        <v>18.977599999999999</v>
      </c>
      <c r="AB55">
        <v>19.303899999999999</v>
      </c>
      <c r="AC55">
        <v>20.277000000000001</v>
      </c>
      <c r="AD55">
        <v>19.473400000000002</v>
      </c>
      <c r="AE55">
        <v>19.035</v>
      </c>
      <c r="AF55" t="s">
        <v>137</v>
      </c>
      <c r="AG55" t="s">
        <v>137</v>
      </c>
      <c r="AH55">
        <v>18.928699999999999</v>
      </c>
      <c r="AI55">
        <v>18.929600000000001</v>
      </c>
      <c r="AJ55">
        <v>18.983499999999999</v>
      </c>
      <c r="AK55">
        <v>19.039000000000001</v>
      </c>
      <c r="AL55">
        <v>18.9861</v>
      </c>
      <c r="AM55" t="s">
        <v>137</v>
      </c>
      <c r="AN55" t="s">
        <v>137</v>
      </c>
      <c r="AO55">
        <v>18.723299999999998</v>
      </c>
      <c r="AP55">
        <v>18.6205</v>
      </c>
      <c r="AQ55">
        <v>18.417400000000001</v>
      </c>
      <c r="AR55">
        <v>17.324200000000001</v>
      </c>
      <c r="AS55">
        <v>17.460799999999999</v>
      </c>
      <c r="AT55" t="s">
        <v>137</v>
      </c>
      <c r="AU55" t="s">
        <v>137</v>
      </c>
      <c r="AV55">
        <v>18.0199</v>
      </c>
      <c r="AW55">
        <v>17.6465</v>
      </c>
      <c r="AX55">
        <v>18.472799999999999</v>
      </c>
      <c r="AY55">
        <v>18.224599999999999</v>
      </c>
      <c r="AZ55">
        <v>18.629000000000001</v>
      </c>
      <c r="BA55" t="s">
        <v>137</v>
      </c>
      <c r="BB55" t="s">
        <v>137</v>
      </c>
      <c r="BC55">
        <v>19.378299999999999</v>
      </c>
      <c r="BD55">
        <v>20.0092</v>
      </c>
      <c r="BE55">
        <v>19.776399999999999</v>
      </c>
      <c r="BF55">
        <v>19.271699999999999</v>
      </c>
      <c r="BG55">
        <v>19.837599999999998</v>
      </c>
      <c r="BH55" t="s">
        <v>137</v>
      </c>
      <c r="BI55" t="s">
        <v>137</v>
      </c>
      <c r="BJ55">
        <v>20.622900000000001</v>
      </c>
      <c r="BK55">
        <v>20.375800000000002</v>
      </c>
      <c r="BL55">
        <v>20.315000000000001</v>
      </c>
      <c r="BM55">
        <v>20.752600000000001</v>
      </c>
      <c r="BN55">
        <v>20.627300000000002</v>
      </c>
      <c r="BO55" t="s">
        <v>137</v>
      </c>
      <c r="BP55" t="s">
        <v>137</v>
      </c>
      <c r="BQ55">
        <v>20.6282</v>
      </c>
      <c r="BR55">
        <v>20.755099999999999</v>
      </c>
      <c r="BS55">
        <v>21.013300000000001</v>
      </c>
      <c r="BT55">
        <v>21.146999999999998</v>
      </c>
      <c r="BU55">
        <v>21.688600000000001</v>
      </c>
      <c r="BV55" t="s">
        <v>137</v>
      </c>
      <c r="BW55" t="s">
        <v>137</v>
      </c>
      <c r="BX55">
        <v>21.6204</v>
      </c>
      <c r="BY55">
        <v>21.6905</v>
      </c>
      <c r="BZ55">
        <v>22.2608</v>
      </c>
      <c r="CA55">
        <v>21.625399999999999</v>
      </c>
      <c r="CB55">
        <v>21.557700000000001</v>
      </c>
      <c r="CC55" t="s">
        <v>137</v>
      </c>
      <c r="CD55" t="s">
        <v>137</v>
      </c>
      <c r="CE55">
        <v>21.627300000000002</v>
      </c>
      <c r="CF55">
        <v>21.289300000000001</v>
      </c>
      <c r="CG55">
        <v>20.3949</v>
      </c>
      <c r="CH55">
        <v>19.6873</v>
      </c>
      <c r="CI55">
        <v>19.8614</v>
      </c>
      <c r="CJ55" t="s">
        <v>137</v>
      </c>
      <c r="CK55" t="s">
        <v>137</v>
      </c>
      <c r="CL55">
        <v>20.0383</v>
      </c>
      <c r="CM55">
        <v>20.339600000000001</v>
      </c>
      <c r="CN55">
        <v>20.099499999999999</v>
      </c>
      <c r="CO55">
        <v>20.282900000000001</v>
      </c>
      <c r="CP55">
        <v>20.1037</v>
      </c>
      <c r="CQ55" t="s">
        <v>137</v>
      </c>
      <c r="CR55" t="s">
        <v>137</v>
      </c>
      <c r="CS55">
        <v>21.039100000000001</v>
      </c>
      <c r="CT55">
        <v>21.371099999999998</v>
      </c>
      <c r="CU55">
        <v>20.720300000000002</v>
      </c>
      <c r="CV55">
        <v>21.241700000000002</v>
      </c>
      <c r="CW55">
        <v>21.242899999999999</v>
      </c>
      <c r="CX55" t="s">
        <v>137</v>
      </c>
      <c r="CY55" t="s">
        <v>137</v>
      </c>
      <c r="CZ55">
        <v>19.9346</v>
      </c>
      <c r="DA55">
        <v>20.293099999999999</v>
      </c>
      <c r="DB55">
        <v>20.3551</v>
      </c>
      <c r="DC55">
        <v>20.237200000000001</v>
      </c>
      <c r="DD55">
        <v>20.2986</v>
      </c>
      <c r="DE55" t="s">
        <v>137</v>
      </c>
      <c r="DF55" t="s">
        <v>137</v>
      </c>
      <c r="DG55">
        <v>20.178999999999998</v>
      </c>
      <c r="DH55">
        <v>19.208400000000001</v>
      </c>
      <c r="DI55">
        <v>18.525099999999998</v>
      </c>
      <c r="DJ55">
        <v>18.5791</v>
      </c>
      <c r="DK55">
        <v>18.579999999999998</v>
      </c>
      <c r="DL55" t="s">
        <v>137</v>
      </c>
      <c r="DM55" t="s">
        <v>137</v>
      </c>
      <c r="DN55">
        <v>17.9377</v>
      </c>
      <c r="DO55">
        <v>17.609100000000002</v>
      </c>
      <c r="DP55">
        <v>17.610099999999999</v>
      </c>
      <c r="DQ55">
        <v>17.116599999999998</v>
      </c>
      <c r="DR55">
        <v>17.2059</v>
      </c>
      <c r="DS55" t="s">
        <v>137</v>
      </c>
      <c r="DT55" t="s">
        <v>137</v>
      </c>
      <c r="DU55">
        <v>17.073699999999999</v>
      </c>
      <c r="DV55">
        <v>17.0748</v>
      </c>
      <c r="DW55">
        <v>17.075600000000001</v>
      </c>
      <c r="DX55">
        <v>17.078299999999999</v>
      </c>
      <c r="DY55">
        <v>18.093599999999999</v>
      </c>
      <c r="DZ55" t="s">
        <v>137</v>
      </c>
      <c r="EA55" t="s">
        <v>137</v>
      </c>
      <c r="EB55">
        <v>18.3904</v>
      </c>
      <c r="EC55">
        <v>17.901700000000002</v>
      </c>
      <c r="ED55">
        <v>18.143599999999999</v>
      </c>
      <c r="EE55">
        <v>17.621300000000002</v>
      </c>
      <c r="EF55">
        <v>17.529499999999999</v>
      </c>
      <c r="EG55" t="s">
        <v>137</v>
      </c>
      <c r="EH55" t="s">
        <v>137</v>
      </c>
      <c r="EI55">
        <v>17.438500000000001</v>
      </c>
      <c r="EJ55">
        <v>17.5762</v>
      </c>
      <c r="EK55">
        <v>17.394100000000002</v>
      </c>
      <c r="EL55">
        <v>17.171800000000001</v>
      </c>
      <c r="EM55">
        <v>17.305599999999998</v>
      </c>
      <c r="EN55" t="s">
        <v>137</v>
      </c>
      <c r="EO55" t="s">
        <v>137</v>
      </c>
      <c r="EP55">
        <v>17.3962</v>
      </c>
      <c r="EQ55">
        <v>17.7653</v>
      </c>
      <c r="ER55">
        <v>18.1492</v>
      </c>
      <c r="ES55">
        <v>18.298200000000001</v>
      </c>
      <c r="ET55">
        <v>18.348500000000001</v>
      </c>
      <c r="EU55" t="s">
        <v>137</v>
      </c>
      <c r="EV55" t="s">
        <v>137</v>
      </c>
      <c r="EW55">
        <v>19.456199999999999</v>
      </c>
      <c r="EX55">
        <v>19.235900000000001</v>
      </c>
      <c r="EY55">
        <v>18.653700000000001</v>
      </c>
      <c r="EZ55">
        <v>18.654699999999998</v>
      </c>
      <c r="FA55">
        <v>18.915800000000001</v>
      </c>
      <c r="FB55" t="s">
        <v>137</v>
      </c>
      <c r="FC55" t="s">
        <v>137</v>
      </c>
      <c r="FD55">
        <v>18.302</v>
      </c>
      <c r="FE55">
        <v>17.677800000000001</v>
      </c>
      <c r="FF55">
        <v>17.5855</v>
      </c>
      <c r="FG55">
        <v>17.8202</v>
      </c>
      <c r="FH55">
        <v>17.587399999999999</v>
      </c>
      <c r="FI55" t="s">
        <v>137</v>
      </c>
      <c r="FJ55" t="s">
        <v>137</v>
      </c>
      <c r="FK55">
        <v>17.7742</v>
      </c>
      <c r="FL55">
        <v>18.0609</v>
      </c>
      <c r="FM55">
        <v>18.406199999999998</v>
      </c>
      <c r="FN55">
        <v>19.082100000000001</v>
      </c>
      <c r="FO55">
        <v>18.922699999999999</v>
      </c>
      <c r="FP55" t="s">
        <v>137</v>
      </c>
      <c r="FQ55" t="s">
        <v>137</v>
      </c>
      <c r="FR55">
        <v>18.259499999999999</v>
      </c>
      <c r="FS55">
        <v>19.245899999999999</v>
      </c>
      <c r="FT55">
        <v>19.0305</v>
      </c>
      <c r="FU55">
        <v>19.468699999999998</v>
      </c>
      <c r="FV55">
        <v>19.032800000000002</v>
      </c>
      <c r="FW55" t="s">
        <v>137</v>
      </c>
      <c r="FX55" t="s">
        <v>137</v>
      </c>
      <c r="FY55">
        <v>19.0868</v>
      </c>
      <c r="FZ55">
        <v>18.980699999999999</v>
      </c>
      <c r="GA55">
        <v>18.9283</v>
      </c>
      <c r="GB55">
        <v>19.5291</v>
      </c>
      <c r="GC55">
        <v>19.7563</v>
      </c>
      <c r="GD55" t="s">
        <v>137</v>
      </c>
      <c r="GE55" t="s">
        <v>137</v>
      </c>
      <c r="GF55">
        <v>20.047699999999999</v>
      </c>
      <c r="GG55">
        <v>19.2545</v>
      </c>
      <c r="GH55">
        <v>19.200500000000002</v>
      </c>
      <c r="GI55">
        <v>19.421800000000001</v>
      </c>
      <c r="GJ55">
        <v>19.818100000000001</v>
      </c>
      <c r="GK55" t="s">
        <v>137</v>
      </c>
      <c r="GL55" t="s">
        <v>137</v>
      </c>
      <c r="GM55">
        <v>21.171800000000001</v>
      </c>
      <c r="GN55">
        <v>22.204799999999999</v>
      </c>
      <c r="GO55">
        <v>23.588100000000001</v>
      </c>
      <c r="GP55">
        <v>24.526399999999999</v>
      </c>
      <c r="GQ55">
        <v>25.544599999999999</v>
      </c>
      <c r="GR55" t="s">
        <v>137</v>
      </c>
      <c r="GS55" t="s">
        <v>137</v>
      </c>
      <c r="GT55">
        <v>27.3079</v>
      </c>
      <c r="GU55">
        <v>28.2317</v>
      </c>
      <c r="GV55">
        <v>29.618500000000001</v>
      </c>
      <c r="GW55">
        <v>32.241100000000003</v>
      </c>
      <c r="GX55">
        <v>31.7699</v>
      </c>
      <c r="GY55" t="s">
        <v>137</v>
      </c>
      <c r="GZ55" t="s">
        <v>137</v>
      </c>
      <c r="HA55">
        <v>33.578699999999998</v>
      </c>
      <c r="HB55">
        <v>33.405500000000004</v>
      </c>
      <c r="HC55">
        <v>32.730699999999999</v>
      </c>
      <c r="HD55">
        <v>33.407899999999998</v>
      </c>
      <c r="HE55">
        <v>32.899299999999997</v>
      </c>
      <c r="HF55" t="s">
        <v>137</v>
      </c>
      <c r="HG55" t="s">
        <v>137</v>
      </c>
      <c r="HH55">
        <v>32.569000000000003</v>
      </c>
      <c r="HI55">
        <v>31.3184</v>
      </c>
      <c r="HJ55">
        <v>31.4697</v>
      </c>
      <c r="HK55">
        <v>31.024799999999999</v>
      </c>
      <c r="HL55">
        <v>30.310500000000001</v>
      </c>
      <c r="HM55" t="s">
        <v>137</v>
      </c>
      <c r="HN55" t="s">
        <v>137</v>
      </c>
      <c r="HO55">
        <v>29.499199999999998</v>
      </c>
      <c r="HP55">
        <v>29.369199999999999</v>
      </c>
      <c r="HQ55">
        <v>30.882300000000001</v>
      </c>
      <c r="HR55">
        <v>31.1784</v>
      </c>
      <c r="HS55">
        <v>31.179400000000001</v>
      </c>
      <c r="HT55" t="s">
        <v>137</v>
      </c>
      <c r="HU55" t="s">
        <v>137</v>
      </c>
      <c r="HV55">
        <v>30.457799999999999</v>
      </c>
      <c r="HW55">
        <v>30.3186</v>
      </c>
      <c r="HX55">
        <v>31.331299999999999</v>
      </c>
      <c r="HY55">
        <v>31.0379</v>
      </c>
      <c r="HZ55">
        <v>27.2242</v>
      </c>
      <c r="IA55" t="s">
        <v>137</v>
      </c>
      <c r="IB55" t="s">
        <v>137</v>
      </c>
      <c r="IC55">
        <v>28.14</v>
      </c>
      <c r="ID55">
        <v>27.337</v>
      </c>
      <c r="IE55">
        <v>29.126200000000001</v>
      </c>
      <c r="IF55">
        <v>30.899699999999999</v>
      </c>
      <c r="IG55">
        <v>31.6464</v>
      </c>
      <c r="IH55" t="s">
        <v>137</v>
      </c>
      <c r="II55" t="s">
        <v>137</v>
      </c>
      <c r="IJ55">
        <v>31.3446</v>
      </c>
      <c r="IK55">
        <v>31.958300000000001</v>
      </c>
      <c r="IL55">
        <v>31.650200000000002</v>
      </c>
      <c r="IM55">
        <v>32.440100000000001</v>
      </c>
      <c r="IN55">
        <v>33.6175</v>
      </c>
      <c r="IO55" t="s">
        <v>137</v>
      </c>
      <c r="IP55" t="s">
        <v>137</v>
      </c>
      <c r="IQ55">
        <v>34.334099999999999</v>
      </c>
      <c r="IR55">
        <v>32.124899999999997</v>
      </c>
      <c r="IS55">
        <v>30.913900000000002</v>
      </c>
      <c r="IT55">
        <v>30.630400000000002</v>
      </c>
      <c r="IU55">
        <v>30.631900000000002</v>
      </c>
      <c r="IV55" t="s">
        <v>137</v>
      </c>
      <c r="IW55" t="s">
        <v>137</v>
      </c>
      <c r="IX55">
        <v>28.648299999999999</v>
      </c>
      <c r="IY55">
        <v>27.4739</v>
      </c>
      <c r="IZ55">
        <v>27.817</v>
      </c>
      <c r="JA55">
        <v>28.1721</v>
      </c>
      <c r="JB55">
        <v>27.480599999999999</v>
      </c>
      <c r="JC55" t="s">
        <v>137</v>
      </c>
      <c r="JD55" t="s">
        <v>137</v>
      </c>
      <c r="JE55">
        <v>25.702999999999999</v>
      </c>
      <c r="JF55">
        <v>25.900700000000001</v>
      </c>
      <c r="JG55">
        <v>26.2029</v>
      </c>
      <c r="JH55">
        <v>25.906300000000002</v>
      </c>
      <c r="JI55">
        <v>26.007100000000001</v>
      </c>
      <c r="JJ55" t="s">
        <v>137</v>
      </c>
      <c r="JK55" t="s">
        <v>137</v>
      </c>
      <c r="JL55">
        <v>26.008400000000002</v>
      </c>
      <c r="JM55">
        <v>22.641999999999999</v>
      </c>
      <c r="JN55">
        <v>22.793800000000001</v>
      </c>
      <c r="JO55">
        <v>23.026199999999999</v>
      </c>
      <c r="JP55">
        <v>22.2788</v>
      </c>
      <c r="JQ55" t="s">
        <v>137</v>
      </c>
      <c r="JR55" t="s">
        <v>137</v>
      </c>
      <c r="JS55">
        <v>21.994</v>
      </c>
      <c r="JT55">
        <v>21.785699999999999</v>
      </c>
      <c r="JU55">
        <v>20.795999999999999</v>
      </c>
      <c r="JV55">
        <v>20.990400000000001</v>
      </c>
      <c r="JW55">
        <v>21.317699999999999</v>
      </c>
      <c r="JX55" t="s">
        <v>137</v>
      </c>
      <c r="JY55" t="s">
        <v>137</v>
      </c>
      <c r="JZ55">
        <v>20.676100000000002</v>
      </c>
      <c r="KA55">
        <v>21.5884</v>
      </c>
      <c r="KB55">
        <v>20.931000000000001</v>
      </c>
      <c r="KC55">
        <v>21.391400000000001</v>
      </c>
      <c r="KD55">
        <v>21.3261</v>
      </c>
      <c r="KE55" t="s">
        <v>137</v>
      </c>
      <c r="KF55" t="s">
        <v>137</v>
      </c>
      <c r="KG55">
        <v>21.261399999999998</v>
      </c>
      <c r="KH55">
        <v>20.8111</v>
      </c>
      <c r="KI55">
        <v>21.003399999999999</v>
      </c>
      <c r="KJ55">
        <v>21.400099999999998</v>
      </c>
      <c r="KK55">
        <v>20.691600000000001</v>
      </c>
      <c r="KL55" t="s">
        <v>137</v>
      </c>
      <c r="KM55" t="s">
        <v>137</v>
      </c>
      <c r="KN55">
        <v>20.507000000000001</v>
      </c>
      <c r="KO55">
        <v>20.028700000000001</v>
      </c>
      <c r="KP55">
        <v>20.509599999999999</v>
      </c>
      <c r="KQ55">
        <v>20.513200000000001</v>
      </c>
      <c r="KR55">
        <v>20.889299999999999</v>
      </c>
      <c r="KS55" t="s">
        <v>137</v>
      </c>
      <c r="KT55" t="s">
        <v>137</v>
      </c>
      <c r="KU55">
        <v>20.515599999999999</v>
      </c>
      <c r="KV55">
        <v>20.828399999999998</v>
      </c>
      <c r="KW55">
        <v>20.829799999999999</v>
      </c>
      <c r="KX55">
        <v>20.896999999999998</v>
      </c>
      <c r="KY55">
        <v>20.897500000000001</v>
      </c>
      <c r="KZ55" t="s">
        <v>137</v>
      </c>
      <c r="LA55" t="s">
        <v>137</v>
      </c>
      <c r="LB55">
        <v>19.984400000000001</v>
      </c>
      <c r="LC55">
        <v>19.8687</v>
      </c>
      <c r="LD55">
        <v>19.697700000000001</v>
      </c>
      <c r="LE55">
        <v>19.8704</v>
      </c>
      <c r="LF55">
        <v>19.7561</v>
      </c>
      <c r="LG55" t="s">
        <v>137</v>
      </c>
      <c r="LH55" t="s">
        <v>137</v>
      </c>
      <c r="LI55">
        <v>19.756599999999999</v>
      </c>
      <c r="LJ55">
        <v>20.5123</v>
      </c>
      <c r="LK55">
        <v>20.478999999999999</v>
      </c>
      <c r="LL55">
        <v>20.204699999999999</v>
      </c>
      <c r="LM55">
        <v>20.5046</v>
      </c>
      <c r="LN55" t="s">
        <v>137</v>
      </c>
      <c r="LO55" t="s">
        <v>137</v>
      </c>
      <c r="LP55">
        <v>20.517299999999999</v>
      </c>
      <c r="LQ55">
        <v>20.261600000000001</v>
      </c>
      <c r="LR55">
        <v>19.9192</v>
      </c>
      <c r="LS55">
        <v>19.3584</v>
      </c>
      <c r="LT55">
        <v>19.398</v>
      </c>
      <c r="LU55" t="s">
        <v>137</v>
      </c>
      <c r="LV55" t="s">
        <v>137</v>
      </c>
      <c r="LW55">
        <v>19.344200000000001</v>
      </c>
      <c r="LX55">
        <v>19.577100000000002</v>
      </c>
      <c r="LY55">
        <v>19.6005</v>
      </c>
      <c r="LZ55">
        <v>20.028500000000001</v>
      </c>
      <c r="MA55">
        <v>19.428100000000001</v>
      </c>
      <c r="MB55" t="s">
        <v>137</v>
      </c>
      <c r="MC55" t="s">
        <v>137</v>
      </c>
      <c r="MD55">
        <v>19.543199999999999</v>
      </c>
      <c r="ME55">
        <v>17.506900000000002</v>
      </c>
      <c r="MF55">
        <v>17.572900000000001</v>
      </c>
      <c r="MG55">
        <v>17.8034</v>
      </c>
      <c r="MH55">
        <v>18.050699999999999</v>
      </c>
      <c r="MI55" t="s">
        <v>137</v>
      </c>
      <c r="MJ55" t="s">
        <v>137</v>
      </c>
      <c r="MK55">
        <v>18.154699999999998</v>
      </c>
      <c r="ML55">
        <v>18.1477</v>
      </c>
      <c r="MM55">
        <v>18.154699999999998</v>
      </c>
      <c r="MN55">
        <v>18.213799999999999</v>
      </c>
      <c r="MO55">
        <v>18.364000000000001</v>
      </c>
      <c r="MP55" t="s">
        <v>137</v>
      </c>
      <c r="MQ55" t="s">
        <v>137</v>
      </c>
      <c r="MR55">
        <v>18.412199999999999</v>
      </c>
      <c r="MS55">
        <v>18.525500000000001</v>
      </c>
      <c r="MT55">
        <v>18.5121</v>
      </c>
      <c r="MU55">
        <v>18.567900000000002</v>
      </c>
      <c r="MV55">
        <v>18.595300000000002</v>
      </c>
      <c r="MW55" t="s">
        <v>137</v>
      </c>
      <c r="MX55" t="s">
        <v>137</v>
      </c>
      <c r="MY55">
        <v>18.784400000000002</v>
      </c>
      <c r="MZ55">
        <v>18.889600000000002</v>
      </c>
      <c r="NA55">
        <v>19.045300000000001</v>
      </c>
      <c r="NB55">
        <v>19.437000000000001</v>
      </c>
      <c r="NC55">
        <v>18.447900000000001</v>
      </c>
      <c r="ND55" t="s">
        <v>137</v>
      </c>
      <c r="NE55" t="s">
        <v>137</v>
      </c>
      <c r="NF55">
        <v>18.448499999999999</v>
      </c>
      <c r="NG55">
        <v>17.867000000000001</v>
      </c>
      <c r="NH55">
        <v>17.867599999999999</v>
      </c>
      <c r="NI55">
        <v>17.869499999999999</v>
      </c>
      <c r="NJ55">
        <v>17.3203</v>
      </c>
      <c r="NK55" t="s">
        <v>137</v>
      </c>
      <c r="NL55" t="s">
        <v>137</v>
      </c>
      <c r="NM55" t="s">
        <v>137</v>
      </c>
      <c r="NN55" t="s">
        <v>137</v>
      </c>
      <c r="NO55" t="s">
        <v>137</v>
      </c>
      <c r="NP55" t="s">
        <v>137</v>
      </c>
      <c r="NQ55" t="s">
        <v>137</v>
      </c>
      <c r="NR55" t="s">
        <v>137</v>
      </c>
      <c r="NS55" t="s">
        <v>137</v>
      </c>
      <c r="NT55" t="s">
        <v>137</v>
      </c>
      <c r="NU55" t="s">
        <v>137</v>
      </c>
      <c r="NV55" t="s">
        <v>137</v>
      </c>
      <c r="NW55" t="s">
        <v>137</v>
      </c>
      <c r="NX55" t="s">
        <v>137</v>
      </c>
      <c r="NY55" t="s">
        <v>137</v>
      </c>
      <c r="NZ55" t="s">
        <v>137</v>
      </c>
      <c r="OA55" t="s">
        <v>137</v>
      </c>
      <c r="OB55" t="s">
        <v>137</v>
      </c>
      <c r="OC55" t="s">
        <v>137</v>
      </c>
      <c r="OD55" t="s">
        <v>137</v>
      </c>
      <c r="OE55" t="s">
        <v>137</v>
      </c>
      <c r="OF55" t="s">
        <v>137</v>
      </c>
      <c r="OG55" t="s">
        <v>137</v>
      </c>
      <c r="OH55" t="s">
        <v>137</v>
      </c>
      <c r="OI55" t="s">
        <v>137</v>
      </c>
      <c r="OJ55" t="s">
        <v>137</v>
      </c>
      <c r="OK55" t="s">
        <v>137</v>
      </c>
      <c r="OL55" t="s">
        <v>137</v>
      </c>
      <c r="OM55" t="s">
        <v>137</v>
      </c>
      <c r="ON55" t="s">
        <v>137</v>
      </c>
      <c r="OO55" t="s">
        <v>137</v>
      </c>
      <c r="OP55" t="s">
        <v>137</v>
      </c>
      <c r="OQ55" t="s">
        <v>137</v>
      </c>
      <c r="OR55" t="s">
        <v>137</v>
      </c>
      <c r="OS55" t="s">
        <v>137</v>
      </c>
      <c r="OT55" t="s">
        <v>137</v>
      </c>
      <c r="OU55" t="s">
        <v>137</v>
      </c>
      <c r="OV55" t="s">
        <v>137</v>
      </c>
      <c r="OW55" t="s">
        <v>137</v>
      </c>
      <c r="OX55" t="s">
        <v>137</v>
      </c>
      <c r="OY55" t="s">
        <v>137</v>
      </c>
      <c r="OZ55" t="s">
        <v>137</v>
      </c>
      <c r="PA55" t="s">
        <v>137</v>
      </c>
      <c r="PB55" t="s">
        <v>137</v>
      </c>
      <c r="PC55" t="s">
        <v>137</v>
      </c>
      <c r="PD55" t="s">
        <v>137</v>
      </c>
      <c r="PE55" t="s">
        <v>137</v>
      </c>
      <c r="PF55" t="s">
        <v>137</v>
      </c>
      <c r="PG55" t="s">
        <v>137</v>
      </c>
      <c r="PH55" t="s">
        <v>137</v>
      </c>
      <c r="PI55" t="s">
        <v>137</v>
      </c>
      <c r="PJ55" t="s">
        <v>137</v>
      </c>
      <c r="PK55" t="s">
        <v>137</v>
      </c>
      <c r="PL55" t="s">
        <v>137</v>
      </c>
      <c r="PM55" t="s">
        <v>137</v>
      </c>
      <c r="PN55" t="s">
        <v>137</v>
      </c>
      <c r="PO55" t="s">
        <v>137</v>
      </c>
      <c r="PP55" t="s">
        <v>137</v>
      </c>
      <c r="PQ55" t="s">
        <v>137</v>
      </c>
      <c r="PR55" t="s">
        <v>137</v>
      </c>
      <c r="PS55" t="s">
        <v>137</v>
      </c>
      <c r="PT55" t="s">
        <v>137</v>
      </c>
      <c r="PU55" t="s">
        <v>137</v>
      </c>
      <c r="PV55" t="s">
        <v>137</v>
      </c>
      <c r="PW55" t="s">
        <v>137</v>
      </c>
      <c r="PX55" t="s">
        <v>137</v>
      </c>
      <c r="PY55" t="s">
        <v>137</v>
      </c>
      <c r="PZ55" t="s">
        <v>137</v>
      </c>
      <c r="QA55" t="s">
        <v>137</v>
      </c>
      <c r="QB55" t="s">
        <v>137</v>
      </c>
      <c r="QC55" t="s">
        <v>137</v>
      </c>
      <c r="QD55" t="s">
        <v>137</v>
      </c>
      <c r="QE55" t="s">
        <v>137</v>
      </c>
      <c r="QF55" t="s">
        <v>137</v>
      </c>
      <c r="QG55" t="s">
        <v>137</v>
      </c>
      <c r="QH55" t="s">
        <v>137</v>
      </c>
      <c r="QI55" t="s">
        <v>137</v>
      </c>
      <c r="QJ55" t="s">
        <v>137</v>
      </c>
      <c r="QK55" t="s">
        <v>137</v>
      </c>
      <c r="QL55" t="s">
        <v>137</v>
      </c>
      <c r="QM55" t="s">
        <v>137</v>
      </c>
      <c r="QN55" t="s">
        <v>137</v>
      </c>
      <c r="QO55" t="s">
        <v>137</v>
      </c>
    </row>
    <row r="56" spans="1:457" x14ac:dyDescent="0.2">
      <c r="A56" t="s">
        <v>125</v>
      </c>
      <c r="B56" s="3">
        <v>42482</v>
      </c>
      <c r="C56" t="s">
        <v>88</v>
      </c>
      <c r="E56" t="s">
        <v>137</v>
      </c>
      <c r="F56">
        <v>21.819700000000001</v>
      </c>
      <c r="G56">
        <v>21.5518</v>
      </c>
      <c r="H56">
        <v>20.278700000000001</v>
      </c>
      <c r="I56">
        <v>19.319400000000002</v>
      </c>
      <c r="J56">
        <v>18.1769</v>
      </c>
      <c r="K56" t="s">
        <v>137</v>
      </c>
      <c r="L56" t="s">
        <v>137</v>
      </c>
      <c r="M56">
        <v>18.0428</v>
      </c>
      <c r="N56">
        <v>18.9102</v>
      </c>
      <c r="O56">
        <v>18.5364</v>
      </c>
      <c r="P56">
        <v>18.475899999999999</v>
      </c>
      <c r="Q56">
        <v>19.028199999999998</v>
      </c>
      <c r="R56" t="s">
        <v>137</v>
      </c>
      <c r="S56" t="s">
        <v>137</v>
      </c>
      <c r="T56">
        <v>19.695</v>
      </c>
      <c r="U56">
        <v>19.5335</v>
      </c>
      <c r="V56">
        <v>18.595700000000001</v>
      </c>
      <c r="W56">
        <v>18.645399999999999</v>
      </c>
      <c r="X56">
        <v>18.274000000000001</v>
      </c>
      <c r="Y56" t="s">
        <v>137</v>
      </c>
      <c r="Z56" t="s">
        <v>137</v>
      </c>
      <c r="AA56">
        <v>18.625299999999999</v>
      </c>
      <c r="AB56">
        <v>19.158100000000001</v>
      </c>
      <c r="AC56">
        <v>19.301300000000001</v>
      </c>
      <c r="AD56">
        <v>19.118300000000001</v>
      </c>
      <c r="AE56">
        <v>18.828700000000001</v>
      </c>
      <c r="AF56" t="s">
        <v>137</v>
      </c>
      <c r="AG56" t="s">
        <v>137</v>
      </c>
      <c r="AH56">
        <v>18.857399999999998</v>
      </c>
      <c r="AI56">
        <v>18.6799</v>
      </c>
      <c r="AJ56">
        <v>18.841799999999999</v>
      </c>
      <c r="AK56">
        <v>18.7759</v>
      </c>
      <c r="AL56">
        <v>18.759599999999999</v>
      </c>
      <c r="AM56" t="s">
        <v>137</v>
      </c>
      <c r="AN56" t="s">
        <v>137</v>
      </c>
      <c r="AO56">
        <v>18.452300000000001</v>
      </c>
      <c r="AP56">
        <v>18.383800000000001</v>
      </c>
      <c r="AQ56">
        <v>18.112300000000001</v>
      </c>
      <c r="AR56">
        <v>16.96</v>
      </c>
      <c r="AS56">
        <v>17.092700000000001</v>
      </c>
      <c r="AT56" t="s">
        <v>137</v>
      </c>
      <c r="AU56" t="s">
        <v>137</v>
      </c>
      <c r="AV56">
        <v>17.141200000000001</v>
      </c>
      <c r="AW56">
        <v>17.3459</v>
      </c>
      <c r="AX56">
        <v>17.874199999999998</v>
      </c>
      <c r="AY56">
        <v>18.1981</v>
      </c>
      <c r="AZ56">
        <v>18.476299999999998</v>
      </c>
      <c r="BA56" t="s">
        <v>137</v>
      </c>
      <c r="BB56" t="s">
        <v>137</v>
      </c>
      <c r="BC56">
        <v>19.007100000000001</v>
      </c>
      <c r="BD56">
        <v>19.561699999999998</v>
      </c>
      <c r="BE56">
        <v>19.487300000000001</v>
      </c>
      <c r="BF56">
        <v>18.8443</v>
      </c>
      <c r="BG56">
        <v>19.342600000000001</v>
      </c>
      <c r="BH56" t="s">
        <v>137</v>
      </c>
      <c r="BI56" t="s">
        <v>137</v>
      </c>
      <c r="BJ56">
        <v>20.305900000000001</v>
      </c>
      <c r="BK56">
        <v>20.259899999999998</v>
      </c>
      <c r="BL56">
        <v>20.178599999999999</v>
      </c>
      <c r="BM56">
        <v>20.311800000000002</v>
      </c>
      <c r="BN56">
        <v>20.382999999999999</v>
      </c>
      <c r="BO56" t="s">
        <v>137</v>
      </c>
      <c r="BP56" t="s">
        <v>137</v>
      </c>
      <c r="BQ56">
        <v>20.5762</v>
      </c>
      <c r="BR56">
        <v>20.382300000000001</v>
      </c>
      <c r="BS56">
        <v>20.833100000000002</v>
      </c>
      <c r="BT56">
        <v>20.896999999999998</v>
      </c>
      <c r="BU56">
        <v>21.179099999999998</v>
      </c>
      <c r="BV56" t="s">
        <v>137</v>
      </c>
      <c r="BW56" t="s">
        <v>137</v>
      </c>
      <c r="BX56">
        <v>21.3202</v>
      </c>
      <c r="BY56">
        <v>21.491199999999999</v>
      </c>
      <c r="BZ56">
        <v>21.694700000000001</v>
      </c>
      <c r="CA56">
        <v>20.928999999999998</v>
      </c>
      <c r="CB56">
        <v>20.872499999999999</v>
      </c>
      <c r="CC56" t="s">
        <v>137</v>
      </c>
      <c r="CD56" t="s">
        <v>137</v>
      </c>
      <c r="CE56">
        <v>20.803699999999999</v>
      </c>
      <c r="CF56">
        <v>20.6907</v>
      </c>
      <c r="CG56">
        <v>19.517700000000001</v>
      </c>
      <c r="CH56">
        <v>19.010899999999999</v>
      </c>
      <c r="CI56">
        <v>19.109300000000001</v>
      </c>
      <c r="CJ56" t="s">
        <v>137</v>
      </c>
      <c r="CK56" t="s">
        <v>137</v>
      </c>
      <c r="CL56">
        <v>19.5183</v>
      </c>
      <c r="CM56">
        <v>19.433199999999999</v>
      </c>
      <c r="CN56">
        <v>19.2301</v>
      </c>
      <c r="CO56">
        <v>19.348800000000001</v>
      </c>
      <c r="CP56">
        <v>19.3398</v>
      </c>
      <c r="CQ56" t="s">
        <v>137</v>
      </c>
      <c r="CR56" t="s">
        <v>137</v>
      </c>
      <c r="CS56">
        <v>20.064399999999999</v>
      </c>
      <c r="CT56">
        <v>20.384</v>
      </c>
      <c r="CU56">
        <v>19.924399999999999</v>
      </c>
      <c r="CV56">
        <v>20.267900000000001</v>
      </c>
      <c r="CW56">
        <v>19.950800000000001</v>
      </c>
      <c r="CX56" t="s">
        <v>137</v>
      </c>
      <c r="CY56" t="s">
        <v>137</v>
      </c>
      <c r="CZ56">
        <v>19.085599999999999</v>
      </c>
      <c r="DA56">
        <v>19.190799999999999</v>
      </c>
      <c r="DB56">
        <v>19.2593</v>
      </c>
      <c r="DC56">
        <v>18.9986</v>
      </c>
      <c r="DD56">
        <v>19.038399999999999</v>
      </c>
      <c r="DE56" t="s">
        <v>137</v>
      </c>
      <c r="DF56" t="s">
        <v>137</v>
      </c>
      <c r="DG56">
        <v>19.087499999999999</v>
      </c>
      <c r="DH56">
        <v>18.664400000000001</v>
      </c>
      <c r="DI56">
        <v>17.217300000000002</v>
      </c>
      <c r="DJ56">
        <v>17.594999999999999</v>
      </c>
      <c r="DK56">
        <v>17.605399999999999</v>
      </c>
      <c r="DL56" t="s">
        <v>137</v>
      </c>
      <c r="DM56" t="s">
        <v>137</v>
      </c>
      <c r="DN56">
        <v>17.220099999999999</v>
      </c>
      <c r="DO56">
        <v>16.471699999999998</v>
      </c>
      <c r="DP56">
        <v>16.482399999999998</v>
      </c>
      <c r="DQ56">
        <v>16.3492</v>
      </c>
      <c r="DR56">
        <v>16.429099999999998</v>
      </c>
      <c r="DS56" t="s">
        <v>137</v>
      </c>
      <c r="DT56" t="s">
        <v>137</v>
      </c>
      <c r="DU56">
        <v>16.363199999999999</v>
      </c>
      <c r="DV56">
        <v>16.053000000000001</v>
      </c>
      <c r="DW56">
        <v>16.0456</v>
      </c>
      <c r="DX56">
        <v>16.424700000000001</v>
      </c>
      <c r="DY56">
        <v>16.154299999999999</v>
      </c>
      <c r="DZ56" t="s">
        <v>137</v>
      </c>
      <c r="EA56" t="s">
        <v>137</v>
      </c>
      <c r="EB56">
        <v>17.668600000000001</v>
      </c>
      <c r="EC56">
        <v>17.303899999999999</v>
      </c>
      <c r="ED56">
        <v>17.578199999999999</v>
      </c>
      <c r="EE56">
        <v>17.104900000000001</v>
      </c>
      <c r="EF56">
        <v>16.925799999999999</v>
      </c>
      <c r="EG56" t="s">
        <v>137</v>
      </c>
      <c r="EH56" t="s">
        <v>137</v>
      </c>
      <c r="EI56">
        <v>16.987100000000002</v>
      </c>
      <c r="EJ56">
        <v>17.132200000000001</v>
      </c>
      <c r="EK56">
        <v>17.117699999999999</v>
      </c>
      <c r="EL56">
        <v>16.892199999999999</v>
      </c>
      <c r="EM56">
        <v>17.092500000000001</v>
      </c>
      <c r="EN56" t="s">
        <v>137</v>
      </c>
      <c r="EO56" t="s">
        <v>137</v>
      </c>
      <c r="EP56">
        <v>17.057200000000002</v>
      </c>
      <c r="EQ56">
        <v>17.562999999999999</v>
      </c>
      <c r="ER56">
        <v>18.253699999999998</v>
      </c>
      <c r="ES56">
        <v>18.337399999999999</v>
      </c>
      <c r="ET56">
        <v>18.676400000000001</v>
      </c>
      <c r="EU56" t="s">
        <v>137</v>
      </c>
      <c r="EV56" t="s">
        <v>137</v>
      </c>
      <c r="EW56">
        <v>19.692900000000002</v>
      </c>
      <c r="EX56">
        <v>19.3749</v>
      </c>
      <c r="EY56">
        <v>18.795000000000002</v>
      </c>
      <c r="EZ56">
        <v>18.886099999999999</v>
      </c>
      <c r="FA56">
        <v>18.992799999999999</v>
      </c>
      <c r="FB56" t="s">
        <v>137</v>
      </c>
      <c r="FC56" t="s">
        <v>137</v>
      </c>
      <c r="FD56">
        <v>18.580100000000002</v>
      </c>
      <c r="FE56">
        <v>18.378699999999998</v>
      </c>
      <c r="FF56">
        <v>17.881</v>
      </c>
      <c r="FG56">
        <v>18.228000000000002</v>
      </c>
      <c r="FH56">
        <v>18.036200000000001</v>
      </c>
      <c r="FI56" t="s">
        <v>137</v>
      </c>
      <c r="FJ56" t="s">
        <v>137</v>
      </c>
      <c r="FK56">
        <v>18.085799999999999</v>
      </c>
      <c r="FL56">
        <v>18.426300000000001</v>
      </c>
      <c r="FM56">
        <v>18.7959</v>
      </c>
      <c r="FN56">
        <v>19.271699999999999</v>
      </c>
      <c r="FO56">
        <v>19.260999999999999</v>
      </c>
      <c r="FP56" t="s">
        <v>137</v>
      </c>
      <c r="FQ56" t="s">
        <v>137</v>
      </c>
      <c r="FR56">
        <v>19.171099999999999</v>
      </c>
      <c r="FS56">
        <v>19.4068</v>
      </c>
      <c r="FT56">
        <v>19.3795</v>
      </c>
      <c r="FU56">
        <v>19.3124</v>
      </c>
      <c r="FV56">
        <v>19.270499999999998</v>
      </c>
      <c r="FW56" t="s">
        <v>137</v>
      </c>
      <c r="FX56" t="s">
        <v>137</v>
      </c>
      <c r="FY56">
        <v>19.2285</v>
      </c>
      <c r="FZ56">
        <v>19.127800000000001</v>
      </c>
      <c r="GA56">
        <v>19.107700000000001</v>
      </c>
      <c r="GB56">
        <v>19.336099999999998</v>
      </c>
      <c r="GC56">
        <v>19.78</v>
      </c>
      <c r="GD56" t="s">
        <v>137</v>
      </c>
      <c r="GE56" t="s">
        <v>137</v>
      </c>
      <c r="GF56">
        <v>19.7803</v>
      </c>
      <c r="GG56">
        <v>19.555499999999999</v>
      </c>
      <c r="GH56">
        <v>19.473700000000001</v>
      </c>
      <c r="GI56">
        <v>19.5655</v>
      </c>
      <c r="GJ56">
        <v>19.6282</v>
      </c>
      <c r="GK56" t="s">
        <v>137</v>
      </c>
      <c r="GL56" t="s">
        <v>137</v>
      </c>
      <c r="GM56">
        <v>23.191099999999999</v>
      </c>
      <c r="GN56">
        <v>22.7972</v>
      </c>
      <c r="GO56">
        <v>23.088999999999999</v>
      </c>
      <c r="GP56">
        <v>23.090699999999998</v>
      </c>
      <c r="GQ56">
        <v>27.253900000000002</v>
      </c>
      <c r="GR56" t="s">
        <v>137</v>
      </c>
      <c r="GS56" t="s">
        <v>137</v>
      </c>
      <c r="GT56">
        <v>27.254799999999999</v>
      </c>
      <c r="GU56">
        <v>27.255400000000002</v>
      </c>
      <c r="GV56">
        <v>27.2563</v>
      </c>
      <c r="GW56">
        <v>34.286799999999999</v>
      </c>
      <c r="GX56">
        <v>34.104500000000002</v>
      </c>
      <c r="GY56" t="s">
        <v>137</v>
      </c>
      <c r="GZ56" t="s">
        <v>137</v>
      </c>
      <c r="HA56">
        <v>36.409500000000001</v>
      </c>
      <c r="HB56">
        <v>35.921599999999998</v>
      </c>
      <c r="HC56">
        <v>36.214199999999998</v>
      </c>
      <c r="HD56">
        <v>35.1342</v>
      </c>
      <c r="HE56">
        <v>34.745399999999997</v>
      </c>
      <c r="HF56" t="s">
        <v>137</v>
      </c>
      <c r="HG56" t="s">
        <v>137</v>
      </c>
      <c r="HH56">
        <v>34.6785</v>
      </c>
      <c r="HI56">
        <v>33.153300000000002</v>
      </c>
      <c r="HJ56">
        <v>33.391800000000003</v>
      </c>
      <c r="HK56">
        <v>33.096800000000002</v>
      </c>
      <c r="HL56">
        <v>31.920400000000001</v>
      </c>
      <c r="HM56" t="s">
        <v>137</v>
      </c>
      <c r="HN56" t="s">
        <v>137</v>
      </c>
      <c r="HO56">
        <v>30.993400000000001</v>
      </c>
      <c r="HP56">
        <v>30.353400000000001</v>
      </c>
      <c r="HQ56">
        <v>32.7577</v>
      </c>
      <c r="HR56">
        <v>33.770800000000001</v>
      </c>
      <c r="HS56">
        <v>34.1447</v>
      </c>
      <c r="HT56" t="s">
        <v>137</v>
      </c>
      <c r="HU56" t="s">
        <v>137</v>
      </c>
      <c r="HV56">
        <v>31.381599999999999</v>
      </c>
      <c r="HW56">
        <v>32.469299999999997</v>
      </c>
      <c r="HX56">
        <v>34.463000000000001</v>
      </c>
      <c r="HY56">
        <v>35.4816</v>
      </c>
      <c r="HZ56">
        <v>31.067699999999999</v>
      </c>
      <c r="IA56" t="s">
        <v>137</v>
      </c>
      <c r="IB56" t="s">
        <v>137</v>
      </c>
      <c r="IC56">
        <v>27.8322</v>
      </c>
      <c r="ID56">
        <v>29.0319</v>
      </c>
      <c r="IE56">
        <v>30.555099999999999</v>
      </c>
      <c r="IF56">
        <v>34.045999999999999</v>
      </c>
      <c r="IG56">
        <v>33.615699999999997</v>
      </c>
      <c r="IH56" t="s">
        <v>137</v>
      </c>
      <c r="II56" t="s">
        <v>137</v>
      </c>
      <c r="IJ56">
        <v>34.201000000000001</v>
      </c>
      <c r="IK56">
        <v>33.315800000000003</v>
      </c>
      <c r="IL56">
        <v>32.611199999999997</v>
      </c>
      <c r="IM56">
        <v>35.931399999999996</v>
      </c>
      <c r="IN56">
        <v>35.325600000000001</v>
      </c>
      <c r="IO56" t="s">
        <v>137</v>
      </c>
      <c r="IP56" t="s">
        <v>137</v>
      </c>
      <c r="IQ56">
        <v>38.2986</v>
      </c>
      <c r="IR56">
        <v>34.471200000000003</v>
      </c>
      <c r="IS56">
        <v>31.831499999999998</v>
      </c>
      <c r="IT56">
        <v>31.6496</v>
      </c>
      <c r="IU56">
        <v>31.1279</v>
      </c>
      <c r="IV56" t="s">
        <v>137</v>
      </c>
      <c r="IW56" t="s">
        <v>137</v>
      </c>
      <c r="IX56">
        <v>29.945</v>
      </c>
      <c r="IY56">
        <v>27.301500000000001</v>
      </c>
      <c r="IZ56">
        <v>27.5809</v>
      </c>
      <c r="JA56">
        <v>28.542999999999999</v>
      </c>
      <c r="JB56">
        <v>25.563600000000001</v>
      </c>
      <c r="JC56" t="s">
        <v>137</v>
      </c>
      <c r="JD56" t="s">
        <v>137</v>
      </c>
      <c r="JE56">
        <v>24.590499999999999</v>
      </c>
      <c r="JF56">
        <v>25.2211</v>
      </c>
      <c r="JG56">
        <v>25.791</v>
      </c>
      <c r="JH56">
        <v>25.7944</v>
      </c>
      <c r="JI56">
        <v>25.5944</v>
      </c>
      <c r="JJ56" t="s">
        <v>137</v>
      </c>
      <c r="JK56" t="s">
        <v>137</v>
      </c>
      <c r="JL56">
        <v>25.339300000000001</v>
      </c>
      <c r="JM56">
        <v>23.5427</v>
      </c>
      <c r="JN56">
        <v>22.953600000000002</v>
      </c>
      <c r="JO56">
        <v>23.2408</v>
      </c>
      <c r="JP56">
        <v>22.5627</v>
      </c>
      <c r="JQ56" t="s">
        <v>137</v>
      </c>
      <c r="JR56" t="s">
        <v>137</v>
      </c>
      <c r="JS56">
        <v>21.883500000000002</v>
      </c>
      <c r="JT56">
        <v>22.4086</v>
      </c>
      <c r="JU56">
        <v>21.877199999999998</v>
      </c>
      <c r="JV56">
        <v>21.785699999999999</v>
      </c>
      <c r="JW56">
        <v>21.989000000000001</v>
      </c>
      <c r="JX56" t="s">
        <v>137</v>
      </c>
      <c r="JY56" t="s">
        <v>137</v>
      </c>
      <c r="JZ56">
        <v>21.448399999999999</v>
      </c>
      <c r="KA56">
        <v>21.751000000000001</v>
      </c>
      <c r="KB56">
        <v>21.749600000000001</v>
      </c>
      <c r="KC56">
        <v>21.916799999999999</v>
      </c>
      <c r="KD56">
        <v>21.957000000000001</v>
      </c>
      <c r="KE56" t="s">
        <v>137</v>
      </c>
      <c r="KF56" t="s">
        <v>137</v>
      </c>
      <c r="KG56">
        <v>22.231400000000001</v>
      </c>
      <c r="KH56">
        <v>21.712299999999999</v>
      </c>
      <c r="KI56">
        <v>21.933800000000002</v>
      </c>
      <c r="KJ56">
        <v>22.453499999999998</v>
      </c>
      <c r="KK56">
        <v>21.7182</v>
      </c>
      <c r="KL56" t="s">
        <v>137</v>
      </c>
      <c r="KM56" t="s">
        <v>137</v>
      </c>
      <c r="KN56">
        <v>21.3185</v>
      </c>
      <c r="KO56">
        <v>20.567799999999998</v>
      </c>
      <c r="KP56">
        <v>21.010300000000001</v>
      </c>
      <c r="KQ56">
        <v>21.052299999999999</v>
      </c>
      <c r="KR56">
        <v>21.509</v>
      </c>
      <c r="KS56" t="s">
        <v>137</v>
      </c>
      <c r="KT56" t="s">
        <v>137</v>
      </c>
      <c r="KU56">
        <v>20.983899999999998</v>
      </c>
      <c r="KV56">
        <v>21.086099999999998</v>
      </c>
      <c r="KW56">
        <v>20.941700000000001</v>
      </c>
      <c r="KX56">
        <v>21.2639</v>
      </c>
      <c r="KY56">
        <v>21.217199999999998</v>
      </c>
      <c r="KZ56" t="s">
        <v>137</v>
      </c>
      <c r="LA56" t="s">
        <v>137</v>
      </c>
      <c r="LB56">
        <v>20.426300000000001</v>
      </c>
      <c r="LC56">
        <v>20.309100000000001</v>
      </c>
      <c r="LD56">
        <v>19.811599999999999</v>
      </c>
      <c r="LE56">
        <v>20.087800000000001</v>
      </c>
      <c r="LF56">
        <v>19.8902</v>
      </c>
      <c r="LG56" t="s">
        <v>137</v>
      </c>
      <c r="LH56" t="s">
        <v>137</v>
      </c>
      <c r="LI56">
        <v>19.7712</v>
      </c>
      <c r="LJ56">
        <v>20.275400000000001</v>
      </c>
      <c r="LK56">
        <v>20.258600000000001</v>
      </c>
      <c r="LL56">
        <v>20.095500000000001</v>
      </c>
      <c r="LM56">
        <v>20.315999999999999</v>
      </c>
      <c r="LN56" t="s">
        <v>137</v>
      </c>
      <c r="LO56" t="s">
        <v>137</v>
      </c>
      <c r="LP56">
        <v>20.422899999999998</v>
      </c>
      <c r="LQ56">
        <v>20.148700000000002</v>
      </c>
      <c r="LR56">
        <v>19.8307</v>
      </c>
      <c r="LS56">
        <v>19.2698</v>
      </c>
      <c r="LT56">
        <v>19.209700000000002</v>
      </c>
      <c r="LU56" t="s">
        <v>137</v>
      </c>
      <c r="LV56" t="s">
        <v>137</v>
      </c>
      <c r="LW56">
        <v>19.176400000000001</v>
      </c>
      <c r="LX56">
        <v>19.229700000000001</v>
      </c>
      <c r="LY56">
        <v>19.457000000000001</v>
      </c>
      <c r="LZ56">
        <v>19.612200000000001</v>
      </c>
      <c r="MA56">
        <v>19.212599999999998</v>
      </c>
      <c r="MB56" t="s">
        <v>137</v>
      </c>
      <c r="MC56" t="s">
        <v>137</v>
      </c>
      <c r="MD56">
        <v>19.265499999999999</v>
      </c>
      <c r="ME56">
        <v>17.295300000000001</v>
      </c>
      <c r="MF56">
        <v>17.399899999999999</v>
      </c>
      <c r="MG56">
        <v>17.7239</v>
      </c>
      <c r="MH56">
        <v>17.980499999999999</v>
      </c>
      <c r="MI56" t="s">
        <v>137</v>
      </c>
      <c r="MJ56" t="s">
        <v>137</v>
      </c>
      <c r="MK56">
        <v>18.1035</v>
      </c>
      <c r="ML56">
        <v>18.0261</v>
      </c>
      <c r="MM56">
        <v>18.1647</v>
      </c>
      <c r="MN56">
        <v>18.265499999999999</v>
      </c>
      <c r="MO56">
        <v>18.385200000000001</v>
      </c>
      <c r="MP56" t="s">
        <v>137</v>
      </c>
      <c r="MQ56" t="s">
        <v>137</v>
      </c>
      <c r="MR56">
        <v>18.4817</v>
      </c>
      <c r="MS56">
        <v>18.4955</v>
      </c>
      <c r="MT56">
        <v>18.500800000000002</v>
      </c>
      <c r="MU56">
        <v>18.488399999999999</v>
      </c>
      <c r="MV56">
        <v>18.540099999999999</v>
      </c>
      <c r="MW56" t="s">
        <v>137</v>
      </c>
      <c r="MX56" t="s">
        <v>137</v>
      </c>
      <c r="MY56">
        <v>18.8507</v>
      </c>
      <c r="MZ56">
        <v>18.751300000000001</v>
      </c>
      <c r="NA56">
        <v>18.769500000000001</v>
      </c>
      <c r="NB56">
        <v>18.834700000000002</v>
      </c>
      <c r="NC56">
        <v>18.758700000000001</v>
      </c>
      <c r="ND56" t="s">
        <v>137</v>
      </c>
      <c r="NE56" t="s">
        <v>137</v>
      </c>
      <c r="NF56">
        <v>18.741199999999999</v>
      </c>
      <c r="NG56">
        <v>18.409099999999999</v>
      </c>
      <c r="NH56">
        <v>18.766999999999999</v>
      </c>
      <c r="NI56">
        <v>18.718499999999999</v>
      </c>
      <c r="NJ56">
        <v>17.732600000000001</v>
      </c>
      <c r="NK56" t="s">
        <v>137</v>
      </c>
      <c r="NL56" t="s">
        <v>137</v>
      </c>
      <c r="NM56" t="s">
        <v>137</v>
      </c>
      <c r="NN56" t="s">
        <v>137</v>
      </c>
      <c r="NO56" t="s">
        <v>137</v>
      </c>
      <c r="NP56" t="s">
        <v>137</v>
      </c>
      <c r="NQ56" t="s">
        <v>137</v>
      </c>
      <c r="NR56" t="s">
        <v>137</v>
      </c>
      <c r="NS56" t="s">
        <v>137</v>
      </c>
      <c r="NT56" t="s">
        <v>137</v>
      </c>
      <c r="NU56" t="s">
        <v>137</v>
      </c>
      <c r="NV56" t="s">
        <v>137</v>
      </c>
      <c r="NW56" t="s">
        <v>137</v>
      </c>
      <c r="NX56" t="s">
        <v>137</v>
      </c>
      <c r="NY56" t="s">
        <v>137</v>
      </c>
      <c r="NZ56" t="s">
        <v>137</v>
      </c>
      <c r="OA56" t="s">
        <v>137</v>
      </c>
      <c r="OB56" t="s">
        <v>137</v>
      </c>
      <c r="OC56" t="s">
        <v>137</v>
      </c>
      <c r="OD56" t="s">
        <v>137</v>
      </c>
      <c r="OE56" t="s">
        <v>137</v>
      </c>
      <c r="OF56" t="s">
        <v>137</v>
      </c>
      <c r="OG56" t="s">
        <v>137</v>
      </c>
      <c r="OH56" t="s">
        <v>137</v>
      </c>
      <c r="OI56" t="s">
        <v>137</v>
      </c>
      <c r="OJ56" t="s">
        <v>137</v>
      </c>
      <c r="OK56" t="s">
        <v>137</v>
      </c>
      <c r="OL56" t="s">
        <v>137</v>
      </c>
      <c r="OM56" t="s">
        <v>137</v>
      </c>
      <c r="ON56" t="s">
        <v>137</v>
      </c>
      <c r="OO56" t="s">
        <v>137</v>
      </c>
      <c r="OP56" t="s">
        <v>137</v>
      </c>
      <c r="OQ56" t="s">
        <v>137</v>
      </c>
      <c r="OR56" t="s">
        <v>137</v>
      </c>
      <c r="OS56" t="s">
        <v>137</v>
      </c>
      <c r="OT56" t="s">
        <v>137</v>
      </c>
      <c r="OU56" t="s">
        <v>137</v>
      </c>
      <c r="OV56" t="s">
        <v>137</v>
      </c>
      <c r="OW56" t="s">
        <v>137</v>
      </c>
      <c r="OX56" t="s">
        <v>137</v>
      </c>
      <c r="OY56" t="s">
        <v>137</v>
      </c>
      <c r="OZ56" t="s">
        <v>137</v>
      </c>
      <c r="PA56" t="s">
        <v>137</v>
      </c>
      <c r="PB56" t="s">
        <v>137</v>
      </c>
      <c r="PC56" t="s">
        <v>137</v>
      </c>
      <c r="PD56" t="s">
        <v>137</v>
      </c>
      <c r="PE56" t="s">
        <v>137</v>
      </c>
      <c r="PF56" t="s">
        <v>137</v>
      </c>
      <c r="PG56" t="s">
        <v>137</v>
      </c>
      <c r="PH56" t="s">
        <v>137</v>
      </c>
      <c r="PI56" t="s">
        <v>137</v>
      </c>
      <c r="PJ56" t="s">
        <v>137</v>
      </c>
      <c r="PK56" t="s">
        <v>137</v>
      </c>
      <c r="PL56" t="s">
        <v>137</v>
      </c>
      <c r="PM56" t="s">
        <v>137</v>
      </c>
      <c r="PN56" t="s">
        <v>137</v>
      </c>
      <c r="PO56" t="s">
        <v>137</v>
      </c>
      <c r="PP56" t="s">
        <v>137</v>
      </c>
      <c r="PQ56" t="s">
        <v>137</v>
      </c>
      <c r="PR56" t="s">
        <v>137</v>
      </c>
      <c r="PS56" t="s">
        <v>137</v>
      </c>
      <c r="PT56" t="s">
        <v>137</v>
      </c>
      <c r="PU56" t="s">
        <v>137</v>
      </c>
      <c r="PV56" t="s">
        <v>137</v>
      </c>
      <c r="PW56" t="s">
        <v>137</v>
      </c>
      <c r="PX56" t="s">
        <v>137</v>
      </c>
      <c r="PY56" t="s">
        <v>137</v>
      </c>
      <c r="PZ56" t="s">
        <v>137</v>
      </c>
      <c r="QA56" t="s">
        <v>137</v>
      </c>
      <c r="QB56" t="s">
        <v>137</v>
      </c>
      <c r="QC56" t="s">
        <v>137</v>
      </c>
      <c r="QD56" t="s">
        <v>137</v>
      </c>
      <c r="QE56" t="s">
        <v>137</v>
      </c>
      <c r="QF56" t="s">
        <v>137</v>
      </c>
      <c r="QG56" t="s">
        <v>137</v>
      </c>
      <c r="QH56" t="s">
        <v>137</v>
      </c>
      <c r="QI56" t="s">
        <v>137</v>
      </c>
      <c r="QJ56" t="s">
        <v>137</v>
      </c>
      <c r="QK56" t="s">
        <v>137</v>
      </c>
      <c r="QL56" t="s">
        <v>137</v>
      </c>
      <c r="QM56" t="s">
        <v>137</v>
      </c>
      <c r="QN56" t="s">
        <v>137</v>
      </c>
      <c r="QO56" t="s">
        <v>137</v>
      </c>
    </row>
    <row r="57" spans="1:457" x14ac:dyDescent="0.2">
      <c r="A57" t="s">
        <v>126</v>
      </c>
      <c r="B57" s="3">
        <v>43111</v>
      </c>
      <c r="C57" t="s">
        <v>52</v>
      </c>
      <c r="E57" t="s">
        <v>137</v>
      </c>
      <c r="F57">
        <v>19.510999999999999</v>
      </c>
      <c r="G57">
        <v>19.577100000000002</v>
      </c>
      <c r="H57">
        <v>18.284600000000001</v>
      </c>
      <c r="I57">
        <v>17.464500000000001</v>
      </c>
      <c r="J57">
        <v>17.369499999999999</v>
      </c>
      <c r="K57" t="s">
        <v>137</v>
      </c>
      <c r="L57" t="s">
        <v>137</v>
      </c>
      <c r="M57">
        <v>16.726700000000001</v>
      </c>
      <c r="N57">
        <v>17.055599999999998</v>
      </c>
      <c r="O57">
        <v>16.830300000000001</v>
      </c>
      <c r="P57">
        <v>16.955300000000001</v>
      </c>
      <c r="Q57">
        <v>17.9788</v>
      </c>
      <c r="R57" t="s">
        <v>137</v>
      </c>
      <c r="S57" t="s">
        <v>137</v>
      </c>
      <c r="T57">
        <v>18.2989</v>
      </c>
      <c r="U57">
        <v>17.5245</v>
      </c>
      <c r="V57">
        <v>17.217300000000002</v>
      </c>
      <c r="W57">
        <v>17.2499</v>
      </c>
      <c r="X57">
        <v>17.120999999999999</v>
      </c>
      <c r="Y57" t="s">
        <v>137</v>
      </c>
      <c r="Z57" t="s">
        <v>137</v>
      </c>
      <c r="AA57">
        <v>17.314</v>
      </c>
      <c r="AB57">
        <v>17.6434</v>
      </c>
      <c r="AC57">
        <v>17.643799999999999</v>
      </c>
      <c r="AD57">
        <v>17.813099999999999</v>
      </c>
      <c r="AE57">
        <v>17.409800000000001</v>
      </c>
      <c r="AF57" t="s">
        <v>137</v>
      </c>
      <c r="AG57" t="s">
        <v>137</v>
      </c>
      <c r="AH57">
        <v>17.232299999999999</v>
      </c>
      <c r="AI57">
        <v>17.353100000000001</v>
      </c>
      <c r="AJ57">
        <v>17.378299999999999</v>
      </c>
      <c r="AK57">
        <v>17.438300000000002</v>
      </c>
      <c r="AL57">
        <v>17.235199999999999</v>
      </c>
      <c r="AM57" t="s">
        <v>137</v>
      </c>
      <c r="AN57" t="s">
        <v>137</v>
      </c>
      <c r="AO57">
        <v>16.8064</v>
      </c>
      <c r="AP57">
        <v>16.777100000000001</v>
      </c>
      <c r="AQ57">
        <v>16.560300000000002</v>
      </c>
      <c r="AR57">
        <v>15.6402</v>
      </c>
      <c r="AS57">
        <v>15.8223</v>
      </c>
      <c r="AT57" t="s">
        <v>137</v>
      </c>
      <c r="AU57" t="s">
        <v>137</v>
      </c>
      <c r="AV57">
        <v>15.7979</v>
      </c>
      <c r="AW57">
        <v>16.1631</v>
      </c>
      <c r="AX57">
        <v>16.678899999999999</v>
      </c>
      <c r="AY57">
        <v>16.7897</v>
      </c>
      <c r="AZ57">
        <v>17.098299999999998</v>
      </c>
      <c r="BA57" t="s">
        <v>137</v>
      </c>
      <c r="BB57" t="s">
        <v>137</v>
      </c>
      <c r="BC57">
        <v>17.7562</v>
      </c>
      <c r="BD57">
        <v>18.188800000000001</v>
      </c>
      <c r="BE57">
        <v>17.900700000000001</v>
      </c>
      <c r="BF57">
        <v>17.462900000000001</v>
      </c>
      <c r="BG57">
        <v>17.8322</v>
      </c>
      <c r="BH57" t="s">
        <v>137</v>
      </c>
      <c r="BI57" t="s">
        <v>137</v>
      </c>
      <c r="BJ57">
        <v>18.3</v>
      </c>
      <c r="BK57">
        <v>18.310700000000001</v>
      </c>
      <c r="BL57">
        <v>18.436399999999999</v>
      </c>
      <c r="BM57">
        <v>18.523700000000002</v>
      </c>
      <c r="BN57">
        <v>18.5471</v>
      </c>
      <c r="BO57" t="s">
        <v>137</v>
      </c>
      <c r="BP57" t="s">
        <v>137</v>
      </c>
      <c r="BQ57">
        <v>18.640799999999999</v>
      </c>
      <c r="BR57">
        <v>18.6462</v>
      </c>
      <c r="BS57">
        <v>19.168299999999999</v>
      </c>
      <c r="BT57">
        <v>19.3537</v>
      </c>
      <c r="BU57">
        <v>19.8019</v>
      </c>
      <c r="BV57" t="s">
        <v>137</v>
      </c>
      <c r="BW57" t="s">
        <v>137</v>
      </c>
      <c r="BX57">
        <v>19.8687</v>
      </c>
      <c r="BY57">
        <v>20.210899999999999</v>
      </c>
      <c r="BZ57">
        <v>20.002500000000001</v>
      </c>
      <c r="CA57">
        <v>19.445799999999998</v>
      </c>
      <c r="CB57">
        <v>19.316600000000001</v>
      </c>
      <c r="CC57" t="s">
        <v>137</v>
      </c>
      <c r="CD57" t="s">
        <v>137</v>
      </c>
      <c r="CE57">
        <v>19.6157</v>
      </c>
      <c r="CF57">
        <v>18.8306</v>
      </c>
      <c r="CG57">
        <v>17.861699999999999</v>
      </c>
      <c r="CH57">
        <v>17.873200000000001</v>
      </c>
      <c r="CI57">
        <v>18.072700000000001</v>
      </c>
      <c r="CJ57" t="s">
        <v>137</v>
      </c>
      <c r="CK57" t="s">
        <v>137</v>
      </c>
      <c r="CL57">
        <v>18.371500000000001</v>
      </c>
      <c r="CM57">
        <v>18.184000000000001</v>
      </c>
      <c r="CN57">
        <v>18.232299999999999</v>
      </c>
      <c r="CO57">
        <v>18.453499999999998</v>
      </c>
      <c r="CP57">
        <v>18.3095</v>
      </c>
      <c r="CQ57" t="s">
        <v>137</v>
      </c>
      <c r="CR57" t="s">
        <v>137</v>
      </c>
      <c r="CS57">
        <v>18.798500000000001</v>
      </c>
      <c r="CT57">
        <v>19.214700000000001</v>
      </c>
      <c r="CU57">
        <v>18.959299999999999</v>
      </c>
      <c r="CV57">
        <v>19.3398</v>
      </c>
      <c r="CW57">
        <v>19.3094</v>
      </c>
      <c r="CX57" t="s">
        <v>137</v>
      </c>
      <c r="CY57" t="s">
        <v>137</v>
      </c>
      <c r="CZ57">
        <v>18.373799999999999</v>
      </c>
      <c r="DA57">
        <v>18.480499999999999</v>
      </c>
      <c r="DB57">
        <v>18.305099999999999</v>
      </c>
      <c r="DC57">
        <v>18.140699999999999</v>
      </c>
      <c r="DD57">
        <v>18.2029</v>
      </c>
      <c r="DE57" t="s">
        <v>137</v>
      </c>
      <c r="DF57" t="s">
        <v>137</v>
      </c>
      <c r="DG57">
        <v>18.302</v>
      </c>
      <c r="DH57">
        <v>17.264700000000001</v>
      </c>
      <c r="DI57">
        <v>16.634799999999998</v>
      </c>
      <c r="DJ57">
        <v>16.7333</v>
      </c>
      <c r="DK57">
        <v>16.490600000000001</v>
      </c>
      <c r="DL57" t="s">
        <v>137</v>
      </c>
      <c r="DM57" t="s">
        <v>137</v>
      </c>
      <c r="DN57">
        <v>16.1859</v>
      </c>
      <c r="DO57">
        <v>16.035599999999999</v>
      </c>
      <c r="DP57">
        <v>15.978999999999999</v>
      </c>
      <c r="DQ57">
        <v>15.5829</v>
      </c>
      <c r="DR57">
        <v>15.725</v>
      </c>
      <c r="DS57" t="s">
        <v>137</v>
      </c>
      <c r="DT57" t="s">
        <v>137</v>
      </c>
      <c r="DU57">
        <v>15.138999999999999</v>
      </c>
      <c r="DV57">
        <v>15.213900000000001</v>
      </c>
      <c r="DW57">
        <v>15.4861</v>
      </c>
      <c r="DX57">
        <v>15.395</v>
      </c>
      <c r="DY57">
        <v>15.406599999999999</v>
      </c>
      <c r="DZ57" t="s">
        <v>137</v>
      </c>
      <c r="EA57" t="s">
        <v>137</v>
      </c>
      <c r="EB57">
        <v>16.778199999999998</v>
      </c>
      <c r="EC57">
        <v>16.3675</v>
      </c>
      <c r="ED57">
        <v>16.5397</v>
      </c>
      <c r="EE57">
        <v>16.129000000000001</v>
      </c>
      <c r="EF57">
        <v>16.042300000000001</v>
      </c>
      <c r="EG57" t="s">
        <v>137</v>
      </c>
      <c r="EH57" t="s">
        <v>137</v>
      </c>
      <c r="EI57">
        <v>15.780900000000001</v>
      </c>
      <c r="EJ57">
        <v>15.9094</v>
      </c>
      <c r="EK57">
        <v>15.866300000000001</v>
      </c>
      <c r="EL57">
        <v>15.799799999999999</v>
      </c>
      <c r="EM57">
        <v>15.823</v>
      </c>
      <c r="EN57" t="s">
        <v>137</v>
      </c>
      <c r="EO57" t="s">
        <v>137</v>
      </c>
      <c r="EP57">
        <v>15.995900000000001</v>
      </c>
      <c r="EQ57">
        <v>16.353400000000001</v>
      </c>
      <c r="ER57">
        <v>16.872599999999998</v>
      </c>
      <c r="ES57">
        <v>16.775300000000001</v>
      </c>
      <c r="ET57">
        <v>17.069400000000002</v>
      </c>
      <c r="EU57" t="s">
        <v>137</v>
      </c>
      <c r="EV57" t="s">
        <v>137</v>
      </c>
      <c r="EW57">
        <v>17.126000000000001</v>
      </c>
      <c r="EX57">
        <v>17.637</v>
      </c>
      <c r="EY57">
        <v>16.8718</v>
      </c>
      <c r="EZ57">
        <v>17.252500000000001</v>
      </c>
      <c r="FA57">
        <v>17.219899999999999</v>
      </c>
      <c r="FB57" t="s">
        <v>137</v>
      </c>
      <c r="FC57" t="s">
        <v>137</v>
      </c>
      <c r="FD57">
        <v>16.822900000000001</v>
      </c>
      <c r="FE57">
        <v>16.171500000000002</v>
      </c>
      <c r="FF57">
        <v>16.261399999999998</v>
      </c>
      <c r="FG57">
        <v>16.536999999999999</v>
      </c>
      <c r="FH57">
        <v>16.3979</v>
      </c>
      <c r="FI57" t="s">
        <v>137</v>
      </c>
      <c r="FJ57" t="s">
        <v>137</v>
      </c>
      <c r="FK57">
        <v>16.3979</v>
      </c>
      <c r="FL57">
        <v>17.118200000000002</v>
      </c>
      <c r="FM57">
        <v>17.017499999999998</v>
      </c>
      <c r="FN57">
        <v>17.3264</v>
      </c>
      <c r="FO57">
        <v>17.320900000000002</v>
      </c>
      <c r="FP57" t="s">
        <v>137</v>
      </c>
      <c r="FQ57" t="s">
        <v>137</v>
      </c>
      <c r="FR57">
        <v>17.2697</v>
      </c>
      <c r="FS57">
        <v>17.3218</v>
      </c>
      <c r="FT57">
        <v>17.3215</v>
      </c>
      <c r="FU57">
        <v>17.3215</v>
      </c>
      <c r="FV57">
        <v>17.320699999999999</v>
      </c>
      <c r="FW57" t="s">
        <v>137</v>
      </c>
      <c r="FX57" t="s">
        <v>137</v>
      </c>
      <c r="FY57">
        <v>17.320499999999999</v>
      </c>
      <c r="FZ57">
        <v>17.218499999999999</v>
      </c>
      <c r="GA57">
        <v>17.3565</v>
      </c>
      <c r="GB57">
        <v>18.016100000000002</v>
      </c>
      <c r="GC57">
        <v>18.532599999999999</v>
      </c>
      <c r="GD57" t="s">
        <v>137</v>
      </c>
      <c r="GE57" t="s">
        <v>137</v>
      </c>
      <c r="GF57">
        <v>18.299299999999999</v>
      </c>
      <c r="GG57">
        <v>18.016100000000002</v>
      </c>
      <c r="GH57">
        <v>17.8504</v>
      </c>
      <c r="GI57">
        <v>18.473400000000002</v>
      </c>
      <c r="GJ57">
        <v>18.473400000000002</v>
      </c>
      <c r="GK57" t="s">
        <v>137</v>
      </c>
      <c r="GL57" t="s">
        <v>137</v>
      </c>
      <c r="GM57">
        <v>18.473400000000002</v>
      </c>
      <c r="GN57">
        <v>18.473400000000002</v>
      </c>
      <c r="GO57">
        <v>21.331600000000002</v>
      </c>
      <c r="GP57">
        <v>21.331299999999999</v>
      </c>
      <c r="GQ57">
        <v>24.126100000000001</v>
      </c>
      <c r="GR57" t="s">
        <v>137</v>
      </c>
      <c r="GS57" t="s">
        <v>137</v>
      </c>
      <c r="GT57">
        <v>26.494</v>
      </c>
      <c r="GU57">
        <v>26.1264</v>
      </c>
      <c r="GV57">
        <v>28.943300000000001</v>
      </c>
      <c r="GW57">
        <v>30.350899999999999</v>
      </c>
      <c r="GX57">
        <v>29.092099999999999</v>
      </c>
      <c r="GY57" t="s">
        <v>137</v>
      </c>
      <c r="GZ57" t="s">
        <v>137</v>
      </c>
      <c r="HA57">
        <v>29.091899999999999</v>
      </c>
      <c r="HB57">
        <v>32.088700000000003</v>
      </c>
      <c r="HC57">
        <v>31.021799999999999</v>
      </c>
      <c r="HD57">
        <v>30.1858</v>
      </c>
      <c r="HE57">
        <v>30.3491</v>
      </c>
      <c r="HF57" t="s">
        <v>137</v>
      </c>
      <c r="HG57" t="s">
        <v>137</v>
      </c>
      <c r="HH57">
        <v>29.897400000000001</v>
      </c>
      <c r="HI57">
        <v>28.500699999999998</v>
      </c>
      <c r="HJ57">
        <v>28.693999999999999</v>
      </c>
      <c r="HK57">
        <v>28.500499999999999</v>
      </c>
      <c r="HL57">
        <v>27.525600000000001</v>
      </c>
      <c r="HM57" t="s">
        <v>137</v>
      </c>
      <c r="HN57" t="s">
        <v>137</v>
      </c>
      <c r="HO57">
        <v>27.058599999999998</v>
      </c>
      <c r="HP57">
        <v>26.9986</v>
      </c>
      <c r="HQ57">
        <v>27.934899999999999</v>
      </c>
      <c r="HR57">
        <v>28.119299999999999</v>
      </c>
      <c r="HS57">
        <v>28.357299999999999</v>
      </c>
      <c r="HT57" t="s">
        <v>137</v>
      </c>
      <c r="HU57" t="s">
        <v>137</v>
      </c>
      <c r="HV57">
        <v>28.501000000000001</v>
      </c>
      <c r="HW57">
        <v>28.215299999999999</v>
      </c>
      <c r="HX57">
        <v>28.6464</v>
      </c>
      <c r="HY57">
        <v>28.793500000000002</v>
      </c>
      <c r="HZ57">
        <v>28.204699999999999</v>
      </c>
      <c r="IA57" t="s">
        <v>137</v>
      </c>
      <c r="IB57" t="s">
        <v>137</v>
      </c>
      <c r="IC57">
        <v>24.757000000000001</v>
      </c>
      <c r="ID57">
        <v>24.757300000000001</v>
      </c>
      <c r="IE57">
        <v>25.7698</v>
      </c>
      <c r="IF57">
        <v>25.770700000000001</v>
      </c>
      <c r="IG57">
        <v>25.770800000000001</v>
      </c>
      <c r="IH57" t="s">
        <v>137</v>
      </c>
      <c r="II57" t="s">
        <v>137</v>
      </c>
      <c r="IJ57">
        <v>25.771000000000001</v>
      </c>
      <c r="IK57">
        <v>30.517499999999998</v>
      </c>
      <c r="IL57">
        <v>30.684799999999999</v>
      </c>
      <c r="IM57">
        <v>31.0259</v>
      </c>
      <c r="IN57">
        <v>32.655000000000001</v>
      </c>
      <c r="IO57" t="s">
        <v>137</v>
      </c>
      <c r="IP57" t="s">
        <v>137</v>
      </c>
      <c r="IQ57">
        <v>32.8476</v>
      </c>
      <c r="IR57">
        <v>30.520700000000001</v>
      </c>
      <c r="IS57">
        <v>29.402100000000001</v>
      </c>
      <c r="IT57">
        <v>29.250399999999999</v>
      </c>
      <c r="IU57">
        <v>28.801200000000001</v>
      </c>
      <c r="IV57" t="s">
        <v>137</v>
      </c>
      <c r="IW57" t="s">
        <v>137</v>
      </c>
      <c r="IX57">
        <v>27.007200000000001</v>
      </c>
      <c r="IY57">
        <v>26.013300000000001</v>
      </c>
      <c r="IZ57">
        <v>26.626200000000001</v>
      </c>
      <c r="JA57">
        <v>27.139500000000002</v>
      </c>
      <c r="JB57">
        <v>25.318100000000001</v>
      </c>
      <c r="JC57" t="s">
        <v>137</v>
      </c>
      <c r="JD57" t="s">
        <v>137</v>
      </c>
      <c r="JE57">
        <v>23.7333</v>
      </c>
      <c r="JF57">
        <v>24.875399999999999</v>
      </c>
      <c r="JG57">
        <v>25.095600000000001</v>
      </c>
      <c r="JH57">
        <v>24.449200000000001</v>
      </c>
      <c r="JI57">
        <v>24.555199999999999</v>
      </c>
      <c r="JJ57" t="s">
        <v>137</v>
      </c>
      <c r="JK57" t="s">
        <v>137</v>
      </c>
      <c r="JL57">
        <v>24.555800000000001</v>
      </c>
      <c r="JM57">
        <v>20.659300000000002</v>
      </c>
      <c r="JN57">
        <v>21.191500000000001</v>
      </c>
      <c r="JO57">
        <v>21.5092</v>
      </c>
      <c r="JP57">
        <v>20.297799999999999</v>
      </c>
      <c r="JQ57" t="s">
        <v>137</v>
      </c>
      <c r="JR57" t="s">
        <v>137</v>
      </c>
      <c r="JS57">
        <v>20.369700000000002</v>
      </c>
      <c r="JT57">
        <v>20.157</v>
      </c>
      <c r="JU57">
        <v>19.2851</v>
      </c>
      <c r="JV57">
        <v>19.546199999999999</v>
      </c>
      <c r="JW57">
        <v>19.679400000000001</v>
      </c>
      <c r="JX57" t="s">
        <v>137</v>
      </c>
      <c r="JY57" t="s">
        <v>137</v>
      </c>
      <c r="JZ57">
        <v>18.910399999999999</v>
      </c>
      <c r="KA57">
        <v>19.680199999999999</v>
      </c>
      <c r="KB57">
        <v>19.160599999999999</v>
      </c>
      <c r="KC57">
        <v>19.749099999999999</v>
      </c>
      <c r="KD57">
        <v>19.6159</v>
      </c>
      <c r="KE57" t="s">
        <v>137</v>
      </c>
      <c r="KF57" t="s">
        <v>137</v>
      </c>
      <c r="KG57">
        <v>19.6829</v>
      </c>
      <c r="KH57">
        <v>19.290500000000002</v>
      </c>
      <c r="KI57">
        <v>19.485399999999998</v>
      </c>
      <c r="KJ57">
        <v>19.956600000000002</v>
      </c>
      <c r="KK57">
        <v>19.2928</v>
      </c>
      <c r="KL57" t="s">
        <v>137</v>
      </c>
      <c r="KM57" t="s">
        <v>137</v>
      </c>
      <c r="KN57">
        <v>18.9162</v>
      </c>
      <c r="KO57">
        <v>18.4373</v>
      </c>
      <c r="KP57">
        <v>18.855899999999998</v>
      </c>
      <c r="KQ57">
        <v>19.1051</v>
      </c>
      <c r="KR57">
        <v>19.360499999999998</v>
      </c>
      <c r="KS57" t="s">
        <v>137</v>
      </c>
      <c r="KT57" t="s">
        <v>137</v>
      </c>
      <c r="KU57">
        <v>18.676600000000001</v>
      </c>
      <c r="KV57">
        <v>18.797699999999999</v>
      </c>
      <c r="KW57">
        <v>18.859300000000001</v>
      </c>
      <c r="KX57">
        <v>18.860700000000001</v>
      </c>
      <c r="KY57">
        <v>18.8614</v>
      </c>
      <c r="KZ57" t="s">
        <v>137</v>
      </c>
      <c r="LA57" t="s">
        <v>137</v>
      </c>
      <c r="LB57">
        <v>18.212800000000001</v>
      </c>
      <c r="LC57">
        <v>17.988499999999998</v>
      </c>
      <c r="LD57">
        <v>17.770099999999999</v>
      </c>
      <c r="LE57">
        <v>17.933800000000002</v>
      </c>
      <c r="LF57">
        <v>17.989000000000001</v>
      </c>
      <c r="LG57" t="s">
        <v>137</v>
      </c>
      <c r="LH57" t="s">
        <v>137</v>
      </c>
      <c r="LI57">
        <v>17.988800000000001</v>
      </c>
      <c r="LJ57">
        <v>18.5457</v>
      </c>
      <c r="LK57">
        <v>18.6602</v>
      </c>
      <c r="LL57">
        <v>18.424199999999999</v>
      </c>
      <c r="LM57">
        <v>18.508700000000001</v>
      </c>
      <c r="LN57" t="s">
        <v>137</v>
      </c>
      <c r="LO57" t="s">
        <v>137</v>
      </c>
      <c r="LP57">
        <v>18.709399999999999</v>
      </c>
      <c r="LQ57">
        <v>18.6693</v>
      </c>
      <c r="LR57">
        <v>17.903199999999998</v>
      </c>
      <c r="LS57">
        <v>17.513100000000001</v>
      </c>
      <c r="LT57">
        <v>17.573899999999998</v>
      </c>
      <c r="LU57" t="s">
        <v>137</v>
      </c>
      <c r="LV57" t="s">
        <v>137</v>
      </c>
      <c r="LW57">
        <v>17.597100000000001</v>
      </c>
      <c r="LX57">
        <v>17.9009</v>
      </c>
      <c r="LY57">
        <v>17.9651</v>
      </c>
      <c r="LZ57">
        <v>18.232900000000001</v>
      </c>
      <c r="MA57">
        <v>17.976800000000001</v>
      </c>
      <c r="MB57" t="s">
        <v>137</v>
      </c>
      <c r="MC57" t="s">
        <v>137</v>
      </c>
      <c r="MD57">
        <v>17.918299999999999</v>
      </c>
      <c r="ME57">
        <v>15.908300000000001</v>
      </c>
      <c r="MF57">
        <v>15.973699999999999</v>
      </c>
      <c r="MG57">
        <v>16.472100000000001</v>
      </c>
      <c r="MH57">
        <v>16.503799999999998</v>
      </c>
      <c r="MI57" t="s">
        <v>137</v>
      </c>
      <c r="MJ57" t="s">
        <v>137</v>
      </c>
      <c r="MK57">
        <v>16.770700000000001</v>
      </c>
      <c r="ML57">
        <v>16.431799999999999</v>
      </c>
      <c r="MM57">
        <v>16.555499999999999</v>
      </c>
      <c r="MN57">
        <v>16.746700000000001</v>
      </c>
      <c r="MO57">
        <v>17.023599999999998</v>
      </c>
      <c r="MP57" t="s">
        <v>137</v>
      </c>
      <c r="MQ57" t="s">
        <v>137</v>
      </c>
      <c r="MR57">
        <v>17.094799999999999</v>
      </c>
      <c r="MS57">
        <v>17.098299999999998</v>
      </c>
      <c r="MT57">
        <v>17.062899999999999</v>
      </c>
      <c r="MU57">
        <v>17.3004</v>
      </c>
      <c r="MV57">
        <v>17.301300000000001</v>
      </c>
      <c r="MW57" t="s">
        <v>137</v>
      </c>
      <c r="MX57" t="s">
        <v>137</v>
      </c>
      <c r="MY57">
        <v>17.624600000000001</v>
      </c>
      <c r="MZ57">
        <v>17.6387</v>
      </c>
      <c r="NA57">
        <v>17.3139</v>
      </c>
      <c r="NB57">
        <v>17.4011</v>
      </c>
      <c r="NC57">
        <v>17.311900000000001</v>
      </c>
      <c r="ND57" t="s">
        <v>137</v>
      </c>
      <c r="NE57" t="s">
        <v>137</v>
      </c>
      <c r="NF57">
        <v>17.1553</v>
      </c>
      <c r="NG57">
        <v>16.893899999999999</v>
      </c>
      <c r="NH57">
        <v>16.467400000000001</v>
      </c>
      <c r="NI57">
        <v>16.538599999999999</v>
      </c>
      <c r="NJ57">
        <v>16.813800000000001</v>
      </c>
      <c r="NK57" t="s">
        <v>137</v>
      </c>
      <c r="NL57" t="s">
        <v>137</v>
      </c>
      <c r="NM57" t="s">
        <v>137</v>
      </c>
      <c r="NN57" t="s">
        <v>137</v>
      </c>
      <c r="NO57" t="s">
        <v>137</v>
      </c>
      <c r="NP57" t="s">
        <v>137</v>
      </c>
      <c r="NQ57" t="s">
        <v>137</v>
      </c>
      <c r="NR57" t="s">
        <v>137</v>
      </c>
      <c r="NS57" t="s">
        <v>137</v>
      </c>
      <c r="NT57" t="s">
        <v>137</v>
      </c>
      <c r="NU57" t="s">
        <v>137</v>
      </c>
      <c r="NV57" t="s">
        <v>137</v>
      </c>
      <c r="NW57" t="s">
        <v>137</v>
      </c>
      <c r="NX57" t="s">
        <v>137</v>
      </c>
      <c r="NY57" t="s">
        <v>137</v>
      </c>
      <c r="NZ57" t="s">
        <v>137</v>
      </c>
      <c r="OA57" t="s">
        <v>137</v>
      </c>
      <c r="OB57" t="s">
        <v>137</v>
      </c>
      <c r="OC57" t="s">
        <v>137</v>
      </c>
      <c r="OD57" t="s">
        <v>137</v>
      </c>
      <c r="OE57" t="s">
        <v>137</v>
      </c>
      <c r="OF57" t="s">
        <v>137</v>
      </c>
      <c r="OG57" t="s">
        <v>137</v>
      </c>
      <c r="OH57" t="s">
        <v>137</v>
      </c>
      <c r="OI57" t="s">
        <v>137</v>
      </c>
      <c r="OJ57" t="s">
        <v>137</v>
      </c>
      <c r="OK57" t="s">
        <v>137</v>
      </c>
      <c r="OL57" t="s">
        <v>137</v>
      </c>
      <c r="OM57" t="s">
        <v>137</v>
      </c>
      <c r="ON57" t="s">
        <v>137</v>
      </c>
      <c r="OO57" t="s">
        <v>137</v>
      </c>
      <c r="OP57" t="s">
        <v>137</v>
      </c>
      <c r="OQ57" t="s">
        <v>137</v>
      </c>
      <c r="OR57" t="s">
        <v>137</v>
      </c>
      <c r="OS57" t="s">
        <v>137</v>
      </c>
      <c r="OT57" t="s">
        <v>137</v>
      </c>
      <c r="OU57" t="s">
        <v>137</v>
      </c>
      <c r="OV57" t="s">
        <v>137</v>
      </c>
      <c r="OW57" t="s">
        <v>137</v>
      </c>
      <c r="OX57" t="s">
        <v>137</v>
      </c>
      <c r="OY57" t="s">
        <v>137</v>
      </c>
      <c r="OZ57" t="s">
        <v>137</v>
      </c>
      <c r="PA57" t="s">
        <v>137</v>
      </c>
      <c r="PB57" t="s">
        <v>137</v>
      </c>
      <c r="PC57" t="s">
        <v>137</v>
      </c>
      <c r="PD57" t="s">
        <v>137</v>
      </c>
      <c r="PE57" t="s">
        <v>137</v>
      </c>
      <c r="PF57" t="s">
        <v>137</v>
      </c>
      <c r="PG57" t="s">
        <v>137</v>
      </c>
      <c r="PH57" t="s">
        <v>137</v>
      </c>
      <c r="PI57" t="s">
        <v>137</v>
      </c>
      <c r="PJ57" t="s">
        <v>137</v>
      </c>
      <c r="PK57" t="s">
        <v>137</v>
      </c>
      <c r="PL57" t="s">
        <v>137</v>
      </c>
      <c r="PM57" t="s">
        <v>137</v>
      </c>
      <c r="PN57" t="s">
        <v>137</v>
      </c>
      <c r="PO57" t="s">
        <v>137</v>
      </c>
      <c r="PP57" t="s">
        <v>137</v>
      </c>
      <c r="PQ57" t="s">
        <v>137</v>
      </c>
      <c r="PR57" t="s">
        <v>137</v>
      </c>
      <c r="PS57" t="s">
        <v>137</v>
      </c>
      <c r="PT57" t="s">
        <v>137</v>
      </c>
      <c r="PU57" t="s">
        <v>137</v>
      </c>
      <c r="PV57" t="s">
        <v>137</v>
      </c>
      <c r="PW57" t="s">
        <v>137</v>
      </c>
      <c r="PX57" t="s">
        <v>137</v>
      </c>
      <c r="PY57" t="s">
        <v>137</v>
      </c>
      <c r="PZ57" t="s">
        <v>137</v>
      </c>
      <c r="QA57" t="s">
        <v>137</v>
      </c>
      <c r="QB57" t="s">
        <v>137</v>
      </c>
      <c r="QC57" t="s">
        <v>137</v>
      </c>
      <c r="QD57" t="s">
        <v>137</v>
      </c>
      <c r="QE57" t="s">
        <v>137</v>
      </c>
      <c r="QF57" t="s">
        <v>137</v>
      </c>
      <c r="QG57" t="s">
        <v>137</v>
      </c>
      <c r="QH57" t="s">
        <v>137</v>
      </c>
      <c r="QI57" t="s">
        <v>137</v>
      </c>
      <c r="QJ57" t="s">
        <v>137</v>
      </c>
      <c r="QK57" t="s">
        <v>137</v>
      </c>
      <c r="QL57" t="s">
        <v>137</v>
      </c>
      <c r="QM57" t="s">
        <v>137</v>
      </c>
      <c r="QN57" t="s">
        <v>137</v>
      </c>
      <c r="QO57" t="s">
        <v>137</v>
      </c>
    </row>
    <row r="58" spans="1:457" x14ac:dyDescent="0.2">
      <c r="A58" t="s">
        <v>127</v>
      </c>
      <c r="B58" s="3">
        <v>42914</v>
      </c>
      <c r="C58" t="s">
        <v>92</v>
      </c>
      <c r="E58" t="s">
        <v>137</v>
      </c>
      <c r="F58">
        <v>19.881599999999999</v>
      </c>
      <c r="G58">
        <v>19.608899999999998</v>
      </c>
      <c r="H58">
        <v>18.232500000000002</v>
      </c>
      <c r="I58">
        <v>17.778600000000001</v>
      </c>
      <c r="J58">
        <v>16.447600000000001</v>
      </c>
      <c r="K58" t="s">
        <v>137</v>
      </c>
      <c r="L58" t="s">
        <v>137</v>
      </c>
      <c r="M58">
        <v>15.7232</v>
      </c>
      <c r="N58">
        <v>17.241800000000001</v>
      </c>
      <c r="O58">
        <v>16.639099999999999</v>
      </c>
      <c r="P58">
        <v>16.835100000000001</v>
      </c>
      <c r="Q58">
        <v>17.667999999999999</v>
      </c>
      <c r="R58" t="s">
        <v>137</v>
      </c>
      <c r="S58" t="s">
        <v>137</v>
      </c>
      <c r="T58">
        <v>17.777899999999999</v>
      </c>
      <c r="U58">
        <v>17.667999999999999</v>
      </c>
      <c r="V58">
        <v>16.834900000000001</v>
      </c>
      <c r="W58">
        <v>17.137899999999998</v>
      </c>
      <c r="X58">
        <v>17.137899999999998</v>
      </c>
      <c r="Y58" t="s">
        <v>137</v>
      </c>
      <c r="Z58" t="s">
        <v>137</v>
      </c>
      <c r="AA58">
        <v>17.241399999999999</v>
      </c>
      <c r="AB58">
        <v>17.777699999999999</v>
      </c>
      <c r="AC58">
        <v>18.001799999999999</v>
      </c>
      <c r="AD58">
        <v>17.667899999999999</v>
      </c>
      <c r="AE58">
        <v>17.3459</v>
      </c>
      <c r="AF58" t="s">
        <v>137</v>
      </c>
      <c r="AG58" t="s">
        <v>137</v>
      </c>
      <c r="AH58">
        <v>17.137899999999998</v>
      </c>
      <c r="AI58">
        <v>17.241399999999999</v>
      </c>
      <c r="AJ58">
        <v>17.137899999999998</v>
      </c>
      <c r="AK58">
        <v>17.398800000000001</v>
      </c>
      <c r="AL58">
        <v>17.189599999999999</v>
      </c>
      <c r="AM58" t="s">
        <v>137</v>
      </c>
      <c r="AN58" t="s">
        <v>137</v>
      </c>
      <c r="AO58">
        <v>16.835100000000001</v>
      </c>
      <c r="AP58">
        <v>16.985199999999999</v>
      </c>
      <c r="AQ58">
        <v>16.6389</v>
      </c>
      <c r="AR58">
        <v>15.636799999999999</v>
      </c>
      <c r="AS58">
        <v>15.723000000000001</v>
      </c>
      <c r="AT58" t="s">
        <v>137</v>
      </c>
      <c r="AU58" t="s">
        <v>137</v>
      </c>
      <c r="AV58">
        <v>15.898099999999999</v>
      </c>
      <c r="AW58">
        <v>16.077200000000001</v>
      </c>
      <c r="AX58">
        <v>16.736799999999999</v>
      </c>
      <c r="AY58">
        <v>16.688199999999998</v>
      </c>
      <c r="AZ58">
        <v>16.985900000000001</v>
      </c>
      <c r="BA58" t="s">
        <v>137</v>
      </c>
      <c r="BB58" t="s">
        <v>137</v>
      </c>
      <c r="BC58">
        <v>17.452999999999999</v>
      </c>
      <c r="BD58">
        <v>17.8904</v>
      </c>
      <c r="BE58">
        <v>17.7239</v>
      </c>
      <c r="BF58">
        <v>17.242799999999999</v>
      </c>
      <c r="BG58">
        <v>17.614999999999998</v>
      </c>
      <c r="BH58" t="s">
        <v>137</v>
      </c>
      <c r="BI58" t="s">
        <v>137</v>
      </c>
      <c r="BJ58">
        <v>18.711099999999998</v>
      </c>
      <c r="BK58">
        <v>18.3508</v>
      </c>
      <c r="BL58">
        <v>18.4099</v>
      </c>
      <c r="BM58">
        <v>18.7119</v>
      </c>
      <c r="BN58">
        <v>18.590199999999999</v>
      </c>
      <c r="BO58" t="s">
        <v>137</v>
      </c>
      <c r="BP58" t="s">
        <v>137</v>
      </c>
      <c r="BQ58">
        <v>18.712</v>
      </c>
      <c r="BR58">
        <v>18.773800000000001</v>
      </c>
      <c r="BS58">
        <v>18.960799999999999</v>
      </c>
      <c r="BT58">
        <v>19.346499999999999</v>
      </c>
      <c r="BU58">
        <v>19.6797</v>
      </c>
      <c r="BV58" t="s">
        <v>137</v>
      </c>
      <c r="BW58" t="s">
        <v>137</v>
      </c>
      <c r="BX58">
        <v>19.816500000000001</v>
      </c>
      <c r="BY58">
        <v>19.8856</v>
      </c>
      <c r="BZ58">
        <v>20.309899999999999</v>
      </c>
      <c r="CA58">
        <v>19.413799999999998</v>
      </c>
      <c r="CB58">
        <v>19.546900000000001</v>
      </c>
      <c r="CC58" t="s">
        <v>137</v>
      </c>
      <c r="CD58" t="s">
        <v>137</v>
      </c>
      <c r="CE58">
        <v>19.6142</v>
      </c>
      <c r="CF58">
        <v>19.547499999999999</v>
      </c>
      <c r="CG58">
        <v>18.1218</v>
      </c>
      <c r="CH58">
        <v>17.674099999999999</v>
      </c>
      <c r="CI58">
        <v>17.619599999999998</v>
      </c>
      <c r="CJ58" t="s">
        <v>137</v>
      </c>
      <c r="CK58" t="s">
        <v>137</v>
      </c>
      <c r="CL58">
        <v>18.180599999999998</v>
      </c>
      <c r="CM58">
        <v>18.356300000000001</v>
      </c>
      <c r="CN58">
        <v>18.0093</v>
      </c>
      <c r="CO58">
        <v>18.240200000000002</v>
      </c>
      <c r="CP58">
        <v>18.124700000000001</v>
      </c>
      <c r="CQ58" t="s">
        <v>137</v>
      </c>
      <c r="CR58" t="s">
        <v>137</v>
      </c>
      <c r="CS58">
        <v>18.596900000000002</v>
      </c>
      <c r="CT58">
        <v>19.0946</v>
      </c>
      <c r="CU58">
        <v>18.4773</v>
      </c>
      <c r="CV58">
        <v>19.032399999999999</v>
      </c>
      <c r="CW58">
        <v>19.032599999999999</v>
      </c>
      <c r="CX58" t="s">
        <v>137</v>
      </c>
      <c r="CY58" t="s">
        <v>137</v>
      </c>
      <c r="CZ58">
        <v>17.843699999999998</v>
      </c>
      <c r="DA58">
        <v>18.184999999999999</v>
      </c>
      <c r="DB58">
        <v>17.956600000000002</v>
      </c>
      <c r="DC58">
        <v>17.957699999999999</v>
      </c>
      <c r="DD58">
        <v>18.014600000000002</v>
      </c>
      <c r="DE58" t="s">
        <v>137</v>
      </c>
      <c r="DF58" t="s">
        <v>137</v>
      </c>
      <c r="DG58">
        <v>18.014800000000001</v>
      </c>
      <c r="DH58">
        <v>17.1495</v>
      </c>
      <c r="DI58">
        <v>16.410299999999999</v>
      </c>
      <c r="DJ58">
        <v>16.317399999999999</v>
      </c>
      <c r="DK58">
        <v>16.271100000000001</v>
      </c>
      <c r="DL58" t="s">
        <v>137</v>
      </c>
      <c r="DM58" t="s">
        <v>137</v>
      </c>
      <c r="DN58">
        <v>15.9085</v>
      </c>
      <c r="DO58">
        <v>15.3939</v>
      </c>
      <c r="DP58">
        <v>15.3941</v>
      </c>
      <c r="DQ58">
        <v>15.3939</v>
      </c>
      <c r="DR58">
        <v>14.950200000000001</v>
      </c>
      <c r="DS58" t="s">
        <v>137</v>
      </c>
      <c r="DT58" t="s">
        <v>137</v>
      </c>
      <c r="DU58">
        <v>14.757</v>
      </c>
      <c r="DV58">
        <v>14.7568</v>
      </c>
      <c r="DW58">
        <v>14.756600000000001</v>
      </c>
      <c r="DX58">
        <v>15.147600000000001</v>
      </c>
      <c r="DY58">
        <v>15.7318</v>
      </c>
      <c r="DZ58" t="s">
        <v>137</v>
      </c>
      <c r="EA58" t="s">
        <v>137</v>
      </c>
      <c r="EB58">
        <v>16.223299999999998</v>
      </c>
      <c r="EC58">
        <v>15.6881</v>
      </c>
      <c r="ED58">
        <v>15.950900000000001</v>
      </c>
      <c r="EE58">
        <v>15.4747</v>
      </c>
      <c r="EF58">
        <v>15.186299999999999</v>
      </c>
      <c r="EG58" t="s">
        <v>137</v>
      </c>
      <c r="EH58" t="s">
        <v>137</v>
      </c>
      <c r="EI58">
        <v>15.308299999999999</v>
      </c>
      <c r="EJ58">
        <v>15.5585</v>
      </c>
      <c r="EK58">
        <v>15.473800000000001</v>
      </c>
      <c r="EL58">
        <v>15.307499999999999</v>
      </c>
      <c r="EM58">
        <v>15.5152</v>
      </c>
      <c r="EN58" t="s">
        <v>137</v>
      </c>
      <c r="EO58" t="s">
        <v>137</v>
      </c>
      <c r="EP58">
        <v>15.515000000000001</v>
      </c>
      <c r="EQ58">
        <v>15.993</v>
      </c>
      <c r="ER58">
        <v>16.694199999999999</v>
      </c>
      <c r="ES58">
        <v>16.6449</v>
      </c>
      <c r="ET58">
        <v>16.693300000000001</v>
      </c>
      <c r="EU58" t="s">
        <v>137</v>
      </c>
      <c r="EV58" t="s">
        <v>137</v>
      </c>
      <c r="EW58">
        <v>17.247599999999998</v>
      </c>
      <c r="EX58">
        <v>17.511800000000001</v>
      </c>
      <c r="EY58">
        <v>16.840499999999999</v>
      </c>
      <c r="EZ58">
        <v>17.040900000000001</v>
      </c>
      <c r="FA58">
        <v>17.246500000000001</v>
      </c>
      <c r="FB58" t="s">
        <v>137</v>
      </c>
      <c r="FC58" t="s">
        <v>137</v>
      </c>
      <c r="FD58">
        <v>16.595099999999999</v>
      </c>
      <c r="FE58">
        <v>16.357199999999999</v>
      </c>
      <c r="FF58">
        <v>16.035599999999999</v>
      </c>
      <c r="FG58">
        <v>16.450700000000001</v>
      </c>
      <c r="FH58">
        <v>16.263300000000001</v>
      </c>
      <c r="FI58" t="s">
        <v>137</v>
      </c>
      <c r="FJ58" t="s">
        <v>137</v>
      </c>
      <c r="FK58">
        <v>16.403199999999998</v>
      </c>
      <c r="FL58">
        <v>16.789000000000001</v>
      </c>
      <c r="FM58">
        <v>16.988299999999999</v>
      </c>
      <c r="FN58">
        <v>17.5626</v>
      </c>
      <c r="FO58">
        <v>17.296500000000002</v>
      </c>
      <c r="FP58" t="s">
        <v>137</v>
      </c>
      <c r="FQ58" t="s">
        <v>137</v>
      </c>
      <c r="FR58">
        <v>17.140599999999999</v>
      </c>
      <c r="FS58">
        <v>17.561900000000001</v>
      </c>
      <c r="FT58">
        <v>17.401299999999999</v>
      </c>
      <c r="FU58">
        <v>17.78</v>
      </c>
      <c r="FV58">
        <v>17.295500000000001</v>
      </c>
      <c r="FW58" t="s">
        <v>137</v>
      </c>
      <c r="FX58" t="s">
        <v>137</v>
      </c>
      <c r="FY58">
        <v>17.243300000000001</v>
      </c>
      <c r="FZ58">
        <v>17.0884</v>
      </c>
      <c r="GA58">
        <v>17.295100000000001</v>
      </c>
      <c r="GB58">
        <v>18.003299999999999</v>
      </c>
      <c r="GC58">
        <v>18.528500000000001</v>
      </c>
      <c r="GD58" t="s">
        <v>137</v>
      </c>
      <c r="GE58" t="s">
        <v>137</v>
      </c>
      <c r="GF58">
        <v>18.468499999999999</v>
      </c>
      <c r="GG58">
        <v>17.8902</v>
      </c>
      <c r="GH58">
        <v>17.668600000000001</v>
      </c>
      <c r="GI58">
        <v>18.527799999999999</v>
      </c>
      <c r="GJ58">
        <v>19.4084</v>
      </c>
      <c r="GK58" t="s">
        <v>137</v>
      </c>
      <c r="GL58" t="s">
        <v>137</v>
      </c>
      <c r="GM58">
        <v>21.207999999999998</v>
      </c>
      <c r="GN58">
        <v>21.207799999999999</v>
      </c>
      <c r="GO58">
        <v>21.6905</v>
      </c>
      <c r="GP58">
        <v>24.061399999999999</v>
      </c>
      <c r="GQ58">
        <v>24.4726</v>
      </c>
      <c r="GR58" t="s">
        <v>137</v>
      </c>
      <c r="GS58" t="s">
        <v>137</v>
      </c>
      <c r="GT58">
        <v>25.116499999999998</v>
      </c>
      <c r="GU58">
        <v>26.511399999999998</v>
      </c>
      <c r="GV58">
        <v>28.918800000000001</v>
      </c>
      <c r="GW58">
        <v>31.1144</v>
      </c>
      <c r="GX58">
        <v>29.820699999999999</v>
      </c>
      <c r="GY58" t="s">
        <v>137</v>
      </c>
      <c r="GZ58" t="s">
        <v>137</v>
      </c>
      <c r="HA58">
        <v>32.160200000000003</v>
      </c>
      <c r="HB58">
        <v>32.159999999999997</v>
      </c>
      <c r="HC58">
        <v>31.628499999999999</v>
      </c>
      <c r="HD58">
        <v>30.7804</v>
      </c>
      <c r="HE58">
        <v>31.2837</v>
      </c>
      <c r="HF58" t="s">
        <v>137</v>
      </c>
      <c r="HG58" t="s">
        <v>137</v>
      </c>
      <c r="HH58">
        <v>31.2837</v>
      </c>
      <c r="HI58">
        <v>30.133800000000001</v>
      </c>
      <c r="HJ58">
        <v>29.820399999999999</v>
      </c>
      <c r="HK58">
        <v>29.2133</v>
      </c>
      <c r="HL58">
        <v>28.346900000000002</v>
      </c>
      <c r="HM58" t="s">
        <v>137</v>
      </c>
      <c r="HN58" t="s">
        <v>137</v>
      </c>
      <c r="HO58">
        <v>27.139299999999999</v>
      </c>
      <c r="HP58">
        <v>27.139299999999999</v>
      </c>
      <c r="HQ58">
        <v>29.213999999999999</v>
      </c>
      <c r="HR58">
        <v>29.5154</v>
      </c>
      <c r="HS58">
        <v>29.515499999999999</v>
      </c>
      <c r="HT58" t="s">
        <v>137</v>
      </c>
      <c r="HU58" t="s">
        <v>137</v>
      </c>
      <c r="HV58">
        <v>29.215</v>
      </c>
      <c r="HW58">
        <v>28.920500000000001</v>
      </c>
      <c r="HX58">
        <v>30.2957</v>
      </c>
      <c r="HY58">
        <v>29.670100000000001</v>
      </c>
      <c r="HZ58">
        <v>26.8871</v>
      </c>
      <c r="IA58" t="s">
        <v>137</v>
      </c>
      <c r="IB58" t="s">
        <v>137</v>
      </c>
      <c r="IC58">
        <v>25.341200000000001</v>
      </c>
      <c r="ID58">
        <v>26.151499999999999</v>
      </c>
      <c r="IE58">
        <v>28.351199999999999</v>
      </c>
      <c r="IF58">
        <v>29.2196</v>
      </c>
      <c r="IG58">
        <v>31.463799999999999</v>
      </c>
      <c r="IH58" t="s">
        <v>137</v>
      </c>
      <c r="II58" t="s">
        <v>137</v>
      </c>
      <c r="IJ58">
        <v>31.464500000000001</v>
      </c>
      <c r="IK58">
        <v>31.293500000000002</v>
      </c>
      <c r="IL58">
        <v>31.465800000000002</v>
      </c>
      <c r="IM58">
        <v>31.4679</v>
      </c>
      <c r="IN58">
        <v>33.293999999999997</v>
      </c>
      <c r="IO58" t="s">
        <v>137</v>
      </c>
      <c r="IP58" t="s">
        <v>137</v>
      </c>
      <c r="IQ58">
        <v>34.085299999999997</v>
      </c>
      <c r="IR58">
        <v>31.470099999999999</v>
      </c>
      <c r="IS58">
        <v>30.468</v>
      </c>
      <c r="IT58">
        <v>29.836400000000001</v>
      </c>
      <c r="IU58">
        <v>29.837199999999999</v>
      </c>
      <c r="IV58" t="s">
        <v>137</v>
      </c>
      <c r="IW58" t="s">
        <v>137</v>
      </c>
      <c r="IX58">
        <v>27.8109</v>
      </c>
      <c r="IY58">
        <v>26.2804</v>
      </c>
      <c r="IZ58">
        <v>27.282499999999999</v>
      </c>
      <c r="JA58">
        <v>28.087</v>
      </c>
      <c r="JB58">
        <v>26.0444</v>
      </c>
      <c r="JC58" t="s">
        <v>137</v>
      </c>
      <c r="JD58" t="s">
        <v>137</v>
      </c>
      <c r="JE58">
        <v>24.8035</v>
      </c>
      <c r="JF58">
        <v>25.353400000000001</v>
      </c>
      <c r="JG58">
        <v>26.165199999999999</v>
      </c>
      <c r="JH58">
        <v>25.697500000000002</v>
      </c>
      <c r="JI58">
        <v>25.583300000000001</v>
      </c>
      <c r="JJ58" t="s">
        <v>137</v>
      </c>
      <c r="JK58" t="s">
        <v>137</v>
      </c>
      <c r="JL58">
        <v>25.5839</v>
      </c>
      <c r="JM58">
        <v>21.377600000000001</v>
      </c>
      <c r="JN58">
        <v>21.7852</v>
      </c>
      <c r="JO58">
        <v>21.953399999999998</v>
      </c>
      <c r="JP58">
        <v>20.8337</v>
      </c>
      <c r="JQ58" t="s">
        <v>137</v>
      </c>
      <c r="JR58" t="s">
        <v>137</v>
      </c>
      <c r="JS58">
        <v>20.910399999999999</v>
      </c>
      <c r="JT58">
        <v>20.609300000000001</v>
      </c>
      <c r="JU58">
        <v>19.6191</v>
      </c>
      <c r="JV58">
        <v>19.7559</v>
      </c>
      <c r="JW58">
        <v>20.033300000000001</v>
      </c>
      <c r="JX58" t="s">
        <v>137</v>
      </c>
      <c r="JY58" t="s">
        <v>137</v>
      </c>
      <c r="JZ58">
        <v>19.160399999999999</v>
      </c>
      <c r="KA58">
        <v>20.034099999999999</v>
      </c>
      <c r="KB58">
        <v>19.554600000000001</v>
      </c>
      <c r="KC58">
        <v>20.177299999999999</v>
      </c>
      <c r="KD58">
        <v>19.966200000000001</v>
      </c>
      <c r="KE58" t="s">
        <v>137</v>
      </c>
      <c r="KF58" t="s">
        <v>137</v>
      </c>
      <c r="KG58">
        <v>20.178100000000001</v>
      </c>
      <c r="KH58">
        <v>19.691800000000001</v>
      </c>
      <c r="KI58">
        <v>19.967700000000001</v>
      </c>
      <c r="KJ58">
        <v>20.396699999999999</v>
      </c>
      <c r="KK58">
        <v>19.7622</v>
      </c>
      <c r="KL58" t="s">
        <v>137</v>
      </c>
      <c r="KM58" t="s">
        <v>137</v>
      </c>
      <c r="KN58">
        <v>19.295300000000001</v>
      </c>
      <c r="KO58">
        <v>18.849900000000002</v>
      </c>
      <c r="KP58">
        <v>19.361599999999999</v>
      </c>
      <c r="KQ58">
        <v>19.362200000000001</v>
      </c>
      <c r="KR58">
        <v>19.8323</v>
      </c>
      <c r="KS58" t="s">
        <v>137</v>
      </c>
      <c r="KT58" t="s">
        <v>137</v>
      </c>
      <c r="KU58">
        <v>19.1023</v>
      </c>
      <c r="KV58">
        <v>19.295300000000001</v>
      </c>
      <c r="KW58">
        <v>19.426100000000002</v>
      </c>
      <c r="KX58">
        <v>19.2288</v>
      </c>
      <c r="KY58">
        <v>19.2285</v>
      </c>
      <c r="KZ58" t="s">
        <v>137</v>
      </c>
      <c r="LA58" t="s">
        <v>137</v>
      </c>
      <c r="LB58">
        <v>18.601800000000001</v>
      </c>
      <c r="LC58">
        <v>18.421399999999998</v>
      </c>
      <c r="LD58">
        <v>17.901299999999999</v>
      </c>
      <c r="LE58">
        <v>18.127800000000001</v>
      </c>
      <c r="LF58">
        <v>18.185199999999998</v>
      </c>
      <c r="LG58" t="s">
        <v>137</v>
      </c>
      <c r="LH58" t="s">
        <v>137</v>
      </c>
      <c r="LI58">
        <v>18.184799999999999</v>
      </c>
      <c r="LJ58">
        <v>18.1846</v>
      </c>
      <c r="LK58">
        <v>18.844100000000001</v>
      </c>
      <c r="LL58">
        <v>18.4773</v>
      </c>
      <c r="LM58">
        <v>18.658200000000001</v>
      </c>
      <c r="LN58" t="s">
        <v>137</v>
      </c>
      <c r="LO58" t="s">
        <v>137</v>
      </c>
      <c r="LP58">
        <v>18.718900000000001</v>
      </c>
      <c r="LQ58">
        <v>18.299099999999999</v>
      </c>
      <c r="LR58">
        <v>17.953800000000001</v>
      </c>
      <c r="LS58">
        <v>17.566500000000001</v>
      </c>
      <c r="LT58">
        <v>17.840499999999999</v>
      </c>
      <c r="LU58" t="s">
        <v>137</v>
      </c>
      <c r="LV58" t="s">
        <v>137</v>
      </c>
      <c r="LW58">
        <v>17.620100000000001</v>
      </c>
      <c r="LX58">
        <v>18.008800000000001</v>
      </c>
      <c r="LY58">
        <v>18.122900000000001</v>
      </c>
      <c r="LZ58">
        <v>18.2379</v>
      </c>
      <c r="MA58">
        <v>18.0078</v>
      </c>
      <c r="MB58" t="s">
        <v>137</v>
      </c>
      <c r="MC58" t="s">
        <v>137</v>
      </c>
      <c r="MD58">
        <v>18.064599999999999</v>
      </c>
      <c r="ME58">
        <v>16.171900000000001</v>
      </c>
      <c r="MF58">
        <v>16.171700000000001</v>
      </c>
      <c r="MG58">
        <v>16.450700000000001</v>
      </c>
      <c r="MH58">
        <v>16.450700000000001</v>
      </c>
      <c r="MI58" t="s">
        <v>137</v>
      </c>
      <c r="MJ58" t="s">
        <v>137</v>
      </c>
      <c r="MK58">
        <v>16.642199999999999</v>
      </c>
      <c r="ML58">
        <v>16.641999999999999</v>
      </c>
      <c r="MM58">
        <v>16.6906</v>
      </c>
      <c r="MN58">
        <v>16.887499999999999</v>
      </c>
      <c r="MO58">
        <v>16.9879</v>
      </c>
      <c r="MP58" t="s">
        <v>137</v>
      </c>
      <c r="MQ58" t="s">
        <v>137</v>
      </c>
      <c r="MR58">
        <v>16.9373</v>
      </c>
      <c r="MS58">
        <v>17.089300000000001</v>
      </c>
      <c r="MT58">
        <v>17.0381</v>
      </c>
      <c r="MU58">
        <v>17.243500000000001</v>
      </c>
      <c r="MV58">
        <v>17.243300000000001</v>
      </c>
      <c r="MW58" t="s">
        <v>137</v>
      </c>
      <c r="MX58" t="s">
        <v>137</v>
      </c>
      <c r="MY58">
        <v>17.243300000000001</v>
      </c>
      <c r="MZ58">
        <v>17.242999999999999</v>
      </c>
      <c r="NA58">
        <v>17.295100000000001</v>
      </c>
      <c r="NB58">
        <v>18.175000000000001</v>
      </c>
      <c r="NC58">
        <v>17.242599999999999</v>
      </c>
      <c r="ND58" t="s">
        <v>137</v>
      </c>
      <c r="NE58" t="s">
        <v>137</v>
      </c>
      <c r="NF58">
        <v>17.1906</v>
      </c>
      <c r="NG58">
        <v>17.1389</v>
      </c>
      <c r="NH58">
        <v>17.1389</v>
      </c>
      <c r="NI58">
        <v>17.190200000000001</v>
      </c>
      <c r="NJ58">
        <v>17.614100000000001</v>
      </c>
      <c r="NK58" t="s">
        <v>137</v>
      </c>
      <c r="NL58" t="s">
        <v>137</v>
      </c>
      <c r="NM58" t="s">
        <v>137</v>
      </c>
      <c r="NN58" t="s">
        <v>137</v>
      </c>
      <c r="NO58" t="s">
        <v>137</v>
      </c>
      <c r="NP58" t="s">
        <v>137</v>
      </c>
      <c r="NQ58" t="s">
        <v>137</v>
      </c>
      <c r="NR58" t="s">
        <v>137</v>
      </c>
      <c r="NS58" t="s">
        <v>137</v>
      </c>
      <c r="NT58" t="s">
        <v>137</v>
      </c>
      <c r="NU58" t="s">
        <v>137</v>
      </c>
      <c r="NV58" t="s">
        <v>137</v>
      </c>
      <c r="NW58" t="s">
        <v>137</v>
      </c>
      <c r="NX58" t="s">
        <v>137</v>
      </c>
      <c r="NY58" t="s">
        <v>137</v>
      </c>
      <c r="NZ58" t="s">
        <v>137</v>
      </c>
      <c r="OA58" t="s">
        <v>137</v>
      </c>
      <c r="OB58" t="s">
        <v>137</v>
      </c>
      <c r="OC58" t="s">
        <v>137</v>
      </c>
      <c r="OD58" t="s">
        <v>137</v>
      </c>
      <c r="OE58" t="s">
        <v>137</v>
      </c>
      <c r="OF58" t="s">
        <v>137</v>
      </c>
      <c r="OG58" t="s">
        <v>137</v>
      </c>
      <c r="OH58" t="s">
        <v>137</v>
      </c>
      <c r="OI58" t="s">
        <v>137</v>
      </c>
      <c r="OJ58" t="s">
        <v>137</v>
      </c>
      <c r="OK58" t="s">
        <v>137</v>
      </c>
      <c r="OL58" t="s">
        <v>137</v>
      </c>
      <c r="OM58" t="s">
        <v>137</v>
      </c>
      <c r="ON58" t="s">
        <v>137</v>
      </c>
      <c r="OO58" t="s">
        <v>137</v>
      </c>
      <c r="OP58" t="s">
        <v>137</v>
      </c>
      <c r="OQ58" t="s">
        <v>137</v>
      </c>
      <c r="OR58" t="s">
        <v>137</v>
      </c>
      <c r="OS58" t="s">
        <v>137</v>
      </c>
      <c r="OT58" t="s">
        <v>137</v>
      </c>
      <c r="OU58" t="s">
        <v>137</v>
      </c>
      <c r="OV58" t="s">
        <v>137</v>
      </c>
      <c r="OW58" t="s">
        <v>137</v>
      </c>
      <c r="OX58" t="s">
        <v>137</v>
      </c>
      <c r="OY58" t="s">
        <v>137</v>
      </c>
      <c r="OZ58" t="s">
        <v>137</v>
      </c>
      <c r="PA58" t="s">
        <v>137</v>
      </c>
      <c r="PB58" t="s">
        <v>137</v>
      </c>
      <c r="PC58" t="s">
        <v>137</v>
      </c>
      <c r="PD58" t="s">
        <v>137</v>
      </c>
      <c r="PE58" t="s">
        <v>137</v>
      </c>
      <c r="PF58" t="s">
        <v>137</v>
      </c>
      <c r="PG58" t="s">
        <v>137</v>
      </c>
      <c r="PH58" t="s">
        <v>137</v>
      </c>
      <c r="PI58" t="s">
        <v>137</v>
      </c>
      <c r="PJ58" t="s">
        <v>137</v>
      </c>
      <c r="PK58" t="s">
        <v>137</v>
      </c>
      <c r="PL58" t="s">
        <v>137</v>
      </c>
      <c r="PM58" t="s">
        <v>137</v>
      </c>
      <c r="PN58" t="s">
        <v>137</v>
      </c>
      <c r="PO58" t="s">
        <v>137</v>
      </c>
      <c r="PP58" t="s">
        <v>137</v>
      </c>
      <c r="PQ58" t="s">
        <v>137</v>
      </c>
      <c r="PR58" t="s">
        <v>137</v>
      </c>
      <c r="PS58" t="s">
        <v>137</v>
      </c>
      <c r="PT58" t="s">
        <v>137</v>
      </c>
      <c r="PU58" t="s">
        <v>137</v>
      </c>
      <c r="PV58" t="s">
        <v>137</v>
      </c>
      <c r="PW58" t="s">
        <v>137</v>
      </c>
      <c r="PX58" t="s">
        <v>137</v>
      </c>
      <c r="PY58" t="s">
        <v>137</v>
      </c>
      <c r="PZ58" t="s">
        <v>137</v>
      </c>
      <c r="QA58" t="s">
        <v>137</v>
      </c>
      <c r="QB58" t="s">
        <v>137</v>
      </c>
      <c r="QC58" t="s">
        <v>137</v>
      </c>
      <c r="QD58" t="s">
        <v>137</v>
      </c>
      <c r="QE58" t="s">
        <v>137</v>
      </c>
      <c r="QF58" t="s">
        <v>137</v>
      </c>
      <c r="QG58" t="s">
        <v>137</v>
      </c>
      <c r="QH58" t="s">
        <v>137</v>
      </c>
      <c r="QI58" t="s">
        <v>137</v>
      </c>
      <c r="QJ58" t="s">
        <v>137</v>
      </c>
      <c r="QK58" t="s">
        <v>137</v>
      </c>
      <c r="QL58" t="s">
        <v>137</v>
      </c>
      <c r="QM58" t="s">
        <v>137</v>
      </c>
      <c r="QN58" t="s">
        <v>137</v>
      </c>
      <c r="QO58" t="s">
        <v>137</v>
      </c>
    </row>
    <row r="59" spans="1:457" x14ac:dyDescent="0.2">
      <c r="A59" t="s">
        <v>128</v>
      </c>
      <c r="B59" s="3">
        <v>42655</v>
      </c>
      <c r="C59" t="s">
        <v>34</v>
      </c>
      <c r="E59" t="s">
        <v>137</v>
      </c>
      <c r="F59">
        <v>66.776499999999999</v>
      </c>
      <c r="G59">
        <v>66.379400000000004</v>
      </c>
      <c r="H59">
        <v>67.224999999999994</v>
      </c>
      <c r="I59">
        <v>60.7134</v>
      </c>
      <c r="J59">
        <v>56.897799999999997</v>
      </c>
      <c r="K59" t="s">
        <v>137</v>
      </c>
      <c r="L59" t="s">
        <v>137</v>
      </c>
      <c r="M59">
        <v>56.328499999999998</v>
      </c>
      <c r="N59">
        <v>59.585299999999997</v>
      </c>
      <c r="O59">
        <v>58.295900000000003</v>
      </c>
      <c r="P59">
        <v>59.038600000000002</v>
      </c>
      <c r="Q59">
        <v>61.751399999999997</v>
      </c>
      <c r="R59" t="s">
        <v>137</v>
      </c>
      <c r="S59" t="s">
        <v>137</v>
      </c>
      <c r="T59">
        <v>62.344799999999999</v>
      </c>
      <c r="U59">
        <v>64.470200000000006</v>
      </c>
      <c r="V59">
        <v>60.583500000000001</v>
      </c>
      <c r="W59">
        <v>60.901499999999999</v>
      </c>
      <c r="X59">
        <v>61.1175</v>
      </c>
      <c r="Y59" t="s">
        <v>137</v>
      </c>
      <c r="Z59" t="s">
        <v>137</v>
      </c>
      <c r="AA59">
        <v>62.3232</v>
      </c>
      <c r="AB59">
        <v>64.191000000000003</v>
      </c>
      <c r="AC59">
        <v>66.483400000000003</v>
      </c>
      <c r="AD59">
        <v>65.143199999999993</v>
      </c>
      <c r="AE59">
        <v>62.899500000000003</v>
      </c>
      <c r="AF59" t="s">
        <v>137</v>
      </c>
      <c r="AG59" t="s">
        <v>137</v>
      </c>
      <c r="AH59">
        <v>63.055100000000003</v>
      </c>
      <c r="AI59">
        <v>62.661000000000001</v>
      </c>
      <c r="AJ59">
        <v>62.766300000000001</v>
      </c>
      <c r="AK59">
        <v>62.834200000000003</v>
      </c>
      <c r="AL59">
        <v>62.690800000000003</v>
      </c>
      <c r="AM59" t="s">
        <v>137</v>
      </c>
      <c r="AN59" t="s">
        <v>137</v>
      </c>
      <c r="AO59">
        <v>61.321800000000003</v>
      </c>
      <c r="AP59">
        <v>60.463200000000001</v>
      </c>
      <c r="AQ59">
        <v>59.853999999999999</v>
      </c>
      <c r="AR59">
        <v>57.401000000000003</v>
      </c>
      <c r="AS59">
        <v>55.726599999999998</v>
      </c>
      <c r="AT59" t="s">
        <v>137</v>
      </c>
      <c r="AU59" t="s">
        <v>137</v>
      </c>
      <c r="AV59">
        <v>56.853900000000003</v>
      </c>
      <c r="AW59">
        <v>57.233800000000002</v>
      </c>
      <c r="AX59">
        <v>57.340499999999999</v>
      </c>
      <c r="AY59">
        <v>60.399099999999997</v>
      </c>
      <c r="AZ59">
        <v>61.269300000000001</v>
      </c>
      <c r="BA59" t="s">
        <v>137</v>
      </c>
      <c r="BB59" t="s">
        <v>137</v>
      </c>
      <c r="BC59">
        <v>62.9315</v>
      </c>
      <c r="BD59">
        <v>65.211600000000004</v>
      </c>
      <c r="BE59">
        <v>63.776400000000002</v>
      </c>
      <c r="BF59">
        <v>61.126300000000001</v>
      </c>
      <c r="BG59">
        <v>61.23</v>
      </c>
      <c r="BH59" t="s">
        <v>137</v>
      </c>
      <c r="BI59" t="s">
        <v>137</v>
      </c>
      <c r="BJ59">
        <v>66.971500000000006</v>
      </c>
      <c r="BK59">
        <v>65.488799999999998</v>
      </c>
      <c r="BL59">
        <v>67.100899999999996</v>
      </c>
      <c r="BM59">
        <v>68.318399999999997</v>
      </c>
      <c r="BN59">
        <v>68.708399999999997</v>
      </c>
      <c r="BO59" t="s">
        <v>137</v>
      </c>
      <c r="BP59" t="s">
        <v>137</v>
      </c>
      <c r="BQ59">
        <v>67.265000000000001</v>
      </c>
      <c r="BR59">
        <v>68.131900000000002</v>
      </c>
      <c r="BS59">
        <v>70.309399999999997</v>
      </c>
      <c r="BT59">
        <v>69.831999999999994</v>
      </c>
      <c r="BU59">
        <v>70.684299999999993</v>
      </c>
      <c r="BV59" t="s">
        <v>137</v>
      </c>
      <c r="BW59" t="s">
        <v>137</v>
      </c>
      <c r="BX59">
        <v>72.129800000000003</v>
      </c>
      <c r="BY59">
        <v>73.773300000000006</v>
      </c>
      <c r="BZ59">
        <v>75.466700000000003</v>
      </c>
      <c r="CA59">
        <v>76.531499999999994</v>
      </c>
      <c r="CB59">
        <v>73.847300000000004</v>
      </c>
      <c r="CC59" t="s">
        <v>137</v>
      </c>
      <c r="CD59" t="s">
        <v>137</v>
      </c>
      <c r="CE59">
        <v>73.508300000000006</v>
      </c>
      <c r="CF59">
        <v>72.605000000000004</v>
      </c>
      <c r="CG59">
        <v>72.143000000000001</v>
      </c>
      <c r="CH59">
        <v>70.491699999999994</v>
      </c>
      <c r="CI59">
        <v>72.685000000000002</v>
      </c>
      <c r="CJ59" t="s">
        <v>137</v>
      </c>
      <c r="CK59" t="s">
        <v>137</v>
      </c>
      <c r="CL59">
        <v>72.581699999999998</v>
      </c>
      <c r="CM59">
        <v>72.959100000000007</v>
      </c>
      <c r="CN59">
        <v>71.664699999999996</v>
      </c>
      <c r="CO59">
        <v>72.308899999999994</v>
      </c>
      <c r="CP59">
        <v>72.278999999999996</v>
      </c>
      <c r="CQ59" t="s">
        <v>137</v>
      </c>
      <c r="CR59" t="s">
        <v>137</v>
      </c>
      <c r="CS59">
        <v>72.823800000000006</v>
      </c>
      <c r="CT59">
        <v>70.774900000000002</v>
      </c>
      <c r="CU59">
        <v>70.799700000000001</v>
      </c>
      <c r="CV59">
        <v>70.826599999999999</v>
      </c>
      <c r="CW59">
        <v>70.863900000000001</v>
      </c>
      <c r="CX59" t="s">
        <v>137</v>
      </c>
      <c r="CY59" t="s">
        <v>137</v>
      </c>
      <c r="CZ59">
        <v>68.686499999999995</v>
      </c>
      <c r="DA59">
        <v>69.153499999999994</v>
      </c>
      <c r="DB59">
        <v>70.914199999999994</v>
      </c>
      <c r="DC59">
        <v>70.477400000000003</v>
      </c>
      <c r="DD59">
        <v>70.497299999999996</v>
      </c>
      <c r="DE59" t="s">
        <v>137</v>
      </c>
      <c r="DF59" t="s">
        <v>137</v>
      </c>
      <c r="DG59">
        <v>70.538300000000007</v>
      </c>
      <c r="DH59">
        <v>70.530900000000003</v>
      </c>
      <c r="DI59">
        <v>70.667100000000005</v>
      </c>
      <c r="DJ59">
        <v>56.7759</v>
      </c>
      <c r="DK59">
        <v>61.311199999999999</v>
      </c>
      <c r="DL59" t="s">
        <v>137</v>
      </c>
      <c r="DM59" t="s">
        <v>137</v>
      </c>
      <c r="DN59">
        <v>61.199599999999997</v>
      </c>
      <c r="DO59">
        <v>60.7318</v>
      </c>
      <c r="DP59">
        <v>60.183599999999998</v>
      </c>
      <c r="DQ59">
        <v>60.523699999999998</v>
      </c>
      <c r="DR59">
        <v>58.991599999999998</v>
      </c>
      <c r="DS59" t="s">
        <v>137</v>
      </c>
      <c r="DT59" t="s">
        <v>137</v>
      </c>
      <c r="DU59">
        <v>57.731900000000003</v>
      </c>
      <c r="DV59">
        <v>56.949800000000003</v>
      </c>
      <c r="DW59">
        <v>57.0381</v>
      </c>
      <c r="DX59">
        <v>57.541699999999999</v>
      </c>
      <c r="DY59">
        <v>57.242199999999997</v>
      </c>
      <c r="DZ59" t="s">
        <v>137</v>
      </c>
      <c r="EA59" t="s">
        <v>137</v>
      </c>
      <c r="EB59">
        <v>61.183500000000002</v>
      </c>
      <c r="EC59">
        <v>60.330399999999997</v>
      </c>
      <c r="ED59">
        <v>60.640999999999998</v>
      </c>
      <c r="EE59">
        <v>59.061999999999998</v>
      </c>
      <c r="EF59">
        <v>57.470599999999997</v>
      </c>
      <c r="EG59" t="s">
        <v>137</v>
      </c>
      <c r="EH59" t="s">
        <v>137</v>
      </c>
      <c r="EI59">
        <v>51.447600000000001</v>
      </c>
      <c r="EJ59">
        <v>52.3399</v>
      </c>
      <c r="EK59">
        <v>50.643000000000001</v>
      </c>
      <c r="EL59">
        <v>51.645200000000003</v>
      </c>
      <c r="EM59">
        <v>51.872399999999999</v>
      </c>
      <c r="EN59" t="s">
        <v>137</v>
      </c>
      <c r="EO59" t="s">
        <v>137</v>
      </c>
      <c r="EP59">
        <v>51.962499999999999</v>
      </c>
      <c r="EQ59">
        <v>52.231299999999997</v>
      </c>
      <c r="ER59">
        <v>55.840200000000003</v>
      </c>
      <c r="ES59">
        <v>56.05</v>
      </c>
      <c r="ET59">
        <v>56.149500000000003</v>
      </c>
      <c r="EU59" t="s">
        <v>137</v>
      </c>
      <c r="EV59" t="s">
        <v>137</v>
      </c>
      <c r="EW59">
        <v>59.948099999999997</v>
      </c>
      <c r="EX59">
        <v>59.656300000000002</v>
      </c>
      <c r="EY59">
        <v>56.251199999999997</v>
      </c>
      <c r="EZ59">
        <v>57.006</v>
      </c>
      <c r="FA59">
        <v>58.007800000000003</v>
      </c>
      <c r="FB59" t="s">
        <v>137</v>
      </c>
      <c r="FC59" t="s">
        <v>137</v>
      </c>
      <c r="FD59">
        <v>54.734299999999998</v>
      </c>
      <c r="FE59">
        <v>53.912100000000002</v>
      </c>
      <c r="FF59">
        <v>51.136099999999999</v>
      </c>
      <c r="FG59">
        <v>51.820399999999999</v>
      </c>
      <c r="FH59">
        <v>49.965800000000002</v>
      </c>
      <c r="FI59" t="s">
        <v>137</v>
      </c>
      <c r="FJ59" t="s">
        <v>137</v>
      </c>
      <c r="FK59">
        <v>51.249400000000001</v>
      </c>
      <c r="FL59">
        <v>52.249000000000002</v>
      </c>
      <c r="FM59">
        <v>53.014600000000002</v>
      </c>
      <c r="FN59">
        <v>53.319699999999997</v>
      </c>
      <c r="FO59">
        <v>53.416499999999999</v>
      </c>
      <c r="FP59" t="s">
        <v>137</v>
      </c>
      <c r="FQ59" t="s">
        <v>137</v>
      </c>
      <c r="FR59">
        <v>55.4268</v>
      </c>
      <c r="FS59">
        <v>55.884300000000003</v>
      </c>
      <c r="FT59">
        <v>55.187600000000003</v>
      </c>
      <c r="FU59">
        <v>58.036299999999997</v>
      </c>
      <c r="FV59">
        <v>56.401699999999998</v>
      </c>
      <c r="FW59" t="s">
        <v>137</v>
      </c>
      <c r="FX59" t="s">
        <v>137</v>
      </c>
      <c r="FY59">
        <v>56.869399999999999</v>
      </c>
      <c r="FZ59">
        <v>56.07</v>
      </c>
      <c r="GA59">
        <v>56.535299999999999</v>
      </c>
      <c r="GB59">
        <v>57.864699999999999</v>
      </c>
      <c r="GC59">
        <v>61.7258</v>
      </c>
      <c r="GD59" t="s">
        <v>137</v>
      </c>
      <c r="GE59" t="s">
        <v>137</v>
      </c>
      <c r="GF59">
        <v>61.943199999999997</v>
      </c>
      <c r="GG59">
        <v>60.872700000000002</v>
      </c>
      <c r="GH59">
        <v>62.556699999999999</v>
      </c>
      <c r="GI59">
        <v>60.5535</v>
      </c>
      <c r="GJ59">
        <v>60.669499999999999</v>
      </c>
      <c r="GK59" t="s">
        <v>137</v>
      </c>
      <c r="GL59" t="s">
        <v>137</v>
      </c>
      <c r="GM59">
        <v>66.446100000000001</v>
      </c>
      <c r="GN59">
        <v>78.066699999999997</v>
      </c>
      <c r="GO59">
        <v>81.781999999999996</v>
      </c>
      <c r="GP59">
        <v>87.665700000000001</v>
      </c>
      <c r="GQ59">
        <v>85.316400000000002</v>
      </c>
      <c r="GR59" t="s">
        <v>137</v>
      </c>
      <c r="GS59" t="s">
        <v>137</v>
      </c>
      <c r="GT59">
        <v>86.975800000000007</v>
      </c>
      <c r="GU59">
        <v>90.546599999999998</v>
      </c>
      <c r="GV59">
        <v>95.321799999999996</v>
      </c>
      <c r="GW59">
        <v>95.9375</v>
      </c>
      <c r="GX59">
        <v>115.64109999999999</v>
      </c>
      <c r="GY59" t="s">
        <v>137</v>
      </c>
      <c r="GZ59" t="s">
        <v>137</v>
      </c>
      <c r="HA59">
        <v>154.15969999999999</v>
      </c>
      <c r="HB59">
        <v>144.54679999999999</v>
      </c>
      <c r="HC59">
        <v>155.2705</v>
      </c>
      <c r="HD59">
        <v>170.27250000000001</v>
      </c>
      <c r="HE59">
        <v>171.45509999999999</v>
      </c>
      <c r="HF59" t="s">
        <v>137</v>
      </c>
      <c r="HG59" t="s">
        <v>137</v>
      </c>
      <c r="HH59">
        <v>167.0615</v>
      </c>
      <c r="HI59">
        <v>157.37530000000001</v>
      </c>
      <c r="HJ59">
        <v>154.4288</v>
      </c>
      <c r="HK59">
        <v>151.7893</v>
      </c>
      <c r="HL59">
        <v>145.7483</v>
      </c>
      <c r="HM59" t="s">
        <v>137</v>
      </c>
      <c r="HN59" t="s">
        <v>137</v>
      </c>
      <c r="HO59">
        <v>139.21350000000001</v>
      </c>
      <c r="HP59">
        <v>133.33430000000001</v>
      </c>
      <c r="HQ59">
        <v>141.08189999999999</v>
      </c>
      <c r="HR59">
        <v>143.21850000000001</v>
      </c>
      <c r="HS59">
        <v>121.863</v>
      </c>
      <c r="HT59" t="s">
        <v>137</v>
      </c>
      <c r="HU59" t="s">
        <v>137</v>
      </c>
      <c r="HV59">
        <v>122.1521</v>
      </c>
      <c r="HW59">
        <v>142.09059999999999</v>
      </c>
      <c r="HX59">
        <v>147.4134</v>
      </c>
      <c r="HY59">
        <v>132.69460000000001</v>
      </c>
      <c r="HZ59">
        <v>135.07419999999999</v>
      </c>
      <c r="IA59" t="s">
        <v>137</v>
      </c>
      <c r="IB59" t="s">
        <v>137</v>
      </c>
      <c r="IC59">
        <v>122.0478</v>
      </c>
      <c r="ID59">
        <v>125.94410000000001</v>
      </c>
      <c r="IE59">
        <v>145.5789</v>
      </c>
      <c r="IF59">
        <v>132.69</v>
      </c>
      <c r="IG59">
        <v>133.83090000000001</v>
      </c>
      <c r="IH59" t="s">
        <v>137</v>
      </c>
      <c r="II59" t="s">
        <v>137</v>
      </c>
      <c r="IJ59">
        <v>156.1163</v>
      </c>
      <c r="IK59">
        <v>156.6619</v>
      </c>
      <c r="IL59">
        <v>159.2637</v>
      </c>
      <c r="IM59">
        <v>166.3306</v>
      </c>
      <c r="IN59">
        <v>139.02260000000001</v>
      </c>
      <c r="IO59" t="s">
        <v>137</v>
      </c>
      <c r="IP59" t="s">
        <v>137</v>
      </c>
      <c r="IQ59">
        <v>177.35740000000001</v>
      </c>
      <c r="IR59">
        <v>167.90459999999999</v>
      </c>
      <c r="IS59">
        <v>148.27170000000001</v>
      </c>
      <c r="IT59">
        <v>141.3597</v>
      </c>
      <c r="IU59">
        <v>143.16050000000001</v>
      </c>
      <c r="IV59" t="s">
        <v>137</v>
      </c>
      <c r="IW59" t="s">
        <v>137</v>
      </c>
      <c r="IX59">
        <v>137.00970000000001</v>
      </c>
      <c r="IY59">
        <v>125.96120000000001</v>
      </c>
      <c r="IZ59">
        <v>125.8301</v>
      </c>
      <c r="JA59">
        <v>124.1982</v>
      </c>
      <c r="JB59">
        <v>120.3366</v>
      </c>
      <c r="JC59" t="s">
        <v>137</v>
      </c>
      <c r="JD59" t="s">
        <v>137</v>
      </c>
      <c r="JE59">
        <v>113.3352</v>
      </c>
      <c r="JF59">
        <v>112.8073</v>
      </c>
      <c r="JG59">
        <v>116.1122</v>
      </c>
      <c r="JH59">
        <v>116.7359</v>
      </c>
      <c r="JI59">
        <v>117.4973</v>
      </c>
      <c r="JJ59" t="s">
        <v>137</v>
      </c>
      <c r="JK59" t="s">
        <v>137</v>
      </c>
      <c r="JL59">
        <v>117.7937</v>
      </c>
      <c r="JM59">
        <v>111.1558</v>
      </c>
      <c r="JN59">
        <v>122.3524</v>
      </c>
      <c r="JO59">
        <v>113.0988</v>
      </c>
      <c r="JP59">
        <v>97.685000000000002</v>
      </c>
      <c r="JQ59" t="s">
        <v>137</v>
      </c>
      <c r="JR59" t="s">
        <v>137</v>
      </c>
      <c r="JS59">
        <v>115.16840000000001</v>
      </c>
      <c r="JT59">
        <v>96.747200000000007</v>
      </c>
      <c r="JU59">
        <v>93.458299999999994</v>
      </c>
      <c r="JV59">
        <v>94.706000000000003</v>
      </c>
      <c r="JW59">
        <v>96.234399999999994</v>
      </c>
      <c r="JX59" t="s">
        <v>137</v>
      </c>
      <c r="JY59" t="s">
        <v>137</v>
      </c>
      <c r="JZ59">
        <v>95.806299999999993</v>
      </c>
      <c r="KA59">
        <v>96.113</v>
      </c>
      <c r="KB59">
        <v>97.269400000000005</v>
      </c>
      <c r="KC59">
        <v>97.689599999999999</v>
      </c>
      <c r="KD59">
        <v>98.227500000000006</v>
      </c>
      <c r="KE59" t="s">
        <v>137</v>
      </c>
      <c r="KF59" t="s">
        <v>137</v>
      </c>
      <c r="KG59">
        <v>99.940799999999996</v>
      </c>
      <c r="KH59">
        <v>97.550399999999996</v>
      </c>
      <c r="KI59">
        <v>100.07550000000001</v>
      </c>
      <c r="KJ59">
        <v>104.4931</v>
      </c>
      <c r="KK59">
        <v>98.563199999999995</v>
      </c>
      <c r="KL59" t="s">
        <v>137</v>
      </c>
      <c r="KM59" t="s">
        <v>137</v>
      </c>
      <c r="KN59">
        <v>97.986699999999999</v>
      </c>
      <c r="KO59">
        <v>96.521699999999996</v>
      </c>
      <c r="KP59">
        <v>95.471400000000003</v>
      </c>
      <c r="KQ59">
        <v>95.702299999999994</v>
      </c>
      <c r="KR59">
        <v>99.456100000000006</v>
      </c>
      <c r="KS59" t="s">
        <v>137</v>
      </c>
      <c r="KT59" t="s">
        <v>137</v>
      </c>
      <c r="KU59">
        <v>97.618700000000004</v>
      </c>
      <c r="KV59">
        <v>98.7958</v>
      </c>
      <c r="KW59">
        <v>97.491</v>
      </c>
      <c r="KX59">
        <v>100.7591</v>
      </c>
      <c r="KY59">
        <v>100.9866</v>
      </c>
      <c r="KZ59" t="s">
        <v>137</v>
      </c>
      <c r="LA59" t="s">
        <v>137</v>
      </c>
      <c r="LB59">
        <v>98.677300000000002</v>
      </c>
      <c r="LC59">
        <v>95.5578</v>
      </c>
      <c r="LD59">
        <v>94.737899999999996</v>
      </c>
      <c r="LE59">
        <v>96.381299999999996</v>
      </c>
      <c r="LF59">
        <v>96.715400000000002</v>
      </c>
      <c r="LG59" t="s">
        <v>137</v>
      </c>
      <c r="LH59" t="s">
        <v>137</v>
      </c>
      <c r="LI59">
        <v>95.613500000000002</v>
      </c>
      <c r="LJ59">
        <v>100.16289999999999</v>
      </c>
      <c r="LK59">
        <v>99.932400000000001</v>
      </c>
      <c r="LL59">
        <v>99.980900000000005</v>
      </c>
      <c r="LM59">
        <v>101.0954</v>
      </c>
      <c r="LN59" t="s">
        <v>137</v>
      </c>
      <c r="LO59" t="s">
        <v>137</v>
      </c>
      <c r="LP59">
        <v>105.6073</v>
      </c>
      <c r="LQ59">
        <v>101.6086</v>
      </c>
      <c r="LR59">
        <v>99.370099999999994</v>
      </c>
      <c r="LS59">
        <v>95.587100000000007</v>
      </c>
      <c r="LT59">
        <v>91.577200000000005</v>
      </c>
      <c r="LU59" t="s">
        <v>137</v>
      </c>
      <c r="LV59" t="s">
        <v>137</v>
      </c>
      <c r="LW59">
        <v>92.016800000000003</v>
      </c>
      <c r="LX59">
        <v>94.224800000000002</v>
      </c>
      <c r="LY59">
        <v>96.137900000000002</v>
      </c>
      <c r="LZ59">
        <v>96.927700000000002</v>
      </c>
      <c r="MA59">
        <v>96.588499999999996</v>
      </c>
      <c r="MB59" t="s">
        <v>137</v>
      </c>
      <c r="MC59" t="s">
        <v>137</v>
      </c>
      <c r="MD59">
        <v>99.590599999999995</v>
      </c>
      <c r="ME59">
        <v>81.616900000000001</v>
      </c>
      <c r="MF59">
        <v>79.968599999999995</v>
      </c>
      <c r="MG59">
        <v>81.722200000000001</v>
      </c>
      <c r="MH59">
        <v>81.265000000000001</v>
      </c>
      <c r="MI59" t="s">
        <v>137</v>
      </c>
      <c r="MJ59" t="s">
        <v>137</v>
      </c>
      <c r="MK59">
        <v>82.670699999999997</v>
      </c>
      <c r="ML59">
        <v>82.123400000000004</v>
      </c>
      <c r="MM59">
        <v>83.894800000000004</v>
      </c>
      <c r="MN59">
        <v>84.930800000000005</v>
      </c>
      <c r="MO59">
        <v>85.636399999999995</v>
      </c>
      <c r="MP59" t="s">
        <v>137</v>
      </c>
      <c r="MQ59" t="s">
        <v>137</v>
      </c>
      <c r="MR59">
        <v>83.3767</v>
      </c>
      <c r="MS59">
        <v>87.739000000000004</v>
      </c>
      <c r="MT59">
        <v>87.249099999999999</v>
      </c>
      <c r="MU59">
        <v>88.561999999999998</v>
      </c>
      <c r="MV59">
        <v>89.244600000000005</v>
      </c>
      <c r="MW59" t="s">
        <v>137</v>
      </c>
      <c r="MX59" t="s">
        <v>137</v>
      </c>
      <c r="MY59">
        <v>90.186199999999999</v>
      </c>
      <c r="MZ59">
        <v>88.996200000000002</v>
      </c>
      <c r="NA59">
        <v>98.913799999999995</v>
      </c>
      <c r="NB59">
        <v>108.9059</v>
      </c>
      <c r="NC59">
        <v>94.718199999999996</v>
      </c>
      <c r="ND59" t="s">
        <v>137</v>
      </c>
      <c r="NE59" t="s">
        <v>137</v>
      </c>
      <c r="NF59">
        <v>108.1768</v>
      </c>
      <c r="NG59">
        <v>89.230800000000002</v>
      </c>
      <c r="NH59">
        <v>108.1574</v>
      </c>
      <c r="NI59">
        <v>84.152299999999997</v>
      </c>
      <c r="NJ59">
        <v>77.346500000000006</v>
      </c>
      <c r="NK59" t="s">
        <v>137</v>
      </c>
      <c r="NL59" t="s">
        <v>137</v>
      </c>
      <c r="NM59" t="s">
        <v>137</v>
      </c>
      <c r="NN59" t="s">
        <v>137</v>
      </c>
      <c r="NO59" t="s">
        <v>137</v>
      </c>
      <c r="NP59" t="s">
        <v>137</v>
      </c>
      <c r="NQ59" t="s">
        <v>137</v>
      </c>
      <c r="NR59" t="s">
        <v>137</v>
      </c>
      <c r="NS59" t="s">
        <v>137</v>
      </c>
      <c r="NT59" t="s">
        <v>137</v>
      </c>
      <c r="NU59" t="s">
        <v>137</v>
      </c>
      <c r="NV59" t="s">
        <v>137</v>
      </c>
      <c r="NW59" t="s">
        <v>137</v>
      </c>
      <c r="NX59" t="s">
        <v>137</v>
      </c>
      <c r="NY59" t="s">
        <v>137</v>
      </c>
      <c r="NZ59" t="s">
        <v>137</v>
      </c>
      <c r="OA59" t="s">
        <v>137</v>
      </c>
      <c r="OB59" t="s">
        <v>137</v>
      </c>
      <c r="OC59" t="s">
        <v>137</v>
      </c>
      <c r="OD59" t="s">
        <v>137</v>
      </c>
      <c r="OE59" t="s">
        <v>137</v>
      </c>
      <c r="OF59" t="s">
        <v>137</v>
      </c>
      <c r="OG59" t="s">
        <v>137</v>
      </c>
      <c r="OH59" t="s">
        <v>137</v>
      </c>
      <c r="OI59" t="s">
        <v>137</v>
      </c>
      <c r="OJ59" t="s">
        <v>137</v>
      </c>
      <c r="OK59" t="s">
        <v>137</v>
      </c>
      <c r="OL59" t="s">
        <v>137</v>
      </c>
      <c r="OM59" t="s">
        <v>137</v>
      </c>
      <c r="ON59" t="s">
        <v>137</v>
      </c>
      <c r="OO59" t="s">
        <v>137</v>
      </c>
      <c r="OP59" t="s">
        <v>137</v>
      </c>
      <c r="OQ59" t="s">
        <v>137</v>
      </c>
      <c r="OR59" t="s">
        <v>137</v>
      </c>
      <c r="OS59" t="s">
        <v>137</v>
      </c>
      <c r="OT59" t="s">
        <v>137</v>
      </c>
      <c r="OU59" t="s">
        <v>137</v>
      </c>
      <c r="OV59" t="s">
        <v>137</v>
      </c>
      <c r="OW59" t="s">
        <v>137</v>
      </c>
      <c r="OX59" t="s">
        <v>137</v>
      </c>
      <c r="OY59" t="s">
        <v>137</v>
      </c>
      <c r="OZ59" t="s">
        <v>137</v>
      </c>
      <c r="PA59" t="s">
        <v>137</v>
      </c>
      <c r="PB59" t="s">
        <v>137</v>
      </c>
      <c r="PC59" t="s">
        <v>137</v>
      </c>
      <c r="PD59" t="s">
        <v>137</v>
      </c>
      <c r="PE59" t="s">
        <v>137</v>
      </c>
      <c r="PF59" t="s">
        <v>137</v>
      </c>
      <c r="PG59" t="s">
        <v>137</v>
      </c>
      <c r="PH59" t="s">
        <v>137</v>
      </c>
      <c r="PI59" t="s">
        <v>137</v>
      </c>
      <c r="PJ59" t="s">
        <v>137</v>
      </c>
      <c r="PK59" t="s">
        <v>137</v>
      </c>
      <c r="PL59" t="s">
        <v>137</v>
      </c>
      <c r="PM59" t="s">
        <v>137</v>
      </c>
      <c r="PN59" t="s">
        <v>137</v>
      </c>
      <c r="PO59" t="s">
        <v>137</v>
      </c>
      <c r="PP59" t="s">
        <v>137</v>
      </c>
      <c r="PQ59" t="s">
        <v>137</v>
      </c>
      <c r="PR59" t="s">
        <v>137</v>
      </c>
      <c r="PS59" t="s">
        <v>137</v>
      </c>
      <c r="PT59" t="s">
        <v>137</v>
      </c>
      <c r="PU59" t="s">
        <v>137</v>
      </c>
      <c r="PV59" t="s">
        <v>137</v>
      </c>
      <c r="PW59" t="s">
        <v>137</v>
      </c>
      <c r="PX59" t="s">
        <v>137</v>
      </c>
      <c r="PY59" t="s">
        <v>137</v>
      </c>
      <c r="PZ59" t="s">
        <v>137</v>
      </c>
      <c r="QA59" t="s">
        <v>137</v>
      </c>
      <c r="QB59" t="s">
        <v>137</v>
      </c>
      <c r="QC59" t="s">
        <v>137</v>
      </c>
      <c r="QD59" t="s">
        <v>137</v>
      </c>
      <c r="QE59" t="s">
        <v>137</v>
      </c>
      <c r="QF59" t="s">
        <v>137</v>
      </c>
      <c r="QG59" t="s">
        <v>137</v>
      </c>
      <c r="QH59" t="s">
        <v>137</v>
      </c>
      <c r="QI59" t="s">
        <v>137</v>
      </c>
      <c r="QJ59" t="s">
        <v>137</v>
      </c>
      <c r="QK59" t="s">
        <v>137</v>
      </c>
      <c r="QL59" t="s">
        <v>137</v>
      </c>
      <c r="QM59" t="s">
        <v>137</v>
      </c>
      <c r="QN59" t="s">
        <v>137</v>
      </c>
      <c r="QO59" t="s">
        <v>137</v>
      </c>
    </row>
    <row r="60" spans="1:457" x14ac:dyDescent="0.2">
      <c r="A60" t="s">
        <v>129</v>
      </c>
      <c r="B60" s="3">
        <v>43048</v>
      </c>
      <c r="C60" t="s">
        <v>36</v>
      </c>
      <c r="E60" t="s">
        <v>137</v>
      </c>
      <c r="F60">
        <v>40.798299999999998</v>
      </c>
      <c r="G60">
        <v>46.433500000000002</v>
      </c>
      <c r="H60">
        <v>45.811599999999999</v>
      </c>
      <c r="I60">
        <v>41.4634</v>
      </c>
      <c r="J60">
        <v>38.492899999999999</v>
      </c>
      <c r="K60" t="s">
        <v>137</v>
      </c>
      <c r="L60" t="s">
        <v>137</v>
      </c>
      <c r="M60">
        <v>39.267099999999999</v>
      </c>
      <c r="N60">
        <v>41.376899999999999</v>
      </c>
      <c r="O60">
        <v>41.106299999999997</v>
      </c>
      <c r="P60">
        <v>40.825299999999999</v>
      </c>
      <c r="Q60">
        <v>43.0458</v>
      </c>
      <c r="R60" t="s">
        <v>137</v>
      </c>
      <c r="S60" t="s">
        <v>137</v>
      </c>
      <c r="T60">
        <v>43.042299999999997</v>
      </c>
      <c r="U60">
        <v>44.091900000000003</v>
      </c>
      <c r="V60">
        <v>41.264800000000001</v>
      </c>
      <c r="W60">
        <v>42.643599999999999</v>
      </c>
      <c r="X60">
        <v>42.9953</v>
      </c>
      <c r="Y60" t="s">
        <v>137</v>
      </c>
      <c r="Z60" t="s">
        <v>137</v>
      </c>
      <c r="AA60">
        <v>41.884300000000003</v>
      </c>
      <c r="AB60">
        <v>45.071599999999997</v>
      </c>
      <c r="AC60">
        <v>45.144300000000001</v>
      </c>
      <c r="AD60">
        <v>45.840499999999999</v>
      </c>
      <c r="AE60">
        <v>43.671999999999997</v>
      </c>
      <c r="AF60" t="s">
        <v>137</v>
      </c>
      <c r="AG60" t="s">
        <v>137</v>
      </c>
      <c r="AH60">
        <v>43.7121</v>
      </c>
      <c r="AI60">
        <v>44.124000000000002</v>
      </c>
      <c r="AJ60">
        <v>43.585299999999997</v>
      </c>
      <c r="AK60">
        <v>42.681699999999999</v>
      </c>
      <c r="AL60">
        <v>43.483600000000003</v>
      </c>
      <c r="AM60" t="s">
        <v>137</v>
      </c>
      <c r="AN60" t="s">
        <v>137</v>
      </c>
      <c r="AO60">
        <v>43.570500000000003</v>
      </c>
      <c r="AP60">
        <v>42.281599999999997</v>
      </c>
      <c r="AQ60">
        <v>41.665500000000002</v>
      </c>
      <c r="AR60">
        <v>39.464700000000001</v>
      </c>
      <c r="AS60">
        <v>38.016100000000002</v>
      </c>
      <c r="AT60" t="s">
        <v>137</v>
      </c>
      <c r="AU60" t="s">
        <v>137</v>
      </c>
      <c r="AV60">
        <v>38.780299999999997</v>
      </c>
      <c r="AW60">
        <v>40.249600000000001</v>
      </c>
      <c r="AX60">
        <v>39.148499999999999</v>
      </c>
      <c r="AY60">
        <v>41.260199999999998</v>
      </c>
      <c r="AZ60">
        <v>41.920499999999997</v>
      </c>
      <c r="BA60" t="s">
        <v>137</v>
      </c>
      <c r="BB60" t="s">
        <v>137</v>
      </c>
      <c r="BC60">
        <v>42.809100000000001</v>
      </c>
      <c r="BD60">
        <v>44.606000000000002</v>
      </c>
      <c r="BE60">
        <v>44.007399999999997</v>
      </c>
      <c r="BF60">
        <v>42.585299999999997</v>
      </c>
      <c r="BG60">
        <v>42.025500000000001</v>
      </c>
      <c r="BH60" t="s">
        <v>137</v>
      </c>
      <c r="BI60" t="s">
        <v>137</v>
      </c>
      <c r="BJ60">
        <v>44.4754</v>
      </c>
      <c r="BK60">
        <v>45.200699999999998</v>
      </c>
      <c r="BL60">
        <v>44.6312</v>
      </c>
      <c r="BM60">
        <v>46.1036</v>
      </c>
      <c r="BN60">
        <v>46.368200000000002</v>
      </c>
      <c r="BO60" t="s">
        <v>137</v>
      </c>
      <c r="BP60" t="s">
        <v>137</v>
      </c>
      <c r="BQ60">
        <v>45.5199</v>
      </c>
      <c r="BR60">
        <v>46.351399999999998</v>
      </c>
      <c r="BS60">
        <v>47.361199999999997</v>
      </c>
      <c r="BT60">
        <v>47.720100000000002</v>
      </c>
      <c r="BU60">
        <v>48.98</v>
      </c>
      <c r="BV60" t="s">
        <v>137</v>
      </c>
      <c r="BW60" t="s">
        <v>137</v>
      </c>
      <c r="BX60">
        <v>47.685699999999997</v>
      </c>
      <c r="BY60">
        <v>47.858400000000003</v>
      </c>
      <c r="BZ60">
        <v>51.441299999999998</v>
      </c>
      <c r="CA60">
        <v>50.529299999999999</v>
      </c>
      <c r="CB60">
        <v>50.355600000000003</v>
      </c>
      <c r="CC60" t="s">
        <v>137</v>
      </c>
      <c r="CD60" t="s">
        <v>137</v>
      </c>
      <c r="CE60">
        <v>50.136000000000003</v>
      </c>
      <c r="CF60">
        <v>49.256999999999998</v>
      </c>
      <c r="CG60">
        <v>48.565300000000001</v>
      </c>
      <c r="CH60">
        <v>47.302100000000003</v>
      </c>
      <c r="CI60">
        <v>48.089399999999998</v>
      </c>
      <c r="CJ60" t="s">
        <v>137</v>
      </c>
      <c r="CK60" t="s">
        <v>137</v>
      </c>
      <c r="CL60">
        <v>48.682400000000001</v>
      </c>
      <c r="CM60">
        <v>49.103299999999997</v>
      </c>
      <c r="CN60">
        <v>48.816800000000001</v>
      </c>
      <c r="CO60">
        <v>48.997</v>
      </c>
      <c r="CP60">
        <v>48.997</v>
      </c>
      <c r="CQ60" t="s">
        <v>137</v>
      </c>
      <c r="CR60" t="s">
        <v>137</v>
      </c>
      <c r="CS60">
        <v>49.284599999999998</v>
      </c>
      <c r="CT60">
        <v>47.886600000000001</v>
      </c>
      <c r="CU60">
        <v>47.911799999999999</v>
      </c>
      <c r="CV60">
        <v>47.993600000000001</v>
      </c>
      <c r="CW60">
        <v>48.003</v>
      </c>
      <c r="CX60" t="s">
        <v>137</v>
      </c>
      <c r="CY60" t="s">
        <v>137</v>
      </c>
      <c r="CZ60">
        <v>47.944899999999997</v>
      </c>
      <c r="DA60">
        <v>47.465499999999999</v>
      </c>
      <c r="DB60">
        <v>48.196100000000001</v>
      </c>
      <c r="DC60">
        <v>44.881100000000004</v>
      </c>
      <c r="DD60">
        <v>45.240699999999997</v>
      </c>
      <c r="DE60" t="s">
        <v>137</v>
      </c>
      <c r="DF60" t="s">
        <v>137</v>
      </c>
      <c r="DG60">
        <v>45.749899999999997</v>
      </c>
      <c r="DH60">
        <v>45.08</v>
      </c>
      <c r="DI60">
        <v>43.895600000000002</v>
      </c>
      <c r="DJ60">
        <v>42.096899999999998</v>
      </c>
      <c r="DK60">
        <v>43.160899999999998</v>
      </c>
      <c r="DL60" t="s">
        <v>137</v>
      </c>
      <c r="DM60" t="s">
        <v>137</v>
      </c>
      <c r="DN60">
        <v>44.832599999999999</v>
      </c>
      <c r="DO60">
        <v>44.758800000000001</v>
      </c>
      <c r="DP60">
        <v>44.814</v>
      </c>
      <c r="DQ60">
        <v>44.980699999999999</v>
      </c>
      <c r="DR60">
        <v>45.009399999999999</v>
      </c>
      <c r="DS60" t="s">
        <v>137</v>
      </c>
      <c r="DT60" t="s">
        <v>137</v>
      </c>
      <c r="DU60">
        <v>41.190300000000001</v>
      </c>
      <c r="DV60">
        <v>39.582099999999997</v>
      </c>
      <c r="DW60">
        <v>39.630000000000003</v>
      </c>
      <c r="DX60">
        <v>40.244900000000001</v>
      </c>
      <c r="DY60">
        <v>41.6235</v>
      </c>
      <c r="DZ60" t="s">
        <v>137</v>
      </c>
      <c r="EA60" t="s">
        <v>137</v>
      </c>
      <c r="EB60">
        <v>42.738599999999998</v>
      </c>
      <c r="EC60">
        <v>41.259599999999999</v>
      </c>
      <c r="ED60">
        <v>40.982100000000003</v>
      </c>
      <c r="EE60">
        <v>39.494399999999999</v>
      </c>
      <c r="EF60">
        <v>38.681399999999996</v>
      </c>
      <c r="EG60" t="s">
        <v>137</v>
      </c>
      <c r="EH60" t="s">
        <v>137</v>
      </c>
      <c r="EI60">
        <v>35.470500000000001</v>
      </c>
      <c r="EJ60">
        <v>35.897399999999998</v>
      </c>
      <c r="EK60">
        <v>34.9041</v>
      </c>
      <c r="EL60">
        <v>35.3187</v>
      </c>
      <c r="EM60">
        <v>35.710900000000002</v>
      </c>
      <c r="EN60" t="s">
        <v>137</v>
      </c>
      <c r="EO60" t="s">
        <v>137</v>
      </c>
      <c r="EP60">
        <v>35.771900000000002</v>
      </c>
      <c r="EQ60">
        <v>36.180100000000003</v>
      </c>
      <c r="ER60">
        <v>37.8459</v>
      </c>
      <c r="ES60">
        <v>38.819899999999997</v>
      </c>
      <c r="ET60">
        <v>38.750399999999999</v>
      </c>
      <c r="EU60" t="s">
        <v>137</v>
      </c>
      <c r="EV60" t="s">
        <v>137</v>
      </c>
      <c r="EW60">
        <v>40.366900000000001</v>
      </c>
      <c r="EX60">
        <v>40.425400000000003</v>
      </c>
      <c r="EY60">
        <v>39.055399999999999</v>
      </c>
      <c r="EZ60">
        <v>38.302399999999999</v>
      </c>
      <c r="FA60">
        <v>38.222700000000003</v>
      </c>
      <c r="FB60" t="s">
        <v>137</v>
      </c>
      <c r="FC60" t="s">
        <v>137</v>
      </c>
      <c r="FD60">
        <v>36.878700000000002</v>
      </c>
      <c r="FE60">
        <v>36.224699999999999</v>
      </c>
      <c r="FF60">
        <v>35.2303</v>
      </c>
      <c r="FG60">
        <v>35.600200000000001</v>
      </c>
      <c r="FH60">
        <v>34.259500000000003</v>
      </c>
      <c r="FI60" t="s">
        <v>137</v>
      </c>
      <c r="FJ60" t="s">
        <v>137</v>
      </c>
      <c r="FK60">
        <v>35.101300000000002</v>
      </c>
      <c r="FL60">
        <v>35.4619</v>
      </c>
      <c r="FM60">
        <v>36.3127</v>
      </c>
      <c r="FN60">
        <v>36.954999999999998</v>
      </c>
      <c r="FO60">
        <v>37.434800000000003</v>
      </c>
      <c r="FP60" t="s">
        <v>137</v>
      </c>
      <c r="FQ60" t="s">
        <v>137</v>
      </c>
      <c r="FR60">
        <v>38.709600000000002</v>
      </c>
      <c r="FS60">
        <v>38.133000000000003</v>
      </c>
      <c r="FT60">
        <v>38.788800000000002</v>
      </c>
      <c r="FU60">
        <v>39.514600000000002</v>
      </c>
      <c r="FV60">
        <v>38.243899999999996</v>
      </c>
      <c r="FW60" t="s">
        <v>137</v>
      </c>
      <c r="FX60" t="s">
        <v>137</v>
      </c>
      <c r="FY60">
        <v>38.458100000000002</v>
      </c>
      <c r="FZ60">
        <v>37.829700000000003</v>
      </c>
      <c r="GA60">
        <v>38.378799999999998</v>
      </c>
      <c r="GB60">
        <v>41.3431</v>
      </c>
      <c r="GC60">
        <v>41.762300000000003</v>
      </c>
      <c r="GD60" t="s">
        <v>137</v>
      </c>
      <c r="GE60" t="s">
        <v>137</v>
      </c>
      <c r="GF60">
        <v>42.186500000000002</v>
      </c>
      <c r="GG60">
        <v>41.7819</v>
      </c>
      <c r="GH60">
        <v>40.749299999999998</v>
      </c>
      <c r="GI60">
        <v>41.078099999999999</v>
      </c>
      <c r="GJ60">
        <v>44.7712</v>
      </c>
      <c r="GK60" t="s">
        <v>137</v>
      </c>
      <c r="GL60" t="s">
        <v>137</v>
      </c>
      <c r="GM60">
        <v>44.825899999999997</v>
      </c>
      <c r="GN60">
        <v>50.132599999999996</v>
      </c>
      <c r="GO60">
        <v>50.582500000000003</v>
      </c>
      <c r="GP60">
        <v>57.106400000000001</v>
      </c>
      <c r="GQ60">
        <v>55.128599999999999</v>
      </c>
      <c r="GR60" t="s">
        <v>137</v>
      </c>
      <c r="GS60" t="s">
        <v>137</v>
      </c>
      <c r="GT60">
        <v>57.253700000000002</v>
      </c>
      <c r="GU60">
        <v>60.4679</v>
      </c>
      <c r="GV60">
        <v>63.621600000000001</v>
      </c>
      <c r="GW60">
        <v>67.661100000000005</v>
      </c>
      <c r="GX60">
        <v>69.291600000000003</v>
      </c>
      <c r="GY60" t="s">
        <v>137</v>
      </c>
      <c r="GZ60" t="s">
        <v>137</v>
      </c>
      <c r="HA60">
        <v>71.484200000000001</v>
      </c>
      <c r="HB60">
        <v>72.347499999999997</v>
      </c>
      <c r="HC60">
        <v>72.446799999999996</v>
      </c>
      <c r="HD60">
        <v>74.060100000000006</v>
      </c>
      <c r="HE60">
        <v>75.106399999999994</v>
      </c>
      <c r="HF60" t="s">
        <v>137</v>
      </c>
      <c r="HG60" t="s">
        <v>137</v>
      </c>
      <c r="HH60">
        <v>75.210999999999999</v>
      </c>
      <c r="HI60">
        <v>75.315899999999999</v>
      </c>
      <c r="HJ60">
        <v>75.421199999999999</v>
      </c>
      <c r="HK60">
        <v>75.738600000000005</v>
      </c>
      <c r="HL60">
        <v>70.630600000000001</v>
      </c>
      <c r="HM60" t="s">
        <v>137</v>
      </c>
      <c r="HN60" t="s">
        <v>137</v>
      </c>
      <c r="HO60">
        <v>70.728200000000001</v>
      </c>
      <c r="HP60">
        <v>68.414900000000003</v>
      </c>
      <c r="HQ60">
        <v>70.924300000000002</v>
      </c>
      <c r="HR60">
        <v>71.847899999999996</v>
      </c>
      <c r="HS60">
        <v>73.230999999999995</v>
      </c>
      <c r="HT60" t="s">
        <v>137</v>
      </c>
      <c r="HU60" t="s">
        <v>137</v>
      </c>
      <c r="HV60">
        <v>73.3339</v>
      </c>
      <c r="HW60">
        <v>71.519300000000001</v>
      </c>
      <c r="HX60">
        <v>72.251199999999997</v>
      </c>
      <c r="HY60">
        <v>73.852900000000005</v>
      </c>
      <c r="HZ60">
        <v>72.659000000000006</v>
      </c>
      <c r="IA60" t="s">
        <v>137</v>
      </c>
      <c r="IB60" t="s">
        <v>137</v>
      </c>
      <c r="IC60">
        <v>64.548699999999997</v>
      </c>
      <c r="ID60">
        <v>65.726299999999995</v>
      </c>
      <c r="IE60">
        <v>69.853700000000003</v>
      </c>
      <c r="IF60">
        <v>71.750900000000001</v>
      </c>
      <c r="IG60">
        <v>74.698899999999995</v>
      </c>
      <c r="IH60" t="s">
        <v>137</v>
      </c>
      <c r="II60" t="s">
        <v>137</v>
      </c>
      <c r="IJ60">
        <v>75.478399999999993</v>
      </c>
      <c r="IK60">
        <v>76.963099999999997</v>
      </c>
      <c r="IL60">
        <v>77.495900000000006</v>
      </c>
      <c r="IM60">
        <v>77.834500000000006</v>
      </c>
      <c r="IN60">
        <v>77.948099999999997</v>
      </c>
      <c r="IO60" t="s">
        <v>137</v>
      </c>
      <c r="IP60" t="s">
        <v>137</v>
      </c>
      <c r="IQ60">
        <v>82.061499999999995</v>
      </c>
      <c r="IR60">
        <v>82.183199999999999</v>
      </c>
      <c r="IS60">
        <v>78.577299999999994</v>
      </c>
      <c r="IT60">
        <v>77.500399999999999</v>
      </c>
      <c r="IU60">
        <v>79.770200000000003</v>
      </c>
      <c r="IV60" t="s">
        <v>137</v>
      </c>
      <c r="IW60" t="s">
        <v>137</v>
      </c>
      <c r="IX60">
        <v>77.728399999999993</v>
      </c>
      <c r="IY60">
        <v>73.135199999999998</v>
      </c>
      <c r="IZ60">
        <v>71.973799999999997</v>
      </c>
      <c r="JA60">
        <v>71.045900000000003</v>
      </c>
      <c r="JB60">
        <v>67.035499999999999</v>
      </c>
      <c r="JC60" t="s">
        <v>137</v>
      </c>
      <c r="JD60" t="s">
        <v>137</v>
      </c>
      <c r="JE60">
        <v>63.867400000000004</v>
      </c>
      <c r="JF60">
        <v>62.9176</v>
      </c>
      <c r="JG60">
        <v>64.578400000000002</v>
      </c>
      <c r="JH60">
        <v>65.177400000000006</v>
      </c>
      <c r="JI60">
        <v>65.487300000000005</v>
      </c>
      <c r="JJ60" t="s">
        <v>137</v>
      </c>
      <c r="JK60" t="s">
        <v>137</v>
      </c>
      <c r="JL60">
        <v>64.505499999999998</v>
      </c>
      <c r="JM60">
        <v>62.009300000000003</v>
      </c>
      <c r="JN60">
        <v>61.099899999999998</v>
      </c>
      <c r="JO60">
        <v>62.3626</v>
      </c>
      <c r="JP60">
        <v>54.133200000000002</v>
      </c>
      <c r="JQ60" t="s">
        <v>137</v>
      </c>
      <c r="JR60" t="s">
        <v>137</v>
      </c>
      <c r="JS60">
        <v>55.492600000000003</v>
      </c>
      <c r="JT60">
        <v>55.136899999999997</v>
      </c>
      <c r="JU60">
        <v>55.213700000000003</v>
      </c>
      <c r="JV60">
        <v>51.706200000000003</v>
      </c>
      <c r="JW60">
        <v>54.662599999999998</v>
      </c>
      <c r="JX60" t="s">
        <v>137</v>
      </c>
      <c r="JY60" t="s">
        <v>137</v>
      </c>
      <c r="JZ60">
        <v>54.739100000000001</v>
      </c>
      <c r="KA60">
        <v>54.815800000000003</v>
      </c>
      <c r="KB60">
        <v>54.892699999999998</v>
      </c>
      <c r="KC60">
        <v>54.696300000000001</v>
      </c>
      <c r="KD60">
        <v>54.179600000000001</v>
      </c>
      <c r="KE60" t="s">
        <v>137</v>
      </c>
      <c r="KF60" t="s">
        <v>137</v>
      </c>
      <c r="KG60">
        <v>55.714599999999997</v>
      </c>
      <c r="KH60">
        <v>54.0794</v>
      </c>
      <c r="KI60">
        <v>54.578699999999998</v>
      </c>
      <c r="KJ60">
        <v>58.3675</v>
      </c>
      <c r="KK60">
        <v>55.319000000000003</v>
      </c>
      <c r="KL60" t="s">
        <v>137</v>
      </c>
      <c r="KM60" t="s">
        <v>137</v>
      </c>
      <c r="KN60">
        <v>54.117699999999999</v>
      </c>
      <c r="KO60">
        <v>52.540900000000001</v>
      </c>
      <c r="KP60">
        <v>53.023499999999999</v>
      </c>
      <c r="KQ60">
        <v>53.663899999999998</v>
      </c>
      <c r="KR60">
        <v>53.325400000000002</v>
      </c>
      <c r="KS60" t="s">
        <v>137</v>
      </c>
      <c r="KT60" t="s">
        <v>137</v>
      </c>
      <c r="KU60">
        <v>54.575400000000002</v>
      </c>
      <c r="KV60">
        <v>54.145899999999997</v>
      </c>
      <c r="KW60">
        <v>54.646999999999998</v>
      </c>
      <c r="KX60">
        <v>54.883499999999998</v>
      </c>
      <c r="KY60">
        <v>54.962699999999998</v>
      </c>
      <c r="KZ60" t="s">
        <v>137</v>
      </c>
      <c r="LA60" t="s">
        <v>137</v>
      </c>
      <c r="LB60">
        <v>53.110199999999999</v>
      </c>
      <c r="LC60">
        <v>52.776800000000001</v>
      </c>
      <c r="LD60">
        <v>52.042999999999999</v>
      </c>
      <c r="LE60">
        <v>51.468600000000002</v>
      </c>
      <c r="LF60">
        <v>52.748899999999999</v>
      </c>
      <c r="LG60" t="s">
        <v>137</v>
      </c>
      <c r="LH60" t="s">
        <v>137</v>
      </c>
      <c r="LI60">
        <v>51.855800000000002</v>
      </c>
      <c r="LJ60">
        <v>52.738399999999999</v>
      </c>
      <c r="LK60">
        <v>53.805700000000002</v>
      </c>
      <c r="LL60">
        <v>54.041600000000003</v>
      </c>
      <c r="LM60">
        <v>53.702199999999998</v>
      </c>
      <c r="LN60" t="s">
        <v>137</v>
      </c>
      <c r="LO60" t="s">
        <v>137</v>
      </c>
      <c r="LP60">
        <v>55.2224</v>
      </c>
      <c r="LQ60">
        <v>55.303800000000003</v>
      </c>
      <c r="LR60">
        <v>53.109000000000002</v>
      </c>
      <c r="LS60">
        <v>51.72</v>
      </c>
      <c r="LT60">
        <v>50.613900000000001</v>
      </c>
      <c r="LU60" t="s">
        <v>137</v>
      </c>
      <c r="LV60" t="s">
        <v>137</v>
      </c>
      <c r="LW60">
        <v>49.915799999999997</v>
      </c>
      <c r="LX60">
        <v>49.988500000000002</v>
      </c>
      <c r="LY60">
        <v>50.061399999999999</v>
      </c>
      <c r="LZ60">
        <v>50.281399999999998</v>
      </c>
      <c r="MA60">
        <v>50.3551</v>
      </c>
      <c r="MB60" t="s">
        <v>137</v>
      </c>
      <c r="MC60" t="s">
        <v>137</v>
      </c>
      <c r="MD60">
        <v>50.429099999999998</v>
      </c>
      <c r="ME60">
        <v>43.295000000000002</v>
      </c>
      <c r="MF60">
        <v>43.740499999999997</v>
      </c>
      <c r="MG60">
        <v>44.683599999999998</v>
      </c>
      <c r="MH60">
        <v>44.180399999999999</v>
      </c>
      <c r="MI60" t="s">
        <v>137</v>
      </c>
      <c r="MJ60" t="s">
        <v>137</v>
      </c>
      <c r="MK60">
        <v>44.244300000000003</v>
      </c>
      <c r="ML60">
        <v>44.687399999999997</v>
      </c>
      <c r="MM60">
        <v>44.793199999999999</v>
      </c>
      <c r="MN60">
        <v>45.277999999999999</v>
      </c>
      <c r="MO60">
        <v>45.663200000000003</v>
      </c>
      <c r="MP60" t="s">
        <v>137</v>
      </c>
      <c r="MQ60" t="s">
        <v>137</v>
      </c>
      <c r="MR60">
        <v>45.702300000000001</v>
      </c>
      <c r="MS60">
        <v>46.53</v>
      </c>
      <c r="MT60">
        <v>46.173699999999997</v>
      </c>
      <c r="MU60">
        <v>46.834400000000002</v>
      </c>
      <c r="MV60">
        <v>47.249499999999998</v>
      </c>
      <c r="MW60" t="s">
        <v>137</v>
      </c>
      <c r="MX60" t="s">
        <v>137</v>
      </c>
      <c r="MY60">
        <v>50.098399999999998</v>
      </c>
      <c r="MZ60">
        <v>55.076300000000003</v>
      </c>
      <c r="NA60">
        <v>51.855699999999999</v>
      </c>
      <c r="NB60">
        <v>55.799500000000002</v>
      </c>
      <c r="NC60">
        <v>55.450800000000001</v>
      </c>
      <c r="ND60" t="s">
        <v>137</v>
      </c>
      <c r="NE60" t="s">
        <v>137</v>
      </c>
      <c r="NF60">
        <v>53.8322</v>
      </c>
      <c r="NG60">
        <v>45.516800000000003</v>
      </c>
      <c r="NH60">
        <v>44.551299999999998</v>
      </c>
      <c r="NI60">
        <v>44.751199999999997</v>
      </c>
      <c r="NJ60">
        <v>41.2014</v>
      </c>
      <c r="NK60" t="s">
        <v>137</v>
      </c>
      <c r="NL60" t="s">
        <v>137</v>
      </c>
      <c r="NM60" t="s">
        <v>137</v>
      </c>
      <c r="NN60" t="s">
        <v>137</v>
      </c>
      <c r="NO60" t="s">
        <v>137</v>
      </c>
      <c r="NP60" t="s">
        <v>137</v>
      </c>
      <c r="NQ60" t="s">
        <v>137</v>
      </c>
      <c r="NR60" t="s">
        <v>137</v>
      </c>
      <c r="NS60" t="s">
        <v>137</v>
      </c>
      <c r="NT60" t="s">
        <v>137</v>
      </c>
      <c r="NU60" t="s">
        <v>137</v>
      </c>
      <c r="NV60" t="s">
        <v>137</v>
      </c>
      <c r="NW60" t="s">
        <v>137</v>
      </c>
      <c r="NX60" t="s">
        <v>137</v>
      </c>
      <c r="NY60" t="s">
        <v>137</v>
      </c>
      <c r="NZ60" t="s">
        <v>137</v>
      </c>
      <c r="OA60" t="s">
        <v>137</v>
      </c>
      <c r="OB60" t="s">
        <v>137</v>
      </c>
      <c r="OC60" t="s">
        <v>137</v>
      </c>
      <c r="OD60" t="s">
        <v>137</v>
      </c>
      <c r="OE60" t="s">
        <v>137</v>
      </c>
      <c r="OF60" t="s">
        <v>137</v>
      </c>
      <c r="OG60" t="s">
        <v>137</v>
      </c>
      <c r="OH60" t="s">
        <v>137</v>
      </c>
      <c r="OI60" t="s">
        <v>137</v>
      </c>
      <c r="OJ60" t="s">
        <v>137</v>
      </c>
      <c r="OK60" t="s">
        <v>137</v>
      </c>
      <c r="OL60" t="s">
        <v>137</v>
      </c>
      <c r="OM60" t="s">
        <v>137</v>
      </c>
      <c r="ON60" t="s">
        <v>137</v>
      </c>
      <c r="OO60" t="s">
        <v>137</v>
      </c>
      <c r="OP60" t="s">
        <v>137</v>
      </c>
      <c r="OQ60" t="s">
        <v>137</v>
      </c>
      <c r="OR60" t="s">
        <v>137</v>
      </c>
      <c r="OS60" t="s">
        <v>137</v>
      </c>
      <c r="OT60" t="s">
        <v>137</v>
      </c>
      <c r="OU60" t="s">
        <v>137</v>
      </c>
      <c r="OV60" t="s">
        <v>137</v>
      </c>
      <c r="OW60" t="s">
        <v>137</v>
      </c>
      <c r="OX60" t="s">
        <v>137</v>
      </c>
      <c r="OY60" t="s">
        <v>137</v>
      </c>
      <c r="OZ60" t="s">
        <v>137</v>
      </c>
      <c r="PA60" t="s">
        <v>137</v>
      </c>
      <c r="PB60" t="s">
        <v>137</v>
      </c>
      <c r="PC60" t="s">
        <v>137</v>
      </c>
      <c r="PD60" t="s">
        <v>137</v>
      </c>
      <c r="PE60" t="s">
        <v>137</v>
      </c>
      <c r="PF60" t="s">
        <v>137</v>
      </c>
      <c r="PG60" t="s">
        <v>137</v>
      </c>
      <c r="PH60" t="s">
        <v>137</v>
      </c>
      <c r="PI60" t="s">
        <v>137</v>
      </c>
      <c r="PJ60" t="s">
        <v>137</v>
      </c>
      <c r="PK60" t="s">
        <v>137</v>
      </c>
      <c r="PL60" t="s">
        <v>137</v>
      </c>
      <c r="PM60" t="s">
        <v>137</v>
      </c>
      <c r="PN60" t="s">
        <v>137</v>
      </c>
      <c r="PO60" t="s">
        <v>137</v>
      </c>
      <c r="PP60" t="s">
        <v>137</v>
      </c>
      <c r="PQ60" t="s">
        <v>137</v>
      </c>
      <c r="PR60" t="s">
        <v>137</v>
      </c>
      <c r="PS60" t="s">
        <v>137</v>
      </c>
      <c r="PT60" t="s">
        <v>137</v>
      </c>
      <c r="PU60" t="s">
        <v>137</v>
      </c>
      <c r="PV60" t="s">
        <v>137</v>
      </c>
      <c r="PW60" t="s">
        <v>137</v>
      </c>
      <c r="PX60" t="s">
        <v>137</v>
      </c>
      <c r="PY60" t="s">
        <v>137</v>
      </c>
      <c r="PZ60" t="s">
        <v>137</v>
      </c>
      <c r="QA60" t="s">
        <v>137</v>
      </c>
      <c r="QB60" t="s">
        <v>137</v>
      </c>
      <c r="QC60" t="s">
        <v>137</v>
      </c>
      <c r="QD60" t="s">
        <v>137</v>
      </c>
      <c r="QE60" t="s">
        <v>137</v>
      </c>
      <c r="QF60" t="s">
        <v>137</v>
      </c>
      <c r="QG60" t="s">
        <v>137</v>
      </c>
      <c r="QH60" t="s">
        <v>137</v>
      </c>
      <c r="QI60" t="s">
        <v>137</v>
      </c>
      <c r="QJ60" t="s">
        <v>137</v>
      </c>
      <c r="QK60" t="s">
        <v>137</v>
      </c>
      <c r="QL60" t="s">
        <v>137</v>
      </c>
      <c r="QM60" t="s">
        <v>137</v>
      </c>
      <c r="QN60" t="s">
        <v>137</v>
      </c>
      <c r="QO60" t="s">
        <v>137</v>
      </c>
    </row>
    <row r="61" spans="1:457" x14ac:dyDescent="0.2">
      <c r="A61" t="s">
        <v>131</v>
      </c>
      <c r="B61" s="3">
        <v>42655</v>
      </c>
      <c r="C61" t="s">
        <v>47</v>
      </c>
      <c r="E61" t="s">
        <v>137</v>
      </c>
      <c r="F61">
        <v>28.547799999999999</v>
      </c>
      <c r="G61">
        <v>27.445900000000002</v>
      </c>
      <c r="H61">
        <v>27.186499999999999</v>
      </c>
      <c r="I61">
        <v>25.231300000000001</v>
      </c>
      <c r="J61">
        <v>23.9955</v>
      </c>
      <c r="K61" t="s">
        <v>137</v>
      </c>
      <c r="L61" t="s">
        <v>137</v>
      </c>
      <c r="M61">
        <v>23.886700000000001</v>
      </c>
      <c r="N61">
        <v>25.313199999999998</v>
      </c>
      <c r="O61">
        <v>24.983499999999999</v>
      </c>
      <c r="P61">
        <v>25.4879</v>
      </c>
      <c r="Q61">
        <v>26.690999999999999</v>
      </c>
      <c r="R61" t="s">
        <v>137</v>
      </c>
      <c r="S61" t="s">
        <v>137</v>
      </c>
      <c r="T61">
        <v>26.3093</v>
      </c>
      <c r="U61">
        <v>26.592300000000002</v>
      </c>
      <c r="V61">
        <v>24.928100000000001</v>
      </c>
      <c r="W61">
        <v>25.296099999999999</v>
      </c>
      <c r="X61">
        <v>25.160399999999999</v>
      </c>
      <c r="Y61" t="s">
        <v>137</v>
      </c>
      <c r="Z61" t="s">
        <v>137</v>
      </c>
      <c r="AA61">
        <v>25.173200000000001</v>
      </c>
      <c r="AB61">
        <v>25.6616</v>
      </c>
      <c r="AC61">
        <v>26.588799999999999</v>
      </c>
      <c r="AD61">
        <v>26.1615</v>
      </c>
      <c r="AE61">
        <v>25.685700000000001</v>
      </c>
      <c r="AF61" t="s">
        <v>137</v>
      </c>
      <c r="AG61" t="s">
        <v>137</v>
      </c>
      <c r="AH61">
        <v>25.523199999999999</v>
      </c>
      <c r="AI61">
        <v>25.616399999999999</v>
      </c>
      <c r="AJ61">
        <v>25.135899999999999</v>
      </c>
      <c r="AK61">
        <v>25.5243</v>
      </c>
      <c r="AL61">
        <v>25.208200000000001</v>
      </c>
      <c r="AM61" t="s">
        <v>137</v>
      </c>
      <c r="AN61" t="s">
        <v>137</v>
      </c>
      <c r="AO61">
        <v>24.907399999999999</v>
      </c>
      <c r="AP61">
        <v>24.621500000000001</v>
      </c>
      <c r="AQ61">
        <v>24.650300000000001</v>
      </c>
      <c r="AR61">
        <v>23.753699999999998</v>
      </c>
      <c r="AS61">
        <v>22.759899999999998</v>
      </c>
      <c r="AT61" t="s">
        <v>137</v>
      </c>
      <c r="AU61" t="s">
        <v>137</v>
      </c>
      <c r="AV61">
        <v>23.284300000000002</v>
      </c>
      <c r="AW61">
        <v>23.397200000000002</v>
      </c>
      <c r="AX61">
        <v>23.473500000000001</v>
      </c>
      <c r="AY61">
        <v>24.1294</v>
      </c>
      <c r="AZ61">
        <v>24.484300000000001</v>
      </c>
      <c r="BA61" t="s">
        <v>137</v>
      </c>
      <c r="BB61" t="s">
        <v>137</v>
      </c>
      <c r="BC61">
        <v>24.4894</v>
      </c>
      <c r="BD61">
        <v>25.967300000000002</v>
      </c>
      <c r="BE61">
        <v>26.209900000000001</v>
      </c>
      <c r="BF61">
        <v>24.866800000000001</v>
      </c>
      <c r="BG61">
        <v>24.985800000000001</v>
      </c>
      <c r="BH61" t="s">
        <v>137</v>
      </c>
      <c r="BI61" t="s">
        <v>137</v>
      </c>
      <c r="BJ61">
        <v>25.975000000000001</v>
      </c>
      <c r="BK61">
        <v>26.345700000000001</v>
      </c>
      <c r="BL61">
        <v>26.139099999999999</v>
      </c>
      <c r="BM61">
        <v>26.353400000000001</v>
      </c>
      <c r="BN61">
        <v>26.593800000000002</v>
      </c>
      <c r="BO61" t="s">
        <v>137</v>
      </c>
      <c r="BP61" t="s">
        <v>137</v>
      </c>
      <c r="BQ61">
        <v>26.4176</v>
      </c>
      <c r="BR61">
        <v>26.371400000000001</v>
      </c>
      <c r="BS61">
        <v>26.932099999999998</v>
      </c>
      <c r="BT61">
        <v>27.243600000000001</v>
      </c>
      <c r="BU61">
        <v>27.523399999999999</v>
      </c>
      <c r="BV61" t="s">
        <v>137</v>
      </c>
      <c r="BW61" t="s">
        <v>137</v>
      </c>
      <c r="BX61">
        <v>27.741599999999998</v>
      </c>
      <c r="BY61">
        <v>28.296500000000002</v>
      </c>
      <c r="BZ61">
        <v>27.948499999999999</v>
      </c>
      <c r="CA61">
        <v>28.269600000000001</v>
      </c>
      <c r="CB61">
        <v>28.028500000000001</v>
      </c>
      <c r="CC61" t="s">
        <v>137</v>
      </c>
      <c r="CD61" t="s">
        <v>137</v>
      </c>
      <c r="CE61">
        <v>28.053100000000001</v>
      </c>
      <c r="CF61">
        <v>28.0215</v>
      </c>
      <c r="CG61">
        <v>26.994299999999999</v>
      </c>
      <c r="CH61">
        <v>26.750800000000002</v>
      </c>
      <c r="CI61">
        <v>26.6814</v>
      </c>
      <c r="CJ61" t="s">
        <v>137</v>
      </c>
      <c r="CK61" t="s">
        <v>137</v>
      </c>
      <c r="CL61">
        <v>26.892800000000001</v>
      </c>
      <c r="CM61">
        <v>27.036999999999999</v>
      </c>
      <c r="CN61">
        <v>27.053899999999999</v>
      </c>
      <c r="CO61">
        <v>27.084900000000001</v>
      </c>
      <c r="CP61">
        <v>27.1098</v>
      </c>
      <c r="CQ61" t="s">
        <v>137</v>
      </c>
      <c r="CR61" t="s">
        <v>137</v>
      </c>
      <c r="CS61">
        <v>27.199200000000001</v>
      </c>
      <c r="CT61">
        <v>27.120200000000001</v>
      </c>
      <c r="CU61">
        <v>27.158999999999999</v>
      </c>
      <c r="CV61">
        <v>27.244700000000002</v>
      </c>
      <c r="CW61">
        <v>27.259799999999998</v>
      </c>
      <c r="CX61" t="s">
        <v>137</v>
      </c>
      <c r="CY61" t="s">
        <v>137</v>
      </c>
      <c r="CZ61">
        <v>27.256799999999998</v>
      </c>
      <c r="DA61">
        <v>27.272600000000001</v>
      </c>
      <c r="DB61">
        <v>27.254300000000001</v>
      </c>
      <c r="DC61">
        <v>26.6798</v>
      </c>
      <c r="DD61">
        <v>26.666499999999999</v>
      </c>
      <c r="DE61" t="s">
        <v>137</v>
      </c>
      <c r="DF61" t="s">
        <v>137</v>
      </c>
      <c r="DG61">
        <v>26.693100000000001</v>
      </c>
      <c r="DH61">
        <v>26.680499999999999</v>
      </c>
      <c r="DI61">
        <v>26.731100000000001</v>
      </c>
      <c r="DJ61">
        <v>24.629000000000001</v>
      </c>
      <c r="DK61">
        <v>25.284500000000001</v>
      </c>
      <c r="DL61" t="s">
        <v>137</v>
      </c>
      <c r="DM61" t="s">
        <v>137</v>
      </c>
      <c r="DN61">
        <v>24.691099999999999</v>
      </c>
      <c r="DO61">
        <v>24.674299999999999</v>
      </c>
      <c r="DP61">
        <v>24.690100000000001</v>
      </c>
      <c r="DQ61">
        <v>24.7376</v>
      </c>
      <c r="DR61">
        <v>24.621600000000001</v>
      </c>
      <c r="DS61" t="s">
        <v>137</v>
      </c>
      <c r="DT61" t="s">
        <v>137</v>
      </c>
      <c r="DU61">
        <v>23.141100000000002</v>
      </c>
      <c r="DV61">
        <v>23.161899999999999</v>
      </c>
      <c r="DW61">
        <v>23.169499999999999</v>
      </c>
      <c r="DX61">
        <v>23.2195</v>
      </c>
      <c r="DY61">
        <v>23.2209</v>
      </c>
      <c r="DZ61" t="s">
        <v>137</v>
      </c>
      <c r="EA61" t="s">
        <v>137</v>
      </c>
      <c r="EB61">
        <v>24.384899999999998</v>
      </c>
      <c r="EC61">
        <v>23.863099999999999</v>
      </c>
      <c r="ED61">
        <v>23.519300000000001</v>
      </c>
      <c r="EE61">
        <v>23.185400000000001</v>
      </c>
      <c r="EF61">
        <v>22.811599999999999</v>
      </c>
      <c r="EG61" t="s">
        <v>137</v>
      </c>
      <c r="EH61" t="s">
        <v>137</v>
      </c>
      <c r="EI61">
        <v>20.4511</v>
      </c>
      <c r="EJ61">
        <v>20.398900000000001</v>
      </c>
      <c r="EK61">
        <v>20.338100000000001</v>
      </c>
      <c r="EL61">
        <v>20.002800000000001</v>
      </c>
      <c r="EM61">
        <v>20.081299999999999</v>
      </c>
      <c r="EN61" t="s">
        <v>137</v>
      </c>
      <c r="EO61" t="s">
        <v>137</v>
      </c>
      <c r="EP61">
        <v>20.202000000000002</v>
      </c>
      <c r="EQ61">
        <v>20.502500000000001</v>
      </c>
      <c r="ER61">
        <v>21.2791</v>
      </c>
      <c r="ES61">
        <v>21.8324</v>
      </c>
      <c r="ET61">
        <v>21.830300000000001</v>
      </c>
      <c r="EU61" t="s">
        <v>137</v>
      </c>
      <c r="EV61" t="s">
        <v>137</v>
      </c>
      <c r="EW61">
        <v>22.7517</v>
      </c>
      <c r="EX61">
        <v>22.7623</v>
      </c>
      <c r="EY61">
        <v>22.145600000000002</v>
      </c>
      <c r="EZ61">
        <v>22.311800000000002</v>
      </c>
      <c r="FA61">
        <v>22.188700000000001</v>
      </c>
      <c r="FB61" t="s">
        <v>137</v>
      </c>
      <c r="FC61" t="s">
        <v>137</v>
      </c>
      <c r="FD61">
        <v>21.672799999999999</v>
      </c>
      <c r="FE61">
        <v>21.4908</v>
      </c>
      <c r="FF61">
        <v>20.6938</v>
      </c>
      <c r="FG61">
        <v>21.032800000000002</v>
      </c>
      <c r="FH61">
        <v>20.6982</v>
      </c>
      <c r="FI61" t="s">
        <v>137</v>
      </c>
      <c r="FJ61" t="s">
        <v>137</v>
      </c>
      <c r="FK61">
        <v>20.991900000000001</v>
      </c>
      <c r="FL61">
        <v>21.213200000000001</v>
      </c>
      <c r="FM61">
        <v>21.537600000000001</v>
      </c>
      <c r="FN61">
        <v>22.0868</v>
      </c>
      <c r="FO61">
        <v>22.1084</v>
      </c>
      <c r="FP61" t="s">
        <v>137</v>
      </c>
      <c r="FQ61" t="s">
        <v>137</v>
      </c>
      <c r="FR61">
        <v>22.5213</v>
      </c>
      <c r="FS61">
        <v>22.400099999999998</v>
      </c>
      <c r="FT61">
        <v>22.412800000000001</v>
      </c>
      <c r="FU61">
        <v>23.0059</v>
      </c>
      <c r="FV61">
        <v>22.739100000000001</v>
      </c>
      <c r="FW61" t="s">
        <v>137</v>
      </c>
      <c r="FX61" t="s">
        <v>137</v>
      </c>
      <c r="FY61">
        <v>22.751999999999999</v>
      </c>
      <c r="FZ61">
        <v>22.489100000000001</v>
      </c>
      <c r="GA61">
        <v>22.694700000000001</v>
      </c>
      <c r="GB61">
        <v>22.678100000000001</v>
      </c>
      <c r="GC61">
        <v>23.253900000000002</v>
      </c>
      <c r="GD61" t="s">
        <v>137</v>
      </c>
      <c r="GE61" t="s">
        <v>137</v>
      </c>
      <c r="GF61">
        <v>24.3001</v>
      </c>
      <c r="GG61">
        <v>24.223199999999999</v>
      </c>
      <c r="GH61">
        <v>24.026499999999999</v>
      </c>
      <c r="GI61">
        <v>24.0684</v>
      </c>
      <c r="GJ61">
        <v>25.7514</v>
      </c>
      <c r="GK61" t="s">
        <v>137</v>
      </c>
      <c r="GL61" t="s">
        <v>137</v>
      </c>
      <c r="GM61">
        <v>25.9162</v>
      </c>
      <c r="GN61">
        <v>27.593</v>
      </c>
      <c r="GO61">
        <v>28.6678</v>
      </c>
      <c r="GP61">
        <v>30.224900000000002</v>
      </c>
      <c r="GQ61">
        <v>29.9495</v>
      </c>
      <c r="GR61" t="s">
        <v>137</v>
      </c>
      <c r="GS61" t="s">
        <v>137</v>
      </c>
      <c r="GT61">
        <v>30.692299999999999</v>
      </c>
      <c r="GU61">
        <v>31.375699999999998</v>
      </c>
      <c r="GV61">
        <v>32.558700000000002</v>
      </c>
      <c r="GW61">
        <v>34.491700000000002</v>
      </c>
      <c r="GX61">
        <v>34.514600000000002</v>
      </c>
      <c r="GY61" t="s">
        <v>137</v>
      </c>
      <c r="GZ61" t="s">
        <v>137</v>
      </c>
      <c r="HA61">
        <v>35.407800000000002</v>
      </c>
      <c r="HB61">
        <v>35.996600000000001</v>
      </c>
      <c r="HC61">
        <v>36.021099999999997</v>
      </c>
      <c r="HD61">
        <v>36.678800000000003</v>
      </c>
      <c r="HE61">
        <v>37.739199999999997</v>
      </c>
      <c r="HF61" t="s">
        <v>137</v>
      </c>
      <c r="HG61" t="s">
        <v>137</v>
      </c>
      <c r="HH61">
        <v>37.765599999999999</v>
      </c>
      <c r="HI61">
        <v>37.175199999999997</v>
      </c>
      <c r="HJ61">
        <v>37.201000000000001</v>
      </c>
      <c r="HK61">
        <v>36.384399999999999</v>
      </c>
      <c r="HL61">
        <v>35.553100000000001</v>
      </c>
      <c r="HM61" t="s">
        <v>137</v>
      </c>
      <c r="HN61" t="s">
        <v>137</v>
      </c>
      <c r="HO61">
        <v>35.0261</v>
      </c>
      <c r="HP61">
        <v>33.991</v>
      </c>
      <c r="HQ61">
        <v>35.073500000000003</v>
      </c>
      <c r="HR61">
        <v>35.145000000000003</v>
      </c>
      <c r="HS61">
        <v>35.723500000000001</v>
      </c>
      <c r="HT61" t="s">
        <v>137</v>
      </c>
      <c r="HU61" t="s">
        <v>137</v>
      </c>
      <c r="HV61">
        <v>36.319299999999998</v>
      </c>
      <c r="HW61">
        <v>35.772599999999997</v>
      </c>
      <c r="HX61">
        <v>36.081299999999999</v>
      </c>
      <c r="HY61">
        <v>36.738700000000001</v>
      </c>
      <c r="HZ61">
        <v>35.895800000000001</v>
      </c>
      <c r="IA61" t="s">
        <v>137</v>
      </c>
      <c r="IB61" t="s">
        <v>137</v>
      </c>
      <c r="IC61">
        <v>33.273200000000003</v>
      </c>
      <c r="ID61">
        <v>33.049300000000002</v>
      </c>
      <c r="IE61">
        <v>34.076099999999997</v>
      </c>
      <c r="IF61">
        <v>35.903100000000002</v>
      </c>
      <c r="IG61">
        <v>37.5501</v>
      </c>
      <c r="IH61" t="s">
        <v>137</v>
      </c>
      <c r="II61" t="s">
        <v>137</v>
      </c>
      <c r="IJ61">
        <v>37.886600000000001</v>
      </c>
      <c r="IK61">
        <v>38.5488</v>
      </c>
      <c r="IL61">
        <v>39.232999999999997</v>
      </c>
      <c r="IM61">
        <v>39.3185</v>
      </c>
      <c r="IN61">
        <v>39.347099999999998</v>
      </c>
      <c r="IO61" t="s">
        <v>137</v>
      </c>
      <c r="IP61" t="s">
        <v>137</v>
      </c>
      <c r="IQ61">
        <v>41.125100000000003</v>
      </c>
      <c r="IR61">
        <v>41.339300000000001</v>
      </c>
      <c r="IS61">
        <v>40.116799999999998</v>
      </c>
      <c r="IT61">
        <v>39.519799999999996</v>
      </c>
      <c r="IU61">
        <v>39.889299999999999</v>
      </c>
      <c r="IV61" t="s">
        <v>137</v>
      </c>
      <c r="IW61" t="s">
        <v>137</v>
      </c>
      <c r="IX61">
        <v>39.577800000000003</v>
      </c>
      <c r="IY61">
        <v>36.768000000000001</v>
      </c>
      <c r="IZ61">
        <v>36.501600000000003</v>
      </c>
      <c r="JA61">
        <v>36.872300000000003</v>
      </c>
      <c r="JB61">
        <v>35.1982</v>
      </c>
      <c r="JC61" t="s">
        <v>137</v>
      </c>
      <c r="JD61" t="s">
        <v>137</v>
      </c>
      <c r="JE61">
        <v>33.160299999999999</v>
      </c>
      <c r="JF61">
        <v>32.939500000000002</v>
      </c>
      <c r="JG61">
        <v>33.4024</v>
      </c>
      <c r="JH61">
        <v>34.024700000000003</v>
      </c>
      <c r="JI61">
        <v>34.176400000000001</v>
      </c>
      <c r="JJ61" t="s">
        <v>137</v>
      </c>
      <c r="JK61" t="s">
        <v>137</v>
      </c>
      <c r="JL61">
        <v>34.071599999999997</v>
      </c>
      <c r="JM61">
        <v>32.379399999999997</v>
      </c>
      <c r="JN61">
        <v>31.709599999999998</v>
      </c>
      <c r="JO61">
        <v>32.466900000000003</v>
      </c>
      <c r="JP61">
        <v>28.66</v>
      </c>
      <c r="JQ61" t="s">
        <v>137</v>
      </c>
      <c r="JR61" t="s">
        <v>137</v>
      </c>
      <c r="JS61">
        <v>28.1096</v>
      </c>
      <c r="JT61">
        <v>28.127600000000001</v>
      </c>
      <c r="JU61">
        <v>27.412199999999999</v>
      </c>
      <c r="JV61">
        <v>26.931699999999999</v>
      </c>
      <c r="JW61">
        <v>27.302600000000002</v>
      </c>
      <c r="JX61" t="s">
        <v>137</v>
      </c>
      <c r="JY61" t="s">
        <v>137</v>
      </c>
      <c r="JZ61">
        <v>27.409500000000001</v>
      </c>
      <c r="KA61">
        <v>27.337299999999999</v>
      </c>
      <c r="KB61">
        <v>27.625299999999999</v>
      </c>
      <c r="KC61">
        <v>27.139900000000001</v>
      </c>
      <c r="KD61">
        <v>27.0688</v>
      </c>
      <c r="KE61" t="s">
        <v>137</v>
      </c>
      <c r="KF61" t="s">
        <v>137</v>
      </c>
      <c r="KG61">
        <v>27.352599999999999</v>
      </c>
      <c r="KH61">
        <v>27.459800000000001</v>
      </c>
      <c r="KI61">
        <v>27.298200000000001</v>
      </c>
      <c r="KJ61">
        <v>29.034700000000001</v>
      </c>
      <c r="KK61">
        <v>27.9132</v>
      </c>
      <c r="KL61" t="s">
        <v>137</v>
      </c>
      <c r="KM61" t="s">
        <v>137</v>
      </c>
      <c r="KN61">
        <v>27.3858</v>
      </c>
      <c r="KO61">
        <v>26.527999999999999</v>
      </c>
      <c r="KP61">
        <v>26.544899999999998</v>
      </c>
      <c r="KQ61">
        <v>27.012</v>
      </c>
      <c r="KR61">
        <v>27.029399999999999</v>
      </c>
      <c r="KS61" t="s">
        <v>137</v>
      </c>
      <c r="KT61" t="s">
        <v>137</v>
      </c>
      <c r="KU61">
        <v>27.509499999999999</v>
      </c>
      <c r="KV61">
        <v>27.169899999999998</v>
      </c>
      <c r="KW61">
        <v>27.472999999999999</v>
      </c>
      <c r="KX61">
        <v>27.598600000000001</v>
      </c>
      <c r="KY61">
        <v>27.616499999999998</v>
      </c>
      <c r="KZ61" t="s">
        <v>137</v>
      </c>
      <c r="LA61" t="s">
        <v>137</v>
      </c>
      <c r="LB61">
        <v>26.406700000000001</v>
      </c>
      <c r="LC61">
        <v>26.4236</v>
      </c>
      <c r="LD61">
        <v>26.590699999999998</v>
      </c>
      <c r="LE61">
        <v>26.8215</v>
      </c>
      <c r="LF61">
        <v>27.260300000000001</v>
      </c>
      <c r="LG61" t="s">
        <v>137</v>
      </c>
      <c r="LH61" t="s">
        <v>137</v>
      </c>
      <c r="LI61">
        <v>27.0273</v>
      </c>
      <c r="LJ61">
        <v>27.302800000000001</v>
      </c>
      <c r="LK61">
        <v>27.546399999999998</v>
      </c>
      <c r="LL61">
        <v>27.495899999999999</v>
      </c>
      <c r="LM61">
        <v>27.510200000000001</v>
      </c>
      <c r="LN61" t="s">
        <v>137</v>
      </c>
      <c r="LO61" t="s">
        <v>137</v>
      </c>
      <c r="LP61">
        <v>27.720099999999999</v>
      </c>
      <c r="LQ61">
        <v>27.723700000000001</v>
      </c>
      <c r="LR61">
        <v>27.104500000000002</v>
      </c>
      <c r="LS61">
        <v>26.396999999999998</v>
      </c>
      <c r="LT61">
        <v>26.0349</v>
      </c>
      <c r="LU61" t="s">
        <v>137</v>
      </c>
      <c r="LV61" t="s">
        <v>137</v>
      </c>
      <c r="LW61">
        <v>25.7028</v>
      </c>
      <c r="LX61">
        <v>26.095099999999999</v>
      </c>
      <c r="LY61">
        <v>26.3536</v>
      </c>
      <c r="LZ61">
        <v>26.684699999999999</v>
      </c>
      <c r="MA61">
        <v>26.636800000000001</v>
      </c>
      <c r="MB61" t="s">
        <v>137</v>
      </c>
      <c r="MC61" t="s">
        <v>137</v>
      </c>
      <c r="MD61">
        <v>26.795500000000001</v>
      </c>
      <c r="ME61">
        <v>23.563500000000001</v>
      </c>
      <c r="MF61">
        <v>23.680099999999999</v>
      </c>
      <c r="MG61">
        <v>23.871600000000001</v>
      </c>
      <c r="MH61">
        <v>24.127099999999999</v>
      </c>
      <c r="MI61" t="s">
        <v>137</v>
      </c>
      <c r="MJ61" t="s">
        <v>137</v>
      </c>
      <c r="MK61">
        <v>24.142399999999999</v>
      </c>
      <c r="ML61">
        <v>24.3291</v>
      </c>
      <c r="MM61">
        <v>24.475200000000001</v>
      </c>
      <c r="MN61">
        <v>23.739100000000001</v>
      </c>
      <c r="MO61">
        <v>23.754100000000001</v>
      </c>
      <c r="MP61" t="s">
        <v>137</v>
      </c>
      <c r="MQ61" t="s">
        <v>137</v>
      </c>
      <c r="MR61">
        <v>23.769100000000002</v>
      </c>
      <c r="MS61">
        <v>24.410599999999999</v>
      </c>
      <c r="MT61">
        <v>24.280999999999999</v>
      </c>
      <c r="MU61">
        <v>24.564800000000002</v>
      </c>
      <c r="MV61">
        <v>24.734400000000001</v>
      </c>
      <c r="MW61" t="s">
        <v>137</v>
      </c>
      <c r="MX61" t="s">
        <v>137</v>
      </c>
      <c r="MY61">
        <v>25.938099999999999</v>
      </c>
      <c r="MZ61">
        <v>28.093399999999999</v>
      </c>
      <c r="NA61">
        <v>26.706600000000002</v>
      </c>
      <c r="NB61">
        <v>28.265999999999998</v>
      </c>
      <c r="NC61">
        <v>24.645499999999998</v>
      </c>
      <c r="ND61" t="s">
        <v>137</v>
      </c>
      <c r="NE61" t="s">
        <v>137</v>
      </c>
      <c r="NF61">
        <v>25.787299999999998</v>
      </c>
      <c r="NG61">
        <v>23.5579</v>
      </c>
      <c r="NH61">
        <v>23.572900000000001</v>
      </c>
      <c r="NI61">
        <v>23.687999999999999</v>
      </c>
      <c r="NJ61">
        <v>22.235299999999999</v>
      </c>
      <c r="NK61" t="s">
        <v>137</v>
      </c>
      <c r="NL61" t="s">
        <v>137</v>
      </c>
      <c r="NM61" t="s">
        <v>137</v>
      </c>
      <c r="NN61" t="s">
        <v>137</v>
      </c>
      <c r="NO61" t="s">
        <v>137</v>
      </c>
      <c r="NP61" t="s">
        <v>137</v>
      </c>
      <c r="NQ61" t="s">
        <v>137</v>
      </c>
      <c r="NR61" t="s">
        <v>137</v>
      </c>
      <c r="NS61" t="s">
        <v>137</v>
      </c>
      <c r="NT61" t="s">
        <v>137</v>
      </c>
      <c r="NU61" t="s">
        <v>137</v>
      </c>
      <c r="NV61" t="s">
        <v>137</v>
      </c>
      <c r="NW61" t="s">
        <v>137</v>
      </c>
      <c r="NX61" t="s">
        <v>137</v>
      </c>
      <c r="NY61" t="s">
        <v>137</v>
      </c>
      <c r="NZ61" t="s">
        <v>137</v>
      </c>
      <c r="OA61" t="s">
        <v>137</v>
      </c>
      <c r="OB61" t="s">
        <v>137</v>
      </c>
      <c r="OC61" t="s">
        <v>137</v>
      </c>
      <c r="OD61" t="s">
        <v>137</v>
      </c>
      <c r="OE61" t="s">
        <v>137</v>
      </c>
      <c r="OF61" t="s">
        <v>137</v>
      </c>
      <c r="OG61" t="s">
        <v>137</v>
      </c>
      <c r="OH61" t="s">
        <v>137</v>
      </c>
      <c r="OI61" t="s">
        <v>137</v>
      </c>
      <c r="OJ61" t="s">
        <v>137</v>
      </c>
      <c r="OK61" t="s">
        <v>137</v>
      </c>
      <c r="OL61" t="s">
        <v>137</v>
      </c>
      <c r="OM61" t="s">
        <v>137</v>
      </c>
      <c r="ON61" t="s">
        <v>137</v>
      </c>
      <c r="OO61" t="s">
        <v>137</v>
      </c>
      <c r="OP61" t="s">
        <v>137</v>
      </c>
      <c r="OQ61" t="s">
        <v>137</v>
      </c>
      <c r="OR61" t="s">
        <v>137</v>
      </c>
      <c r="OS61" t="s">
        <v>137</v>
      </c>
      <c r="OT61" t="s">
        <v>137</v>
      </c>
      <c r="OU61" t="s">
        <v>137</v>
      </c>
      <c r="OV61" t="s">
        <v>137</v>
      </c>
      <c r="OW61" t="s">
        <v>137</v>
      </c>
      <c r="OX61" t="s">
        <v>137</v>
      </c>
      <c r="OY61" t="s">
        <v>137</v>
      </c>
      <c r="OZ61" t="s">
        <v>137</v>
      </c>
      <c r="PA61" t="s">
        <v>137</v>
      </c>
      <c r="PB61" t="s">
        <v>137</v>
      </c>
      <c r="PC61" t="s">
        <v>137</v>
      </c>
      <c r="PD61" t="s">
        <v>137</v>
      </c>
      <c r="PE61" t="s">
        <v>137</v>
      </c>
      <c r="PF61" t="s">
        <v>137</v>
      </c>
      <c r="PG61" t="s">
        <v>137</v>
      </c>
      <c r="PH61" t="s">
        <v>137</v>
      </c>
      <c r="PI61" t="s">
        <v>137</v>
      </c>
      <c r="PJ61" t="s">
        <v>137</v>
      </c>
      <c r="PK61" t="s">
        <v>137</v>
      </c>
      <c r="PL61" t="s">
        <v>137</v>
      </c>
      <c r="PM61" t="s">
        <v>137</v>
      </c>
      <c r="PN61" t="s">
        <v>137</v>
      </c>
      <c r="PO61" t="s">
        <v>137</v>
      </c>
      <c r="PP61" t="s">
        <v>137</v>
      </c>
      <c r="PQ61" t="s">
        <v>137</v>
      </c>
      <c r="PR61" t="s">
        <v>137</v>
      </c>
      <c r="PS61" t="s">
        <v>137</v>
      </c>
      <c r="PT61" t="s">
        <v>137</v>
      </c>
      <c r="PU61" t="s">
        <v>137</v>
      </c>
      <c r="PV61" t="s">
        <v>137</v>
      </c>
      <c r="PW61" t="s">
        <v>137</v>
      </c>
      <c r="PX61" t="s">
        <v>137</v>
      </c>
      <c r="PY61" t="s">
        <v>137</v>
      </c>
      <c r="PZ61" t="s">
        <v>137</v>
      </c>
      <c r="QA61" t="s">
        <v>137</v>
      </c>
      <c r="QB61" t="s">
        <v>137</v>
      </c>
      <c r="QC61" t="s">
        <v>137</v>
      </c>
      <c r="QD61" t="s">
        <v>137</v>
      </c>
      <c r="QE61" t="s">
        <v>137</v>
      </c>
      <c r="QF61" t="s">
        <v>137</v>
      </c>
      <c r="QG61" t="s">
        <v>137</v>
      </c>
      <c r="QH61" t="s">
        <v>137</v>
      </c>
      <c r="QI61" t="s">
        <v>137</v>
      </c>
      <c r="QJ61" t="s">
        <v>137</v>
      </c>
      <c r="QK61" t="s">
        <v>137</v>
      </c>
      <c r="QL61" t="s">
        <v>137</v>
      </c>
      <c r="QM61" t="s">
        <v>137</v>
      </c>
      <c r="QN61" t="s">
        <v>137</v>
      </c>
      <c r="QO61" t="s">
        <v>137</v>
      </c>
    </row>
    <row r="62" spans="1:457" x14ac:dyDescent="0.2">
      <c r="A62" t="s">
        <v>132</v>
      </c>
      <c r="B62" s="3">
        <v>43048</v>
      </c>
      <c r="C62" t="s">
        <v>49</v>
      </c>
      <c r="E62" t="s">
        <v>137</v>
      </c>
      <c r="F62">
        <v>27.021699999999999</v>
      </c>
      <c r="G62">
        <v>25.8142</v>
      </c>
      <c r="H62">
        <v>25.798500000000001</v>
      </c>
      <c r="I62">
        <v>23.907800000000002</v>
      </c>
      <c r="J62">
        <v>22.755400000000002</v>
      </c>
      <c r="K62" t="s">
        <v>137</v>
      </c>
      <c r="L62" t="s">
        <v>137</v>
      </c>
      <c r="M62">
        <v>22.652200000000001</v>
      </c>
      <c r="N62">
        <v>24.1386</v>
      </c>
      <c r="O62">
        <v>23.8111</v>
      </c>
      <c r="P62">
        <v>24.1281</v>
      </c>
      <c r="Q62">
        <v>25.262699999999999</v>
      </c>
      <c r="R62" t="s">
        <v>137</v>
      </c>
      <c r="S62" t="s">
        <v>137</v>
      </c>
      <c r="T62">
        <v>24.900700000000001</v>
      </c>
      <c r="U62">
        <v>25.183299999999999</v>
      </c>
      <c r="V62">
        <v>23.624400000000001</v>
      </c>
      <c r="W62">
        <v>23.954499999999999</v>
      </c>
      <c r="X62">
        <v>23.973800000000001</v>
      </c>
      <c r="Y62" t="s">
        <v>137</v>
      </c>
      <c r="Z62" t="s">
        <v>137</v>
      </c>
      <c r="AA62">
        <v>23.9968</v>
      </c>
      <c r="AB62">
        <v>24.616900000000001</v>
      </c>
      <c r="AC62">
        <v>25.1615</v>
      </c>
      <c r="AD62">
        <v>24.628</v>
      </c>
      <c r="AE62">
        <v>24.179600000000001</v>
      </c>
      <c r="AF62" t="s">
        <v>137</v>
      </c>
      <c r="AG62" t="s">
        <v>137</v>
      </c>
      <c r="AH62">
        <v>24.165299999999998</v>
      </c>
      <c r="AI62">
        <v>24.252300000000002</v>
      </c>
      <c r="AJ62">
        <v>23.773399999999999</v>
      </c>
      <c r="AK62">
        <v>24.001100000000001</v>
      </c>
      <c r="AL62">
        <v>23.869299999999999</v>
      </c>
      <c r="AM62" t="s">
        <v>137</v>
      </c>
      <c r="AN62" t="s">
        <v>137</v>
      </c>
      <c r="AO62">
        <v>23.580300000000001</v>
      </c>
      <c r="AP62">
        <v>23.598700000000001</v>
      </c>
      <c r="AQ62">
        <v>23.4757</v>
      </c>
      <c r="AR62">
        <v>22.504899999999999</v>
      </c>
      <c r="AS62">
        <v>21.5853</v>
      </c>
      <c r="AT62" t="s">
        <v>137</v>
      </c>
      <c r="AU62" t="s">
        <v>137</v>
      </c>
      <c r="AV62">
        <v>22.064499999999999</v>
      </c>
      <c r="AW62">
        <v>22.193000000000001</v>
      </c>
      <c r="AX62">
        <v>22.239599999999999</v>
      </c>
      <c r="AY62">
        <v>22.847100000000001</v>
      </c>
      <c r="AZ62">
        <v>23.235600000000002</v>
      </c>
      <c r="BA62" t="s">
        <v>137</v>
      </c>
      <c r="BB62" t="s">
        <v>137</v>
      </c>
      <c r="BC62">
        <v>23.324400000000001</v>
      </c>
      <c r="BD62">
        <v>24.559100000000001</v>
      </c>
      <c r="BE62">
        <v>24.876100000000001</v>
      </c>
      <c r="BF62">
        <v>23.5258</v>
      </c>
      <c r="BG62">
        <v>23.6449</v>
      </c>
      <c r="BH62" t="s">
        <v>137</v>
      </c>
      <c r="BI62" t="s">
        <v>137</v>
      </c>
      <c r="BJ62">
        <v>24.558599999999998</v>
      </c>
      <c r="BK62">
        <v>24.901299999999999</v>
      </c>
      <c r="BL62">
        <v>24.754300000000001</v>
      </c>
      <c r="BM62">
        <v>24.9312</v>
      </c>
      <c r="BN62">
        <v>25.136900000000001</v>
      </c>
      <c r="BO62" t="s">
        <v>137</v>
      </c>
      <c r="BP62" t="s">
        <v>137</v>
      </c>
      <c r="BQ62">
        <v>25.172999999999998</v>
      </c>
      <c r="BR62">
        <v>24.9251</v>
      </c>
      <c r="BS62">
        <v>25.444700000000001</v>
      </c>
      <c r="BT62">
        <v>25.707000000000001</v>
      </c>
      <c r="BU62">
        <v>26.240300000000001</v>
      </c>
      <c r="BV62" t="s">
        <v>137</v>
      </c>
      <c r="BW62" t="s">
        <v>137</v>
      </c>
      <c r="BX62">
        <v>26.322800000000001</v>
      </c>
      <c r="BY62">
        <v>26.783000000000001</v>
      </c>
      <c r="BZ62">
        <v>26.967300000000002</v>
      </c>
      <c r="CA62">
        <v>26.696899999999999</v>
      </c>
      <c r="CB62">
        <v>26.464500000000001</v>
      </c>
      <c r="CC62" t="s">
        <v>137</v>
      </c>
      <c r="CD62" t="s">
        <v>137</v>
      </c>
      <c r="CE62">
        <v>26.503799999999998</v>
      </c>
      <c r="CF62">
        <v>26.451899999999998</v>
      </c>
      <c r="CG62">
        <v>25.6097</v>
      </c>
      <c r="CH62">
        <v>25.3735</v>
      </c>
      <c r="CI62">
        <v>25.197500000000002</v>
      </c>
      <c r="CJ62" t="s">
        <v>137</v>
      </c>
      <c r="CK62" t="s">
        <v>137</v>
      </c>
      <c r="CL62">
        <v>25.3827</v>
      </c>
      <c r="CM62">
        <v>25.541899999999998</v>
      </c>
      <c r="CN62">
        <v>25.552900000000001</v>
      </c>
      <c r="CO62">
        <v>25.588699999999999</v>
      </c>
      <c r="CP62">
        <v>25.607800000000001</v>
      </c>
      <c r="CQ62" t="s">
        <v>137</v>
      </c>
      <c r="CR62" t="s">
        <v>137</v>
      </c>
      <c r="CS62">
        <v>25.706099999999999</v>
      </c>
      <c r="CT62">
        <v>25.6341</v>
      </c>
      <c r="CU62">
        <v>25.6736</v>
      </c>
      <c r="CV62">
        <v>25.758099999999999</v>
      </c>
      <c r="CW62">
        <v>25.7775</v>
      </c>
      <c r="CX62" t="s">
        <v>137</v>
      </c>
      <c r="CY62" t="s">
        <v>137</v>
      </c>
      <c r="CZ62">
        <v>25.779199999999999</v>
      </c>
      <c r="DA62">
        <v>25.788499999999999</v>
      </c>
      <c r="DB62">
        <v>25.7685</v>
      </c>
      <c r="DC62">
        <v>25.633600000000001</v>
      </c>
      <c r="DD62">
        <v>25.6051</v>
      </c>
      <c r="DE62" t="s">
        <v>137</v>
      </c>
      <c r="DF62" t="s">
        <v>137</v>
      </c>
      <c r="DG62">
        <v>25.6419</v>
      </c>
      <c r="DH62">
        <v>25.6417</v>
      </c>
      <c r="DI62">
        <v>25.684100000000001</v>
      </c>
      <c r="DJ62">
        <v>23.201499999999999</v>
      </c>
      <c r="DK62">
        <v>23.9495</v>
      </c>
      <c r="DL62" t="s">
        <v>137</v>
      </c>
      <c r="DM62" t="s">
        <v>137</v>
      </c>
      <c r="DN62">
        <v>23.3217</v>
      </c>
      <c r="DO62">
        <v>23.323399999999999</v>
      </c>
      <c r="DP62">
        <v>23.337299999999999</v>
      </c>
      <c r="DQ62">
        <v>23.379200000000001</v>
      </c>
      <c r="DR62">
        <v>23.2361</v>
      </c>
      <c r="DS62" t="s">
        <v>137</v>
      </c>
      <c r="DT62" t="s">
        <v>137</v>
      </c>
      <c r="DU62">
        <v>22.693200000000001</v>
      </c>
      <c r="DV62">
        <v>22.167000000000002</v>
      </c>
      <c r="DW62">
        <v>22.18</v>
      </c>
      <c r="DX62">
        <v>22.084199999999999</v>
      </c>
      <c r="DY62">
        <v>22.094999999999999</v>
      </c>
      <c r="DZ62" t="s">
        <v>137</v>
      </c>
      <c r="EA62" t="s">
        <v>137</v>
      </c>
      <c r="EB62">
        <v>23.2441</v>
      </c>
      <c r="EC62">
        <v>22.6889</v>
      </c>
      <c r="ED62">
        <v>22.368600000000001</v>
      </c>
      <c r="EE62">
        <v>21.911300000000001</v>
      </c>
      <c r="EF62">
        <v>21.5181</v>
      </c>
      <c r="EG62" t="s">
        <v>137</v>
      </c>
      <c r="EH62" t="s">
        <v>137</v>
      </c>
      <c r="EI62">
        <v>19.284400000000002</v>
      </c>
      <c r="EJ62">
        <v>19.232199999999999</v>
      </c>
      <c r="EK62">
        <v>19.177499999999998</v>
      </c>
      <c r="EL62">
        <v>18.937799999999999</v>
      </c>
      <c r="EM62">
        <v>18.9377</v>
      </c>
      <c r="EN62" t="s">
        <v>137</v>
      </c>
      <c r="EO62" t="s">
        <v>137</v>
      </c>
      <c r="EP62">
        <v>19.053999999999998</v>
      </c>
      <c r="EQ62">
        <v>19.371200000000002</v>
      </c>
      <c r="ER62">
        <v>20.026399999999999</v>
      </c>
      <c r="ES62">
        <v>20.537600000000001</v>
      </c>
      <c r="ET62">
        <v>20.5303</v>
      </c>
      <c r="EU62" t="s">
        <v>137</v>
      </c>
      <c r="EV62" t="s">
        <v>137</v>
      </c>
      <c r="EW62">
        <v>21.3855</v>
      </c>
      <c r="EX62">
        <v>21.395499999999998</v>
      </c>
      <c r="EY62">
        <v>20.875900000000001</v>
      </c>
      <c r="EZ62">
        <v>21.042000000000002</v>
      </c>
      <c r="FA62">
        <v>20.989699999999999</v>
      </c>
      <c r="FB62" t="s">
        <v>137</v>
      </c>
      <c r="FC62" t="s">
        <v>137</v>
      </c>
      <c r="FD62">
        <v>20.3825</v>
      </c>
      <c r="FE62">
        <v>20.220300000000002</v>
      </c>
      <c r="FF62">
        <v>19.5</v>
      </c>
      <c r="FG62">
        <v>19.855499999999999</v>
      </c>
      <c r="FH62">
        <v>19.502199999999998</v>
      </c>
      <c r="FI62" t="s">
        <v>137</v>
      </c>
      <c r="FJ62" t="s">
        <v>137</v>
      </c>
      <c r="FK62">
        <v>19.871500000000001</v>
      </c>
      <c r="FL62">
        <v>19.9709</v>
      </c>
      <c r="FM62">
        <v>20.615100000000002</v>
      </c>
      <c r="FN62">
        <v>21.138000000000002</v>
      </c>
      <c r="FO62">
        <v>21.2118</v>
      </c>
      <c r="FP62" t="s">
        <v>137</v>
      </c>
      <c r="FQ62" t="s">
        <v>137</v>
      </c>
      <c r="FR62">
        <v>21.358000000000001</v>
      </c>
      <c r="FS62">
        <v>21.251000000000001</v>
      </c>
      <c r="FT62">
        <v>21.399100000000001</v>
      </c>
      <c r="FU62">
        <v>21.8538</v>
      </c>
      <c r="FV62">
        <v>21.965</v>
      </c>
      <c r="FW62" t="s">
        <v>137</v>
      </c>
      <c r="FX62" t="s">
        <v>137</v>
      </c>
      <c r="FY62">
        <v>21.745899999999999</v>
      </c>
      <c r="FZ62">
        <v>21.2193</v>
      </c>
      <c r="GA62">
        <v>21.574300000000001</v>
      </c>
      <c r="GB62">
        <v>22.608899999999998</v>
      </c>
      <c r="GC62">
        <v>22.680199999999999</v>
      </c>
      <c r="GD62" t="s">
        <v>137</v>
      </c>
      <c r="GE62" t="s">
        <v>137</v>
      </c>
      <c r="GF62">
        <v>23.4117</v>
      </c>
      <c r="GG62">
        <v>22.825900000000001</v>
      </c>
      <c r="GH62">
        <v>22.796299999999999</v>
      </c>
      <c r="GI62">
        <v>23.675899999999999</v>
      </c>
      <c r="GJ62">
        <v>25.491499999999998</v>
      </c>
      <c r="GK62" t="s">
        <v>137</v>
      </c>
      <c r="GL62" t="s">
        <v>137</v>
      </c>
      <c r="GM62">
        <v>27.3294</v>
      </c>
      <c r="GN62">
        <v>27.013500000000001</v>
      </c>
      <c r="GO62">
        <v>27.641300000000001</v>
      </c>
      <c r="GP62">
        <v>29.7455</v>
      </c>
      <c r="GQ62">
        <v>29.763300000000001</v>
      </c>
      <c r="GR62" t="s">
        <v>137</v>
      </c>
      <c r="GS62" t="s">
        <v>137</v>
      </c>
      <c r="GT62">
        <v>32.327199999999998</v>
      </c>
      <c r="GU62">
        <v>33.244399999999999</v>
      </c>
      <c r="GV62">
        <v>33.541499999999999</v>
      </c>
      <c r="GW62">
        <v>36.979799999999997</v>
      </c>
      <c r="GX62">
        <v>35.904400000000003</v>
      </c>
      <c r="GY62" t="s">
        <v>137</v>
      </c>
      <c r="GZ62" t="s">
        <v>137</v>
      </c>
      <c r="HA62">
        <v>37.859400000000001</v>
      </c>
      <c r="HB62">
        <v>38.113799999999998</v>
      </c>
      <c r="HC62">
        <v>37.9114</v>
      </c>
      <c r="HD62">
        <v>36.202300000000001</v>
      </c>
      <c r="HE62">
        <v>35.9193</v>
      </c>
      <c r="HF62" t="s">
        <v>137</v>
      </c>
      <c r="HG62" t="s">
        <v>137</v>
      </c>
      <c r="HH62">
        <v>35.791400000000003</v>
      </c>
      <c r="HI62">
        <v>35.219499999999996</v>
      </c>
      <c r="HJ62">
        <v>35.538499999999999</v>
      </c>
      <c r="HK62">
        <v>34.934399999999997</v>
      </c>
      <c r="HL62">
        <v>32.993699999999997</v>
      </c>
      <c r="HM62" t="s">
        <v>137</v>
      </c>
      <c r="HN62" t="s">
        <v>137</v>
      </c>
      <c r="HO62">
        <v>32.886000000000003</v>
      </c>
      <c r="HP62">
        <v>32.480899999999998</v>
      </c>
      <c r="HQ62">
        <v>33.186900000000001</v>
      </c>
      <c r="HR62">
        <v>34.329500000000003</v>
      </c>
      <c r="HS62">
        <v>33.804000000000002</v>
      </c>
      <c r="HT62" t="s">
        <v>137</v>
      </c>
      <c r="HU62" t="s">
        <v>137</v>
      </c>
      <c r="HV62">
        <v>33.826000000000001</v>
      </c>
      <c r="HW62">
        <v>33.447000000000003</v>
      </c>
      <c r="HX62">
        <v>34.142699999999998</v>
      </c>
      <c r="HY62">
        <v>34.572000000000003</v>
      </c>
      <c r="HZ62">
        <v>34.590299999999999</v>
      </c>
      <c r="IA62" t="s">
        <v>137</v>
      </c>
      <c r="IB62" t="s">
        <v>137</v>
      </c>
      <c r="IC62">
        <v>30.986599999999999</v>
      </c>
      <c r="ID62">
        <v>31.3535</v>
      </c>
      <c r="IE62">
        <v>32.090800000000002</v>
      </c>
      <c r="IF62">
        <v>34.092399999999998</v>
      </c>
      <c r="IG62">
        <v>35.099299999999999</v>
      </c>
      <c r="IH62" t="s">
        <v>137</v>
      </c>
      <c r="II62" t="s">
        <v>137</v>
      </c>
      <c r="IJ62">
        <v>36.505600000000001</v>
      </c>
      <c r="IK62">
        <v>37.9129</v>
      </c>
      <c r="IL62">
        <v>37.440399999999997</v>
      </c>
      <c r="IM62">
        <v>37.076099999999997</v>
      </c>
      <c r="IN62">
        <v>37.101799999999997</v>
      </c>
      <c r="IO62" t="s">
        <v>137</v>
      </c>
      <c r="IP62" t="s">
        <v>137</v>
      </c>
      <c r="IQ62">
        <v>38.748800000000003</v>
      </c>
      <c r="IR62">
        <v>39.3613</v>
      </c>
      <c r="IS62">
        <v>37.887999999999998</v>
      </c>
      <c r="IT62">
        <v>36.463799999999999</v>
      </c>
      <c r="IU62">
        <v>37.121600000000001</v>
      </c>
      <c r="IV62" t="s">
        <v>137</v>
      </c>
      <c r="IW62" t="s">
        <v>137</v>
      </c>
      <c r="IX62">
        <v>36.828099999999999</v>
      </c>
      <c r="IY62">
        <v>33.796199999999999</v>
      </c>
      <c r="IZ62">
        <v>34.170499999999997</v>
      </c>
      <c r="JA62">
        <v>34.459699999999998</v>
      </c>
      <c r="JB62">
        <v>33.774099999999997</v>
      </c>
      <c r="JC62" t="s">
        <v>137</v>
      </c>
      <c r="JD62" t="s">
        <v>137</v>
      </c>
      <c r="JE62">
        <v>31.943899999999999</v>
      </c>
      <c r="JF62">
        <v>31.325199999999999</v>
      </c>
      <c r="JG62">
        <v>31.984100000000002</v>
      </c>
      <c r="JH62">
        <v>32.151899999999998</v>
      </c>
      <c r="JI62">
        <v>32.466700000000003</v>
      </c>
      <c r="JJ62" t="s">
        <v>137</v>
      </c>
      <c r="JK62" t="s">
        <v>137</v>
      </c>
      <c r="JL62">
        <v>32.487900000000003</v>
      </c>
      <c r="JM62">
        <v>32.509</v>
      </c>
      <c r="JN62">
        <v>32.530200000000001</v>
      </c>
      <c r="JO62">
        <v>32.594099999999997</v>
      </c>
      <c r="JP62">
        <v>32.615400000000001</v>
      </c>
      <c r="JQ62" t="s">
        <v>137</v>
      </c>
      <c r="JR62" t="s">
        <v>137</v>
      </c>
      <c r="JS62">
        <v>26.182700000000001</v>
      </c>
      <c r="JT62">
        <v>26.1982</v>
      </c>
      <c r="JU62">
        <v>25.7074</v>
      </c>
      <c r="JV62">
        <v>25.099699999999999</v>
      </c>
      <c r="JW62">
        <v>25.437899999999999</v>
      </c>
      <c r="JX62" t="s">
        <v>137</v>
      </c>
      <c r="JY62" t="s">
        <v>137</v>
      </c>
      <c r="JZ62">
        <v>25.534800000000001</v>
      </c>
      <c r="KA62">
        <v>25.4678</v>
      </c>
      <c r="KB62">
        <v>25.564800000000002</v>
      </c>
      <c r="KC62">
        <v>25.122299999999999</v>
      </c>
      <c r="KD62">
        <v>25.379300000000001</v>
      </c>
      <c r="KE62" t="s">
        <v>137</v>
      </c>
      <c r="KF62" t="s">
        <v>137</v>
      </c>
      <c r="KG62">
        <v>25.394200000000001</v>
      </c>
      <c r="KH62">
        <v>25.573</v>
      </c>
      <c r="KI62">
        <v>25.3428</v>
      </c>
      <c r="KJ62">
        <v>27.0106</v>
      </c>
      <c r="KK62">
        <v>25.982600000000001</v>
      </c>
      <c r="KL62" t="s">
        <v>137</v>
      </c>
      <c r="KM62" t="s">
        <v>137</v>
      </c>
      <c r="KN62">
        <v>25.663900000000002</v>
      </c>
      <c r="KO62">
        <v>24.871600000000001</v>
      </c>
      <c r="KP62">
        <v>24.729199999999999</v>
      </c>
      <c r="KQ62">
        <v>25.152899999999999</v>
      </c>
      <c r="KR62">
        <v>25.1677</v>
      </c>
      <c r="KS62" t="s">
        <v>137</v>
      </c>
      <c r="KT62" t="s">
        <v>137</v>
      </c>
      <c r="KU62">
        <v>25.605399999999999</v>
      </c>
      <c r="KV62">
        <v>25.2942</v>
      </c>
      <c r="KW62">
        <v>25.57</v>
      </c>
      <c r="KX62">
        <v>25.681799999999999</v>
      </c>
      <c r="KY62">
        <v>25.697099999999999</v>
      </c>
      <c r="KZ62" t="s">
        <v>137</v>
      </c>
      <c r="LA62" t="s">
        <v>137</v>
      </c>
      <c r="LB62">
        <v>24.591799999999999</v>
      </c>
      <c r="LC62">
        <v>24.452100000000002</v>
      </c>
      <c r="LD62">
        <v>24.162199999999999</v>
      </c>
      <c r="LE62">
        <v>24.1143</v>
      </c>
      <c r="LF62">
        <v>24.678799999999999</v>
      </c>
      <c r="LG62" t="s">
        <v>137</v>
      </c>
      <c r="LH62" t="s">
        <v>137</v>
      </c>
      <c r="LI62">
        <v>24.0825</v>
      </c>
      <c r="LJ62">
        <v>24.645800000000001</v>
      </c>
      <c r="LK62">
        <v>25.196999999999999</v>
      </c>
      <c r="LL62">
        <v>25.146000000000001</v>
      </c>
      <c r="LM62">
        <v>25.0017</v>
      </c>
      <c r="LN62" t="s">
        <v>137</v>
      </c>
      <c r="LO62" t="s">
        <v>137</v>
      </c>
      <c r="LP62">
        <v>25.369399999999999</v>
      </c>
      <c r="LQ62">
        <v>25.384599999999999</v>
      </c>
      <c r="LR62">
        <v>24.825399999999998</v>
      </c>
      <c r="LS62">
        <v>24.1022</v>
      </c>
      <c r="LT62">
        <v>24.116499999999998</v>
      </c>
      <c r="LU62" t="s">
        <v>137</v>
      </c>
      <c r="LV62" t="s">
        <v>137</v>
      </c>
      <c r="LW62">
        <v>24.130700000000001</v>
      </c>
      <c r="LX62">
        <v>24.1449</v>
      </c>
      <c r="LY62">
        <v>24.159199999999998</v>
      </c>
      <c r="LZ62">
        <v>24.202100000000002</v>
      </c>
      <c r="MA62">
        <v>24.2164</v>
      </c>
      <c r="MB62" t="s">
        <v>137</v>
      </c>
      <c r="MC62" t="s">
        <v>137</v>
      </c>
      <c r="MD62">
        <v>24.230799999999999</v>
      </c>
      <c r="ME62">
        <v>21.2759</v>
      </c>
      <c r="MF62">
        <v>21.429500000000001</v>
      </c>
      <c r="MG62">
        <v>21.930700000000002</v>
      </c>
      <c r="MH62">
        <v>21.927600000000002</v>
      </c>
      <c r="MI62" t="s">
        <v>137</v>
      </c>
      <c r="MJ62" t="s">
        <v>137</v>
      </c>
      <c r="MK62">
        <v>21.940200000000001</v>
      </c>
      <c r="ML62">
        <v>22.021100000000001</v>
      </c>
      <c r="MM62">
        <v>22.2621</v>
      </c>
      <c r="MN62">
        <v>22.440799999999999</v>
      </c>
      <c r="MO62">
        <v>22.453800000000001</v>
      </c>
      <c r="MP62" t="s">
        <v>137</v>
      </c>
      <c r="MQ62" t="s">
        <v>137</v>
      </c>
      <c r="MR62">
        <v>22.537400000000002</v>
      </c>
      <c r="MS62">
        <v>22.731200000000001</v>
      </c>
      <c r="MT62">
        <v>22.629200000000001</v>
      </c>
      <c r="MU62">
        <v>22.856400000000001</v>
      </c>
      <c r="MV62">
        <v>22.9924</v>
      </c>
      <c r="MW62" t="s">
        <v>137</v>
      </c>
      <c r="MX62" t="s">
        <v>137</v>
      </c>
      <c r="MY62">
        <v>24.1</v>
      </c>
      <c r="MZ62">
        <v>25.943899999999999</v>
      </c>
      <c r="NA62">
        <v>23.696899999999999</v>
      </c>
      <c r="NB62">
        <v>23.809699999999999</v>
      </c>
      <c r="NC62">
        <v>23.8004</v>
      </c>
      <c r="ND62" t="s">
        <v>137</v>
      </c>
      <c r="NE62" t="s">
        <v>137</v>
      </c>
      <c r="NF62">
        <v>23.814599999999999</v>
      </c>
      <c r="NG62">
        <v>22.827100000000002</v>
      </c>
      <c r="NH62">
        <v>21.964500000000001</v>
      </c>
      <c r="NI62">
        <v>22.0029</v>
      </c>
      <c r="NJ62">
        <v>20.7027</v>
      </c>
      <c r="NK62" t="s">
        <v>137</v>
      </c>
      <c r="NL62" t="s">
        <v>137</v>
      </c>
      <c r="NM62" t="s">
        <v>137</v>
      </c>
      <c r="NN62" t="s">
        <v>137</v>
      </c>
      <c r="NO62" t="s">
        <v>137</v>
      </c>
      <c r="NP62" t="s">
        <v>137</v>
      </c>
      <c r="NQ62" t="s">
        <v>137</v>
      </c>
      <c r="NR62" t="s">
        <v>137</v>
      </c>
      <c r="NS62" t="s">
        <v>137</v>
      </c>
      <c r="NT62" t="s">
        <v>137</v>
      </c>
      <c r="NU62" t="s">
        <v>137</v>
      </c>
      <c r="NV62" t="s">
        <v>137</v>
      </c>
      <c r="NW62" t="s">
        <v>137</v>
      </c>
      <c r="NX62" t="s">
        <v>137</v>
      </c>
      <c r="NY62" t="s">
        <v>137</v>
      </c>
      <c r="NZ62" t="s">
        <v>137</v>
      </c>
      <c r="OA62" t="s">
        <v>137</v>
      </c>
      <c r="OB62" t="s">
        <v>137</v>
      </c>
      <c r="OC62" t="s">
        <v>137</v>
      </c>
      <c r="OD62" t="s">
        <v>137</v>
      </c>
      <c r="OE62" t="s">
        <v>137</v>
      </c>
      <c r="OF62" t="s">
        <v>137</v>
      </c>
      <c r="OG62" t="s">
        <v>137</v>
      </c>
      <c r="OH62" t="s">
        <v>137</v>
      </c>
      <c r="OI62" t="s">
        <v>137</v>
      </c>
      <c r="OJ62" t="s">
        <v>137</v>
      </c>
      <c r="OK62" t="s">
        <v>137</v>
      </c>
      <c r="OL62" t="s">
        <v>137</v>
      </c>
      <c r="OM62" t="s">
        <v>137</v>
      </c>
      <c r="ON62" t="s">
        <v>137</v>
      </c>
      <c r="OO62" t="s">
        <v>137</v>
      </c>
      <c r="OP62" t="s">
        <v>137</v>
      </c>
      <c r="OQ62" t="s">
        <v>137</v>
      </c>
      <c r="OR62" t="s">
        <v>137</v>
      </c>
      <c r="OS62" t="s">
        <v>137</v>
      </c>
      <c r="OT62" t="s">
        <v>137</v>
      </c>
      <c r="OU62" t="s">
        <v>137</v>
      </c>
      <c r="OV62" t="s">
        <v>137</v>
      </c>
      <c r="OW62" t="s">
        <v>137</v>
      </c>
      <c r="OX62" t="s">
        <v>137</v>
      </c>
      <c r="OY62" t="s">
        <v>137</v>
      </c>
      <c r="OZ62" t="s">
        <v>137</v>
      </c>
      <c r="PA62" t="s">
        <v>137</v>
      </c>
      <c r="PB62" t="s">
        <v>137</v>
      </c>
      <c r="PC62" t="s">
        <v>137</v>
      </c>
      <c r="PD62" t="s">
        <v>137</v>
      </c>
      <c r="PE62" t="s">
        <v>137</v>
      </c>
      <c r="PF62" t="s">
        <v>137</v>
      </c>
      <c r="PG62" t="s">
        <v>137</v>
      </c>
      <c r="PH62" t="s">
        <v>137</v>
      </c>
      <c r="PI62" t="s">
        <v>137</v>
      </c>
      <c r="PJ62" t="s">
        <v>137</v>
      </c>
      <c r="PK62" t="s">
        <v>137</v>
      </c>
      <c r="PL62" t="s">
        <v>137</v>
      </c>
      <c r="PM62" t="s">
        <v>137</v>
      </c>
      <c r="PN62" t="s">
        <v>137</v>
      </c>
      <c r="PO62" t="s">
        <v>137</v>
      </c>
      <c r="PP62" t="s">
        <v>137</v>
      </c>
      <c r="PQ62" t="s">
        <v>137</v>
      </c>
      <c r="PR62" t="s">
        <v>137</v>
      </c>
      <c r="PS62" t="s">
        <v>137</v>
      </c>
      <c r="PT62" t="s">
        <v>137</v>
      </c>
      <c r="PU62" t="s">
        <v>137</v>
      </c>
      <c r="PV62" t="s">
        <v>137</v>
      </c>
      <c r="PW62" t="s">
        <v>137</v>
      </c>
      <c r="PX62" t="s">
        <v>137</v>
      </c>
      <c r="PY62" t="s">
        <v>137</v>
      </c>
      <c r="PZ62" t="s">
        <v>137</v>
      </c>
      <c r="QA62" t="s">
        <v>137</v>
      </c>
      <c r="QB62" t="s">
        <v>137</v>
      </c>
      <c r="QC62" t="s">
        <v>137</v>
      </c>
      <c r="QD62" t="s">
        <v>137</v>
      </c>
      <c r="QE62" t="s">
        <v>137</v>
      </c>
      <c r="QF62" t="s">
        <v>137</v>
      </c>
      <c r="QG62" t="s">
        <v>137</v>
      </c>
      <c r="QH62" t="s">
        <v>137</v>
      </c>
      <c r="QI62" t="s">
        <v>137</v>
      </c>
      <c r="QJ62" t="s">
        <v>137</v>
      </c>
      <c r="QK62" t="s">
        <v>137</v>
      </c>
      <c r="QL62" t="s">
        <v>137</v>
      </c>
      <c r="QM62" t="s">
        <v>137</v>
      </c>
      <c r="QN62" t="s">
        <v>137</v>
      </c>
      <c r="QO62" t="s">
        <v>137</v>
      </c>
    </row>
    <row r="63" spans="1:457" x14ac:dyDescent="0.2">
      <c r="A63" t="s">
        <v>133</v>
      </c>
      <c r="B63" s="3">
        <v>43048</v>
      </c>
      <c r="C63" t="s">
        <v>55</v>
      </c>
      <c r="E63" t="s">
        <v>137</v>
      </c>
      <c r="F63">
        <v>21.773700000000002</v>
      </c>
      <c r="G63">
        <v>21.1143</v>
      </c>
      <c r="H63">
        <v>20.8184</v>
      </c>
      <c r="I63">
        <v>18.9604</v>
      </c>
      <c r="J63">
        <v>17.745100000000001</v>
      </c>
      <c r="K63" t="s">
        <v>137</v>
      </c>
      <c r="L63" t="s">
        <v>137</v>
      </c>
      <c r="M63">
        <v>17.638100000000001</v>
      </c>
      <c r="N63">
        <v>18.813400000000001</v>
      </c>
      <c r="O63">
        <v>18.896000000000001</v>
      </c>
      <c r="P63">
        <v>18.960799999999999</v>
      </c>
      <c r="Q63">
        <v>19.9375</v>
      </c>
      <c r="R63" t="s">
        <v>137</v>
      </c>
      <c r="S63" t="s">
        <v>137</v>
      </c>
      <c r="T63">
        <v>19.5093</v>
      </c>
      <c r="U63">
        <v>19.388500000000001</v>
      </c>
      <c r="V63">
        <v>18.3093</v>
      </c>
      <c r="W63">
        <v>18.487300000000001</v>
      </c>
      <c r="X63">
        <v>18.2332</v>
      </c>
      <c r="Y63" t="s">
        <v>137</v>
      </c>
      <c r="Z63" t="s">
        <v>137</v>
      </c>
      <c r="AA63">
        <v>18.3736</v>
      </c>
      <c r="AB63">
        <v>19.060199999999998</v>
      </c>
      <c r="AC63">
        <v>19.262899999999998</v>
      </c>
      <c r="AD63">
        <v>19.166399999999999</v>
      </c>
      <c r="AE63">
        <v>18.706</v>
      </c>
      <c r="AF63" t="s">
        <v>137</v>
      </c>
      <c r="AG63" t="s">
        <v>137</v>
      </c>
      <c r="AH63">
        <v>18.662199999999999</v>
      </c>
      <c r="AI63">
        <v>18.724499999999999</v>
      </c>
      <c r="AJ63">
        <v>18.378499999999999</v>
      </c>
      <c r="AK63">
        <v>18.692499999999999</v>
      </c>
      <c r="AL63">
        <v>18.513500000000001</v>
      </c>
      <c r="AM63" t="s">
        <v>137</v>
      </c>
      <c r="AN63" t="s">
        <v>137</v>
      </c>
      <c r="AO63">
        <v>18.5319</v>
      </c>
      <c r="AP63">
        <v>18.281600000000001</v>
      </c>
      <c r="AQ63">
        <v>18.302399999999999</v>
      </c>
      <c r="AR63">
        <v>17.352699999999999</v>
      </c>
      <c r="AS63">
        <v>16.591899999999999</v>
      </c>
      <c r="AT63" t="s">
        <v>137</v>
      </c>
      <c r="AU63" t="s">
        <v>137</v>
      </c>
      <c r="AV63">
        <v>16.9907</v>
      </c>
      <c r="AW63">
        <v>17.138500000000001</v>
      </c>
      <c r="AX63">
        <v>17.381399999999999</v>
      </c>
      <c r="AY63">
        <v>17.987500000000001</v>
      </c>
      <c r="AZ63">
        <v>18.1448</v>
      </c>
      <c r="BA63" t="s">
        <v>137</v>
      </c>
      <c r="BB63" t="s">
        <v>137</v>
      </c>
      <c r="BC63">
        <v>18.151599999999998</v>
      </c>
      <c r="BD63">
        <v>19.788699999999999</v>
      </c>
      <c r="BE63">
        <v>19.379000000000001</v>
      </c>
      <c r="BF63">
        <v>18.3857</v>
      </c>
      <c r="BG63">
        <v>18.536999999999999</v>
      </c>
      <c r="BH63" t="s">
        <v>137</v>
      </c>
      <c r="BI63" t="s">
        <v>137</v>
      </c>
      <c r="BJ63">
        <v>19.251799999999999</v>
      </c>
      <c r="BK63">
        <v>19.783799999999999</v>
      </c>
      <c r="BL63">
        <v>19.568899999999999</v>
      </c>
      <c r="BM63">
        <v>19.600000000000001</v>
      </c>
      <c r="BN63">
        <v>19.961500000000001</v>
      </c>
      <c r="BO63" t="s">
        <v>137</v>
      </c>
      <c r="BP63" t="s">
        <v>137</v>
      </c>
      <c r="BQ63">
        <v>19.742000000000001</v>
      </c>
      <c r="BR63">
        <v>19.7196</v>
      </c>
      <c r="BS63">
        <v>19.993400000000001</v>
      </c>
      <c r="BT63">
        <v>17.045000000000002</v>
      </c>
      <c r="BU63">
        <v>17.2925</v>
      </c>
      <c r="BV63" t="s">
        <v>137</v>
      </c>
      <c r="BW63" t="s">
        <v>137</v>
      </c>
      <c r="BX63">
        <v>17.4084</v>
      </c>
      <c r="BY63">
        <v>17.770399999999999</v>
      </c>
      <c r="BZ63">
        <v>17.786899999999999</v>
      </c>
      <c r="CA63">
        <v>17.446300000000001</v>
      </c>
      <c r="CB63">
        <v>17.2822</v>
      </c>
      <c r="CC63" t="s">
        <v>137</v>
      </c>
      <c r="CD63" t="s">
        <v>137</v>
      </c>
      <c r="CE63">
        <v>17.276900000000001</v>
      </c>
      <c r="CF63">
        <v>17.1906</v>
      </c>
      <c r="CG63">
        <v>16.079799999999999</v>
      </c>
      <c r="CH63">
        <v>16.252199999999998</v>
      </c>
      <c r="CI63">
        <v>16.217099999999999</v>
      </c>
      <c r="CJ63" t="s">
        <v>137</v>
      </c>
      <c r="CK63" t="s">
        <v>137</v>
      </c>
      <c r="CL63">
        <v>16.489899999999999</v>
      </c>
      <c r="CM63">
        <v>16.613800000000001</v>
      </c>
      <c r="CN63">
        <v>16.609400000000001</v>
      </c>
      <c r="CO63">
        <v>16.637599999999999</v>
      </c>
      <c r="CP63">
        <v>16.6431</v>
      </c>
      <c r="CQ63" t="s">
        <v>137</v>
      </c>
      <c r="CR63" t="s">
        <v>137</v>
      </c>
      <c r="CS63">
        <v>16.744700000000002</v>
      </c>
      <c r="CT63">
        <v>16.674700000000001</v>
      </c>
      <c r="CU63">
        <v>16.720400000000001</v>
      </c>
      <c r="CV63">
        <v>16.7742</v>
      </c>
      <c r="CW63">
        <v>16.798200000000001</v>
      </c>
      <c r="CX63" t="s">
        <v>137</v>
      </c>
      <c r="CY63" t="s">
        <v>137</v>
      </c>
      <c r="CZ63">
        <v>16.797899999999998</v>
      </c>
      <c r="DA63">
        <v>16.8111</v>
      </c>
      <c r="DB63">
        <v>16.7898</v>
      </c>
      <c r="DC63">
        <v>16.264700000000001</v>
      </c>
      <c r="DD63">
        <v>16.226900000000001</v>
      </c>
      <c r="DE63" t="s">
        <v>137</v>
      </c>
      <c r="DF63" t="s">
        <v>137</v>
      </c>
      <c r="DG63">
        <v>16.262699999999999</v>
      </c>
      <c r="DH63">
        <v>16.240600000000001</v>
      </c>
      <c r="DI63">
        <v>16.297999999999998</v>
      </c>
      <c r="DJ63">
        <v>14.912000000000001</v>
      </c>
      <c r="DK63">
        <v>15.3203</v>
      </c>
      <c r="DL63" t="s">
        <v>137</v>
      </c>
      <c r="DM63" t="s">
        <v>137</v>
      </c>
      <c r="DN63">
        <v>15.1723</v>
      </c>
      <c r="DO63">
        <v>15.178599999999999</v>
      </c>
      <c r="DP63">
        <v>15.185600000000001</v>
      </c>
      <c r="DQ63">
        <v>15.2013</v>
      </c>
      <c r="DR63">
        <v>14.937799999999999</v>
      </c>
      <c r="DS63" t="s">
        <v>137</v>
      </c>
      <c r="DT63" t="s">
        <v>137</v>
      </c>
      <c r="DU63">
        <v>14.5824</v>
      </c>
      <c r="DV63">
        <v>14.6713</v>
      </c>
      <c r="DW63">
        <v>14.666399999999999</v>
      </c>
      <c r="DX63">
        <v>14.528600000000001</v>
      </c>
      <c r="DY63">
        <v>14.5379</v>
      </c>
      <c r="DZ63" t="s">
        <v>137</v>
      </c>
      <c r="EA63" t="s">
        <v>137</v>
      </c>
      <c r="EB63">
        <v>15.400399999999999</v>
      </c>
      <c r="EC63">
        <v>15.2987</v>
      </c>
      <c r="ED63">
        <v>15.0616</v>
      </c>
      <c r="EE63">
        <v>14.808199999999999</v>
      </c>
      <c r="EF63">
        <v>14.595000000000001</v>
      </c>
      <c r="EG63" t="s">
        <v>137</v>
      </c>
      <c r="EH63" t="s">
        <v>137</v>
      </c>
      <c r="EI63">
        <v>14.7369</v>
      </c>
      <c r="EJ63">
        <v>14.985300000000001</v>
      </c>
      <c r="EK63">
        <v>15.114100000000001</v>
      </c>
      <c r="EL63">
        <v>14.835599999999999</v>
      </c>
      <c r="EM63">
        <v>14.8485</v>
      </c>
      <c r="EN63" t="s">
        <v>137</v>
      </c>
      <c r="EO63" t="s">
        <v>137</v>
      </c>
      <c r="EP63">
        <v>14.924899999999999</v>
      </c>
      <c r="EQ63">
        <v>15.208600000000001</v>
      </c>
      <c r="ER63">
        <v>15.733000000000001</v>
      </c>
      <c r="ES63">
        <v>16.070499999999999</v>
      </c>
      <c r="ET63">
        <v>16.049399999999999</v>
      </c>
      <c r="EU63" t="s">
        <v>137</v>
      </c>
      <c r="EV63" t="s">
        <v>137</v>
      </c>
      <c r="EW63">
        <v>16.522600000000001</v>
      </c>
      <c r="EX63">
        <v>16.5471</v>
      </c>
      <c r="EY63">
        <v>16.310500000000001</v>
      </c>
      <c r="EZ63">
        <v>16.396100000000001</v>
      </c>
      <c r="FA63">
        <v>16.3203</v>
      </c>
      <c r="FB63" t="s">
        <v>137</v>
      </c>
      <c r="FC63" t="s">
        <v>137</v>
      </c>
      <c r="FD63">
        <v>15.9077</v>
      </c>
      <c r="FE63">
        <v>15.8088</v>
      </c>
      <c r="FF63">
        <v>15.2517</v>
      </c>
      <c r="FG63">
        <v>15.7417</v>
      </c>
      <c r="FH63">
        <v>15.3322</v>
      </c>
      <c r="FI63" t="s">
        <v>137</v>
      </c>
      <c r="FJ63" t="s">
        <v>137</v>
      </c>
      <c r="FK63">
        <v>15.5136</v>
      </c>
      <c r="FL63">
        <v>15.852499999999999</v>
      </c>
      <c r="FM63">
        <v>15.9567</v>
      </c>
      <c r="FN63">
        <v>16.608599999999999</v>
      </c>
      <c r="FO63">
        <v>16.463699999999999</v>
      </c>
      <c r="FP63" t="s">
        <v>137</v>
      </c>
      <c r="FQ63" t="s">
        <v>137</v>
      </c>
      <c r="FR63">
        <v>16.656400000000001</v>
      </c>
      <c r="FS63">
        <v>16.654699999999998</v>
      </c>
      <c r="FT63">
        <v>16.6023</v>
      </c>
      <c r="FU63">
        <v>16.760400000000001</v>
      </c>
      <c r="FV63">
        <v>16.715499999999999</v>
      </c>
      <c r="FW63" t="s">
        <v>137</v>
      </c>
      <c r="FX63" t="s">
        <v>137</v>
      </c>
      <c r="FY63">
        <v>16.5181</v>
      </c>
      <c r="FZ63">
        <v>16.130800000000001</v>
      </c>
      <c r="GA63">
        <v>16.4313</v>
      </c>
      <c r="GB63">
        <v>17.228400000000001</v>
      </c>
      <c r="GC63">
        <v>17.1556</v>
      </c>
      <c r="GD63" t="s">
        <v>137</v>
      </c>
      <c r="GE63" t="s">
        <v>137</v>
      </c>
      <c r="GF63" s="35">
        <v>17.461099999999998</v>
      </c>
      <c r="GG63">
        <v>17.2729</v>
      </c>
      <c r="GH63">
        <v>17.3248</v>
      </c>
      <c r="GI63">
        <v>17.8459</v>
      </c>
      <c r="GJ63">
        <v>18.961600000000001</v>
      </c>
      <c r="GK63" t="s">
        <v>137</v>
      </c>
      <c r="GL63" t="s">
        <v>137</v>
      </c>
      <c r="GM63">
        <v>20.985299999999999</v>
      </c>
      <c r="GN63">
        <v>20.4374</v>
      </c>
      <c r="GO63">
        <v>21.425699999999999</v>
      </c>
      <c r="GP63">
        <v>24.7013</v>
      </c>
      <c r="GQ63">
        <v>23.3857</v>
      </c>
      <c r="GR63" t="s">
        <v>137</v>
      </c>
      <c r="GS63" t="s">
        <v>137</v>
      </c>
      <c r="GT63">
        <v>26.102499999999999</v>
      </c>
      <c r="GU63">
        <v>27.078800000000001</v>
      </c>
      <c r="GV63">
        <v>26.863900000000001</v>
      </c>
      <c r="GW63">
        <v>28.508099999999999</v>
      </c>
      <c r="GX63">
        <v>27.759</v>
      </c>
      <c r="GY63" t="s">
        <v>137</v>
      </c>
      <c r="GZ63" t="s">
        <v>137</v>
      </c>
      <c r="HA63">
        <v>32.133299999999998</v>
      </c>
      <c r="HB63">
        <v>33.644799999999996</v>
      </c>
      <c r="HC63">
        <v>31.985099999999999</v>
      </c>
      <c r="HD63">
        <v>29.649000000000001</v>
      </c>
      <c r="HE63">
        <v>30.556799999999999</v>
      </c>
      <c r="HF63" t="s">
        <v>137</v>
      </c>
      <c r="HG63" t="s">
        <v>137</v>
      </c>
      <c r="HH63">
        <v>30.581</v>
      </c>
      <c r="HI63">
        <v>29.209700000000002</v>
      </c>
      <c r="HJ63">
        <v>29.2319</v>
      </c>
      <c r="HK63">
        <v>28.6448</v>
      </c>
      <c r="HL63">
        <v>27.443200000000001</v>
      </c>
      <c r="HM63" t="s">
        <v>137</v>
      </c>
      <c r="HN63" t="s">
        <v>137</v>
      </c>
      <c r="HO63">
        <v>27.173300000000001</v>
      </c>
      <c r="HP63">
        <v>26.908899999999999</v>
      </c>
      <c r="HQ63">
        <v>27.356100000000001</v>
      </c>
      <c r="HR63">
        <v>28.634799999999998</v>
      </c>
      <c r="HS63">
        <v>28.184999999999999</v>
      </c>
      <c r="HT63" t="s">
        <v>137</v>
      </c>
      <c r="HU63" t="s">
        <v>137</v>
      </c>
      <c r="HV63">
        <v>28.2057</v>
      </c>
      <c r="HW63">
        <v>28.072600000000001</v>
      </c>
      <c r="HX63">
        <v>28.247399999999999</v>
      </c>
      <c r="HY63">
        <v>28.785699999999999</v>
      </c>
      <c r="HZ63">
        <v>28.646899999999999</v>
      </c>
      <c r="IA63" t="s">
        <v>137</v>
      </c>
      <c r="IB63" t="s">
        <v>137</v>
      </c>
      <c r="IC63">
        <v>23.9041</v>
      </c>
      <c r="ID63">
        <v>24.713100000000001</v>
      </c>
      <c r="IE63">
        <v>25.836600000000001</v>
      </c>
      <c r="IF63">
        <v>26.969100000000001</v>
      </c>
      <c r="IG63">
        <v>28.638400000000001</v>
      </c>
      <c r="IH63" t="s">
        <v>137</v>
      </c>
      <c r="II63" t="s">
        <v>137</v>
      </c>
      <c r="IJ63">
        <v>29.482500000000002</v>
      </c>
      <c r="IK63">
        <v>30.267600000000002</v>
      </c>
      <c r="IL63">
        <v>30.291799999999999</v>
      </c>
      <c r="IM63">
        <v>30.8447</v>
      </c>
      <c r="IN63">
        <v>30.87</v>
      </c>
      <c r="IO63" t="s">
        <v>137</v>
      </c>
      <c r="IP63" t="s">
        <v>137</v>
      </c>
      <c r="IQ63">
        <v>32.671900000000001</v>
      </c>
      <c r="IR63">
        <v>34.467100000000002</v>
      </c>
      <c r="IS63">
        <v>30.946200000000001</v>
      </c>
      <c r="IT63">
        <v>30.1113</v>
      </c>
      <c r="IU63">
        <v>32.928400000000003</v>
      </c>
      <c r="IV63" t="s">
        <v>137</v>
      </c>
      <c r="IW63" t="s">
        <v>137</v>
      </c>
      <c r="IX63">
        <v>30.159700000000001</v>
      </c>
      <c r="IY63">
        <v>28.042400000000001</v>
      </c>
      <c r="IZ63">
        <v>27.850999999999999</v>
      </c>
      <c r="JA63">
        <v>28.5319</v>
      </c>
      <c r="JB63">
        <v>26.5</v>
      </c>
      <c r="JC63" t="s">
        <v>137</v>
      </c>
      <c r="JD63" t="s">
        <v>137</v>
      </c>
      <c r="JE63">
        <v>25.728300000000001</v>
      </c>
      <c r="JF63">
        <v>25.7971</v>
      </c>
      <c r="JG63">
        <v>26.474699999999999</v>
      </c>
      <c r="JH63">
        <v>26.806000000000001</v>
      </c>
      <c r="JI63">
        <v>27.300599999999999</v>
      </c>
      <c r="JJ63" t="s">
        <v>137</v>
      </c>
      <c r="JK63" t="s">
        <v>137</v>
      </c>
      <c r="JL63">
        <v>27.320599999999999</v>
      </c>
      <c r="JM63">
        <v>27.340599999999998</v>
      </c>
      <c r="JN63">
        <v>27.360700000000001</v>
      </c>
      <c r="JO63">
        <v>27.421199999999999</v>
      </c>
      <c r="JP63">
        <v>27.441400000000002</v>
      </c>
      <c r="JQ63" t="s">
        <v>137</v>
      </c>
      <c r="JR63" t="s">
        <v>137</v>
      </c>
      <c r="JS63">
        <v>27.4617</v>
      </c>
      <c r="JT63">
        <v>27.482099999999999</v>
      </c>
      <c r="JU63">
        <v>27.502500000000001</v>
      </c>
      <c r="JV63">
        <v>27.5639</v>
      </c>
      <c r="JW63">
        <v>27.584399999999999</v>
      </c>
      <c r="JX63" t="s">
        <v>137</v>
      </c>
      <c r="JY63" t="s">
        <v>137</v>
      </c>
      <c r="JZ63">
        <v>27.6051</v>
      </c>
      <c r="KA63">
        <v>27.625699999999998</v>
      </c>
      <c r="KB63">
        <v>27.6464</v>
      </c>
      <c r="KC63">
        <v>27.7088</v>
      </c>
      <c r="KD63">
        <v>27.729700000000001</v>
      </c>
      <c r="KE63" t="s">
        <v>137</v>
      </c>
      <c r="KF63" t="s">
        <v>137</v>
      </c>
      <c r="KG63">
        <v>27.750599999999999</v>
      </c>
      <c r="KH63">
        <v>27.771599999999999</v>
      </c>
      <c r="KI63">
        <v>27.7926</v>
      </c>
      <c r="KJ63">
        <v>27.856000000000002</v>
      </c>
      <c r="KK63">
        <v>27.877199999999998</v>
      </c>
      <c r="KL63" t="s">
        <v>137</v>
      </c>
      <c r="KM63" t="s">
        <v>137</v>
      </c>
      <c r="KN63">
        <v>27.898499999999999</v>
      </c>
      <c r="KO63">
        <v>27.919799999999999</v>
      </c>
      <c r="KP63">
        <v>27.941099999999999</v>
      </c>
      <c r="KQ63">
        <v>28.005500000000001</v>
      </c>
      <c r="KR63">
        <v>28.027100000000001</v>
      </c>
      <c r="KS63" t="s">
        <v>137</v>
      </c>
      <c r="KT63" t="s">
        <v>137</v>
      </c>
      <c r="KU63">
        <v>28.0487</v>
      </c>
      <c r="KV63">
        <v>28.0703</v>
      </c>
      <c r="KW63">
        <v>19.009599999999999</v>
      </c>
      <c r="KX63">
        <v>19.038399999999999</v>
      </c>
      <c r="KY63">
        <v>19.047999999999998</v>
      </c>
      <c r="KZ63" t="s">
        <v>137</v>
      </c>
      <c r="LA63" t="s">
        <v>137</v>
      </c>
      <c r="LB63">
        <v>18.341200000000001</v>
      </c>
      <c r="LC63">
        <v>18.2258</v>
      </c>
      <c r="LD63">
        <v>18.296600000000002</v>
      </c>
      <c r="LE63">
        <v>18.261099999999999</v>
      </c>
      <c r="LF63">
        <v>18.458100000000002</v>
      </c>
      <c r="LG63" t="s">
        <v>137</v>
      </c>
      <c r="LH63" t="s">
        <v>137</v>
      </c>
      <c r="LI63">
        <v>18.1555</v>
      </c>
      <c r="LJ63">
        <v>18.287800000000001</v>
      </c>
      <c r="LK63">
        <v>18.8093</v>
      </c>
      <c r="LL63">
        <v>18.323499999999999</v>
      </c>
      <c r="LM63">
        <v>18.3324</v>
      </c>
      <c r="LN63" t="s">
        <v>137</v>
      </c>
      <c r="LO63" t="s">
        <v>137</v>
      </c>
      <c r="LP63">
        <v>19.071400000000001</v>
      </c>
      <c r="LQ63">
        <v>19.081199999999999</v>
      </c>
      <c r="LR63">
        <v>18.359400000000001</v>
      </c>
      <c r="LS63">
        <v>17.838200000000001</v>
      </c>
      <c r="LT63">
        <v>17.671299999999999</v>
      </c>
      <c r="LU63" t="s">
        <v>137</v>
      </c>
      <c r="LV63" t="s">
        <v>137</v>
      </c>
      <c r="LW63">
        <v>17.6797</v>
      </c>
      <c r="LX63">
        <v>17.687999999999999</v>
      </c>
      <c r="LY63">
        <v>17.696400000000001</v>
      </c>
      <c r="LZ63">
        <v>17.721599999999999</v>
      </c>
      <c r="MA63">
        <v>17.73</v>
      </c>
      <c r="MB63" t="s">
        <v>137</v>
      </c>
      <c r="MC63" t="s">
        <v>137</v>
      </c>
      <c r="MD63">
        <v>17.738399999999999</v>
      </c>
      <c r="ME63">
        <v>16.009899999999998</v>
      </c>
      <c r="MF63">
        <v>15.7898</v>
      </c>
      <c r="MG63">
        <v>16.182400000000001</v>
      </c>
      <c r="MH63">
        <v>16.274799999999999</v>
      </c>
      <c r="MI63" t="s">
        <v>137</v>
      </c>
      <c r="MJ63" t="s">
        <v>137</v>
      </c>
      <c r="MK63">
        <v>16.2819</v>
      </c>
      <c r="ML63">
        <v>16.3596</v>
      </c>
      <c r="MM63">
        <v>16.394500000000001</v>
      </c>
      <c r="MN63">
        <v>16.6172</v>
      </c>
      <c r="MO63">
        <v>16.694199999999999</v>
      </c>
      <c r="MP63" t="s">
        <v>137</v>
      </c>
      <c r="MQ63" t="s">
        <v>137</v>
      </c>
      <c r="MR63">
        <v>16.701699999999999</v>
      </c>
      <c r="MS63">
        <v>16.905100000000001</v>
      </c>
      <c r="MT63">
        <v>17.001999999999999</v>
      </c>
      <c r="MU63">
        <v>17.111499999999999</v>
      </c>
      <c r="MV63">
        <v>17.2196</v>
      </c>
      <c r="MW63" t="s">
        <v>137</v>
      </c>
      <c r="MX63" t="s">
        <v>137</v>
      </c>
      <c r="MY63">
        <v>17.227599999999999</v>
      </c>
      <c r="MZ63">
        <v>19.672599999999999</v>
      </c>
      <c r="NA63">
        <v>18.5642</v>
      </c>
      <c r="NB63">
        <v>19.969000000000001</v>
      </c>
      <c r="NC63">
        <v>17.0623</v>
      </c>
      <c r="ND63" t="s">
        <v>137</v>
      </c>
      <c r="NE63" t="s">
        <v>137</v>
      </c>
      <c r="NF63">
        <v>17.9937</v>
      </c>
      <c r="NG63">
        <v>16.865400000000001</v>
      </c>
      <c r="NH63">
        <v>16.563800000000001</v>
      </c>
      <c r="NI63">
        <v>16.586099999999998</v>
      </c>
      <c r="NJ63">
        <v>16.294699999999999</v>
      </c>
      <c r="NK63" t="s">
        <v>137</v>
      </c>
      <c r="NL63" t="s">
        <v>137</v>
      </c>
      <c r="NM63" t="s">
        <v>137</v>
      </c>
      <c r="NN63" t="s">
        <v>137</v>
      </c>
      <c r="NO63" t="s">
        <v>137</v>
      </c>
      <c r="NP63" t="s">
        <v>137</v>
      </c>
      <c r="NQ63" t="s">
        <v>137</v>
      </c>
      <c r="NR63" t="s">
        <v>137</v>
      </c>
      <c r="NS63" t="s">
        <v>137</v>
      </c>
      <c r="NT63" t="s">
        <v>137</v>
      </c>
      <c r="NU63" t="s">
        <v>137</v>
      </c>
      <c r="NV63" t="s">
        <v>137</v>
      </c>
      <c r="NW63" t="s">
        <v>137</v>
      </c>
      <c r="NX63" t="s">
        <v>137</v>
      </c>
      <c r="NY63" t="s">
        <v>137</v>
      </c>
      <c r="NZ63" t="s">
        <v>137</v>
      </c>
      <c r="OA63" t="s">
        <v>137</v>
      </c>
      <c r="OB63" t="s">
        <v>137</v>
      </c>
      <c r="OC63" t="s">
        <v>137</v>
      </c>
      <c r="OD63" t="s">
        <v>137</v>
      </c>
      <c r="OE63" t="s">
        <v>137</v>
      </c>
      <c r="OF63" t="s">
        <v>137</v>
      </c>
      <c r="OG63" t="s">
        <v>137</v>
      </c>
      <c r="OH63" t="s">
        <v>137</v>
      </c>
      <c r="OI63" t="s">
        <v>137</v>
      </c>
      <c r="OJ63" t="s">
        <v>137</v>
      </c>
      <c r="OK63" t="s">
        <v>137</v>
      </c>
      <c r="OL63" t="s">
        <v>137</v>
      </c>
      <c r="OM63" t="s">
        <v>137</v>
      </c>
      <c r="ON63" t="s">
        <v>137</v>
      </c>
      <c r="OO63" t="s">
        <v>137</v>
      </c>
      <c r="OP63" t="s">
        <v>137</v>
      </c>
      <c r="OQ63" t="s">
        <v>137</v>
      </c>
      <c r="OR63" t="s">
        <v>137</v>
      </c>
      <c r="OS63" t="s">
        <v>137</v>
      </c>
      <c r="OT63" t="s">
        <v>137</v>
      </c>
      <c r="OU63" t="s">
        <v>137</v>
      </c>
      <c r="OV63" t="s">
        <v>137</v>
      </c>
      <c r="OW63" t="s">
        <v>137</v>
      </c>
      <c r="OX63" t="s">
        <v>137</v>
      </c>
      <c r="OY63" t="s">
        <v>137</v>
      </c>
      <c r="OZ63" t="s">
        <v>137</v>
      </c>
      <c r="PA63" t="s">
        <v>137</v>
      </c>
      <c r="PB63" t="s">
        <v>137</v>
      </c>
      <c r="PC63" t="s">
        <v>137</v>
      </c>
      <c r="PD63" t="s">
        <v>137</v>
      </c>
      <c r="PE63" t="s">
        <v>137</v>
      </c>
      <c r="PF63" t="s">
        <v>137</v>
      </c>
      <c r="PG63" t="s">
        <v>137</v>
      </c>
      <c r="PH63" t="s">
        <v>137</v>
      </c>
      <c r="PI63" t="s">
        <v>137</v>
      </c>
      <c r="PJ63" t="s">
        <v>137</v>
      </c>
      <c r="PK63" t="s">
        <v>137</v>
      </c>
      <c r="PL63" t="s">
        <v>137</v>
      </c>
      <c r="PM63" t="s">
        <v>137</v>
      </c>
      <c r="PN63" t="s">
        <v>137</v>
      </c>
      <c r="PO63" t="s">
        <v>137</v>
      </c>
      <c r="PP63" t="s">
        <v>137</v>
      </c>
      <c r="PQ63" t="s">
        <v>137</v>
      </c>
      <c r="PR63" t="s">
        <v>137</v>
      </c>
      <c r="PS63" t="s">
        <v>137</v>
      </c>
      <c r="PT63" t="s">
        <v>137</v>
      </c>
      <c r="PU63" t="s">
        <v>137</v>
      </c>
      <c r="PV63" t="s">
        <v>137</v>
      </c>
      <c r="PW63" t="s">
        <v>137</v>
      </c>
      <c r="PX63" t="s">
        <v>137</v>
      </c>
      <c r="PY63" t="s">
        <v>137</v>
      </c>
      <c r="PZ63" t="s">
        <v>137</v>
      </c>
      <c r="QA63" t="s">
        <v>137</v>
      </c>
      <c r="QB63" t="s">
        <v>137</v>
      </c>
      <c r="QC63" t="s">
        <v>137</v>
      </c>
      <c r="QD63" t="s">
        <v>137</v>
      </c>
      <c r="QE63" t="s">
        <v>137</v>
      </c>
      <c r="QF63" t="s">
        <v>137</v>
      </c>
      <c r="QG63" t="s">
        <v>137</v>
      </c>
      <c r="QH63" t="s">
        <v>137</v>
      </c>
      <c r="QI63" t="s">
        <v>137</v>
      </c>
      <c r="QJ63" t="s">
        <v>137</v>
      </c>
      <c r="QK63" t="s">
        <v>137</v>
      </c>
      <c r="QL63" t="s">
        <v>137</v>
      </c>
      <c r="QM63" t="s">
        <v>137</v>
      </c>
      <c r="QN63" t="s">
        <v>137</v>
      </c>
      <c r="QO63" t="s">
        <v>137</v>
      </c>
    </row>
    <row r="64" spans="1:457" x14ac:dyDescent="0.2">
      <c r="A64" t="s">
        <v>130</v>
      </c>
      <c r="B64" s="3">
        <v>42837</v>
      </c>
      <c r="C64" t="s">
        <v>38</v>
      </c>
      <c r="E64" t="s">
        <v>137</v>
      </c>
      <c r="F64">
        <v>119.19410000000001</v>
      </c>
      <c r="G64">
        <v>122.4768</v>
      </c>
      <c r="H64">
        <v>124.71429999999999</v>
      </c>
      <c r="I64">
        <v>101.8475</v>
      </c>
      <c r="J64">
        <v>87.5124</v>
      </c>
      <c r="K64" t="s">
        <v>137</v>
      </c>
      <c r="L64" t="s">
        <v>137</v>
      </c>
      <c r="M64">
        <v>82.482900000000001</v>
      </c>
      <c r="N64">
        <v>94.649500000000003</v>
      </c>
      <c r="O64">
        <v>91.049599999999998</v>
      </c>
      <c r="P64">
        <v>92.703299999999999</v>
      </c>
      <c r="Q64">
        <v>99.525800000000004</v>
      </c>
      <c r="R64" t="s">
        <v>137</v>
      </c>
      <c r="S64" t="s">
        <v>137</v>
      </c>
      <c r="T64">
        <v>98.781700000000001</v>
      </c>
      <c r="U64">
        <v>100.98180000000001</v>
      </c>
      <c r="V64">
        <v>91.348600000000005</v>
      </c>
      <c r="W64">
        <v>94.489400000000003</v>
      </c>
      <c r="X64">
        <v>98.492800000000003</v>
      </c>
      <c r="Y64" t="s">
        <v>137</v>
      </c>
      <c r="Z64" t="s">
        <v>137</v>
      </c>
      <c r="AA64">
        <v>99.331400000000002</v>
      </c>
      <c r="AB64">
        <v>102.575</v>
      </c>
      <c r="AC64">
        <v>102.98350000000001</v>
      </c>
      <c r="AD64">
        <v>108.1328</v>
      </c>
      <c r="AE64">
        <v>110.5945</v>
      </c>
      <c r="AF64" t="s">
        <v>137</v>
      </c>
      <c r="AG64" t="s">
        <v>137</v>
      </c>
      <c r="AH64">
        <v>104.8326</v>
      </c>
      <c r="AI64">
        <v>101.2191</v>
      </c>
      <c r="AJ64">
        <v>102.5698</v>
      </c>
      <c r="AK64">
        <v>103.7533</v>
      </c>
      <c r="AL64">
        <v>103.102</v>
      </c>
      <c r="AM64" t="s">
        <v>137</v>
      </c>
      <c r="AN64" t="s">
        <v>137</v>
      </c>
      <c r="AO64">
        <v>103.4875</v>
      </c>
      <c r="AP64">
        <v>103.87609999999999</v>
      </c>
      <c r="AQ64">
        <v>102.3107</v>
      </c>
      <c r="AR64">
        <v>97.337999999999994</v>
      </c>
      <c r="AS64">
        <v>86.857399999999998</v>
      </c>
      <c r="AT64" t="s">
        <v>137</v>
      </c>
      <c r="AU64" t="s">
        <v>137</v>
      </c>
      <c r="AV64">
        <v>88.816999999999993</v>
      </c>
      <c r="AW64">
        <v>92.443700000000007</v>
      </c>
      <c r="AX64">
        <v>91.000200000000007</v>
      </c>
      <c r="AY64">
        <v>94.603700000000003</v>
      </c>
      <c r="AZ64">
        <v>93.703100000000006</v>
      </c>
      <c r="BA64" t="s">
        <v>137</v>
      </c>
      <c r="BB64" t="s">
        <v>137</v>
      </c>
      <c r="BC64">
        <v>95.003</v>
      </c>
      <c r="BD64">
        <v>104.4743</v>
      </c>
      <c r="BE64">
        <v>108.1983</v>
      </c>
      <c r="BF64">
        <v>107.2236</v>
      </c>
      <c r="BG64">
        <v>109.0055</v>
      </c>
      <c r="BH64" t="s">
        <v>137</v>
      </c>
      <c r="BI64" t="s">
        <v>137</v>
      </c>
      <c r="BJ64">
        <v>107.3561</v>
      </c>
      <c r="BK64">
        <v>112.4012</v>
      </c>
      <c r="BL64">
        <v>110.1606</v>
      </c>
      <c r="BM64">
        <v>113.18770000000001</v>
      </c>
      <c r="BN64">
        <v>113.08750000000001</v>
      </c>
      <c r="BO64" t="s">
        <v>137</v>
      </c>
      <c r="BP64" t="s">
        <v>137</v>
      </c>
      <c r="BQ64">
        <v>118.321</v>
      </c>
      <c r="BR64">
        <v>114.03279999999999</v>
      </c>
      <c r="BS64">
        <v>112.6628</v>
      </c>
      <c r="BT64">
        <v>119.89</v>
      </c>
      <c r="BU64">
        <v>119.4198</v>
      </c>
      <c r="BV64" t="s">
        <v>137</v>
      </c>
      <c r="BW64" t="s">
        <v>137</v>
      </c>
      <c r="BX64">
        <v>119.27589999999999</v>
      </c>
      <c r="BY64">
        <v>120.81229999999999</v>
      </c>
      <c r="BZ64">
        <v>124.03489999999999</v>
      </c>
      <c r="CA64">
        <v>123.8391</v>
      </c>
      <c r="CB64">
        <v>122.74039999999999</v>
      </c>
      <c r="CC64" t="s">
        <v>137</v>
      </c>
      <c r="CD64" t="s">
        <v>137</v>
      </c>
      <c r="CE64">
        <v>124.0354</v>
      </c>
      <c r="CF64">
        <v>128.05189999999999</v>
      </c>
      <c r="CG64">
        <v>127.8079</v>
      </c>
      <c r="CH64">
        <v>125.03319999999999</v>
      </c>
      <c r="CI64">
        <v>121.3202</v>
      </c>
      <c r="CJ64" t="s">
        <v>137</v>
      </c>
      <c r="CK64" t="s">
        <v>137</v>
      </c>
      <c r="CL64">
        <v>125.9794</v>
      </c>
      <c r="CM64">
        <v>126.482</v>
      </c>
      <c r="CN64">
        <v>125.9577</v>
      </c>
      <c r="CO64">
        <v>122.4473</v>
      </c>
      <c r="CP64">
        <v>124.6194</v>
      </c>
      <c r="CQ64" t="s">
        <v>137</v>
      </c>
      <c r="CR64" t="s">
        <v>137</v>
      </c>
      <c r="CS64">
        <v>125.31789999999999</v>
      </c>
      <c r="CT64">
        <v>125.1461</v>
      </c>
      <c r="CU64">
        <v>123.2936</v>
      </c>
      <c r="CV64">
        <v>124.2825</v>
      </c>
      <c r="CW64">
        <v>122.6863</v>
      </c>
      <c r="CX64" t="s">
        <v>137</v>
      </c>
      <c r="CY64" t="s">
        <v>137</v>
      </c>
      <c r="CZ64">
        <v>120.3647</v>
      </c>
      <c r="DA64">
        <v>114.2226</v>
      </c>
      <c r="DB64">
        <v>110.16679999999999</v>
      </c>
      <c r="DC64">
        <v>106.97199999999999</v>
      </c>
      <c r="DD64">
        <v>108.21639999999999</v>
      </c>
      <c r="DE64" t="s">
        <v>137</v>
      </c>
      <c r="DF64" t="s">
        <v>137</v>
      </c>
      <c r="DG64">
        <v>109.7312</v>
      </c>
      <c r="DH64">
        <v>109.767</v>
      </c>
      <c r="DI64">
        <v>100.1597</v>
      </c>
      <c r="DJ64">
        <v>101.8021</v>
      </c>
      <c r="DK64">
        <v>102.59829999999999</v>
      </c>
      <c r="DL64" t="s">
        <v>137</v>
      </c>
      <c r="DM64" t="s">
        <v>137</v>
      </c>
      <c r="DN64">
        <v>95.901799999999994</v>
      </c>
      <c r="DO64">
        <v>96.201599999999999</v>
      </c>
      <c r="DP64">
        <v>96.503500000000003</v>
      </c>
      <c r="DQ64">
        <v>97.4221</v>
      </c>
      <c r="DR64">
        <v>93.945999999999998</v>
      </c>
      <c r="DS64" t="s">
        <v>137</v>
      </c>
      <c r="DT64" t="s">
        <v>137</v>
      </c>
      <c r="DU64">
        <v>95.449200000000005</v>
      </c>
      <c r="DV64">
        <v>95.754499999999993</v>
      </c>
      <c r="DW64">
        <v>96.062100000000001</v>
      </c>
      <c r="DX64">
        <v>96.9983</v>
      </c>
      <c r="DY64">
        <v>94.460499999999996</v>
      </c>
      <c r="DZ64" t="s">
        <v>137</v>
      </c>
      <c r="EA64" t="s">
        <v>137</v>
      </c>
      <c r="EB64">
        <v>97.244500000000002</v>
      </c>
      <c r="EC64">
        <v>99.905000000000001</v>
      </c>
      <c r="ED64">
        <v>103.0363</v>
      </c>
      <c r="EE64">
        <v>99.0642</v>
      </c>
      <c r="EF64">
        <v>98.028199999999998</v>
      </c>
      <c r="EG64" t="s">
        <v>137</v>
      </c>
      <c r="EH64" t="s">
        <v>137</v>
      </c>
      <c r="EI64">
        <v>97.001300000000001</v>
      </c>
      <c r="EJ64">
        <v>97.445700000000002</v>
      </c>
      <c r="EK64">
        <v>96.809399999999997</v>
      </c>
      <c r="EL64">
        <v>95.1892</v>
      </c>
      <c r="EM64">
        <v>95.518100000000004</v>
      </c>
      <c r="EN64" t="s">
        <v>137</v>
      </c>
      <c r="EO64" t="s">
        <v>137</v>
      </c>
      <c r="EP64">
        <v>96.812399999999997</v>
      </c>
      <c r="EQ64">
        <v>99.106300000000005</v>
      </c>
      <c r="ER64">
        <v>102.86709999999999</v>
      </c>
      <c r="ES64">
        <v>104.29130000000001</v>
      </c>
      <c r="ET64">
        <v>102.89409999999999</v>
      </c>
      <c r="EU64" t="s">
        <v>137</v>
      </c>
      <c r="EV64" t="s">
        <v>137</v>
      </c>
      <c r="EW64">
        <v>106.7968</v>
      </c>
      <c r="EX64">
        <v>105.7079</v>
      </c>
      <c r="EY64">
        <v>100.949</v>
      </c>
      <c r="EZ64">
        <v>102.4162</v>
      </c>
      <c r="FA64">
        <v>103.078</v>
      </c>
      <c r="FB64" t="s">
        <v>137</v>
      </c>
      <c r="FC64" t="s">
        <v>137</v>
      </c>
      <c r="FD64">
        <v>102.43040000000001</v>
      </c>
      <c r="FE64">
        <v>101.7868</v>
      </c>
      <c r="FF64">
        <v>101.87820000000001</v>
      </c>
      <c r="FG64">
        <v>108.54389999999999</v>
      </c>
      <c r="FH64">
        <v>97.631399999999999</v>
      </c>
      <c r="FI64" t="s">
        <v>137</v>
      </c>
      <c r="FJ64" t="s">
        <v>137</v>
      </c>
      <c r="FK64">
        <v>100.0003</v>
      </c>
      <c r="FL64">
        <v>104.1177</v>
      </c>
      <c r="FM64">
        <v>104.5159</v>
      </c>
      <c r="FN64">
        <v>106.6657</v>
      </c>
      <c r="FO64">
        <v>106.3982</v>
      </c>
      <c r="FP64" t="s">
        <v>137</v>
      </c>
      <c r="FQ64" t="s">
        <v>137</v>
      </c>
      <c r="FR64">
        <v>104.52630000000001</v>
      </c>
      <c r="FS64">
        <v>103.7617</v>
      </c>
      <c r="FT64">
        <v>104.17140000000001</v>
      </c>
      <c r="FU64">
        <v>113.0724</v>
      </c>
      <c r="FV64">
        <v>111.0665</v>
      </c>
      <c r="FW64" t="s">
        <v>137</v>
      </c>
      <c r="FX64" t="s">
        <v>137</v>
      </c>
      <c r="FY64">
        <v>111.873</v>
      </c>
      <c r="FZ64">
        <v>111.52330000000001</v>
      </c>
      <c r="GA64">
        <v>111.97920000000001</v>
      </c>
      <c r="GB64">
        <v>118.425</v>
      </c>
      <c r="GC64">
        <v>127.48569999999999</v>
      </c>
      <c r="GD64" t="s">
        <v>137</v>
      </c>
      <c r="GE64" t="s">
        <v>137</v>
      </c>
      <c r="GF64">
        <v>125.5273</v>
      </c>
      <c r="GG64">
        <v>118.7894</v>
      </c>
      <c r="GH64">
        <v>119.2949</v>
      </c>
      <c r="GI64">
        <v>126.4773</v>
      </c>
      <c r="GJ64">
        <v>131.464</v>
      </c>
      <c r="GK64" t="s">
        <v>137</v>
      </c>
      <c r="GL64" t="s">
        <v>137</v>
      </c>
      <c r="GM64">
        <v>165.9966</v>
      </c>
      <c r="GN64">
        <v>191.595</v>
      </c>
      <c r="GO64">
        <v>215.5549</v>
      </c>
      <c r="GP64">
        <v>210.077</v>
      </c>
      <c r="GQ64">
        <v>235.54329999999999</v>
      </c>
      <c r="GR64" t="s">
        <v>137</v>
      </c>
      <c r="GS64" t="s">
        <v>137</v>
      </c>
      <c r="GT64">
        <v>345.30739999999997</v>
      </c>
      <c r="GU64">
        <v>311.89429999999999</v>
      </c>
      <c r="GV64">
        <v>397.84769999999997</v>
      </c>
      <c r="GW64">
        <v>403.33150000000001</v>
      </c>
      <c r="GX64">
        <v>405.19650000000001</v>
      </c>
      <c r="GY64" t="s">
        <v>137</v>
      </c>
      <c r="GZ64" t="s">
        <v>137</v>
      </c>
      <c r="HA64">
        <v>457.01760000000002</v>
      </c>
      <c r="HB64">
        <v>428.07889999999998</v>
      </c>
      <c r="HC64">
        <v>430.08890000000002</v>
      </c>
      <c r="HD64">
        <v>426.36649999999997</v>
      </c>
      <c r="HE64">
        <v>400.44650000000001</v>
      </c>
      <c r="HF64" t="s">
        <v>137</v>
      </c>
      <c r="HG64" t="s">
        <v>137</v>
      </c>
      <c r="HH64">
        <v>400.44650000000001</v>
      </c>
      <c r="HI64">
        <v>397.94850000000002</v>
      </c>
      <c r="HJ64">
        <v>395.49610000000001</v>
      </c>
      <c r="HK64">
        <v>392.6619</v>
      </c>
      <c r="HL64">
        <v>377.85520000000002</v>
      </c>
      <c r="HM64" t="s">
        <v>137</v>
      </c>
      <c r="HN64" t="s">
        <v>137</v>
      </c>
      <c r="HO64">
        <v>348.77780000000001</v>
      </c>
      <c r="HP64">
        <v>336.20339999999999</v>
      </c>
      <c r="HQ64">
        <v>317.66210000000001</v>
      </c>
      <c r="HR64">
        <v>338.9402</v>
      </c>
      <c r="HS64">
        <v>340.7122</v>
      </c>
      <c r="HT64" t="s">
        <v>137</v>
      </c>
      <c r="HU64" t="s">
        <v>137</v>
      </c>
      <c r="HV64">
        <v>342.50439999999998</v>
      </c>
      <c r="HW64">
        <v>321.12009999999998</v>
      </c>
      <c r="HX64">
        <v>350.47969999999998</v>
      </c>
      <c r="HY64">
        <v>356.17680000000001</v>
      </c>
      <c r="HZ64">
        <v>336.67410000000001</v>
      </c>
      <c r="IA64" t="s">
        <v>137</v>
      </c>
      <c r="IB64" t="s">
        <v>137</v>
      </c>
      <c r="IC64">
        <v>367.65530000000001</v>
      </c>
      <c r="ID64">
        <v>403.97190000000001</v>
      </c>
      <c r="IE64">
        <v>411.47190000000001</v>
      </c>
      <c r="IF64">
        <v>429.41460000000001</v>
      </c>
      <c r="IG64">
        <v>482.21480000000003</v>
      </c>
      <c r="IH64" t="s">
        <v>137</v>
      </c>
      <c r="II64" t="s">
        <v>137</v>
      </c>
      <c r="IJ64">
        <v>531.48609999999996</v>
      </c>
      <c r="IK64">
        <v>522.27</v>
      </c>
      <c r="IL64">
        <v>525.28660000000002</v>
      </c>
      <c r="IM64">
        <v>587.33910000000003</v>
      </c>
      <c r="IN64">
        <v>590.81449999999995</v>
      </c>
      <c r="IO64" t="s">
        <v>137</v>
      </c>
      <c r="IP64" t="s">
        <v>137</v>
      </c>
      <c r="IQ64">
        <v>623.89499999999998</v>
      </c>
      <c r="IR64">
        <v>612.50319999999999</v>
      </c>
      <c r="IS64">
        <v>573.60450000000003</v>
      </c>
      <c r="IT64">
        <v>620.04489999999998</v>
      </c>
      <c r="IU64">
        <v>631.48339999999996</v>
      </c>
      <c r="IV64" t="s">
        <v>137</v>
      </c>
      <c r="IW64" t="s">
        <v>137</v>
      </c>
      <c r="IX64">
        <v>620.29999999999995</v>
      </c>
      <c r="IY64">
        <v>595.28219999999999</v>
      </c>
      <c r="IZ64">
        <v>599.06859999999995</v>
      </c>
      <c r="JA64">
        <v>598.03200000000004</v>
      </c>
      <c r="JB64">
        <v>548.15970000000004</v>
      </c>
      <c r="JC64" t="s">
        <v>137</v>
      </c>
      <c r="JD64" t="s">
        <v>137</v>
      </c>
      <c r="JE64">
        <v>519.71339999999998</v>
      </c>
      <c r="JF64">
        <v>497.64179999999999</v>
      </c>
      <c r="JG64">
        <v>479.97120000000001</v>
      </c>
      <c r="JH64">
        <v>489.89429999999999</v>
      </c>
      <c r="JI64">
        <v>493.3</v>
      </c>
      <c r="JJ64" t="s">
        <v>137</v>
      </c>
      <c r="JK64" t="s">
        <v>137</v>
      </c>
      <c r="JL64">
        <v>496.75459999999998</v>
      </c>
      <c r="JM64">
        <v>511.0564</v>
      </c>
      <c r="JN64">
        <v>514.69259999999997</v>
      </c>
      <c r="JO64">
        <v>500.3843</v>
      </c>
      <c r="JP64">
        <v>503.82150000000001</v>
      </c>
      <c r="JQ64" t="s">
        <v>137</v>
      </c>
      <c r="JR64" t="s">
        <v>137</v>
      </c>
      <c r="JS64">
        <v>507.52589999999998</v>
      </c>
      <c r="JT64">
        <v>511.50319999999999</v>
      </c>
      <c r="JU64">
        <v>378.24020000000002</v>
      </c>
      <c r="JV64">
        <v>456.0154</v>
      </c>
      <c r="JW64">
        <v>441.2998</v>
      </c>
      <c r="JX64" t="s">
        <v>137</v>
      </c>
      <c r="JY64" t="s">
        <v>137</v>
      </c>
      <c r="JZ64">
        <v>444.74930000000001</v>
      </c>
      <c r="KA64">
        <v>457.40649999999999</v>
      </c>
      <c r="KB64">
        <v>461.0437</v>
      </c>
      <c r="KC64">
        <v>502.11500000000001</v>
      </c>
      <c r="KD64">
        <v>506.24900000000002</v>
      </c>
      <c r="KE64" t="s">
        <v>137</v>
      </c>
      <c r="KF64" t="s">
        <v>137</v>
      </c>
      <c r="KG64">
        <v>510.45530000000002</v>
      </c>
      <c r="KH64">
        <v>474.52120000000002</v>
      </c>
      <c r="KI64">
        <v>519.08939999999996</v>
      </c>
      <c r="KJ64">
        <v>555.05740000000003</v>
      </c>
      <c r="KK64">
        <v>583.76459999999997</v>
      </c>
      <c r="KL64" t="s">
        <v>137</v>
      </c>
      <c r="KM64" t="s">
        <v>137</v>
      </c>
      <c r="KN64">
        <v>588.93870000000004</v>
      </c>
      <c r="KO64">
        <v>514.5127</v>
      </c>
      <c r="KP64">
        <v>519.17020000000002</v>
      </c>
      <c r="KQ64">
        <v>492.51859999999999</v>
      </c>
      <c r="KR64">
        <v>516.40480000000002</v>
      </c>
      <c r="KS64" t="s">
        <v>137</v>
      </c>
      <c r="KT64" t="s">
        <v>137</v>
      </c>
      <c r="KU64">
        <v>554.97460000000001</v>
      </c>
      <c r="KV64">
        <v>549.0693</v>
      </c>
      <c r="KW64">
        <v>501.5806</v>
      </c>
      <c r="KX64">
        <v>516.67750000000001</v>
      </c>
      <c r="KY64">
        <v>521.71559999999999</v>
      </c>
      <c r="KZ64" t="s">
        <v>137</v>
      </c>
      <c r="LA64" t="s">
        <v>137</v>
      </c>
      <c r="LB64">
        <v>548.48099999999999</v>
      </c>
      <c r="LC64">
        <v>503.07889999999998</v>
      </c>
      <c r="LD64">
        <v>509.36160000000001</v>
      </c>
      <c r="LE64">
        <v>513.68949999999995</v>
      </c>
      <c r="LF64">
        <v>528.6001</v>
      </c>
      <c r="LG64" t="s">
        <v>137</v>
      </c>
      <c r="LH64" t="s">
        <v>137</v>
      </c>
      <c r="LI64">
        <v>535.5317</v>
      </c>
      <c r="LJ64">
        <v>574.61429999999996</v>
      </c>
      <c r="LK64">
        <v>581.15890000000002</v>
      </c>
      <c r="LL64">
        <v>579.55830000000003</v>
      </c>
      <c r="LM64">
        <v>585.34159999999997</v>
      </c>
      <c r="LN64" t="s">
        <v>137</v>
      </c>
      <c r="LO64" t="s">
        <v>137</v>
      </c>
      <c r="LP64">
        <v>641.35249999999996</v>
      </c>
      <c r="LQ64">
        <v>649.22580000000005</v>
      </c>
      <c r="LR64">
        <v>654.03390000000002</v>
      </c>
      <c r="LS64">
        <v>630.76779999999997</v>
      </c>
      <c r="LT64">
        <v>639.0566</v>
      </c>
      <c r="LU64" t="s">
        <v>137</v>
      </c>
      <c r="LV64" t="s">
        <v>137</v>
      </c>
      <c r="LW64">
        <v>701.01369999999997</v>
      </c>
      <c r="LX64">
        <v>769.96410000000003</v>
      </c>
      <c r="LY64">
        <v>780.51340000000005</v>
      </c>
      <c r="LZ64">
        <v>685.44749999999999</v>
      </c>
      <c r="MA64">
        <v>680.3818</v>
      </c>
      <c r="MB64" t="s">
        <v>137</v>
      </c>
      <c r="MC64" t="s">
        <v>137</v>
      </c>
      <c r="MD64">
        <v>650.89279999999997</v>
      </c>
      <c r="ME64">
        <v>611.0444</v>
      </c>
      <c r="MF64">
        <v>576.63499999999999</v>
      </c>
      <c r="MG64">
        <v>590.70259999999996</v>
      </c>
      <c r="MH64">
        <v>623.85619999999994</v>
      </c>
      <c r="MI64" t="s">
        <v>137</v>
      </c>
      <c r="MJ64" t="s">
        <v>137</v>
      </c>
      <c r="MK64">
        <v>604.08010000000002</v>
      </c>
      <c r="ML64">
        <v>659.69410000000005</v>
      </c>
      <c r="MM64">
        <v>677.35350000000005</v>
      </c>
      <c r="MN64">
        <v>759.25729999999999</v>
      </c>
      <c r="MO64">
        <v>758.15449999999998</v>
      </c>
      <c r="MP64" t="s">
        <v>137</v>
      </c>
      <c r="MQ64" t="s">
        <v>137</v>
      </c>
      <c r="MR64">
        <v>787.33690000000001</v>
      </c>
      <c r="MS64">
        <v>759.73609999999996</v>
      </c>
      <c r="MT64">
        <v>727.81470000000002</v>
      </c>
      <c r="MU64">
        <v>772.46140000000003</v>
      </c>
      <c r="MV64">
        <v>762.2097</v>
      </c>
      <c r="MW64" t="s">
        <v>137</v>
      </c>
      <c r="MX64" t="s">
        <v>137</v>
      </c>
      <c r="MY64">
        <v>802.35419999999999</v>
      </c>
      <c r="MZ64">
        <v>839.14499999999998</v>
      </c>
      <c r="NA64">
        <v>945.27340000000004</v>
      </c>
      <c r="NB64">
        <v>937.66020000000003</v>
      </c>
      <c r="NC64">
        <v>937.66020000000003</v>
      </c>
      <c r="ND64" t="s">
        <v>137</v>
      </c>
      <c r="NE64" t="s">
        <v>137</v>
      </c>
      <c r="NF64">
        <v>1253.653</v>
      </c>
      <c r="NG64">
        <v>1064.5239999999999</v>
      </c>
      <c r="NH64">
        <v>1092.133</v>
      </c>
      <c r="NI64">
        <v>1184.921</v>
      </c>
      <c r="NJ64">
        <v>1219.317</v>
      </c>
      <c r="NK64" t="s">
        <v>137</v>
      </c>
      <c r="NL64" t="s">
        <v>137</v>
      </c>
      <c r="NM64" t="s">
        <v>137</v>
      </c>
      <c r="NN64" t="s">
        <v>137</v>
      </c>
      <c r="NO64" t="s">
        <v>137</v>
      </c>
      <c r="NP64" t="s">
        <v>137</v>
      </c>
      <c r="NQ64" t="s">
        <v>137</v>
      </c>
      <c r="NR64" t="s">
        <v>137</v>
      </c>
      <c r="NS64" t="s">
        <v>137</v>
      </c>
      <c r="NT64" t="s">
        <v>137</v>
      </c>
      <c r="NU64" t="s">
        <v>137</v>
      </c>
      <c r="NV64" t="s">
        <v>137</v>
      </c>
      <c r="NW64" t="s">
        <v>137</v>
      </c>
      <c r="NX64" t="s">
        <v>137</v>
      </c>
      <c r="NY64" t="s">
        <v>137</v>
      </c>
      <c r="NZ64" t="s">
        <v>137</v>
      </c>
      <c r="OA64" t="s">
        <v>137</v>
      </c>
      <c r="OB64" t="s">
        <v>137</v>
      </c>
      <c r="OC64" t="s">
        <v>137</v>
      </c>
      <c r="OD64" t="s">
        <v>137</v>
      </c>
      <c r="OE64" t="s">
        <v>137</v>
      </c>
      <c r="OF64" t="s">
        <v>137</v>
      </c>
      <c r="OG64" t="s">
        <v>137</v>
      </c>
      <c r="OH64" t="s">
        <v>137</v>
      </c>
      <c r="OI64" t="s">
        <v>137</v>
      </c>
      <c r="OJ64" t="s">
        <v>137</v>
      </c>
      <c r="OK64" t="s">
        <v>137</v>
      </c>
      <c r="OL64" t="s">
        <v>137</v>
      </c>
      <c r="OM64" t="s">
        <v>137</v>
      </c>
      <c r="ON64" t="s">
        <v>137</v>
      </c>
      <c r="OO64" t="s">
        <v>137</v>
      </c>
      <c r="OP64" t="s">
        <v>137</v>
      </c>
      <c r="OQ64" t="s">
        <v>137</v>
      </c>
      <c r="OR64" t="s">
        <v>137</v>
      </c>
      <c r="OS64" t="s">
        <v>137</v>
      </c>
      <c r="OT64" t="s">
        <v>137</v>
      </c>
      <c r="OU64" t="s">
        <v>137</v>
      </c>
      <c r="OV64" t="s">
        <v>137</v>
      </c>
      <c r="OW64" t="s">
        <v>137</v>
      </c>
      <c r="OX64" t="s">
        <v>137</v>
      </c>
      <c r="OY64" t="s">
        <v>137</v>
      </c>
      <c r="OZ64" t="s">
        <v>137</v>
      </c>
      <c r="PA64" t="s">
        <v>137</v>
      </c>
      <c r="PB64" t="s">
        <v>137</v>
      </c>
      <c r="PC64" t="s">
        <v>137</v>
      </c>
      <c r="PD64" t="s">
        <v>137</v>
      </c>
      <c r="PE64" t="s">
        <v>137</v>
      </c>
      <c r="PF64" t="s">
        <v>137</v>
      </c>
      <c r="PG64" t="s">
        <v>137</v>
      </c>
      <c r="PH64" t="s">
        <v>137</v>
      </c>
      <c r="PI64" t="s">
        <v>137</v>
      </c>
      <c r="PJ64" t="s">
        <v>137</v>
      </c>
      <c r="PK64" t="s">
        <v>137</v>
      </c>
      <c r="PL64" t="s">
        <v>137</v>
      </c>
      <c r="PM64" t="s">
        <v>137</v>
      </c>
      <c r="PN64" t="s">
        <v>137</v>
      </c>
      <c r="PO64" t="s">
        <v>137</v>
      </c>
      <c r="PP64" t="s">
        <v>137</v>
      </c>
      <c r="PQ64" t="s">
        <v>137</v>
      </c>
      <c r="PR64" t="s">
        <v>137</v>
      </c>
      <c r="PS64" t="s">
        <v>137</v>
      </c>
      <c r="PT64" t="s">
        <v>137</v>
      </c>
      <c r="PU64" t="s">
        <v>137</v>
      </c>
      <c r="PV64" t="s">
        <v>137</v>
      </c>
      <c r="PW64" t="s">
        <v>137</v>
      </c>
      <c r="PX64" t="s">
        <v>137</v>
      </c>
      <c r="PY64" t="s">
        <v>137</v>
      </c>
      <c r="PZ64" t="s">
        <v>137</v>
      </c>
      <c r="QA64" t="s">
        <v>137</v>
      </c>
      <c r="QB64" t="s">
        <v>137</v>
      </c>
      <c r="QC64" t="s">
        <v>137</v>
      </c>
      <c r="QD64" t="s">
        <v>137</v>
      </c>
      <c r="QE64" t="s">
        <v>137</v>
      </c>
      <c r="QF64" t="s">
        <v>137</v>
      </c>
      <c r="QG64" t="s">
        <v>137</v>
      </c>
      <c r="QH64" t="s">
        <v>137</v>
      </c>
      <c r="QI64" t="s">
        <v>137</v>
      </c>
      <c r="QJ64" t="s">
        <v>137</v>
      </c>
      <c r="QK64" t="s">
        <v>137</v>
      </c>
      <c r="QL64" t="s">
        <v>137</v>
      </c>
      <c r="QM64" t="s">
        <v>137</v>
      </c>
      <c r="QN64" t="s">
        <v>137</v>
      </c>
      <c r="QO64" t="s">
        <v>137</v>
      </c>
    </row>
    <row r="67" spans="1:190" ht="16" x14ac:dyDescent="0.2">
      <c r="B67" s="193" t="s">
        <v>313</v>
      </c>
      <c r="C67" s="191" t="s">
        <v>314</v>
      </c>
      <c r="D67" s="195" t="s">
        <v>312</v>
      </c>
      <c r="E67" s="195" t="s">
        <v>311</v>
      </c>
      <c r="F67" s="17" t="s">
        <v>310</v>
      </c>
      <c r="G67" s="197" t="s">
        <v>309</v>
      </c>
      <c r="J67" s="193"/>
      <c r="K67" s="191"/>
      <c r="L67" s="195"/>
      <c r="M67" s="195"/>
      <c r="N67" s="17"/>
      <c r="O67" s="17"/>
      <c r="GH67" s="138">
        <f t="shared" ref="GH67:GH72" si="0">INDEX($E$4:$QO$32,MATCH($A69,$A$4:$A$32,0),MATCH(GH$3,$E$3:$QO$3,0))</f>
        <v>54.866500000000002</v>
      </c>
    </row>
    <row r="68" spans="1:190" x14ac:dyDescent="0.2">
      <c r="B68" s="162">
        <v>43894</v>
      </c>
      <c r="C68" s="162">
        <f>EDATE(G68,-4)</f>
        <v>43955</v>
      </c>
      <c r="D68" s="162">
        <v>43986</v>
      </c>
      <c r="E68" s="162">
        <v>44015</v>
      </c>
      <c r="F68" s="162">
        <v>44047</v>
      </c>
      <c r="G68" s="162">
        <v>44078</v>
      </c>
      <c r="J68" s="62"/>
      <c r="K68" s="62"/>
      <c r="L68" s="62"/>
      <c r="M68" s="62"/>
      <c r="N68" s="62"/>
      <c r="O68" s="62"/>
      <c r="GH68" s="138">
        <f t="shared" si="0"/>
        <v>48.823500000000003</v>
      </c>
    </row>
    <row r="69" spans="1:190" x14ac:dyDescent="0.2">
      <c r="A69" s="192" t="s">
        <v>117</v>
      </c>
      <c r="B69" s="17">
        <f t="shared" ref="B69:G79" si="1">INDEX($E$4:$QO$32,MATCH($A69,$A$4:$A$32,0),MATCH(B$68,$E$3:$QO$3,0))</f>
        <v>54.866500000000002</v>
      </c>
      <c r="C69" s="17">
        <f t="shared" si="1"/>
        <v>28.2865</v>
      </c>
      <c r="D69" s="17">
        <f t="shared" si="1"/>
        <v>41.274000000000001</v>
      </c>
      <c r="E69" s="17">
        <f t="shared" si="1"/>
        <v>41.661999999999999</v>
      </c>
      <c r="F69" s="17">
        <f t="shared" si="1"/>
        <v>49.207999999999998</v>
      </c>
      <c r="G69" s="17">
        <f t="shared" si="1"/>
        <v>49.547499999999999</v>
      </c>
      <c r="I69" s="192"/>
      <c r="J69" s="17"/>
      <c r="K69" s="17"/>
      <c r="L69" s="17"/>
      <c r="M69" s="17"/>
      <c r="N69" s="17"/>
      <c r="O69" s="17"/>
      <c r="GH69" s="138">
        <f t="shared" si="0"/>
        <v>46.058500000000002</v>
      </c>
    </row>
    <row r="70" spans="1:190" x14ac:dyDescent="0.2">
      <c r="A70" s="192" t="s">
        <v>118</v>
      </c>
      <c r="B70" s="17">
        <f t="shared" si="1"/>
        <v>48.823500000000003</v>
      </c>
      <c r="C70" s="17">
        <f t="shared" si="1"/>
        <v>26.955500000000001</v>
      </c>
      <c r="D70" s="17">
        <f t="shared" si="1"/>
        <v>41.714500000000001</v>
      </c>
      <c r="E70" s="17">
        <f t="shared" si="1"/>
        <v>41.308500000000002</v>
      </c>
      <c r="F70" s="17">
        <f t="shared" si="1"/>
        <v>49.543500000000002</v>
      </c>
      <c r="G70" s="17">
        <f t="shared" si="1"/>
        <v>47.935000000000002</v>
      </c>
      <c r="I70" s="192"/>
      <c r="J70" s="17"/>
      <c r="K70" s="17"/>
      <c r="L70" s="17"/>
      <c r="M70" s="17"/>
      <c r="N70" s="17"/>
      <c r="O70" s="17"/>
      <c r="GH70" s="138">
        <f t="shared" si="0"/>
        <v>45.93</v>
      </c>
    </row>
    <row r="71" spans="1:190" x14ac:dyDescent="0.2">
      <c r="A71" s="192" t="s">
        <v>119</v>
      </c>
      <c r="B71" s="17">
        <f t="shared" si="1"/>
        <v>46.058500000000002</v>
      </c>
      <c r="C71" s="17">
        <f t="shared" si="1"/>
        <v>40.268999999999998</v>
      </c>
      <c r="D71" s="17">
        <f t="shared" si="1"/>
        <v>40.75</v>
      </c>
      <c r="E71" s="17">
        <f t="shared" si="1"/>
        <v>41.616</v>
      </c>
      <c r="F71" s="17">
        <f t="shared" si="1"/>
        <v>49.52</v>
      </c>
      <c r="G71" s="17">
        <f t="shared" si="1"/>
        <v>47.763500000000001</v>
      </c>
      <c r="I71" s="192"/>
      <c r="J71" s="17"/>
      <c r="K71" s="17"/>
      <c r="L71" s="17"/>
      <c r="M71" s="17"/>
      <c r="N71" s="17"/>
      <c r="O71" s="17"/>
      <c r="GH71" s="138">
        <f t="shared" si="0"/>
        <v>44.875</v>
      </c>
    </row>
    <row r="72" spans="1:190" x14ac:dyDescent="0.2">
      <c r="A72" s="192" t="s">
        <v>120</v>
      </c>
      <c r="B72" s="17">
        <f t="shared" si="1"/>
        <v>45.93</v>
      </c>
      <c r="C72" s="17">
        <f t="shared" si="1"/>
        <v>26.083500000000001</v>
      </c>
      <c r="D72" s="17">
        <f t="shared" si="1"/>
        <v>39.479500000000002</v>
      </c>
      <c r="E72" s="17">
        <f t="shared" si="1"/>
        <v>40.1995</v>
      </c>
      <c r="F72" s="17">
        <f t="shared" si="1"/>
        <v>47.944000000000003</v>
      </c>
      <c r="G72" s="17">
        <f t="shared" si="1"/>
        <v>46.234999999999999</v>
      </c>
      <c r="I72" s="192"/>
      <c r="J72" s="17"/>
      <c r="K72" s="17"/>
      <c r="L72" s="17"/>
      <c r="M72" s="17"/>
      <c r="N72" s="17"/>
      <c r="O72" s="17"/>
      <c r="GH72" s="138">
        <f t="shared" si="0"/>
        <v>42.5</v>
      </c>
    </row>
    <row r="73" spans="1:190" x14ac:dyDescent="0.2">
      <c r="A73" s="192" t="s">
        <v>121</v>
      </c>
      <c r="B73" s="17">
        <f t="shared" si="1"/>
        <v>44.875</v>
      </c>
      <c r="C73" s="17">
        <f t="shared" si="1"/>
        <v>24.375</v>
      </c>
      <c r="D73" s="17">
        <f t="shared" si="1"/>
        <v>38.75</v>
      </c>
      <c r="E73" s="17">
        <f t="shared" si="1"/>
        <v>39.875</v>
      </c>
      <c r="F73" s="17">
        <f t="shared" si="1"/>
        <v>46.662500000000001</v>
      </c>
      <c r="G73" s="17">
        <f t="shared" si="1"/>
        <v>47</v>
      </c>
      <c r="I73" s="192"/>
      <c r="J73" s="17"/>
      <c r="K73" s="17"/>
      <c r="L73" s="17"/>
      <c r="M73" s="17"/>
      <c r="N73" s="17"/>
      <c r="O73" s="17"/>
    </row>
    <row r="74" spans="1:190" x14ac:dyDescent="0.2">
      <c r="A74" s="192" t="s">
        <v>122</v>
      </c>
      <c r="B74" s="17">
        <f t="shared" si="1"/>
        <v>42.5</v>
      </c>
      <c r="C74" s="17">
        <f t="shared" si="1"/>
        <v>24.1145</v>
      </c>
      <c r="D74" s="17">
        <f t="shared" si="1"/>
        <v>39.570999999999998</v>
      </c>
      <c r="E74" s="17">
        <f t="shared" si="1"/>
        <v>39.499499999999998</v>
      </c>
      <c r="F74" s="17">
        <f t="shared" si="1"/>
        <v>47.595500000000001</v>
      </c>
      <c r="G74" s="17">
        <f t="shared" si="1"/>
        <v>45.375</v>
      </c>
      <c r="I74" s="192"/>
      <c r="J74" s="17"/>
      <c r="K74" s="17"/>
      <c r="L74" s="17"/>
      <c r="M74" s="17"/>
      <c r="N74" s="17"/>
      <c r="O74" s="17"/>
    </row>
    <row r="75" spans="1:190" x14ac:dyDescent="0.2">
      <c r="A75" s="192" t="s">
        <v>123</v>
      </c>
      <c r="B75" s="17">
        <f t="shared" si="1"/>
        <v>44.625</v>
      </c>
      <c r="C75" s="17">
        <f t="shared" si="1"/>
        <v>24.625</v>
      </c>
      <c r="D75" s="17">
        <f t="shared" si="1"/>
        <v>39.25</v>
      </c>
      <c r="E75" s="17">
        <f t="shared" si="1"/>
        <v>39.643500000000003</v>
      </c>
      <c r="F75" s="17">
        <f t="shared" si="1"/>
        <v>47.344000000000001</v>
      </c>
      <c r="G75" s="17">
        <f t="shared" si="1"/>
        <v>46.646999999999998</v>
      </c>
    </row>
    <row r="76" spans="1:190" x14ac:dyDescent="0.2">
      <c r="A76" s="192" t="s">
        <v>124</v>
      </c>
      <c r="B76" s="17">
        <f t="shared" si="1"/>
        <v>42.75</v>
      </c>
      <c r="C76" s="17">
        <f t="shared" si="1"/>
        <v>24</v>
      </c>
      <c r="D76" s="17">
        <f t="shared" si="1"/>
        <v>39.375</v>
      </c>
      <c r="E76" s="17">
        <f t="shared" si="1"/>
        <v>39.625</v>
      </c>
      <c r="F76" s="17">
        <f t="shared" si="1"/>
        <v>48.091500000000003</v>
      </c>
      <c r="G76" s="17">
        <f t="shared" si="1"/>
        <v>47.875</v>
      </c>
      <c r="I76" s="192"/>
      <c r="J76" s="20"/>
      <c r="K76" s="20"/>
      <c r="L76" s="194"/>
      <c r="M76" s="194"/>
      <c r="N76" s="20"/>
      <c r="O76" s="20"/>
    </row>
    <row r="77" spans="1:190" x14ac:dyDescent="0.2">
      <c r="A77" s="192" t="s">
        <v>125</v>
      </c>
      <c r="B77" s="17">
        <f t="shared" si="1"/>
        <v>42.8215</v>
      </c>
      <c r="C77" s="17">
        <f t="shared" si="1"/>
        <v>23.65</v>
      </c>
      <c r="D77" s="17">
        <f t="shared" si="1"/>
        <v>38.163499999999999</v>
      </c>
      <c r="E77" s="17">
        <f t="shared" si="1"/>
        <v>38.8035</v>
      </c>
      <c r="F77" s="17">
        <f t="shared" si="1"/>
        <v>47.826000000000001</v>
      </c>
      <c r="G77" s="17">
        <f t="shared" si="1"/>
        <v>46.75</v>
      </c>
      <c r="I77" s="192"/>
      <c r="J77" s="20"/>
      <c r="K77" s="20"/>
      <c r="L77" s="194"/>
      <c r="M77" s="194"/>
      <c r="N77" s="20"/>
      <c r="O77" s="20"/>
    </row>
    <row r="78" spans="1:190" x14ac:dyDescent="0.2">
      <c r="A78" s="192" t="s">
        <v>126</v>
      </c>
      <c r="B78" s="17">
        <f t="shared" si="1"/>
        <v>42.438000000000002</v>
      </c>
      <c r="C78" s="17">
        <f t="shared" si="1"/>
        <v>22.875</v>
      </c>
      <c r="D78" s="17">
        <f t="shared" si="1"/>
        <v>37.625</v>
      </c>
      <c r="E78" s="17">
        <f t="shared" si="1"/>
        <v>39</v>
      </c>
      <c r="F78" s="17">
        <f t="shared" si="1"/>
        <v>46.223500000000001</v>
      </c>
      <c r="G78" s="17">
        <f t="shared" si="1"/>
        <v>44.772500000000001</v>
      </c>
      <c r="I78" s="192"/>
      <c r="J78" s="20"/>
      <c r="K78" s="20"/>
      <c r="L78" s="194"/>
      <c r="M78" s="194"/>
      <c r="N78" s="20"/>
      <c r="O78" s="20"/>
    </row>
    <row r="79" spans="1:190" x14ac:dyDescent="0.2">
      <c r="A79" s="192" t="s">
        <v>127</v>
      </c>
      <c r="B79" s="17">
        <f t="shared" si="1"/>
        <v>42.25</v>
      </c>
      <c r="C79" s="17">
        <f t="shared" si="1"/>
        <v>22.75</v>
      </c>
      <c r="D79" s="17">
        <f t="shared" si="1"/>
        <v>38</v>
      </c>
      <c r="E79" s="17">
        <f t="shared" si="1"/>
        <v>39</v>
      </c>
      <c r="F79" s="17">
        <f t="shared" si="1"/>
        <v>46</v>
      </c>
      <c r="G79" s="17">
        <f t="shared" si="1"/>
        <v>42.375</v>
      </c>
      <c r="J79" s="20"/>
      <c r="K79" s="20"/>
      <c r="L79" s="194"/>
      <c r="M79" s="194"/>
      <c r="N79" s="20"/>
      <c r="O79" s="20"/>
    </row>
    <row r="80" spans="1:190" x14ac:dyDescent="0.2">
      <c r="I80" s="192"/>
      <c r="J80" s="20"/>
      <c r="K80" s="20"/>
      <c r="L80" s="194"/>
      <c r="M80" s="194"/>
      <c r="N80" s="20"/>
      <c r="O80"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543E9-49F0-EA4C-BBCF-78ED6D52858A}">
  <sheetPr codeName="Sheet4"/>
  <dimension ref="A1:AD158"/>
  <sheetViews>
    <sheetView showGridLines="0" zoomScale="70" zoomScaleNormal="70" workbookViewId="0"/>
  </sheetViews>
  <sheetFormatPr baseColWidth="10" defaultColWidth="11.5" defaultRowHeight="15" x14ac:dyDescent="0.2"/>
  <cols>
    <col min="1" max="1" width="22.83203125" customWidth="1"/>
    <col min="2" max="2" width="15" bestFit="1" customWidth="1"/>
    <col min="3" max="3" width="36" bestFit="1" customWidth="1"/>
    <col min="4" max="4" width="11.33203125" bestFit="1" customWidth="1"/>
    <col min="5" max="5" width="20.5" bestFit="1" customWidth="1"/>
    <col min="6" max="6" width="21.83203125" bestFit="1" customWidth="1"/>
    <col min="7" max="7" width="15.6640625" customWidth="1"/>
    <col min="8" max="8" width="16.6640625" bestFit="1" customWidth="1"/>
    <col min="9" max="9" width="16.1640625" bestFit="1" customWidth="1"/>
    <col min="10" max="10" width="9.83203125" bestFit="1" customWidth="1"/>
    <col min="11" max="13" width="12.6640625" bestFit="1" customWidth="1"/>
    <col min="14" max="14" width="14.83203125" bestFit="1" customWidth="1"/>
    <col min="15" max="15" width="10.1640625" bestFit="1" customWidth="1"/>
    <col min="16" max="16" width="9.5" bestFit="1" customWidth="1"/>
    <col min="17" max="17" width="12.33203125" customWidth="1"/>
    <col min="18" max="18" width="9.5" bestFit="1" customWidth="1"/>
    <col min="19" max="19" width="11.33203125" bestFit="1" customWidth="1"/>
    <col min="20" max="20" width="10.1640625" bestFit="1" customWidth="1"/>
    <col min="21" max="22" width="9.33203125" bestFit="1" customWidth="1"/>
    <col min="23" max="23" width="12.6640625" bestFit="1" customWidth="1"/>
    <col min="24" max="24" width="10.1640625" bestFit="1" customWidth="1"/>
    <col min="25" max="25" width="11.33203125" bestFit="1" customWidth="1"/>
    <col min="26" max="27" width="10.1640625" bestFit="1" customWidth="1"/>
  </cols>
  <sheetData>
    <row r="1" spans="1:30" x14ac:dyDescent="0.2">
      <c r="A1" t="s">
        <v>252</v>
      </c>
    </row>
    <row r="2" spans="1:30" x14ac:dyDescent="0.2">
      <c r="A2" s="118" t="s">
        <v>245</v>
      </c>
      <c r="B2" s="118">
        <v>1.1855</v>
      </c>
    </row>
    <row r="3" spans="1:30" x14ac:dyDescent="0.2">
      <c r="A3" s="118" t="s">
        <v>246</v>
      </c>
      <c r="B3" s="118">
        <v>1.0988</v>
      </c>
    </row>
    <row r="4" spans="1:30" x14ac:dyDescent="0.2">
      <c r="A4" s="118" t="s">
        <v>247</v>
      </c>
      <c r="B4" s="118">
        <v>0.92689999999999995</v>
      </c>
    </row>
    <row r="5" spans="1:30" ht="24" x14ac:dyDescent="0.3">
      <c r="A5" s="32"/>
      <c r="D5" s="250" t="s">
        <v>256</v>
      </c>
      <c r="E5" s="250"/>
      <c r="F5" s="250"/>
      <c r="G5" s="250"/>
      <c r="H5" s="250"/>
      <c r="I5" s="250"/>
      <c r="J5" s="250"/>
      <c r="K5" s="250"/>
      <c r="L5" s="250"/>
      <c r="M5" s="250"/>
      <c r="N5" s="250"/>
      <c r="O5" s="250"/>
      <c r="Q5" s="250" t="s">
        <v>256</v>
      </c>
      <c r="R5" s="250"/>
      <c r="S5" s="250"/>
      <c r="T5" s="250"/>
      <c r="U5" s="250"/>
      <c r="V5" s="250"/>
      <c r="W5" s="250"/>
      <c r="X5" s="250"/>
      <c r="Y5" s="250"/>
      <c r="Z5" s="250"/>
      <c r="AA5" s="250"/>
      <c r="AB5" s="250"/>
    </row>
    <row r="7" spans="1:30" x14ac:dyDescent="0.2">
      <c r="A7" s="5" t="s">
        <v>259</v>
      </c>
      <c r="B7" s="70"/>
      <c r="C7" s="70"/>
      <c r="D7" s="37" t="s">
        <v>257</v>
      </c>
      <c r="E7" s="38"/>
      <c r="F7" s="38"/>
      <c r="G7" s="38"/>
      <c r="H7" s="38"/>
      <c r="I7" s="38"/>
      <c r="J7" s="38"/>
      <c r="K7" s="38"/>
      <c r="L7" s="38"/>
      <c r="M7" s="38"/>
      <c r="N7" s="38"/>
      <c r="O7" s="39"/>
      <c r="Q7" s="37" t="s">
        <v>258</v>
      </c>
      <c r="R7" s="38"/>
      <c r="S7" s="38"/>
      <c r="T7" s="38"/>
      <c r="U7" s="38"/>
      <c r="V7" s="38"/>
      <c r="W7" s="38"/>
      <c r="X7" s="38"/>
      <c r="Y7" s="38"/>
      <c r="Z7" s="38"/>
      <c r="AA7" s="38"/>
      <c r="AB7" s="39"/>
      <c r="AD7" s="230" t="s">
        <v>352</v>
      </c>
    </row>
    <row r="8" spans="1:30" x14ac:dyDescent="0.2">
      <c r="A8" s="37" t="s">
        <v>164</v>
      </c>
      <c r="B8" s="41" t="s">
        <v>104</v>
      </c>
      <c r="C8" s="39" t="s">
        <v>103</v>
      </c>
      <c r="D8" s="40" t="s">
        <v>107</v>
      </c>
      <c r="E8" s="41" t="s">
        <v>109</v>
      </c>
      <c r="F8" s="41" t="s">
        <v>115</v>
      </c>
      <c r="G8" s="41" t="s">
        <v>111</v>
      </c>
      <c r="H8" s="41" t="s">
        <v>113</v>
      </c>
      <c r="I8" s="41" t="s">
        <v>108</v>
      </c>
      <c r="J8" s="41" t="s">
        <v>110</v>
      </c>
      <c r="K8" s="41" t="s">
        <v>112</v>
      </c>
      <c r="L8" s="41" t="s">
        <v>114</v>
      </c>
      <c r="M8" s="41" t="s">
        <v>116</v>
      </c>
      <c r="N8" s="41" t="s">
        <v>105</v>
      </c>
      <c r="O8" s="42" t="s">
        <v>106</v>
      </c>
      <c r="Q8" s="40" t="s">
        <v>107</v>
      </c>
      <c r="R8" s="41" t="s">
        <v>109</v>
      </c>
      <c r="S8" s="41" t="s">
        <v>115</v>
      </c>
      <c r="T8" s="41" t="s">
        <v>111</v>
      </c>
      <c r="U8" s="41" t="s">
        <v>113</v>
      </c>
      <c r="V8" s="41" t="s">
        <v>108</v>
      </c>
      <c r="W8" s="41" t="s">
        <v>110</v>
      </c>
      <c r="X8" s="41" t="s">
        <v>112</v>
      </c>
      <c r="Y8" s="41" t="s">
        <v>114</v>
      </c>
      <c r="Z8" s="41" t="s">
        <v>116</v>
      </c>
      <c r="AA8" s="41" t="s">
        <v>105</v>
      </c>
      <c r="AB8" s="42" t="s">
        <v>106</v>
      </c>
      <c r="AD8" s="7"/>
    </row>
    <row r="9" spans="1:30" x14ac:dyDescent="0.2">
      <c r="A9" s="28" t="str">
        <f>C9</f>
        <v>USD 2033 Discount I</v>
      </c>
      <c r="B9" s="7">
        <v>2005</v>
      </c>
      <c r="C9" s="27" t="s">
        <v>134</v>
      </c>
      <c r="D9" s="105">
        <v>0</v>
      </c>
      <c r="E9" s="106">
        <v>0</v>
      </c>
      <c r="F9" s="106">
        <v>135.99769000000001</v>
      </c>
      <c r="G9" s="106">
        <v>140.2038</v>
      </c>
      <c r="H9" s="106">
        <v>140.2038</v>
      </c>
      <c r="I9" s="106">
        <v>0</v>
      </c>
      <c r="J9" s="106">
        <v>0</v>
      </c>
      <c r="K9" s="106">
        <v>0</v>
      </c>
      <c r="L9" s="106">
        <v>0</v>
      </c>
      <c r="M9" s="106">
        <v>0</v>
      </c>
      <c r="N9" s="106">
        <v>7.8682400000000001</v>
      </c>
      <c r="O9" s="107">
        <v>0</v>
      </c>
      <c r="P9" s="147"/>
      <c r="Q9" s="105">
        <v>0</v>
      </c>
      <c r="R9" s="106">
        <v>0</v>
      </c>
      <c r="S9" s="106">
        <v>0</v>
      </c>
      <c r="T9" s="106">
        <v>140.2038</v>
      </c>
      <c r="U9" s="106">
        <v>0</v>
      </c>
      <c r="V9" s="106">
        <v>0</v>
      </c>
      <c r="W9" s="106">
        <v>0</v>
      </c>
      <c r="X9" s="106">
        <v>0</v>
      </c>
      <c r="Y9" s="106">
        <v>0</v>
      </c>
      <c r="Z9" s="106">
        <v>0</v>
      </c>
      <c r="AA9" s="106">
        <v>3.61165</v>
      </c>
      <c r="AB9" s="107">
        <v>0</v>
      </c>
      <c r="AD9" s="229">
        <f>'EBs List'!P2</f>
        <v>140.20421214481891</v>
      </c>
    </row>
    <row r="10" spans="1:30" x14ac:dyDescent="0.2">
      <c r="A10" s="28" t="s">
        <v>135</v>
      </c>
      <c r="B10" s="7">
        <v>2005</v>
      </c>
      <c r="C10" s="27" t="s">
        <v>135</v>
      </c>
      <c r="D10" s="108">
        <v>0</v>
      </c>
      <c r="E10" s="109">
        <v>0</v>
      </c>
      <c r="F10" s="109">
        <v>135.99769000000001</v>
      </c>
      <c r="G10" s="109">
        <v>140.2038</v>
      </c>
      <c r="H10" s="109">
        <v>140.2038</v>
      </c>
      <c r="I10" s="109">
        <v>0</v>
      </c>
      <c r="J10" s="109">
        <v>0</v>
      </c>
      <c r="K10" s="109">
        <v>0</v>
      </c>
      <c r="L10" s="109">
        <v>0</v>
      </c>
      <c r="M10" s="109">
        <v>0</v>
      </c>
      <c r="N10" s="109">
        <v>7.8682400000000001</v>
      </c>
      <c r="O10" s="110">
        <v>0</v>
      </c>
      <c r="P10" s="147"/>
      <c r="Q10" s="108">
        <v>0</v>
      </c>
      <c r="R10" s="109">
        <v>0</v>
      </c>
      <c r="S10" s="109">
        <v>0</v>
      </c>
      <c r="T10" s="109">
        <v>140.2038</v>
      </c>
      <c r="U10" s="109">
        <v>0</v>
      </c>
      <c r="V10" s="109">
        <v>0</v>
      </c>
      <c r="W10" s="109">
        <v>0</v>
      </c>
      <c r="X10" s="109">
        <v>0</v>
      </c>
      <c r="Y10" s="109">
        <v>0</v>
      </c>
      <c r="Z10" s="109">
        <v>0</v>
      </c>
      <c r="AA10" s="109">
        <v>3.61165</v>
      </c>
      <c r="AB10" s="110">
        <v>0</v>
      </c>
      <c r="AD10" s="229">
        <f>'EBs List'!P3</f>
        <v>140.20421214481891</v>
      </c>
    </row>
    <row r="11" spans="1:30" x14ac:dyDescent="0.2">
      <c r="A11" s="28" t="str">
        <f>C11</f>
        <v>USD Par 2038 I</v>
      </c>
      <c r="B11" s="7">
        <v>2005</v>
      </c>
      <c r="C11" s="27" t="s">
        <v>136</v>
      </c>
      <c r="D11" s="108">
        <v>0</v>
      </c>
      <c r="E11" s="109">
        <v>0</v>
      </c>
      <c r="F11" s="109">
        <v>97</v>
      </c>
      <c r="G11" s="109">
        <v>0</v>
      </c>
      <c r="H11" s="109">
        <v>100</v>
      </c>
      <c r="I11" s="109">
        <v>0</v>
      </c>
      <c r="J11" s="109">
        <v>0</v>
      </c>
      <c r="K11" s="109">
        <v>0</v>
      </c>
      <c r="L11" s="109">
        <v>0</v>
      </c>
      <c r="M11" s="109">
        <v>0</v>
      </c>
      <c r="N11" s="109">
        <v>1.6041700000000001</v>
      </c>
      <c r="O11" s="110">
        <v>0</v>
      </c>
      <c r="P11" s="147"/>
      <c r="Q11" s="108">
        <v>0</v>
      </c>
      <c r="R11" s="109">
        <v>0</v>
      </c>
      <c r="S11" s="109">
        <v>0</v>
      </c>
      <c r="T11" s="109">
        <v>0</v>
      </c>
      <c r="U11" s="109">
        <v>100</v>
      </c>
      <c r="V11" s="109">
        <v>0</v>
      </c>
      <c r="W11" s="109">
        <v>0</v>
      </c>
      <c r="X11" s="109">
        <v>0</v>
      </c>
      <c r="Y11" s="109">
        <v>0</v>
      </c>
      <c r="Z11" s="109">
        <v>0</v>
      </c>
      <c r="AA11" s="109">
        <v>0.22917000000000001</v>
      </c>
      <c r="AB11" s="110">
        <v>0</v>
      </c>
      <c r="AD11" s="229">
        <f>'EBs List'!P4</f>
        <v>100</v>
      </c>
    </row>
    <row r="12" spans="1:30" x14ac:dyDescent="0.2">
      <c r="A12" s="28" t="s">
        <v>157</v>
      </c>
      <c r="B12" s="7">
        <v>2005</v>
      </c>
      <c r="C12" s="27" t="s">
        <v>157</v>
      </c>
      <c r="D12" s="108">
        <v>0</v>
      </c>
      <c r="E12" s="109">
        <v>0</v>
      </c>
      <c r="F12" s="109">
        <v>97</v>
      </c>
      <c r="G12" s="109">
        <v>0</v>
      </c>
      <c r="H12" s="109">
        <v>100</v>
      </c>
      <c r="I12" s="109">
        <v>0</v>
      </c>
      <c r="J12" s="109">
        <v>0</v>
      </c>
      <c r="K12" s="109">
        <v>0</v>
      </c>
      <c r="L12" s="109">
        <v>0</v>
      </c>
      <c r="M12" s="109">
        <v>0</v>
      </c>
      <c r="N12" s="109">
        <v>1.6041700000000001</v>
      </c>
      <c r="O12" s="110">
        <v>0</v>
      </c>
      <c r="P12" s="147"/>
      <c r="Q12" s="108">
        <v>0</v>
      </c>
      <c r="R12" s="109">
        <v>0</v>
      </c>
      <c r="S12" s="109">
        <v>0</v>
      </c>
      <c r="T12" s="109">
        <v>0</v>
      </c>
      <c r="U12" s="109">
        <v>100</v>
      </c>
      <c r="V12" s="109">
        <v>0</v>
      </c>
      <c r="W12" s="109">
        <v>0</v>
      </c>
      <c r="X12" s="109">
        <v>0</v>
      </c>
      <c r="Y12" s="109">
        <v>0</v>
      </c>
      <c r="Z12" s="109">
        <v>0</v>
      </c>
      <c r="AA12" s="109">
        <v>0.22917000000000001</v>
      </c>
      <c r="AB12" s="110">
        <v>0</v>
      </c>
      <c r="AD12" s="229">
        <f>'EBs List'!P5</f>
        <v>100</v>
      </c>
    </row>
    <row r="13" spans="1:30" x14ac:dyDescent="0.2">
      <c r="A13" s="28" t="str">
        <f>C13</f>
        <v>Euro 2033 Discount I</v>
      </c>
      <c r="B13" s="7">
        <v>2005</v>
      </c>
      <c r="C13" s="27" t="s">
        <v>154</v>
      </c>
      <c r="D13" s="108">
        <v>0</v>
      </c>
      <c r="E13" s="109">
        <v>0</v>
      </c>
      <c r="F13" s="109">
        <v>0</v>
      </c>
      <c r="G13" s="109">
        <v>163.13709</v>
      </c>
      <c r="H13" s="109">
        <v>0</v>
      </c>
      <c r="I13" s="109">
        <v>0</v>
      </c>
      <c r="J13" s="109">
        <v>0</v>
      </c>
      <c r="K13" s="109">
        <v>137.61036999999999</v>
      </c>
      <c r="L13" s="109">
        <v>137.61036999999999</v>
      </c>
      <c r="M13" s="109">
        <v>133.48205999999999</v>
      </c>
      <c r="N13" s="109">
        <v>8.64663</v>
      </c>
      <c r="O13" s="110">
        <v>7.29366</v>
      </c>
      <c r="P13" s="147"/>
      <c r="Q13" s="108">
        <v>0</v>
      </c>
      <c r="R13" s="109">
        <v>0</v>
      </c>
      <c r="S13" s="109">
        <v>0</v>
      </c>
      <c r="T13" s="109">
        <v>0</v>
      </c>
      <c r="U13" s="109">
        <v>0</v>
      </c>
      <c r="V13" s="109">
        <v>0</v>
      </c>
      <c r="W13" s="109">
        <v>0</v>
      </c>
      <c r="X13" s="109">
        <v>137.61036999999999</v>
      </c>
      <c r="Y13" s="109">
        <v>0</v>
      </c>
      <c r="Z13" s="109">
        <v>0</v>
      </c>
      <c r="AA13" s="109">
        <v>0</v>
      </c>
      <c r="AB13" s="110">
        <v>3.3479100000000002</v>
      </c>
      <c r="AD13" s="229">
        <f>'EBs List'!P6</f>
        <v>137.96394286887087</v>
      </c>
    </row>
    <row r="14" spans="1:30" x14ac:dyDescent="0.2">
      <c r="A14" s="28" t="s">
        <v>155</v>
      </c>
      <c r="B14" s="7">
        <v>2005</v>
      </c>
      <c r="C14" s="27" t="s">
        <v>155</v>
      </c>
      <c r="D14" s="108">
        <v>0</v>
      </c>
      <c r="E14" s="109">
        <v>0</v>
      </c>
      <c r="F14" s="109">
        <v>0</v>
      </c>
      <c r="G14" s="109">
        <v>163.13709</v>
      </c>
      <c r="H14" s="109">
        <v>0</v>
      </c>
      <c r="I14" s="109">
        <v>0</v>
      </c>
      <c r="J14" s="109">
        <v>0</v>
      </c>
      <c r="K14" s="109">
        <v>137.61036999999999</v>
      </c>
      <c r="L14" s="109">
        <v>137.61036999999999</v>
      </c>
      <c r="M14" s="109">
        <v>133.48205999999999</v>
      </c>
      <c r="N14" s="109">
        <v>8.64663</v>
      </c>
      <c r="O14" s="110">
        <v>7.29366</v>
      </c>
      <c r="P14" s="147"/>
      <c r="Q14" s="108">
        <v>0</v>
      </c>
      <c r="R14" s="109">
        <v>0</v>
      </c>
      <c r="S14" s="109">
        <v>0</v>
      </c>
      <c r="T14" s="109">
        <v>0</v>
      </c>
      <c r="U14" s="109">
        <v>0</v>
      </c>
      <c r="V14" s="109">
        <v>0</v>
      </c>
      <c r="W14" s="109">
        <v>0</v>
      </c>
      <c r="X14" s="109">
        <v>137.61036999999999</v>
      </c>
      <c r="Y14" s="109">
        <v>0</v>
      </c>
      <c r="Z14" s="109">
        <v>0</v>
      </c>
      <c r="AA14" s="109">
        <v>0</v>
      </c>
      <c r="AB14" s="110">
        <v>3.3479100000000002</v>
      </c>
      <c r="AD14" s="229">
        <f>'EBs List'!P7</f>
        <v>137.96394286887087</v>
      </c>
    </row>
    <row r="15" spans="1:30" x14ac:dyDescent="0.2">
      <c r="A15" s="28" t="str">
        <f>C15</f>
        <v>Euro Par 2038 I</v>
      </c>
      <c r="B15" s="7">
        <v>2005</v>
      </c>
      <c r="C15" s="27" t="s">
        <v>156</v>
      </c>
      <c r="D15" s="108">
        <v>0</v>
      </c>
      <c r="E15" s="109">
        <v>0</v>
      </c>
      <c r="F15" s="109">
        <v>0</v>
      </c>
      <c r="G15" s="109">
        <v>0</v>
      </c>
      <c r="H15" s="109">
        <v>118.55</v>
      </c>
      <c r="I15" s="109">
        <v>0</v>
      </c>
      <c r="J15" s="109">
        <v>0</v>
      </c>
      <c r="K15" s="109">
        <v>0</v>
      </c>
      <c r="L15" s="109">
        <v>100</v>
      </c>
      <c r="M15" s="109">
        <v>97</v>
      </c>
      <c r="N15" s="109">
        <v>1.7141</v>
      </c>
      <c r="O15" s="110">
        <v>1.4458899999999999</v>
      </c>
      <c r="P15" s="147"/>
      <c r="Q15" s="108">
        <v>0</v>
      </c>
      <c r="R15" s="109">
        <v>0</v>
      </c>
      <c r="S15" s="109">
        <v>0</v>
      </c>
      <c r="T15" s="109">
        <v>0</v>
      </c>
      <c r="U15" s="109">
        <v>0</v>
      </c>
      <c r="V15" s="109">
        <v>0</v>
      </c>
      <c r="W15" s="109">
        <v>0</v>
      </c>
      <c r="X15" s="109">
        <v>0</v>
      </c>
      <c r="Y15" s="109">
        <v>100</v>
      </c>
      <c r="Z15" s="109">
        <v>0</v>
      </c>
      <c r="AA15" s="109">
        <v>0</v>
      </c>
      <c r="AB15" s="110">
        <v>0.20655999999999999</v>
      </c>
      <c r="AD15" s="229">
        <f>'EBs List'!P8</f>
        <v>100</v>
      </c>
    </row>
    <row r="16" spans="1:30" x14ac:dyDescent="0.2">
      <c r="A16" s="36" t="s">
        <v>158</v>
      </c>
      <c r="B16" s="10">
        <v>2005</v>
      </c>
      <c r="C16" s="29" t="s">
        <v>158</v>
      </c>
      <c r="D16" s="159">
        <v>0</v>
      </c>
      <c r="E16" s="111">
        <v>0</v>
      </c>
      <c r="F16" s="111">
        <v>0</v>
      </c>
      <c r="G16" s="111">
        <v>0</v>
      </c>
      <c r="H16" s="111">
        <v>118.55</v>
      </c>
      <c r="I16" s="111">
        <v>0</v>
      </c>
      <c r="J16" s="111">
        <v>0</v>
      </c>
      <c r="K16" s="111">
        <v>0</v>
      </c>
      <c r="L16" s="111">
        <v>100</v>
      </c>
      <c r="M16" s="111">
        <v>97</v>
      </c>
      <c r="N16" s="111">
        <v>1.7141</v>
      </c>
      <c r="O16" s="112">
        <v>1.4458899999999999</v>
      </c>
      <c r="P16" s="147"/>
      <c r="Q16" s="159">
        <v>0</v>
      </c>
      <c r="R16" s="111">
        <v>0</v>
      </c>
      <c r="S16" s="111">
        <v>0</v>
      </c>
      <c r="T16" s="111">
        <v>0</v>
      </c>
      <c r="U16" s="111">
        <v>0</v>
      </c>
      <c r="V16" s="111">
        <v>0</v>
      </c>
      <c r="W16" s="111">
        <v>0</v>
      </c>
      <c r="X16" s="111">
        <v>0</v>
      </c>
      <c r="Y16" s="111">
        <v>100</v>
      </c>
      <c r="Z16" s="111">
        <v>0</v>
      </c>
      <c r="AA16" s="111">
        <v>0</v>
      </c>
      <c r="AB16" s="112">
        <v>0.20655999999999999</v>
      </c>
      <c r="AD16" s="229">
        <f>'EBs List'!P9</f>
        <v>100</v>
      </c>
    </row>
    <row r="17" spans="1:30" x14ac:dyDescent="0.2">
      <c r="A17" s="28" t="str">
        <f t="shared" ref="A17:A33" si="0">C17</f>
        <v>USD 2021</v>
      </c>
      <c r="B17" s="7">
        <v>2016</v>
      </c>
      <c r="C17" s="27" t="s">
        <v>117</v>
      </c>
      <c r="D17" s="108">
        <v>97</v>
      </c>
      <c r="E17" s="109">
        <v>97</v>
      </c>
      <c r="F17" s="109">
        <v>97</v>
      </c>
      <c r="G17" s="109">
        <v>0</v>
      </c>
      <c r="H17" s="109">
        <v>0</v>
      </c>
      <c r="I17" s="109">
        <v>0</v>
      </c>
      <c r="J17" s="109">
        <v>0</v>
      </c>
      <c r="K17" s="109">
        <v>0</v>
      </c>
      <c r="L17" s="109">
        <v>0</v>
      </c>
      <c r="M17" s="109">
        <v>0</v>
      </c>
      <c r="N17" s="109">
        <v>5.9583300000000001</v>
      </c>
      <c r="O17" s="110">
        <v>0</v>
      </c>
      <c r="P17" s="147"/>
      <c r="Q17" s="108">
        <v>0</v>
      </c>
      <c r="R17" s="109">
        <v>0</v>
      </c>
      <c r="S17" s="109">
        <v>97</v>
      </c>
      <c r="T17" s="109">
        <v>0</v>
      </c>
      <c r="U17" s="109">
        <v>0</v>
      </c>
      <c r="V17" s="109">
        <v>0</v>
      </c>
      <c r="W17" s="109">
        <v>0</v>
      </c>
      <c r="X17" s="109">
        <v>0</v>
      </c>
      <c r="Y17" s="109">
        <v>0</v>
      </c>
      <c r="Z17" s="109">
        <v>0</v>
      </c>
      <c r="AA17" s="109">
        <v>3.4375</v>
      </c>
      <c r="AB17" s="110">
        <v>0</v>
      </c>
      <c r="AD17" s="229">
        <f>'EBs List'!P10</f>
        <v>100</v>
      </c>
    </row>
    <row r="18" spans="1:30" x14ac:dyDescent="0.2">
      <c r="A18" s="28" t="str">
        <f t="shared" si="0"/>
        <v>USD 2022</v>
      </c>
      <c r="B18" s="7">
        <v>2016</v>
      </c>
      <c r="C18" s="27" t="s">
        <v>118</v>
      </c>
      <c r="D18" s="108">
        <v>97</v>
      </c>
      <c r="E18" s="109">
        <v>97</v>
      </c>
      <c r="F18" s="109">
        <v>97</v>
      </c>
      <c r="G18" s="109">
        <v>0</v>
      </c>
      <c r="H18" s="109">
        <v>0</v>
      </c>
      <c r="I18" s="109">
        <v>0</v>
      </c>
      <c r="J18" s="109">
        <v>0</v>
      </c>
      <c r="K18" s="109">
        <v>0</v>
      </c>
      <c r="L18" s="109">
        <v>0</v>
      </c>
      <c r="M18" s="109">
        <v>0</v>
      </c>
      <c r="N18" s="109">
        <v>3.40625</v>
      </c>
      <c r="O18" s="110">
        <v>0</v>
      </c>
      <c r="P18" s="147"/>
      <c r="Q18" s="108">
        <v>0</v>
      </c>
      <c r="R18" s="109">
        <v>0</v>
      </c>
      <c r="S18" s="109">
        <v>97</v>
      </c>
      <c r="T18" s="109">
        <v>0</v>
      </c>
      <c r="U18" s="109">
        <v>0</v>
      </c>
      <c r="V18" s="109">
        <v>0</v>
      </c>
      <c r="W18" s="109">
        <v>0</v>
      </c>
      <c r="X18" s="109">
        <v>0</v>
      </c>
      <c r="Y18" s="109">
        <v>0</v>
      </c>
      <c r="Z18" s="109">
        <v>0</v>
      </c>
      <c r="AA18" s="109">
        <v>1.34375</v>
      </c>
      <c r="AB18" s="110">
        <v>0</v>
      </c>
      <c r="AD18" s="229">
        <f>'EBs List'!P11</f>
        <v>100</v>
      </c>
    </row>
    <row r="19" spans="1:30" x14ac:dyDescent="0.2">
      <c r="A19" s="28" t="str">
        <f t="shared" si="0"/>
        <v>USD 2023</v>
      </c>
      <c r="B19" s="7">
        <v>2016</v>
      </c>
      <c r="C19" s="27" t="s">
        <v>119</v>
      </c>
      <c r="D19" s="108">
        <v>97</v>
      </c>
      <c r="E19" s="109">
        <v>97</v>
      </c>
      <c r="F19" s="109">
        <v>97</v>
      </c>
      <c r="G19" s="109">
        <v>0</v>
      </c>
      <c r="H19" s="109">
        <v>0</v>
      </c>
      <c r="I19" s="109">
        <v>0</v>
      </c>
      <c r="J19" s="109">
        <v>0</v>
      </c>
      <c r="K19" s="109">
        <v>0</v>
      </c>
      <c r="L19" s="109">
        <v>0</v>
      </c>
      <c r="M19" s="109">
        <v>0</v>
      </c>
      <c r="N19" s="109">
        <v>2.9933999999999998</v>
      </c>
      <c r="O19" s="110">
        <v>0</v>
      </c>
      <c r="P19" s="147"/>
      <c r="Q19" s="108">
        <v>0</v>
      </c>
      <c r="R19" s="109">
        <v>0</v>
      </c>
      <c r="S19" s="109">
        <v>97</v>
      </c>
      <c r="T19" s="109">
        <v>0</v>
      </c>
      <c r="U19" s="109">
        <v>0</v>
      </c>
      <c r="V19" s="109">
        <v>0</v>
      </c>
      <c r="W19" s="109">
        <v>0</v>
      </c>
      <c r="X19" s="109">
        <v>0</v>
      </c>
      <c r="Y19" s="109">
        <v>0</v>
      </c>
      <c r="Z19" s="109">
        <v>0</v>
      </c>
      <c r="AA19" s="109">
        <v>1.2975699999999999</v>
      </c>
      <c r="AB19" s="110">
        <v>0</v>
      </c>
      <c r="AD19" s="229">
        <f>'EBs List'!P12</f>
        <v>100</v>
      </c>
    </row>
    <row r="20" spans="1:30" x14ac:dyDescent="0.2">
      <c r="A20" s="28" t="str">
        <f t="shared" si="0"/>
        <v>USD 2026</v>
      </c>
      <c r="B20" s="7">
        <v>2016</v>
      </c>
      <c r="C20" s="27" t="s">
        <v>120</v>
      </c>
      <c r="D20" s="108">
        <v>97</v>
      </c>
      <c r="E20" s="109">
        <v>97</v>
      </c>
      <c r="F20" s="109">
        <v>97</v>
      </c>
      <c r="G20" s="109">
        <v>0</v>
      </c>
      <c r="H20" s="109">
        <v>0</v>
      </c>
      <c r="I20" s="109">
        <v>0</v>
      </c>
      <c r="J20" s="109">
        <v>0</v>
      </c>
      <c r="K20" s="109">
        <v>0</v>
      </c>
      <c r="L20" s="109">
        <v>0</v>
      </c>
      <c r="M20" s="109">
        <v>0</v>
      </c>
      <c r="N20" s="109">
        <v>6.5</v>
      </c>
      <c r="O20" s="110">
        <v>0</v>
      </c>
      <c r="P20" s="147"/>
      <c r="Q20" s="108">
        <v>0</v>
      </c>
      <c r="R20" s="109">
        <v>0</v>
      </c>
      <c r="S20" s="109">
        <v>97</v>
      </c>
      <c r="T20" s="109">
        <v>0</v>
      </c>
      <c r="U20" s="109">
        <v>0</v>
      </c>
      <c r="V20" s="109">
        <v>0</v>
      </c>
      <c r="W20" s="109">
        <v>0</v>
      </c>
      <c r="X20" s="109">
        <v>0</v>
      </c>
      <c r="Y20" s="109">
        <v>0</v>
      </c>
      <c r="Z20" s="109">
        <v>0</v>
      </c>
      <c r="AA20" s="109">
        <v>3.75</v>
      </c>
      <c r="AB20" s="110">
        <v>0</v>
      </c>
      <c r="AD20" s="229">
        <f>'EBs List'!P13</f>
        <v>100</v>
      </c>
    </row>
    <row r="21" spans="1:30" x14ac:dyDescent="0.2">
      <c r="A21" s="28" t="str">
        <f t="shared" si="0"/>
        <v>USD 2027</v>
      </c>
      <c r="B21" s="7">
        <v>2016</v>
      </c>
      <c r="C21" s="27" t="s">
        <v>121</v>
      </c>
      <c r="D21" s="108">
        <v>97</v>
      </c>
      <c r="E21" s="109">
        <v>97</v>
      </c>
      <c r="F21" s="109">
        <v>97</v>
      </c>
      <c r="G21" s="109">
        <v>0</v>
      </c>
      <c r="H21" s="109">
        <v>0</v>
      </c>
      <c r="I21" s="109">
        <v>0</v>
      </c>
      <c r="J21" s="109">
        <v>0</v>
      </c>
      <c r="K21" s="109">
        <v>0</v>
      </c>
      <c r="L21" s="109">
        <v>0</v>
      </c>
      <c r="M21" s="109">
        <v>0</v>
      </c>
      <c r="N21" s="109">
        <v>4.1631900000000002</v>
      </c>
      <c r="O21" s="110">
        <v>0</v>
      </c>
      <c r="P21" s="147"/>
      <c r="Q21" s="108">
        <v>0</v>
      </c>
      <c r="R21" s="109">
        <v>0</v>
      </c>
      <c r="S21" s="109">
        <v>97</v>
      </c>
      <c r="T21" s="109">
        <v>0</v>
      </c>
      <c r="U21" s="109">
        <v>0</v>
      </c>
      <c r="V21" s="109">
        <v>0</v>
      </c>
      <c r="W21" s="109">
        <v>0</v>
      </c>
      <c r="X21" s="109">
        <v>0</v>
      </c>
      <c r="Y21" s="109">
        <v>0</v>
      </c>
      <c r="Z21" s="109">
        <v>0</v>
      </c>
      <c r="AA21" s="109">
        <v>1.64236</v>
      </c>
      <c r="AB21" s="110">
        <v>0</v>
      </c>
      <c r="AD21" s="229">
        <f>'EBs List'!P14</f>
        <v>100</v>
      </c>
    </row>
    <row r="22" spans="1:30" x14ac:dyDescent="0.2">
      <c r="A22" s="28" t="str">
        <f t="shared" si="0"/>
        <v>USD 5.875% 2028</v>
      </c>
      <c r="B22" s="7">
        <v>2016</v>
      </c>
      <c r="C22" s="27" t="s">
        <v>122</v>
      </c>
      <c r="D22" s="108">
        <v>97</v>
      </c>
      <c r="E22" s="109">
        <v>97</v>
      </c>
      <c r="F22" s="109">
        <v>97</v>
      </c>
      <c r="G22" s="109">
        <v>0</v>
      </c>
      <c r="H22" s="109">
        <v>0</v>
      </c>
      <c r="I22" s="109">
        <v>0</v>
      </c>
      <c r="J22" s="109">
        <v>0</v>
      </c>
      <c r="K22" s="109">
        <v>0</v>
      </c>
      <c r="L22" s="109">
        <v>0</v>
      </c>
      <c r="M22" s="109">
        <v>0</v>
      </c>
      <c r="N22" s="109">
        <v>3.8024300000000002</v>
      </c>
      <c r="O22" s="110">
        <v>0</v>
      </c>
      <c r="P22" s="147"/>
      <c r="Q22" s="108">
        <v>0</v>
      </c>
      <c r="R22" s="109">
        <v>0</v>
      </c>
      <c r="S22" s="109">
        <v>97</v>
      </c>
      <c r="T22" s="109">
        <v>0</v>
      </c>
      <c r="U22" s="109">
        <v>0</v>
      </c>
      <c r="V22" s="109">
        <v>0</v>
      </c>
      <c r="W22" s="109">
        <v>0</v>
      </c>
      <c r="X22" s="109">
        <v>0</v>
      </c>
      <c r="Y22" s="109">
        <v>0</v>
      </c>
      <c r="Z22" s="109">
        <v>0</v>
      </c>
      <c r="AA22" s="109">
        <v>1.6482600000000001</v>
      </c>
      <c r="AB22" s="110">
        <v>0</v>
      </c>
      <c r="AD22" s="229">
        <f>'EBs List'!P15</f>
        <v>100</v>
      </c>
    </row>
    <row r="23" spans="1:30" x14ac:dyDescent="0.2">
      <c r="A23" s="28" t="str">
        <f t="shared" si="0"/>
        <v>USD 6.625% 2028</v>
      </c>
      <c r="B23" s="7">
        <v>2016</v>
      </c>
      <c r="C23" s="27" t="s">
        <v>123</v>
      </c>
      <c r="D23" s="108">
        <v>97</v>
      </c>
      <c r="E23" s="109">
        <v>97</v>
      </c>
      <c r="F23" s="109">
        <v>97</v>
      </c>
      <c r="G23" s="109">
        <v>0</v>
      </c>
      <c r="H23" s="109">
        <v>0</v>
      </c>
      <c r="I23" s="109">
        <v>0</v>
      </c>
      <c r="J23" s="109">
        <v>0</v>
      </c>
      <c r="K23" s="109">
        <v>0</v>
      </c>
      <c r="L23" s="109">
        <v>0</v>
      </c>
      <c r="M23" s="109">
        <v>0</v>
      </c>
      <c r="N23" s="109">
        <v>4.3798599999999999</v>
      </c>
      <c r="O23" s="110">
        <v>0</v>
      </c>
      <c r="P23" s="147"/>
      <c r="Q23" s="108">
        <v>0</v>
      </c>
      <c r="R23" s="109">
        <v>0</v>
      </c>
      <c r="S23" s="109">
        <v>97</v>
      </c>
      <c r="T23" s="109">
        <v>0</v>
      </c>
      <c r="U23" s="109">
        <v>0</v>
      </c>
      <c r="V23" s="109">
        <v>0</v>
      </c>
      <c r="W23" s="109">
        <v>0</v>
      </c>
      <c r="X23" s="109">
        <v>0</v>
      </c>
      <c r="Y23" s="109">
        <v>0</v>
      </c>
      <c r="Z23" s="109">
        <v>0</v>
      </c>
      <c r="AA23" s="109">
        <v>1.95069</v>
      </c>
      <c r="AB23" s="110">
        <v>0</v>
      </c>
      <c r="AD23" s="229">
        <f>'EBs List'!P16</f>
        <v>100</v>
      </c>
    </row>
    <row r="24" spans="1:30" x14ac:dyDescent="0.2">
      <c r="A24" s="28" t="str">
        <f t="shared" si="0"/>
        <v>USD 2036</v>
      </c>
      <c r="B24" s="7">
        <v>2016</v>
      </c>
      <c r="C24" s="27" t="s">
        <v>124</v>
      </c>
      <c r="D24" s="108">
        <v>97</v>
      </c>
      <c r="E24" s="109">
        <v>97</v>
      </c>
      <c r="F24" s="109">
        <v>97</v>
      </c>
      <c r="G24" s="109">
        <v>0</v>
      </c>
      <c r="H24" s="109">
        <v>0</v>
      </c>
      <c r="I24" s="109">
        <v>0</v>
      </c>
      <c r="J24" s="109">
        <v>0</v>
      </c>
      <c r="K24" s="109">
        <v>0</v>
      </c>
      <c r="L24" s="109">
        <v>0</v>
      </c>
      <c r="M24" s="109">
        <v>0</v>
      </c>
      <c r="N24" s="109">
        <v>4.7104200000000001</v>
      </c>
      <c r="O24" s="110">
        <v>0</v>
      </c>
      <c r="P24" s="147"/>
      <c r="Q24" s="108">
        <v>0</v>
      </c>
      <c r="R24" s="109">
        <v>0</v>
      </c>
      <c r="S24" s="109">
        <v>97</v>
      </c>
      <c r="T24" s="109">
        <v>0</v>
      </c>
      <c r="U24" s="109">
        <v>0</v>
      </c>
      <c r="V24" s="109">
        <v>0</v>
      </c>
      <c r="W24" s="109">
        <v>0</v>
      </c>
      <c r="X24" s="109">
        <v>0</v>
      </c>
      <c r="Y24" s="109">
        <v>0</v>
      </c>
      <c r="Z24" s="109">
        <v>0</v>
      </c>
      <c r="AA24" s="109">
        <v>2.0979199999999998</v>
      </c>
      <c r="AB24" s="110">
        <v>0</v>
      </c>
      <c r="AD24" s="229">
        <f>'EBs List'!P17</f>
        <v>100</v>
      </c>
    </row>
    <row r="25" spans="1:30" x14ac:dyDescent="0.2">
      <c r="A25" s="28" t="str">
        <f t="shared" si="0"/>
        <v>USD 2046</v>
      </c>
      <c r="B25" s="7">
        <v>2016</v>
      </c>
      <c r="C25" s="27" t="s">
        <v>125</v>
      </c>
      <c r="D25" s="108">
        <v>0</v>
      </c>
      <c r="E25" s="109">
        <v>97</v>
      </c>
      <c r="F25" s="109">
        <v>97</v>
      </c>
      <c r="G25" s="109">
        <v>0</v>
      </c>
      <c r="H25" s="109">
        <v>0</v>
      </c>
      <c r="I25" s="109">
        <v>0</v>
      </c>
      <c r="J25" s="109">
        <v>0</v>
      </c>
      <c r="K25" s="109">
        <v>0</v>
      </c>
      <c r="L25" s="109">
        <v>0</v>
      </c>
      <c r="M25" s="109">
        <v>0</v>
      </c>
      <c r="N25" s="109">
        <v>6.6083299999999996</v>
      </c>
      <c r="O25" s="110">
        <v>0</v>
      </c>
      <c r="P25" s="147"/>
      <c r="Q25" s="108">
        <v>0</v>
      </c>
      <c r="R25" s="109">
        <v>0</v>
      </c>
      <c r="S25" s="109">
        <v>97</v>
      </c>
      <c r="T25" s="109">
        <v>0</v>
      </c>
      <c r="U25" s="109">
        <v>0</v>
      </c>
      <c r="V25" s="109">
        <v>0</v>
      </c>
      <c r="W25" s="109">
        <v>0</v>
      </c>
      <c r="X25" s="109">
        <v>0</v>
      </c>
      <c r="Y25" s="109">
        <v>0</v>
      </c>
      <c r="Z25" s="109">
        <v>0</v>
      </c>
      <c r="AA25" s="109">
        <v>3.8125</v>
      </c>
      <c r="AB25" s="110">
        <v>0</v>
      </c>
      <c r="AD25" s="229">
        <f>'EBs List'!P18</f>
        <v>100</v>
      </c>
    </row>
    <row r="26" spans="1:30" x14ac:dyDescent="0.2">
      <c r="A26" s="28" t="str">
        <f t="shared" si="0"/>
        <v>USD 2048</v>
      </c>
      <c r="B26" s="7">
        <v>2016</v>
      </c>
      <c r="C26" s="27" t="s">
        <v>126</v>
      </c>
      <c r="D26" s="108">
        <v>0</v>
      </c>
      <c r="E26" s="109">
        <v>97</v>
      </c>
      <c r="F26" s="109">
        <v>97</v>
      </c>
      <c r="G26" s="109">
        <v>0</v>
      </c>
      <c r="H26" s="109">
        <v>0</v>
      </c>
      <c r="I26" s="109">
        <v>0</v>
      </c>
      <c r="J26" s="109">
        <v>0</v>
      </c>
      <c r="K26" s="109">
        <v>0</v>
      </c>
      <c r="L26" s="109">
        <v>0</v>
      </c>
      <c r="M26" s="109">
        <v>0</v>
      </c>
      <c r="N26" s="109">
        <v>4.4496500000000001</v>
      </c>
      <c r="O26" s="110">
        <v>0</v>
      </c>
      <c r="P26" s="147"/>
      <c r="Q26" s="108">
        <v>0</v>
      </c>
      <c r="R26" s="109">
        <v>0</v>
      </c>
      <c r="S26" s="109">
        <v>97</v>
      </c>
      <c r="T26" s="109">
        <v>0</v>
      </c>
      <c r="U26" s="109">
        <v>0</v>
      </c>
      <c r="V26" s="109">
        <v>0</v>
      </c>
      <c r="W26" s="109">
        <v>0</v>
      </c>
      <c r="X26" s="109">
        <v>0</v>
      </c>
      <c r="Y26" s="109">
        <v>0</v>
      </c>
      <c r="Z26" s="109">
        <v>0</v>
      </c>
      <c r="AA26" s="109">
        <v>1.92882</v>
      </c>
      <c r="AB26" s="110">
        <v>0</v>
      </c>
      <c r="AD26" s="229">
        <f>'EBs List'!P19</f>
        <v>100</v>
      </c>
    </row>
    <row r="27" spans="1:30" x14ac:dyDescent="0.2">
      <c r="A27" s="28" t="str">
        <f t="shared" si="0"/>
        <v>USD 2117</v>
      </c>
      <c r="B27" s="7">
        <v>2016</v>
      </c>
      <c r="C27" s="27" t="s">
        <v>127</v>
      </c>
      <c r="D27" s="108">
        <v>0</v>
      </c>
      <c r="E27" s="109">
        <v>97</v>
      </c>
      <c r="F27" s="109">
        <v>97</v>
      </c>
      <c r="G27" s="109">
        <v>0</v>
      </c>
      <c r="H27" s="109">
        <v>0</v>
      </c>
      <c r="I27" s="109">
        <v>0</v>
      </c>
      <c r="J27" s="109">
        <v>0</v>
      </c>
      <c r="K27" s="109">
        <v>0</v>
      </c>
      <c r="L27" s="109">
        <v>0</v>
      </c>
      <c r="M27" s="109">
        <v>0</v>
      </c>
      <c r="N27" s="109">
        <v>4.8687500000000004</v>
      </c>
      <c r="O27" s="110">
        <v>0</v>
      </c>
      <c r="P27" s="147"/>
      <c r="Q27" s="108">
        <v>0</v>
      </c>
      <c r="R27" s="109">
        <v>0</v>
      </c>
      <c r="S27" s="109">
        <v>97</v>
      </c>
      <c r="T27" s="109">
        <v>0</v>
      </c>
      <c r="U27" s="109">
        <v>0</v>
      </c>
      <c r="V27" s="109">
        <v>0</v>
      </c>
      <c r="W27" s="109">
        <v>0</v>
      </c>
      <c r="X27" s="109">
        <v>0</v>
      </c>
      <c r="Y27" s="109">
        <v>0</v>
      </c>
      <c r="Z27" s="109">
        <v>0</v>
      </c>
      <c r="AA27" s="109">
        <v>2.2562500000000001</v>
      </c>
      <c r="AB27" s="110">
        <v>0</v>
      </c>
      <c r="AD27" s="229">
        <f>'EBs List'!P20</f>
        <v>100</v>
      </c>
    </row>
    <row r="28" spans="1:30" x14ac:dyDescent="0.2">
      <c r="A28" s="28" t="str">
        <f t="shared" si="0"/>
        <v>Euro 2022</v>
      </c>
      <c r="B28" s="7">
        <v>2016</v>
      </c>
      <c r="C28" s="27" t="s">
        <v>128</v>
      </c>
      <c r="D28" s="108">
        <v>114.9935</v>
      </c>
      <c r="E28" s="109">
        <v>0</v>
      </c>
      <c r="F28" s="109">
        <v>0</v>
      </c>
      <c r="G28" s="109">
        <v>0</v>
      </c>
      <c r="H28" s="109">
        <v>0</v>
      </c>
      <c r="I28" s="109">
        <v>97</v>
      </c>
      <c r="J28" s="109">
        <v>97</v>
      </c>
      <c r="K28" s="109">
        <v>0</v>
      </c>
      <c r="L28" s="109">
        <v>0</v>
      </c>
      <c r="M28" s="109">
        <v>97</v>
      </c>
      <c r="N28" s="109">
        <v>2.9244699999999999</v>
      </c>
      <c r="O28" s="110">
        <v>2.4668700000000001</v>
      </c>
      <c r="P28" s="147"/>
      <c r="Q28" s="108">
        <v>0</v>
      </c>
      <c r="R28" s="109">
        <v>0</v>
      </c>
      <c r="S28" s="109">
        <v>0</v>
      </c>
      <c r="T28" s="109">
        <v>0</v>
      </c>
      <c r="U28" s="109">
        <v>0</v>
      </c>
      <c r="V28" s="109">
        <v>0</v>
      </c>
      <c r="W28" s="109">
        <v>0</v>
      </c>
      <c r="X28" s="109">
        <v>0</v>
      </c>
      <c r="Y28" s="109">
        <v>0</v>
      </c>
      <c r="Z28" s="109">
        <v>97</v>
      </c>
      <c r="AA28" s="109">
        <v>0</v>
      </c>
      <c r="AB28" s="110">
        <v>1.0375700000000001</v>
      </c>
      <c r="AD28" s="229">
        <f>'EBs List'!P21</f>
        <v>100</v>
      </c>
    </row>
    <row r="29" spans="1:30" x14ac:dyDescent="0.2">
      <c r="A29" s="28" t="str">
        <f t="shared" si="0"/>
        <v>Euro 2023</v>
      </c>
      <c r="B29" s="7">
        <v>2016</v>
      </c>
      <c r="C29" s="27" t="s">
        <v>129</v>
      </c>
      <c r="D29" s="108">
        <v>114.9935</v>
      </c>
      <c r="E29" s="109">
        <v>0</v>
      </c>
      <c r="F29" s="109">
        <v>0</v>
      </c>
      <c r="G29" s="109">
        <v>0</v>
      </c>
      <c r="H29" s="109">
        <v>0</v>
      </c>
      <c r="I29" s="109">
        <v>97</v>
      </c>
      <c r="J29" s="109">
        <v>97</v>
      </c>
      <c r="K29" s="109">
        <v>0</v>
      </c>
      <c r="L29" s="109">
        <v>0</v>
      </c>
      <c r="M29" s="109">
        <v>97</v>
      </c>
      <c r="N29" s="109">
        <v>2.5471300000000001</v>
      </c>
      <c r="O29" s="110">
        <v>2.1485699999999999</v>
      </c>
      <c r="P29" s="147"/>
      <c r="Q29" s="108">
        <v>0</v>
      </c>
      <c r="R29" s="109">
        <v>0</v>
      </c>
      <c r="S29" s="109">
        <v>0</v>
      </c>
      <c r="T29" s="109">
        <v>0</v>
      </c>
      <c r="U29" s="109">
        <v>0</v>
      </c>
      <c r="V29" s="109">
        <v>0</v>
      </c>
      <c r="W29" s="109">
        <v>0</v>
      </c>
      <c r="X29" s="109">
        <v>0</v>
      </c>
      <c r="Y29" s="109">
        <v>0</v>
      </c>
      <c r="Z29" s="109">
        <v>97</v>
      </c>
      <c r="AA29" s="109">
        <v>0</v>
      </c>
      <c r="AB29" s="110">
        <v>0.90368999999999999</v>
      </c>
      <c r="AD29" s="229">
        <f>'EBs List'!P22</f>
        <v>100</v>
      </c>
    </row>
    <row r="30" spans="1:30" x14ac:dyDescent="0.2">
      <c r="A30" s="28" t="str">
        <f t="shared" si="0"/>
        <v>Euro 2027</v>
      </c>
      <c r="B30" s="7">
        <v>2016</v>
      </c>
      <c r="C30" s="27" t="s">
        <v>131</v>
      </c>
      <c r="D30" s="108">
        <v>0</v>
      </c>
      <c r="E30" s="109">
        <v>114.9935</v>
      </c>
      <c r="F30" s="109">
        <v>0</v>
      </c>
      <c r="G30" s="109">
        <v>0</v>
      </c>
      <c r="H30" s="109">
        <v>0</v>
      </c>
      <c r="I30" s="109">
        <v>97</v>
      </c>
      <c r="J30" s="109">
        <v>97</v>
      </c>
      <c r="K30" s="109">
        <v>0</v>
      </c>
      <c r="L30" s="109">
        <v>0</v>
      </c>
      <c r="M30" s="109">
        <v>97</v>
      </c>
      <c r="N30" s="109">
        <v>3.77352</v>
      </c>
      <c r="O30" s="110">
        <v>3.1830599999999998</v>
      </c>
      <c r="P30" s="147"/>
      <c r="Q30" s="108">
        <v>0</v>
      </c>
      <c r="R30" s="109">
        <v>0</v>
      </c>
      <c r="S30" s="109">
        <v>0</v>
      </c>
      <c r="T30" s="109">
        <v>0</v>
      </c>
      <c r="U30" s="109">
        <v>0</v>
      </c>
      <c r="V30" s="109">
        <v>0</v>
      </c>
      <c r="W30" s="109">
        <v>0</v>
      </c>
      <c r="X30" s="109">
        <v>0</v>
      </c>
      <c r="Y30" s="109">
        <v>0</v>
      </c>
      <c r="Z30" s="109">
        <v>97</v>
      </c>
      <c r="AA30" s="109">
        <v>0</v>
      </c>
      <c r="AB30" s="110">
        <v>1.3388</v>
      </c>
      <c r="AD30" s="229">
        <f>'EBs List'!P23</f>
        <v>100</v>
      </c>
    </row>
    <row r="31" spans="1:30" x14ac:dyDescent="0.2">
      <c r="A31" s="28" t="str">
        <f t="shared" si="0"/>
        <v>Euro 2028</v>
      </c>
      <c r="B31" s="7">
        <v>2016</v>
      </c>
      <c r="C31" s="27" t="s">
        <v>132</v>
      </c>
      <c r="D31" s="108">
        <v>0</v>
      </c>
      <c r="E31" s="109">
        <v>114.9935</v>
      </c>
      <c r="F31" s="109">
        <v>0</v>
      </c>
      <c r="G31" s="109">
        <v>0</v>
      </c>
      <c r="H31" s="109">
        <v>0</v>
      </c>
      <c r="I31" s="109">
        <v>97</v>
      </c>
      <c r="J31" s="109">
        <v>97</v>
      </c>
      <c r="K31" s="109">
        <v>0</v>
      </c>
      <c r="L31" s="109">
        <v>0</v>
      </c>
      <c r="M31" s="109">
        <v>97</v>
      </c>
      <c r="N31" s="109">
        <v>3.9622000000000002</v>
      </c>
      <c r="O31" s="110">
        <v>3.3422200000000002</v>
      </c>
      <c r="P31" s="147"/>
      <c r="Q31" s="108">
        <v>0</v>
      </c>
      <c r="R31" s="109">
        <v>0</v>
      </c>
      <c r="S31" s="109">
        <v>0</v>
      </c>
      <c r="T31" s="109">
        <v>0</v>
      </c>
      <c r="U31" s="109">
        <v>0</v>
      </c>
      <c r="V31" s="109">
        <v>0</v>
      </c>
      <c r="W31" s="109">
        <v>0</v>
      </c>
      <c r="X31" s="109">
        <v>0</v>
      </c>
      <c r="Y31" s="109">
        <v>0</v>
      </c>
      <c r="Z31" s="109">
        <v>97</v>
      </c>
      <c r="AA31" s="109">
        <v>0</v>
      </c>
      <c r="AB31" s="110">
        <v>1.40574</v>
      </c>
      <c r="AD31" s="229">
        <f>'EBs List'!P24</f>
        <v>100</v>
      </c>
    </row>
    <row r="32" spans="1:30" x14ac:dyDescent="0.2">
      <c r="A32" s="28" t="str">
        <f t="shared" si="0"/>
        <v>Euro 2047</v>
      </c>
      <c r="B32" s="7">
        <v>2016</v>
      </c>
      <c r="C32" s="27" t="s">
        <v>133</v>
      </c>
      <c r="D32" s="108">
        <v>0</v>
      </c>
      <c r="E32" s="109">
        <v>0</v>
      </c>
      <c r="F32" s="109">
        <v>114.9935</v>
      </c>
      <c r="G32" s="109">
        <v>0</v>
      </c>
      <c r="H32" s="109">
        <v>0</v>
      </c>
      <c r="I32" s="109">
        <v>0</v>
      </c>
      <c r="J32" s="109">
        <v>97</v>
      </c>
      <c r="K32" s="109">
        <v>0</v>
      </c>
      <c r="L32" s="109">
        <v>0</v>
      </c>
      <c r="M32" s="109">
        <v>97</v>
      </c>
      <c r="N32" s="109">
        <v>6.0732600000000003</v>
      </c>
      <c r="O32" s="110">
        <v>5.1229500000000003</v>
      </c>
      <c r="P32" s="147"/>
      <c r="Q32" s="108">
        <v>0</v>
      </c>
      <c r="R32" s="109">
        <v>0</v>
      </c>
      <c r="S32" s="109">
        <v>0</v>
      </c>
      <c r="T32" s="109">
        <v>0</v>
      </c>
      <c r="U32" s="109">
        <v>0</v>
      </c>
      <c r="V32" s="109">
        <v>0</v>
      </c>
      <c r="W32" s="109">
        <v>0</v>
      </c>
      <c r="X32" s="109">
        <v>0</v>
      </c>
      <c r="Y32" s="109">
        <v>0</v>
      </c>
      <c r="Z32" s="109">
        <v>97</v>
      </c>
      <c r="AA32" s="109">
        <v>0</v>
      </c>
      <c r="AB32" s="110">
        <v>2.8176199999999998</v>
      </c>
      <c r="AD32" s="229">
        <f>'EBs List'!P25</f>
        <v>100</v>
      </c>
    </row>
    <row r="33" spans="1:30" x14ac:dyDescent="0.2">
      <c r="A33" s="36" t="str">
        <f t="shared" si="0"/>
        <v>CHF 2020</v>
      </c>
      <c r="B33" s="10">
        <v>2016</v>
      </c>
      <c r="C33" s="29" t="s">
        <v>130</v>
      </c>
      <c r="D33" s="159">
        <v>106.5836</v>
      </c>
      <c r="E33" s="111">
        <v>0</v>
      </c>
      <c r="F33" s="111">
        <v>0</v>
      </c>
      <c r="G33" s="111">
        <v>0</v>
      </c>
      <c r="H33" s="111">
        <v>0</v>
      </c>
      <c r="I33" s="111">
        <v>89.905420000000007</v>
      </c>
      <c r="J33" s="111">
        <v>89.905420000000007</v>
      </c>
      <c r="K33" s="111">
        <v>0</v>
      </c>
      <c r="L33" s="111">
        <v>0</v>
      </c>
      <c r="M33" s="111">
        <v>89.905420000000007</v>
      </c>
      <c r="N33" s="111">
        <v>3.3170000000000002</v>
      </c>
      <c r="O33" s="112">
        <v>2.7979599999999998</v>
      </c>
      <c r="P33" s="147"/>
      <c r="Q33" s="159">
        <v>0</v>
      </c>
      <c r="R33" s="111">
        <v>0</v>
      </c>
      <c r="S33" s="111">
        <v>0</v>
      </c>
      <c r="T33" s="111">
        <v>0</v>
      </c>
      <c r="U33" s="111">
        <v>0</v>
      </c>
      <c r="V33" s="111">
        <v>0</v>
      </c>
      <c r="W33" s="111">
        <v>0</v>
      </c>
      <c r="X33" s="111">
        <v>0</v>
      </c>
      <c r="Y33" s="111">
        <v>0</v>
      </c>
      <c r="Z33" s="111">
        <v>89.905420000000007</v>
      </c>
      <c r="AA33" s="111">
        <v>0</v>
      </c>
      <c r="AB33" s="112">
        <v>1.65097</v>
      </c>
      <c r="AD33" s="229">
        <f>'EBs List'!P26</f>
        <v>100</v>
      </c>
    </row>
    <row r="34" spans="1:30" x14ac:dyDescent="0.2">
      <c r="B34" s="7"/>
      <c r="D34" s="109"/>
      <c r="E34" s="109"/>
      <c r="F34" s="109"/>
      <c r="G34" s="109"/>
      <c r="H34" s="109"/>
      <c r="I34" s="109"/>
      <c r="J34" s="109"/>
      <c r="K34" s="109"/>
      <c r="L34" s="109"/>
      <c r="M34" s="109"/>
      <c r="N34" s="109"/>
      <c r="O34" s="109"/>
      <c r="P34" s="51"/>
      <c r="Q34" s="51"/>
      <c r="R34" s="51"/>
      <c r="S34" s="51"/>
      <c r="T34" s="51"/>
      <c r="U34" s="51"/>
      <c r="V34" s="51"/>
      <c r="W34" s="51"/>
      <c r="X34" s="51"/>
      <c r="Y34" s="51"/>
      <c r="Z34" s="51"/>
      <c r="AA34" s="51"/>
      <c r="AB34" s="67"/>
    </row>
    <row r="35" spans="1:30" x14ac:dyDescent="0.2">
      <c r="A35" s="4"/>
      <c r="B35" s="4"/>
      <c r="C35" s="4"/>
      <c r="D35" s="4"/>
    </row>
    <row r="36" spans="1:30" x14ac:dyDescent="0.2">
      <c r="A36" s="5" t="s">
        <v>260</v>
      </c>
      <c r="B36" s="5"/>
      <c r="C36" s="5"/>
      <c r="D36" s="37" t="s">
        <v>257</v>
      </c>
      <c r="E36" s="38"/>
      <c r="F36" s="38"/>
      <c r="G36" s="38"/>
      <c r="H36" s="38"/>
      <c r="I36" s="38"/>
      <c r="J36" s="38"/>
      <c r="K36" s="38"/>
      <c r="L36" s="38"/>
      <c r="M36" s="38"/>
      <c r="N36" s="38"/>
      <c r="O36" s="39"/>
      <c r="Q36" s="37" t="s">
        <v>258</v>
      </c>
      <c r="R36" s="38"/>
      <c r="S36" s="38"/>
      <c r="T36" s="38"/>
      <c r="U36" s="38"/>
      <c r="V36" s="38"/>
      <c r="W36" s="38"/>
      <c r="X36" s="38"/>
      <c r="Y36" s="38"/>
      <c r="Z36" s="38"/>
      <c r="AA36" s="38"/>
      <c r="AB36" s="39"/>
    </row>
    <row r="37" spans="1:30" x14ac:dyDescent="0.2">
      <c r="A37" s="37" t="s">
        <v>164</v>
      </c>
      <c r="B37" s="41" t="s">
        <v>104</v>
      </c>
      <c r="C37" s="39" t="s">
        <v>103</v>
      </c>
      <c r="D37" s="40" t="s">
        <v>107</v>
      </c>
      <c r="E37" s="41" t="s">
        <v>109</v>
      </c>
      <c r="F37" s="41" t="s">
        <v>115</v>
      </c>
      <c r="G37" s="41" t="s">
        <v>111</v>
      </c>
      <c r="H37" s="42" t="s">
        <v>113</v>
      </c>
      <c r="I37" s="41" t="s">
        <v>108</v>
      </c>
      <c r="J37" s="41" t="s">
        <v>110</v>
      </c>
      <c r="K37" s="41" t="s">
        <v>112</v>
      </c>
      <c r="L37" s="41" t="s">
        <v>114</v>
      </c>
      <c r="M37" s="42" t="s">
        <v>116</v>
      </c>
      <c r="N37" s="41" t="s">
        <v>105</v>
      </c>
      <c r="O37" s="42" t="s">
        <v>106</v>
      </c>
      <c r="Q37" s="40" t="s">
        <v>107</v>
      </c>
      <c r="R37" s="41" t="s">
        <v>109</v>
      </c>
      <c r="S37" s="41" t="s">
        <v>115</v>
      </c>
      <c r="T37" s="41" t="s">
        <v>111</v>
      </c>
      <c r="U37" s="41" t="s">
        <v>113</v>
      </c>
      <c r="V37" s="41" t="s">
        <v>108</v>
      </c>
      <c r="W37" s="41" t="s">
        <v>110</v>
      </c>
      <c r="X37" s="41" t="s">
        <v>112</v>
      </c>
      <c r="Y37" s="41" t="s">
        <v>114</v>
      </c>
      <c r="Z37" s="41" t="s">
        <v>116</v>
      </c>
      <c r="AA37" s="41" t="s">
        <v>105</v>
      </c>
      <c r="AB37" s="42" t="s">
        <v>106</v>
      </c>
    </row>
    <row r="38" spans="1:30" x14ac:dyDescent="0.2">
      <c r="A38" s="28" t="str">
        <f>C38</f>
        <v>USD 2033 Discount I</v>
      </c>
      <c r="B38" s="7">
        <v>2005</v>
      </c>
      <c r="C38" s="27" t="s">
        <v>134</v>
      </c>
      <c r="D38" s="105">
        <f t="shared" ref="D38:N38" si="1">IF(D9=0,0,D9/$AD9*100)</f>
        <v>0</v>
      </c>
      <c r="E38" s="106">
        <f t="shared" si="1"/>
        <v>0</v>
      </c>
      <c r="F38" s="106">
        <f t="shared" si="1"/>
        <v>96.999717711423727</v>
      </c>
      <c r="G38" s="106">
        <f t="shared" si="1"/>
        <v>99.999706039631334</v>
      </c>
      <c r="H38" s="107">
        <f t="shared" si="1"/>
        <v>99.999706039631334</v>
      </c>
      <c r="I38" s="150">
        <f t="shared" si="1"/>
        <v>0</v>
      </c>
      <c r="J38" s="150">
        <f t="shared" si="1"/>
        <v>0</v>
      </c>
      <c r="K38" s="150">
        <f t="shared" si="1"/>
        <v>0</v>
      </c>
      <c r="L38" s="150">
        <f t="shared" si="1"/>
        <v>0</v>
      </c>
      <c r="M38" s="146">
        <f t="shared" si="1"/>
        <v>0</v>
      </c>
      <c r="N38" s="106">
        <f t="shared" si="1"/>
        <v>5.6119854600893051</v>
      </c>
      <c r="O38" s="146">
        <v>0</v>
      </c>
      <c r="P38" s="147"/>
      <c r="Q38" s="105">
        <f t="shared" ref="Q38:AB38" si="2">IF(Q9=0,0,Q9/$AD9*100)</f>
        <v>0</v>
      </c>
      <c r="R38" s="106">
        <f t="shared" si="2"/>
        <v>0</v>
      </c>
      <c r="S38" s="106">
        <f t="shared" si="2"/>
        <v>0</v>
      </c>
      <c r="T38" s="106">
        <f t="shared" si="2"/>
        <v>99.999706039631334</v>
      </c>
      <c r="U38" s="106">
        <f t="shared" si="2"/>
        <v>0</v>
      </c>
      <c r="V38" s="125">
        <f t="shared" si="2"/>
        <v>0</v>
      </c>
      <c r="W38" s="125">
        <f t="shared" si="2"/>
        <v>0</v>
      </c>
      <c r="X38" s="125">
        <f t="shared" si="2"/>
        <v>0</v>
      </c>
      <c r="Y38" s="125">
        <f t="shared" si="2"/>
        <v>0</v>
      </c>
      <c r="Z38" s="125">
        <f t="shared" si="2"/>
        <v>0</v>
      </c>
      <c r="AA38" s="106">
        <f t="shared" si="2"/>
        <v>2.5759925074643806</v>
      </c>
      <c r="AB38" s="146">
        <f t="shared" si="2"/>
        <v>0</v>
      </c>
    </row>
    <row r="39" spans="1:30" x14ac:dyDescent="0.2">
      <c r="A39" s="28" t="s">
        <v>135</v>
      </c>
      <c r="B39" s="7">
        <v>2005</v>
      </c>
      <c r="C39" s="27" t="s">
        <v>135</v>
      </c>
      <c r="D39" s="108">
        <f t="shared" ref="D39:N39" si="3">IF(D10=0,0,D10/$AD10*100)</f>
        <v>0</v>
      </c>
      <c r="E39" s="109">
        <f t="shared" si="3"/>
        <v>0</v>
      </c>
      <c r="F39" s="109">
        <f t="shared" si="3"/>
        <v>96.999717711423727</v>
      </c>
      <c r="G39" s="109">
        <f t="shared" si="3"/>
        <v>99.999706039631334</v>
      </c>
      <c r="H39" s="110">
        <f t="shared" si="3"/>
        <v>99.999706039631334</v>
      </c>
      <c r="I39" s="145">
        <f t="shared" si="3"/>
        <v>0</v>
      </c>
      <c r="J39" s="145">
        <f t="shared" si="3"/>
        <v>0</v>
      </c>
      <c r="K39" s="145">
        <f t="shared" si="3"/>
        <v>0</v>
      </c>
      <c r="L39" s="145">
        <f t="shared" si="3"/>
        <v>0</v>
      </c>
      <c r="M39" s="148">
        <f t="shared" si="3"/>
        <v>0</v>
      </c>
      <c r="N39" s="109">
        <f t="shared" si="3"/>
        <v>5.6119854600893051</v>
      </c>
      <c r="O39" s="148">
        <v>0</v>
      </c>
      <c r="P39" s="147"/>
      <c r="Q39" s="108">
        <f t="shared" ref="Q39:AB39" si="4">IF(Q10=0,0,Q10/$AD10*100)</f>
        <v>0</v>
      </c>
      <c r="R39" s="109">
        <f t="shared" si="4"/>
        <v>0</v>
      </c>
      <c r="S39" s="109">
        <f t="shared" si="4"/>
        <v>0</v>
      </c>
      <c r="T39" s="109">
        <f t="shared" si="4"/>
        <v>99.999706039631334</v>
      </c>
      <c r="U39" s="109">
        <f t="shared" si="4"/>
        <v>0</v>
      </c>
      <c r="V39" s="120">
        <f t="shared" si="4"/>
        <v>0</v>
      </c>
      <c r="W39" s="120">
        <f t="shared" si="4"/>
        <v>0</v>
      </c>
      <c r="X39" s="120">
        <f t="shared" si="4"/>
        <v>0</v>
      </c>
      <c r="Y39" s="120">
        <f t="shared" si="4"/>
        <v>0</v>
      </c>
      <c r="Z39" s="120">
        <f t="shared" si="4"/>
        <v>0</v>
      </c>
      <c r="AA39" s="109">
        <f t="shared" si="4"/>
        <v>2.5759925074643806</v>
      </c>
      <c r="AB39" s="148">
        <f t="shared" si="4"/>
        <v>0</v>
      </c>
    </row>
    <row r="40" spans="1:30" x14ac:dyDescent="0.2">
      <c r="A40" s="28" t="str">
        <f>C40</f>
        <v>USD Par 2038 I</v>
      </c>
      <c r="B40" s="7">
        <v>2005</v>
      </c>
      <c r="C40" s="27" t="s">
        <v>136</v>
      </c>
      <c r="D40" s="108">
        <f t="shared" ref="D40:N40" si="5">IF(D11=0,0,D11/$AD11*100)</f>
        <v>0</v>
      </c>
      <c r="E40" s="109">
        <f t="shared" si="5"/>
        <v>0</v>
      </c>
      <c r="F40" s="109">
        <f t="shared" si="5"/>
        <v>97</v>
      </c>
      <c r="G40" s="109">
        <f t="shared" si="5"/>
        <v>0</v>
      </c>
      <c r="H40" s="110">
        <f t="shared" si="5"/>
        <v>100</v>
      </c>
      <c r="I40" s="145">
        <f t="shared" si="5"/>
        <v>0</v>
      </c>
      <c r="J40" s="145">
        <f t="shared" si="5"/>
        <v>0</v>
      </c>
      <c r="K40" s="145">
        <f t="shared" si="5"/>
        <v>0</v>
      </c>
      <c r="L40" s="145">
        <f t="shared" si="5"/>
        <v>0</v>
      </c>
      <c r="M40" s="148">
        <f t="shared" si="5"/>
        <v>0</v>
      </c>
      <c r="N40" s="109">
        <f t="shared" si="5"/>
        <v>1.6041700000000003</v>
      </c>
      <c r="O40" s="148">
        <v>0</v>
      </c>
      <c r="P40" s="147"/>
      <c r="Q40" s="108">
        <f t="shared" ref="Q40:AB40" si="6">IF(Q11=0,0,Q11/$AD11*100)</f>
        <v>0</v>
      </c>
      <c r="R40" s="109">
        <f t="shared" si="6"/>
        <v>0</v>
      </c>
      <c r="S40" s="109">
        <f t="shared" si="6"/>
        <v>0</v>
      </c>
      <c r="T40" s="109">
        <f t="shared" si="6"/>
        <v>0</v>
      </c>
      <c r="U40" s="109">
        <f t="shared" si="6"/>
        <v>100</v>
      </c>
      <c r="V40" s="120">
        <f t="shared" si="6"/>
        <v>0</v>
      </c>
      <c r="W40" s="120">
        <f t="shared" si="6"/>
        <v>0</v>
      </c>
      <c r="X40" s="120">
        <f t="shared" si="6"/>
        <v>0</v>
      </c>
      <c r="Y40" s="120">
        <f t="shared" si="6"/>
        <v>0</v>
      </c>
      <c r="Z40" s="120">
        <f t="shared" si="6"/>
        <v>0</v>
      </c>
      <c r="AA40" s="109">
        <f t="shared" si="6"/>
        <v>0.22917000000000001</v>
      </c>
      <c r="AB40" s="148">
        <f t="shared" si="6"/>
        <v>0</v>
      </c>
    </row>
    <row r="41" spans="1:30" x14ac:dyDescent="0.2">
      <c r="A41" s="28" t="s">
        <v>157</v>
      </c>
      <c r="B41" s="7">
        <v>2005</v>
      </c>
      <c r="C41" s="27" t="s">
        <v>157</v>
      </c>
      <c r="D41" s="108">
        <f t="shared" ref="D41:N41" si="7">IF(D12=0,0,D12/$AD12*100)</f>
        <v>0</v>
      </c>
      <c r="E41" s="109">
        <f t="shared" si="7"/>
        <v>0</v>
      </c>
      <c r="F41" s="109">
        <f t="shared" si="7"/>
        <v>97</v>
      </c>
      <c r="G41" s="109">
        <f t="shared" si="7"/>
        <v>0</v>
      </c>
      <c r="H41" s="110">
        <f t="shared" si="7"/>
        <v>100</v>
      </c>
      <c r="I41" s="145">
        <f t="shared" si="7"/>
        <v>0</v>
      </c>
      <c r="J41" s="145">
        <f t="shared" si="7"/>
        <v>0</v>
      </c>
      <c r="K41" s="145">
        <f t="shared" si="7"/>
        <v>0</v>
      </c>
      <c r="L41" s="145">
        <f t="shared" si="7"/>
        <v>0</v>
      </c>
      <c r="M41" s="148">
        <f t="shared" si="7"/>
        <v>0</v>
      </c>
      <c r="N41" s="109">
        <f t="shared" si="7"/>
        <v>1.6041700000000003</v>
      </c>
      <c r="O41" s="148">
        <v>0</v>
      </c>
      <c r="P41" s="147"/>
      <c r="Q41" s="108">
        <f t="shared" ref="Q41:AB41" si="8">IF(Q12=0,0,Q12/$AD12*100)</f>
        <v>0</v>
      </c>
      <c r="R41" s="109">
        <f t="shared" si="8"/>
        <v>0</v>
      </c>
      <c r="S41" s="109">
        <f t="shared" si="8"/>
        <v>0</v>
      </c>
      <c r="T41" s="109">
        <f t="shared" si="8"/>
        <v>0</v>
      </c>
      <c r="U41" s="109">
        <f t="shared" si="8"/>
        <v>100</v>
      </c>
      <c r="V41" s="120">
        <f t="shared" si="8"/>
        <v>0</v>
      </c>
      <c r="W41" s="120">
        <f t="shared" si="8"/>
        <v>0</v>
      </c>
      <c r="X41" s="120">
        <f t="shared" si="8"/>
        <v>0</v>
      </c>
      <c r="Y41" s="120">
        <f t="shared" si="8"/>
        <v>0</v>
      </c>
      <c r="Z41" s="120">
        <f t="shared" si="8"/>
        <v>0</v>
      </c>
      <c r="AA41" s="109">
        <f t="shared" si="8"/>
        <v>0.22917000000000001</v>
      </c>
      <c r="AB41" s="148">
        <f t="shared" si="8"/>
        <v>0</v>
      </c>
    </row>
    <row r="42" spans="1:30" x14ac:dyDescent="0.2">
      <c r="A42" s="28" t="str">
        <f>C42</f>
        <v>Euro 2033 Discount I</v>
      </c>
      <c r="B42" s="7">
        <v>2005</v>
      </c>
      <c r="C42" s="27" t="s">
        <v>154</v>
      </c>
      <c r="D42" s="119">
        <f t="shared" ref="D42:H45" si="9">IF(D13=0,0,D13/$B$2/$AD13*100)</f>
        <v>0</v>
      </c>
      <c r="E42" s="120">
        <f t="shared" si="9"/>
        <v>0</v>
      </c>
      <c r="F42" s="120">
        <f t="shared" si="9"/>
        <v>0</v>
      </c>
      <c r="G42" s="120">
        <f t="shared" si="9"/>
        <v>99.74371859216599</v>
      </c>
      <c r="H42" s="151">
        <f t="shared" si="9"/>
        <v>0</v>
      </c>
      <c r="I42" s="109">
        <f t="shared" ref="I42:M49" si="10">IF(I13=0,0,I13/$AD13*100)</f>
        <v>0</v>
      </c>
      <c r="J42" s="109">
        <f t="shared" si="10"/>
        <v>0</v>
      </c>
      <c r="K42" s="109">
        <f t="shared" si="10"/>
        <v>99.743720814642899</v>
      </c>
      <c r="L42" s="109">
        <f t="shared" si="10"/>
        <v>99.743720814642899</v>
      </c>
      <c r="M42" s="110">
        <f t="shared" si="10"/>
        <v>96.751409987513384</v>
      </c>
      <c r="N42" s="120">
        <f>IF(N13=0,0,N13/$B$2/$AD13*100)</f>
        <v>5.2866397794062658</v>
      </c>
      <c r="O42" s="110">
        <f t="shared" ref="O42:O61" si="11">IF(O13=0,0,O13/$AD13*100)</f>
        <v>5.2866421822492615</v>
      </c>
      <c r="P42" s="147"/>
      <c r="Q42" s="119">
        <f t="shared" ref="Q42:AB42" si="12">IF(Q13=0,0,Q13/$AD13*100)</f>
        <v>0</v>
      </c>
      <c r="R42" s="120">
        <f t="shared" si="12"/>
        <v>0</v>
      </c>
      <c r="S42" s="120">
        <f t="shared" si="12"/>
        <v>0</v>
      </c>
      <c r="T42" s="120">
        <f t="shared" si="12"/>
        <v>0</v>
      </c>
      <c r="U42" s="120">
        <f t="shared" si="12"/>
        <v>0</v>
      </c>
      <c r="V42" s="109">
        <f t="shared" si="12"/>
        <v>0</v>
      </c>
      <c r="W42" s="109">
        <f t="shared" si="12"/>
        <v>0</v>
      </c>
      <c r="X42" s="109">
        <f t="shared" si="12"/>
        <v>99.743720814642899</v>
      </c>
      <c r="Y42" s="109">
        <f t="shared" si="12"/>
        <v>0</v>
      </c>
      <c r="Z42" s="109">
        <f t="shared" si="12"/>
        <v>0</v>
      </c>
      <c r="AA42" s="120">
        <f t="shared" si="12"/>
        <v>0</v>
      </c>
      <c r="AB42" s="110">
        <f t="shared" si="12"/>
        <v>2.4266557843900216</v>
      </c>
    </row>
    <row r="43" spans="1:30" x14ac:dyDescent="0.2">
      <c r="A43" s="28" t="s">
        <v>155</v>
      </c>
      <c r="B43" s="7">
        <v>2005</v>
      </c>
      <c r="C43" s="27" t="s">
        <v>155</v>
      </c>
      <c r="D43" s="119">
        <f t="shared" si="9"/>
        <v>0</v>
      </c>
      <c r="E43" s="120">
        <f t="shared" si="9"/>
        <v>0</v>
      </c>
      <c r="F43" s="120">
        <f t="shared" si="9"/>
        <v>0</v>
      </c>
      <c r="G43" s="120">
        <f t="shared" si="9"/>
        <v>99.74371859216599</v>
      </c>
      <c r="H43" s="151">
        <f t="shared" si="9"/>
        <v>0</v>
      </c>
      <c r="I43" s="109">
        <f t="shared" si="10"/>
        <v>0</v>
      </c>
      <c r="J43" s="109">
        <f t="shared" si="10"/>
        <v>0</v>
      </c>
      <c r="K43" s="109">
        <f t="shared" si="10"/>
        <v>99.743720814642899</v>
      </c>
      <c r="L43" s="109">
        <f t="shared" si="10"/>
        <v>99.743720814642899</v>
      </c>
      <c r="M43" s="110">
        <f t="shared" si="10"/>
        <v>96.751409987513384</v>
      </c>
      <c r="N43" s="120">
        <f>IF(N14=0,0,N14/$B$2/$AD14*100)</f>
        <v>5.2866397794062658</v>
      </c>
      <c r="O43" s="110">
        <f t="shared" si="11"/>
        <v>5.2866421822492615</v>
      </c>
      <c r="P43" s="147"/>
      <c r="Q43" s="119">
        <f t="shared" ref="Q43:AB43" si="13">IF(Q14=0,0,Q14/$AD14*100)</f>
        <v>0</v>
      </c>
      <c r="R43" s="120">
        <f t="shared" si="13"/>
        <v>0</v>
      </c>
      <c r="S43" s="120">
        <f t="shared" si="13"/>
        <v>0</v>
      </c>
      <c r="T43" s="120">
        <f t="shared" si="13"/>
        <v>0</v>
      </c>
      <c r="U43" s="120">
        <f t="shared" si="13"/>
        <v>0</v>
      </c>
      <c r="V43" s="109">
        <f t="shared" si="13"/>
        <v>0</v>
      </c>
      <c r="W43" s="109">
        <f t="shared" si="13"/>
        <v>0</v>
      </c>
      <c r="X43" s="109">
        <f t="shared" si="13"/>
        <v>99.743720814642899</v>
      </c>
      <c r="Y43" s="109">
        <f t="shared" si="13"/>
        <v>0</v>
      </c>
      <c r="Z43" s="109">
        <f t="shared" si="13"/>
        <v>0</v>
      </c>
      <c r="AA43" s="120">
        <f t="shared" si="13"/>
        <v>0</v>
      </c>
      <c r="AB43" s="110">
        <f t="shared" si="13"/>
        <v>2.4266557843900216</v>
      </c>
    </row>
    <row r="44" spans="1:30" x14ac:dyDescent="0.2">
      <c r="A44" s="28" t="str">
        <f>C44</f>
        <v>Euro Par 2038 I</v>
      </c>
      <c r="B44" s="7">
        <v>2005</v>
      </c>
      <c r="C44" s="27" t="s">
        <v>156</v>
      </c>
      <c r="D44" s="119">
        <f t="shared" si="9"/>
        <v>0</v>
      </c>
      <c r="E44" s="120">
        <f t="shared" si="9"/>
        <v>0</v>
      </c>
      <c r="F44" s="120">
        <f t="shared" si="9"/>
        <v>0</v>
      </c>
      <c r="G44" s="120">
        <f t="shared" si="9"/>
        <v>0</v>
      </c>
      <c r="H44" s="151">
        <f t="shared" si="9"/>
        <v>100</v>
      </c>
      <c r="I44" s="109">
        <f t="shared" si="10"/>
        <v>0</v>
      </c>
      <c r="J44" s="109">
        <f t="shared" si="10"/>
        <v>0</v>
      </c>
      <c r="K44" s="109">
        <f t="shared" si="10"/>
        <v>0</v>
      </c>
      <c r="L44" s="109">
        <f t="shared" si="10"/>
        <v>100</v>
      </c>
      <c r="M44" s="110">
        <f t="shared" si="10"/>
        <v>97</v>
      </c>
      <c r="N44" s="120">
        <f>IF(N15=0,0,N15/$B$2/$AD15*100)</f>
        <v>1.4458878110501898</v>
      </c>
      <c r="O44" s="110">
        <f t="shared" si="11"/>
        <v>1.4458899999999999</v>
      </c>
      <c r="P44" s="147"/>
      <c r="Q44" s="119">
        <f t="shared" ref="Q44:AB44" si="14">IF(Q15=0,0,Q15/$AD15*100)</f>
        <v>0</v>
      </c>
      <c r="R44" s="120">
        <f t="shared" si="14"/>
        <v>0</v>
      </c>
      <c r="S44" s="120">
        <f t="shared" si="14"/>
        <v>0</v>
      </c>
      <c r="T44" s="120">
        <f t="shared" si="14"/>
        <v>0</v>
      </c>
      <c r="U44" s="120">
        <f t="shared" si="14"/>
        <v>0</v>
      </c>
      <c r="V44" s="109">
        <f t="shared" si="14"/>
        <v>0</v>
      </c>
      <c r="W44" s="109">
        <f t="shared" si="14"/>
        <v>0</v>
      </c>
      <c r="X44" s="109">
        <f t="shared" si="14"/>
        <v>0</v>
      </c>
      <c r="Y44" s="109">
        <f t="shared" si="14"/>
        <v>100</v>
      </c>
      <c r="Z44" s="109">
        <f t="shared" si="14"/>
        <v>0</v>
      </c>
      <c r="AA44" s="120">
        <f t="shared" si="14"/>
        <v>0</v>
      </c>
      <c r="AB44" s="110">
        <f t="shared" si="14"/>
        <v>0.20655999999999999</v>
      </c>
    </row>
    <row r="45" spans="1:30" x14ac:dyDescent="0.2">
      <c r="A45" s="36" t="s">
        <v>158</v>
      </c>
      <c r="B45" s="10">
        <v>2005</v>
      </c>
      <c r="C45" s="29" t="s">
        <v>158</v>
      </c>
      <c r="D45" s="121">
        <f t="shared" si="9"/>
        <v>0</v>
      </c>
      <c r="E45" s="122">
        <f t="shared" si="9"/>
        <v>0</v>
      </c>
      <c r="F45" s="122">
        <f t="shared" si="9"/>
        <v>0</v>
      </c>
      <c r="G45" s="122">
        <f t="shared" si="9"/>
        <v>0</v>
      </c>
      <c r="H45" s="152">
        <f t="shared" si="9"/>
        <v>100</v>
      </c>
      <c r="I45" s="111">
        <f t="shared" si="10"/>
        <v>0</v>
      </c>
      <c r="J45" s="111">
        <f t="shared" si="10"/>
        <v>0</v>
      </c>
      <c r="K45" s="111">
        <f t="shared" si="10"/>
        <v>0</v>
      </c>
      <c r="L45" s="111">
        <f t="shared" si="10"/>
        <v>100</v>
      </c>
      <c r="M45" s="112">
        <f t="shared" si="10"/>
        <v>97</v>
      </c>
      <c r="N45" s="122">
        <f>IF(N16=0,0,N16/$B$2/$AD16*100)</f>
        <v>1.4458878110501898</v>
      </c>
      <c r="O45" s="112">
        <f t="shared" si="11"/>
        <v>1.4458899999999999</v>
      </c>
      <c r="P45" s="147"/>
      <c r="Q45" s="121">
        <f t="shared" ref="Q45:AB45" si="15">IF(Q16=0,0,Q16/$AD16*100)</f>
        <v>0</v>
      </c>
      <c r="R45" s="122">
        <f t="shared" si="15"/>
        <v>0</v>
      </c>
      <c r="S45" s="122">
        <f t="shared" si="15"/>
        <v>0</v>
      </c>
      <c r="T45" s="122">
        <f t="shared" si="15"/>
        <v>0</v>
      </c>
      <c r="U45" s="122">
        <f t="shared" si="15"/>
        <v>0</v>
      </c>
      <c r="V45" s="111">
        <f t="shared" si="15"/>
        <v>0</v>
      </c>
      <c r="W45" s="111">
        <f t="shared" si="15"/>
        <v>0</v>
      </c>
      <c r="X45" s="111">
        <f t="shared" si="15"/>
        <v>0</v>
      </c>
      <c r="Y45" s="111">
        <f t="shared" si="15"/>
        <v>100</v>
      </c>
      <c r="Z45" s="111">
        <f t="shared" si="15"/>
        <v>0</v>
      </c>
      <c r="AA45" s="122">
        <f t="shared" si="15"/>
        <v>0</v>
      </c>
      <c r="AB45" s="112">
        <f t="shared" si="15"/>
        <v>0.20655999999999999</v>
      </c>
    </row>
    <row r="46" spans="1:30" x14ac:dyDescent="0.2">
      <c r="A46" s="28" t="str">
        <f t="shared" ref="A46:A62" si="16">C46</f>
        <v>USD 2021</v>
      </c>
      <c r="B46" s="7">
        <v>2016</v>
      </c>
      <c r="C46" s="27" t="s">
        <v>117</v>
      </c>
      <c r="D46" s="108">
        <f t="shared" ref="D46:H56" si="17">IF(D17=0,0,D17/$AD17*100)</f>
        <v>97</v>
      </c>
      <c r="E46" s="109">
        <f t="shared" si="17"/>
        <v>97</v>
      </c>
      <c r="F46" s="109">
        <f t="shared" si="17"/>
        <v>97</v>
      </c>
      <c r="G46" s="109">
        <f t="shared" si="17"/>
        <v>0</v>
      </c>
      <c r="H46" s="110">
        <f t="shared" si="17"/>
        <v>0</v>
      </c>
      <c r="I46" s="145">
        <f t="shared" si="10"/>
        <v>0</v>
      </c>
      <c r="J46" s="145">
        <f t="shared" si="10"/>
        <v>0</v>
      </c>
      <c r="K46" s="145">
        <f t="shared" si="10"/>
        <v>0</v>
      </c>
      <c r="L46" s="145">
        <f t="shared" si="10"/>
        <v>0</v>
      </c>
      <c r="M46" s="148">
        <f t="shared" si="10"/>
        <v>0</v>
      </c>
      <c r="N46" s="109">
        <f t="shared" ref="N46:N56" si="18">IF(N17=0,0,N17/$AD17*100)</f>
        <v>5.9583300000000001</v>
      </c>
      <c r="O46" s="148">
        <f t="shared" si="11"/>
        <v>0</v>
      </c>
      <c r="P46" s="147"/>
      <c r="Q46" s="108">
        <f t="shared" ref="Q46:AB46" si="19">IF(Q17=0,0,Q17/$AD17*100)</f>
        <v>0</v>
      </c>
      <c r="R46" s="109">
        <f t="shared" si="19"/>
        <v>0</v>
      </c>
      <c r="S46" s="109">
        <f t="shared" si="19"/>
        <v>97</v>
      </c>
      <c r="T46" s="109">
        <f t="shared" si="19"/>
        <v>0</v>
      </c>
      <c r="U46" s="109">
        <f t="shared" si="19"/>
        <v>0</v>
      </c>
      <c r="V46" s="120">
        <f t="shared" si="19"/>
        <v>0</v>
      </c>
      <c r="W46" s="120">
        <f t="shared" si="19"/>
        <v>0</v>
      </c>
      <c r="X46" s="120">
        <f t="shared" si="19"/>
        <v>0</v>
      </c>
      <c r="Y46" s="120">
        <f t="shared" si="19"/>
        <v>0</v>
      </c>
      <c r="Z46" s="120">
        <f t="shared" si="19"/>
        <v>0</v>
      </c>
      <c r="AA46" s="109">
        <f t="shared" si="19"/>
        <v>3.4375000000000004</v>
      </c>
      <c r="AB46" s="148">
        <f t="shared" si="19"/>
        <v>0</v>
      </c>
    </row>
    <row r="47" spans="1:30" x14ac:dyDescent="0.2">
      <c r="A47" s="28" t="str">
        <f t="shared" si="16"/>
        <v>USD 2022</v>
      </c>
      <c r="B47" s="7">
        <v>2016</v>
      </c>
      <c r="C47" s="27" t="s">
        <v>118</v>
      </c>
      <c r="D47" s="108">
        <f t="shared" si="17"/>
        <v>97</v>
      </c>
      <c r="E47" s="109">
        <f t="shared" si="17"/>
        <v>97</v>
      </c>
      <c r="F47" s="109">
        <f t="shared" si="17"/>
        <v>97</v>
      </c>
      <c r="G47" s="109">
        <f t="shared" si="17"/>
        <v>0</v>
      </c>
      <c r="H47" s="110">
        <f t="shared" si="17"/>
        <v>0</v>
      </c>
      <c r="I47" s="145">
        <f t="shared" si="10"/>
        <v>0</v>
      </c>
      <c r="J47" s="145">
        <f t="shared" si="10"/>
        <v>0</v>
      </c>
      <c r="K47" s="145">
        <f t="shared" si="10"/>
        <v>0</v>
      </c>
      <c r="L47" s="145">
        <f t="shared" si="10"/>
        <v>0</v>
      </c>
      <c r="M47" s="148">
        <f t="shared" si="10"/>
        <v>0</v>
      </c>
      <c r="N47" s="109">
        <f t="shared" si="18"/>
        <v>3.4062500000000004</v>
      </c>
      <c r="O47" s="148">
        <f t="shared" si="11"/>
        <v>0</v>
      </c>
      <c r="P47" s="147"/>
      <c r="Q47" s="108">
        <f t="shared" ref="Q47:AB47" si="20">IF(Q18=0,0,Q18/$AD18*100)</f>
        <v>0</v>
      </c>
      <c r="R47" s="109">
        <f t="shared" si="20"/>
        <v>0</v>
      </c>
      <c r="S47" s="109">
        <f t="shared" si="20"/>
        <v>97</v>
      </c>
      <c r="T47" s="109">
        <f t="shared" si="20"/>
        <v>0</v>
      </c>
      <c r="U47" s="109">
        <f t="shared" si="20"/>
        <v>0</v>
      </c>
      <c r="V47" s="120">
        <f t="shared" si="20"/>
        <v>0</v>
      </c>
      <c r="W47" s="120">
        <f t="shared" si="20"/>
        <v>0</v>
      </c>
      <c r="X47" s="120">
        <f t="shared" si="20"/>
        <v>0</v>
      </c>
      <c r="Y47" s="120">
        <f t="shared" si="20"/>
        <v>0</v>
      </c>
      <c r="Z47" s="120">
        <f t="shared" si="20"/>
        <v>0</v>
      </c>
      <c r="AA47" s="109">
        <f t="shared" si="20"/>
        <v>1.34375</v>
      </c>
      <c r="AB47" s="148">
        <f t="shared" si="20"/>
        <v>0</v>
      </c>
    </row>
    <row r="48" spans="1:30" x14ac:dyDescent="0.2">
      <c r="A48" s="28" t="str">
        <f t="shared" si="16"/>
        <v>USD 2023</v>
      </c>
      <c r="B48" s="7">
        <v>2016</v>
      </c>
      <c r="C48" s="27" t="s">
        <v>119</v>
      </c>
      <c r="D48" s="108">
        <f t="shared" si="17"/>
        <v>97</v>
      </c>
      <c r="E48" s="109">
        <f t="shared" si="17"/>
        <v>97</v>
      </c>
      <c r="F48" s="109">
        <f t="shared" si="17"/>
        <v>97</v>
      </c>
      <c r="G48" s="109">
        <f t="shared" si="17"/>
        <v>0</v>
      </c>
      <c r="H48" s="110">
        <f t="shared" si="17"/>
        <v>0</v>
      </c>
      <c r="I48" s="145">
        <f t="shared" si="10"/>
        <v>0</v>
      </c>
      <c r="J48" s="145">
        <f t="shared" si="10"/>
        <v>0</v>
      </c>
      <c r="K48" s="145">
        <f t="shared" si="10"/>
        <v>0</v>
      </c>
      <c r="L48" s="145">
        <f t="shared" si="10"/>
        <v>0</v>
      </c>
      <c r="M48" s="148">
        <f t="shared" si="10"/>
        <v>0</v>
      </c>
      <c r="N48" s="109">
        <f t="shared" si="18"/>
        <v>2.9933999999999998</v>
      </c>
      <c r="O48" s="148">
        <f t="shared" si="11"/>
        <v>0</v>
      </c>
      <c r="P48" s="147"/>
      <c r="Q48" s="108">
        <f t="shared" ref="Q48:AB48" si="21">IF(Q19=0,0,Q19/$AD19*100)</f>
        <v>0</v>
      </c>
      <c r="R48" s="109">
        <f t="shared" si="21"/>
        <v>0</v>
      </c>
      <c r="S48" s="109">
        <f t="shared" si="21"/>
        <v>97</v>
      </c>
      <c r="T48" s="109">
        <f t="shared" si="21"/>
        <v>0</v>
      </c>
      <c r="U48" s="109">
        <f t="shared" si="21"/>
        <v>0</v>
      </c>
      <c r="V48" s="120">
        <f t="shared" si="21"/>
        <v>0</v>
      </c>
      <c r="W48" s="120">
        <f t="shared" si="21"/>
        <v>0</v>
      </c>
      <c r="X48" s="120">
        <f t="shared" si="21"/>
        <v>0</v>
      </c>
      <c r="Y48" s="120">
        <f t="shared" si="21"/>
        <v>0</v>
      </c>
      <c r="Z48" s="120">
        <f t="shared" si="21"/>
        <v>0</v>
      </c>
      <c r="AA48" s="109">
        <f t="shared" si="21"/>
        <v>1.2975699999999999</v>
      </c>
      <c r="AB48" s="148">
        <f t="shared" si="21"/>
        <v>0</v>
      </c>
    </row>
    <row r="49" spans="1:28" x14ac:dyDescent="0.2">
      <c r="A49" s="28" t="str">
        <f t="shared" si="16"/>
        <v>USD 2026</v>
      </c>
      <c r="B49" s="7">
        <v>2016</v>
      </c>
      <c r="C49" s="27" t="s">
        <v>120</v>
      </c>
      <c r="D49" s="108">
        <f t="shared" si="17"/>
        <v>97</v>
      </c>
      <c r="E49" s="109">
        <f t="shared" si="17"/>
        <v>97</v>
      </c>
      <c r="F49" s="109">
        <f t="shared" si="17"/>
        <v>97</v>
      </c>
      <c r="G49" s="109">
        <f t="shared" si="17"/>
        <v>0</v>
      </c>
      <c r="H49" s="110">
        <f t="shared" si="17"/>
        <v>0</v>
      </c>
      <c r="I49" s="145">
        <f t="shared" si="10"/>
        <v>0</v>
      </c>
      <c r="J49" s="145">
        <f t="shared" si="10"/>
        <v>0</v>
      </c>
      <c r="K49" s="145">
        <f t="shared" si="10"/>
        <v>0</v>
      </c>
      <c r="L49" s="145">
        <f t="shared" si="10"/>
        <v>0</v>
      </c>
      <c r="M49" s="148">
        <f t="shared" si="10"/>
        <v>0</v>
      </c>
      <c r="N49" s="109">
        <f t="shared" si="18"/>
        <v>6.5</v>
      </c>
      <c r="O49" s="148">
        <f t="shared" si="11"/>
        <v>0</v>
      </c>
      <c r="P49" s="147"/>
      <c r="Q49" s="108">
        <f t="shared" ref="Q49:AB49" si="22">IF(Q20=0,0,Q20/$AD20*100)</f>
        <v>0</v>
      </c>
      <c r="R49" s="109">
        <f t="shared" si="22"/>
        <v>0</v>
      </c>
      <c r="S49" s="109">
        <f t="shared" si="22"/>
        <v>97</v>
      </c>
      <c r="T49" s="109">
        <f t="shared" si="22"/>
        <v>0</v>
      </c>
      <c r="U49" s="109">
        <f t="shared" si="22"/>
        <v>0</v>
      </c>
      <c r="V49" s="120">
        <f t="shared" si="22"/>
        <v>0</v>
      </c>
      <c r="W49" s="120">
        <f t="shared" si="22"/>
        <v>0</v>
      </c>
      <c r="X49" s="120">
        <f t="shared" si="22"/>
        <v>0</v>
      </c>
      <c r="Y49" s="120">
        <f t="shared" si="22"/>
        <v>0</v>
      </c>
      <c r="Z49" s="120">
        <f t="shared" si="22"/>
        <v>0</v>
      </c>
      <c r="AA49" s="109">
        <f t="shared" si="22"/>
        <v>3.75</v>
      </c>
      <c r="AB49" s="148">
        <f t="shared" si="22"/>
        <v>0</v>
      </c>
    </row>
    <row r="50" spans="1:28" x14ac:dyDescent="0.2">
      <c r="A50" s="28" t="str">
        <f t="shared" si="16"/>
        <v>USD 2027</v>
      </c>
      <c r="B50" s="7">
        <v>2016</v>
      </c>
      <c r="C50" s="27" t="s">
        <v>121</v>
      </c>
      <c r="D50" s="108">
        <f t="shared" si="17"/>
        <v>97</v>
      </c>
      <c r="E50" s="109">
        <f t="shared" si="17"/>
        <v>97</v>
      </c>
      <c r="F50" s="109">
        <f t="shared" si="17"/>
        <v>97</v>
      </c>
      <c r="G50" s="109">
        <f t="shared" si="17"/>
        <v>0</v>
      </c>
      <c r="H50" s="110">
        <f t="shared" si="17"/>
        <v>0</v>
      </c>
      <c r="I50" s="145">
        <f t="shared" ref="I50:M59" si="23">IF(I21=0,0,I21/$AD21*100)</f>
        <v>0</v>
      </c>
      <c r="J50" s="145">
        <f t="shared" si="23"/>
        <v>0</v>
      </c>
      <c r="K50" s="145">
        <f t="shared" si="23"/>
        <v>0</v>
      </c>
      <c r="L50" s="145">
        <f t="shared" si="23"/>
        <v>0</v>
      </c>
      <c r="M50" s="148">
        <f t="shared" si="23"/>
        <v>0</v>
      </c>
      <c r="N50" s="109">
        <f t="shared" si="18"/>
        <v>4.1631900000000002</v>
      </c>
      <c r="O50" s="148">
        <f t="shared" si="11"/>
        <v>0</v>
      </c>
      <c r="P50" s="147"/>
      <c r="Q50" s="108">
        <f t="shared" ref="Q50:AB50" si="24">IF(Q21=0,0,Q21/$AD21*100)</f>
        <v>0</v>
      </c>
      <c r="R50" s="109">
        <f t="shared" si="24"/>
        <v>0</v>
      </c>
      <c r="S50" s="109">
        <f t="shared" si="24"/>
        <v>97</v>
      </c>
      <c r="T50" s="109">
        <f t="shared" si="24"/>
        <v>0</v>
      </c>
      <c r="U50" s="109">
        <f t="shared" si="24"/>
        <v>0</v>
      </c>
      <c r="V50" s="120">
        <f t="shared" si="24"/>
        <v>0</v>
      </c>
      <c r="W50" s="120">
        <f t="shared" si="24"/>
        <v>0</v>
      </c>
      <c r="X50" s="120">
        <f t="shared" si="24"/>
        <v>0</v>
      </c>
      <c r="Y50" s="120">
        <f t="shared" si="24"/>
        <v>0</v>
      </c>
      <c r="Z50" s="120">
        <f t="shared" si="24"/>
        <v>0</v>
      </c>
      <c r="AA50" s="109">
        <f t="shared" si="24"/>
        <v>1.64236</v>
      </c>
      <c r="AB50" s="148">
        <f t="shared" si="24"/>
        <v>0</v>
      </c>
    </row>
    <row r="51" spans="1:28" x14ac:dyDescent="0.2">
      <c r="A51" s="28" t="str">
        <f t="shared" si="16"/>
        <v>USD 5.875% 2028</v>
      </c>
      <c r="B51" s="7">
        <v>2016</v>
      </c>
      <c r="C51" s="27" t="s">
        <v>122</v>
      </c>
      <c r="D51" s="108">
        <f t="shared" si="17"/>
        <v>97</v>
      </c>
      <c r="E51" s="109">
        <f t="shared" si="17"/>
        <v>97</v>
      </c>
      <c r="F51" s="109">
        <f t="shared" si="17"/>
        <v>97</v>
      </c>
      <c r="G51" s="109">
        <f t="shared" si="17"/>
        <v>0</v>
      </c>
      <c r="H51" s="110">
        <f t="shared" si="17"/>
        <v>0</v>
      </c>
      <c r="I51" s="145">
        <f t="shared" si="23"/>
        <v>0</v>
      </c>
      <c r="J51" s="145">
        <f t="shared" si="23"/>
        <v>0</v>
      </c>
      <c r="K51" s="145">
        <f t="shared" si="23"/>
        <v>0</v>
      </c>
      <c r="L51" s="145">
        <f t="shared" si="23"/>
        <v>0</v>
      </c>
      <c r="M51" s="148">
        <f t="shared" si="23"/>
        <v>0</v>
      </c>
      <c r="N51" s="109">
        <f t="shared" si="18"/>
        <v>3.8024300000000002</v>
      </c>
      <c r="O51" s="148">
        <f t="shared" si="11"/>
        <v>0</v>
      </c>
      <c r="P51" s="147"/>
      <c r="Q51" s="108">
        <f t="shared" ref="Q51:AB51" si="25">IF(Q22=0,0,Q22/$AD22*100)</f>
        <v>0</v>
      </c>
      <c r="R51" s="109">
        <f t="shared" si="25"/>
        <v>0</v>
      </c>
      <c r="S51" s="109">
        <f t="shared" si="25"/>
        <v>97</v>
      </c>
      <c r="T51" s="109">
        <f t="shared" si="25"/>
        <v>0</v>
      </c>
      <c r="U51" s="109">
        <f t="shared" si="25"/>
        <v>0</v>
      </c>
      <c r="V51" s="120">
        <f t="shared" si="25"/>
        <v>0</v>
      </c>
      <c r="W51" s="120">
        <f t="shared" si="25"/>
        <v>0</v>
      </c>
      <c r="X51" s="120">
        <f t="shared" si="25"/>
        <v>0</v>
      </c>
      <c r="Y51" s="120">
        <f t="shared" si="25"/>
        <v>0</v>
      </c>
      <c r="Z51" s="120">
        <f t="shared" si="25"/>
        <v>0</v>
      </c>
      <c r="AA51" s="109">
        <f t="shared" si="25"/>
        <v>1.6482600000000001</v>
      </c>
      <c r="AB51" s="148">
        <f t="shared" si="25"/>
        <v>0</v>
      </c>
    </row>
    <row r="52" spans="1:28" x14ac:dyDescent="0.2">
      <c r="A52" s="28" t="str">
        <f t="shared" si="16"/>
        <v>USD 6.625% 2028</v>
      </c>
      <c r="B52" s="7">
        <v>2016</v>
      </c>
      <c r="C52" s="27" t="s">
        <v>123</v>
      </c>
      <c r="D52" s="108">
        <f t="shared" si="17"/>
        <v>97</v>
      </c>
      <c r="E52" s="109">
        <f t="shared" si="17"/>
        <v>97</v>
      </c>
      <c r="F52" s="109">
        <f t="shared" si="17"/>
        <v>97</v>
      </c>
      <c r="G52" s="109">
        <f t="shared" si="17"/>
        <v>0</v>
      </c>
      <c r="H52" s="110">
        <f t="shared" si="17"/>
        <v>0</v>
      </c>
      <c r="I52" s="145">
        <f t="shared" si="23"/>
        <v>0</v>
      </c>
      <c r="J52" s="145">
        <f t="shared" si="23"/>
        <v>0</v>
      </c>
      <c r="K52" s="145">
        <f t="shared" si="23"/>
        <v>0</v>
      </c>
      <c r="L52" s="145">
        <f t="shared" si="23"/>
        <v>0</v>
      </c>
      <c r="M52" s="148">
        <f t="shared" si="23"/>
        <v>0</v>
      </c>
      <c r="N52" s="109">
        <f t="shared" si="18"/>
        <v>4.3798599999999999</v>
      </c>
      <c r="O52" s="148">
        <f t="shared" si="11"/>
        <v>0</v>
      </c>
      <c r="P52" s="147"/>
      <c r="Q52" s="108">
        <f t="shared" ref="Q52:AB52" si="26">IF(Q23=0,0,Q23/$AD23*100)</f>
        <v>0</v>
      </c>
      <c r="R52" s="109">
        <f t="shared" si="26"/>
        <v>0</v>
      </c>
      <c r="S52" s="109">
        <f t="shared" si="26"/>
        <v>97</v>
      </c>
      <c r="T52" s="109">
        <f t="shared" si="26"/>
        <v>0</v>
      </c>
      <c r="U52" s="109">
        <f t="shared" si="26"/>
        <v>0</v>
      </c>
      <c r="V52" s="120">
        <f t="shared" si="26"/>
        <v>0</v>
      </c>
      <c r="W52" s="120">
        <f t="shared" si="26"/>
        <v>0</v>
      </c>
      <c r="X52" s="120">
        <f t="shared" si="26"/>
        <v>0</v>
      </c>
      <c r="Y52" s="120">
        <f t="shared" si="26"/>
        <v>0</v>
      </c>
      <c r="Z52" s="120">
        <f t="shared" si="26"/>
        <v>0</v>
      </c>
      <c r="AA52" s="109">
        <f t="shared" si="26"/>
        <v>1.95069</v>
      </c>
      <c r="AB52" s="148">
        <f t="shared" si="26"/>
        <v>0</v>
      </c>
    </row>
    <row r="53" spans="1:28" x14ac:dyDescent="0.2">
      <c r="A53" s="28" t="str">
        <f t="shared" si="16"/>
        <v>USD 2036</v>
      </c>
      <c r="B53" s="7">
        <v>2016</v>
      </c>
      <c r="C53" s="27" t="s">
        <v>124</v>
      </c>
      <c r="D53" s="108">
        <f t="shared" si="17"/>
        <v>97</v>
      </c>
      <c r="E53" s="109">
        <f t="shared" si="17"/>
        <v>97</v>
      </c>
      <c r="F53" s="109">
        <f t="shared" si="17"/>
        <v>97</v>
      </c>
      <c r="G53" s="109">
        <f t="shared" si="17"/>
        <v>0</v>
      </c>
      <c r="H53" s="110">
        <f t="shared" si="17"/>
        <v>0</v>
      </c>
      <c r="I53" s="145">
        <f t="shared" si="23"/>
        <v>0</v>
      </c>
      <c r="J53" s="145">
        <f t="shared" si="23"/>
        <v>0</v>
      </c>
      <c r="K53" s="145">
        <f t="shared" si="23"/>
        <v>0</v>
      </c>
      <c r="L53" s="145">
        <f t="shared" si="23"/>
        <v>0</v>
      </c>
      <c r="M53" s="148">
        <f t="shared" si="23"/>
        <v>0</v>
      </c>
      <c r="N53" s="109">
        <f t="shared" si="18"/>
        <v>4.7104200000000001</v>
      </c>
      <c r="O53" s="148">
        <f t="shared" si="11"/>
        <v>0</v>
      </c>
      <c r="P53" s="147"/>
      <c r="Q53" s="108">
        <f t="shared" ref="Q53:AB53" si="27">IF(Q24=0,0,Q24/$AD24*100)</f>
        <v>0</v>
      </c>
      <c r="R53" s="109">
        <f t="shared" si="27"/>
        <v>0</v>
      </c>
      <c r="S53" s="109">
        <f t="shared" si="27"/>
        <v>97</v>
      </c>
      <c r="T53" s="109">
        <f t="shared" si="27"/>
        <v>0</v>
      </c>
      <c r="U53" s="109">
        <f t="shared" si="27"/>
        <v>0</v>
      </c>
      <c r="V53" s="120">
        <f t="shared" si="27"/>
        <v>0</v>
      </c>
      <c r="W53" s="120">
        <f t="shared" si="27"/>
        <v>0</v>
      </c>
      <c r="X53" s="120">
        <f t="shared" si="27"/>
        <v>0</v>
      </c>
      <c r="Y53" s="120">
        <f t="shared" si="27"/>
        <v>0</v>
      </c>
      <c r="Z53" s="120">
        <f t="shared" si="27"/>
        <v>0</v>
      </c>
      <c r="AA53" s="109">
        <f t="shared" si="27"/>
        <v>2.0979199999999998</v>
      </c>
      <c r="AB53" s="148">
        <f t="shared" si="27"/>
        <v>0</v>
      </c>
    </row>
    <row r="54" spans="1:28" x14ac:dyDescent="0.2">
      <c r="A54" s="28" t="str">
        <f t="shared" si="16"/>
        <v>USD 2046</v>
      </c>
      <c r="B54" s="7">
        <v>2016</v>
      </c>
      <c r="C54" s="27" t="s">
        <v>125</v>
      </c>
      <c r="D54" s="108">
        <f t="shared" si="17"/>
        <v>0</v>
      </c>
      <c r="E54" s="109">
        <f t="shared" si="17"/>
        <v>97</v>
      </c>
      <c r="F54" s="109">
        <f t="shared" si="17"/>
        <v>97</v>
      </c>
      <c r="G54" s="109">
        <f t="shared" si="17"/>
        <v>0</v>
      </c>
      <c r="H54" s="110">
        <f t="shared" si="17"/>
        <v>0</v>
      </c>
      <c r="I54" s="145">
        <f t="shared" si="23"/>
        <v>0</v>
      </c>
      <c r="J54" s="145">
        <f t="shared" si="23"/>
        <v>0</v>
      </c>
      <c r="K54" s="145">
        <f t="shared" si="23"/>
        <v>0</v>
      </c>
      <c r="L54" s="145">
        <f t="shared" si="23"/>
        <v>0</v>
      </c>
      <c r="M54" s="148">
        <f t="shared" si="23"/>
        <v>0</v>
      </c>
      <c r="N54" s="109">
        <f t="shared" si="18"/>
        <v>6.6083299999999996</v>
      </c>
      <c r="O54" s="148">
        <f t="shared" si="11"/>
        <v>0</v>
      </c>
      <c r="P54" s="147"/>
      <c r="Q54" s="108">
        <f t="shared" ref="Q54:AB54" si="28">IF(Q25=0,0,Q25/$AD25*100)</f>
        <v>0</v>
      </c>
      <c r="R54" s="109">
        <f t="shared" si="28"/>
        <v>0</v>
      </c>
      <c r="S54" s="109">
        <f t="shared" si="28"/>
        <v>97</v>
      </c>
      <c r="T54" s="109">
        <f t="shared" si="28"/>
        <v>0</v>
      </c>
      <c r="U54" s="109">
        <f t="shared" si="28"/>
        <v>0</v>
      </c>
      <c r="V54" s="120">
        <f t="shared" si="28"/>
        <v>0</v>
      </c>
      <c r="W54" s="120">
        <f t="shared" si="28"/>
        <v>0</v>
      </c>
      <c r="X54" s="120">
        <f t="shared" si="28"/>
        <v>0</v>
      </c>
      <c r="Y54" s="120">
        <f t="shared" si="28"/>
        <v>0</v>
      </c>
      <c r="Z54" s="120">
        <f t="shared" si="28"/>
        <v>0</v>
      </c>
      <c r="AA54" s="109">
        <f t="shared" si="28"/>
        <v>3.8125</v>
      </c>
      <c r="AB54" s="148">
        <f t="shared" si="28"/>
        <v>0</v>
      </c>
    </row>
    <row r="55" spans="1:28" x14ac:dyDescent="0.2">
      <c r="A55" s="28" t="str">
        <f t="shared" si="16"/>
        <v>USD 2048</v>
      </c>
      <c r="B55" s="7">
        <v>2016</v>
      </c>
      <c r="C55" s="27" t="s">
        <v>126</v>
      </c>
      <c r="D55" s="108">
        <f t="shared" si="17"/>
        <v>0</v>
      </c>
      <c r="E55" s="109">
        <f t="shared" si="17"/>
        <v>97</v>
      </c>
      <c r="F55" s="109">
        <f t="shared" si="17"/>
        <v>97</v>
      </c>
      <c r="G55" s="109">
        <f t="shared" si="17"/>
        <v>0</v>
      </c>
      <c r="H55" s="110">
        <f t="shared" si="17"/>
        <v>0</v>
      </c>
      <c r="I55" s="145">
        <f t="shared" si="23"/>
        <v>0</v>
      </c>
      <c r="J55" s="145">
        <f t="shared" si="23"/>
        <v>0</v>
      </c>
      <c r="K55" s="145">
        <f t="shared" si="23"/>
        <v>0</v>
      </c>
      <c r="L55" s="145">
        <f t="shared" si="23"/>
        <v>0</v>
      </c>
      <c r="M55" s="148">
        <f t="shared" si="23"/>
        <v>0</v>
      </c>
      <c r="N55" s="109">
        <f t="shared" si="18"/>
        <v>4.4496500000000001</v>
      </c>
      <c r="O55" s="148">
        <f t="shared" si="11"/>
        <v>0</v>
      </c>
      <c r="P55" s="147"/>
      <c r="Q55" s="108">
        <f t="shared" ref="Q55:AB55" si="29">IF(Q26=0,0,Q26/$AD26*100)</f>
        <v>0</v>
      </c>
      <c r="R55" s="109">
        <f t="shared" si="29"/>
        <v>0</v>
      </c>
      <c r="S55" s="109">
        <f t="shared" si="29"/>
        <v>97</v>
      </c>
      <c r="T55" s="109">
        <f t="shared" si="29"/>
        <v>0</v>
      </c>
      <c r="U55" s="109">
        <f t="shared" si="29"/>
        <v>0</v>
      </c>
      <c r="V55" s="120">
        <f t="shared" si="29"/>
        <v>0</v>
      </c>
      <c r="W55" s="120">
        <f t="shared" si="29"/>
        <v>0</v>
      </c>
      <c r="X55" s="120">
        <f t="shared" si="29"/>
        <v>0</v>
      </c>
      <c r="Y55" s="120">
        <f t="shared" si="29"/>
        <v>0</v>
      </c>
      <c r="Z55" s="120">
        <f t="shared" si="29"/>
        <v>0</v>
      </c>
      <c r="AA55" s="109">
        <f t="shared" si="29"/>
        <v>1.9288199999999998</v>
      </c>
      <c r="AB55" s="148">
        <f t="shared" si="29"/>
        <v>0</v>
      </c>
    </row>
    <row r="56" spans="1:28" x14ac:dyDescent="0.2">
      <c r="A56" s="28" t="str">
        <f t="shared" si="16"/>
        <v>USD 2117</v>
      </c>
      <c r="B56" s="7">
        <v>2016</v>
      </c>
      <c r="C56" s="27" t="s">
        <v>127</v>
      </c>
      <c r="D56" s="108">
        <f t="shared" si="17"/>
        <v>0</v>
      </c>
      <c r="E56" s="109">
        <f t="shared" si="17"/>
        <v>97</v>
      </c>
      <c r="F56" s="109">
        <f t="shared" si="17"/>
        <v>97</v>
      </c>
      <c r="G56" s="109">
        <f t="shared" si="17"/>
        <v>0</v>
      </c>
      <c r="H56" s="110">
        <f t="shared" si="17"/>
        <v>0</v>
      </c>
      <c r="I56" s="145">
        <f t="shared" si="23"/>
        <v>0</v>
      </c>
      <c r="J56" s="145">
        <f t="shared" si="23"/>
        <v>0</v>
      </c>
      <c r="K56" s="145">
        <f t="shared" si="23"/>
        <v>0</v>
      </c>
      <c r="L56" s="145">
        <f t="shared" si="23"/>
        <v>0</v>
      </c>
      <c r="M56" s="148">
        <f t="shared" si="23"/>
        <v>0</v>
      </c>
      <c r="N56" s="109">
        <f t="shared" si="18"/>
        <v>4.8687500000000004</v>
      </c>
      <c r="O56" s="148">
        <f t="shared" si="11"/>
        <v>0</v>
      </c>
      <c r="P56" s="147"/>
      <c r="Q56" s="108">
        <f t="shared" ref="Q56:AB56" si="30">IF(Q27=0,0,Q27/$AD27*100)</f>
        <v>0</v>
      </c>
      <c r="R56" s="109">
        <f t="shared" si="30"/>
        <v>0</v>
      </c>
      <c r="S56" s="109">
        <f t="shared" si="30"/>
        <v>97</v>
      </c>
      <c r="T56" s="109">
        <f t="shared" si="30"/>
        <v>0</v>
      </c>
      <c r="U56" s="109">
        <f t="shared" si="30"/>
        <v>0</v>
      </c>
      <c r="V56" s="120">
        <f t="shared" si="30"/>
        <v>0</v>
      </c>
      <c r="W56" s="120">
        <f t="shared" si="30"/>
        <v>0</v>
      </c>
      <c r="X56" s="120">
        <f t="shared" si="30"/>
        <v>0</v>
      </c>
      <c r="Y56" s="120">
        <f t="shared" si="30"/>
        <v>0</v>
      </c>
      <c r="Z56" s="120">
        <f t="shared" si="30"/>
        <v>0</v>
      </c>
      <c r="AA56" s="109">
        <f t="shared" si="30"/>
        <v>2.2562500000000001</v>
      </c>
      <c r="AB56" s="148">
        <f t="shared" si="30"/>
        <v>0</v>
      </c>
    </row>
    <row r="57" spans="1:28" x14ac:dyDescent="0.2">
      <c r="A57" s="28" t="str">
        <f t="shared" si="16"/>
        <v>Euro 2022</v>
      </c>
      <c r="B57" s="7">
        <v>2016</v>
      </c>
      <c r="C57" s="27" t="s">
        <v>128</v>
      </c>
      <c r="D57" s="119">
        <f t="shared" ref="D57:H61" si="31">IF(D28=0,0,D28/$B$2/$AD28*100)</f>
        <v>97</v>
      </c>
      <c r="E57" s="120">
        <f t="shared" si="31"/>
        <v>0</v>
      </c>
      <c r="F57" s="120">
        <f t="shared" si="31"/>
        <v>0</v>
      </c>
      <c r="G57" s="120">
        <f t="shared" si="31"/>
        <v>0</v>
      </c>
      <c r="H57" s="151">
        <f t="shared" si="31"/>
        <v>0</v>
      </c>
      <c r="I57" s="109">
        <f t="shared" si="23"/>
        <v>97</v>
      </c>
      <c r="J57" s="109">
        <f t="shared" si="23"/>
        <v>97</v>
      </c>
      <c r="K57" s="109">
        <f t="shared" si="23"/>
        <v>0</v>
      </c>
      <c r="L57" s="109">
        <f t="shared" si="23"/>
        <v>0</v>
      </c>
      <c r="M57" s="110">
        <f t="shared" si="23"/>
        <v>97</v>
      </c>
      <c r="N57" s="120">
        <f>IF(N28=0,0,N28/$B$2/$AD28*100)</f>
        <v>2.4668663011387602</v>
      </c>
      <c r="O57" s="110">
        <f t="shared" si="11"/>
        <v>2.4668700000000001</v>
      </c>
      <c r="P57" s="147"/>
      <c r="Q57" s="119">
        <f t="shared" ref="Q57:AB57" si="32">IF(Q28=0,0,Q28/$AD28*100)</f>
        <v>0</v>
      </c>
      <c r="R57" s="120">
        <f t="shared" si="32"/>
        <v>0</v>
      </c>
      <c r="S57" s="120">
        <f t="shared" si="32"/>
        <v>0</v>
      </c>
      <c r="T57" s="120">
        <f t="shared" si="32"/>
        <v>0</v>
      </c>
      <c r="U57" s="120">
        <f t="shared" si="32"/>
        <v>0</v>
      </c>
      <c r="V57" s="109">
        <f t="shared" si="32"/>
        <v>0</v>
      </c>
      <c r="W57" s="109">
        <f t="shared" si="32"/>
        <v>0</v>
      </c>
      <c r="X57" s="109">
        <f t="shared" si="32"/>
        <v>0</v>
      </c>
      <c r="Y57" s="109">
        <f t="shared" si="32"/>
        <v>0</v>
      </c>
      <c r="Z57" s="109">
        <f t="shared" si="32"/>
        <v>97</v>
      </c>
      <c r="AA57" s="120">
        <f t="shared" si="32"/>
        <v>0</v>
      </c>
      <c r="AB57" s="110">
        <f t="shared" si="32"/>
        <v>1.0375700000000001</v>
      </c>
    </row>
    <row r="58" spans="1:28" x14ac:dyDescent="0.2">
      <c r="A58" s="28" t="str">
        <f t="shared" si="16"/>
        <v>Euro 2023</v>
      </c>
      <c r="B58" s="7">
        <v>2016</v>
      </c>
      <c r="C58" s="27" t="s">
        <v>129</v>
      </c>
      <c r="D58" s="119">
        <f t="shared" si="31"/>
        <v>97</v>
      </c>
      <c r="E58" s="120">
        <f t="shared" si="31"/>
        <v>0</v>
      </c>
      <c r="F58" s="120">
        <f t="shared" si="31"/>
        <v>0</v>
      </c>
      <c r="G58" s="120">
        <f t="shared" si="31"/>
        <v>0</v>
      </c>
      <c r="H58" s="151">
        <f t="shared" si="31"/>
        <v>0</v>
      </c>
      <c r="I58" s="109">
        <f t="shared" si="23"/>
        <v>97</v>
      </c>
      <c r="J58" s="109">
        <f t="shared" si="23"/>
        <v>97</v>
      </c>
      <c r="K58" s="109">
        <f t="shared" si="23"/>
        <v>0</v>
      </c>
      <c r="L58" s="109">
        <f t="shared" si="23"/>
        <v>0</v>
      </c>
      <c r="M58" s="110">
        <f t="shared" si="23"/>
        <v>97</v>
      </c>
      <c r="N58" s="120">
        <f>IF(N29=0,0,N29/$B$2/$AD29*100)</f>
        <v>2.148570223534374</v>
      </c>
      <c r="O58" s="110">
        <f t="shared" si="11"/>
        <v>2.1485699999999999</v>
      </c>
      <c r="P58" s="147"/>
      <c r="Q58" s="119">
        <f t="shared" ref="Q58:AB58" si="33">IF(Q29=0,0,Q29/$AD29*100)</f>
        <v>0</v>
      </c>
      <c r="R58" s="120">
        <f t="shared" si="33"/>
        <v>0</v>
      </c>
      <c r="S58" s="120">
        <f t="shared" si="33"/>
        <v>0</v>
      </c>
      <c r="T58" s="120">
        <f t="shared" si="33"/>
        <v>0</v>
      </c>
      <c r="U58" s="120">
        <f t="shared" si="33"/>
        <v>0</v>
      </c>
      <c r="V58" s="109">
        <f t="shared" si="33"/>
        <v>0</v>
      </c>
      <c r="W58" s="109">
        <f t="shared" si="33"/>
        <v>0</v>
      </c>
      <c r="X58" s="109">
        <f t="shared" si="33"/>
        <v>0</v>
      </c>
      <c r="Y58" s="109">
        <f t="shared" si="33"/>
        <v>0</v>
      </c>
      <c r="Z58" s="109">
        <f t="shared" si="33"/>
        <v>97</v>
      </c>
      <c r="AA58" s="120">
        <f t="shared" si="33"/>
        <v>0</v>
      </c>
      <c r="AB58" s="110">
        <f t="shared" si="33"/>
        <v>0.9036900000000001</v>
      </c>
    </row>
    <row r="59" spans="1:28" x14ac:dyDescent="0.2">
      <c r="A59" s="28" t="str">
        <f t="shared" si="16"/>
        <v>Euro 2027</v>
      </c>
      <c r="B59" s="7">
        <v>2016</v>
      </c>
      <c r="C59" s="27" t="s">
        <v>131</v>
      </c>
      <c r="D59" s="119">
        <f t="shared" si="31"/>
        <v>0</v>
      </c>
      <c r="E59" s="120">
        <f t="shared" si="31"/>
        <v>97</v>
      </c>
      <c r="F59" s="120">
        <f t="shared" si="31"/>
        <v>0</v>
      </c>
      <c r="G59" s="120">
        <f t="shared" si="31"/>
        <v>0</v>
      </c>
      <c r="H59" s="151">
        <f t="shared" si="31"/>
        <v>0</v>
      </c>
      <c r="I59" s="109">
        <f t="shared" si="23"/>
        <v>97</v>
      </c>
      <c r="J59" s="109">
        <f t="shared" si="23"/>
        <v>97</v>
      </c>
      <c r="K59" s="109">
        <f t="shared" si="23"/>
        <v>0</v>
      </c>
      <c r="L59" s="109">
        <f t="shared" si="23"/>
        <v>0</v>
      </c>
      <c r="M59" s="110">
        <f t="shared" si="23"/>
        <v>97</v>
      </c>
      <c r="N59" s="120">
        <f>IF(N30=0,0,N30/$B$2/$AD30*100)</f>
        <v>3.1830619991564739</v>
      </c>
      <c r="O59" s="110">
        <f t="shared" si="11"/>
        <v>3.1830600000000002</v>
      </c>
      <c r="P59" s="147"/>
      <c r="Q59" s="119">
        <f t="shared" ref="Q59:AB59" si="34">IF(Q30=0,0,Q30/$AD30*100)</f>
        <v>0</v>
      </c>
      <c r="R59" s="120">
        <f t="shared" si="34"/>
        <v>0</v>
      </c>
      <c r="S59" s="120">
        <f t="shared" si="34"/>
        <v>0</v>
      </c>
      <c r="T59" s="120">
        <f t="shared" si="34"/>
        <v>0</v>
      </c>
      <c r="U59" s="120">
        <f t="shared" si="34"/>
        <v>0</v>
      </c>
      <c r="V59" s="109">
        <f t="shared" si="34"/>
        <v>0</v>
      </c>
      <c r="W59" s="109">
        <f t="shared" si="34"/>
        <v>0</v>
      </c>
      <c r="X59" s="109">
        <f t="shared" si="34"/>
        <v>0</v>
      </c>
      <c r="Y59" s="109">
        <f t="shared" si="34"/>
        <v>0</v>
      </c>
      <c r="Z59" s="109">
        <f t="shared" si="34"/>
        <v>97</v>
      </c>
      <c r="AA59" s="120">
        <f t="shared" si="34"/>
        <v>0</v>
      </c>
      <c r="AB59" s="110">
        <f t="shared" si="34"/>
        <v>1.3388</v>
      </c>
    </row>
    <row r="60" spans="1:28" x14ac:dyDescent="0.2">
      <c r="A60" s="28" t="str">
        <f t="shared" si="16"/>
        <v>Euro 2028</v>
      </c>
      <c r="B60" s="7">
        <v>2016</v>
      </c>
      <c r="C60" s="27" t="s">
        <v>132</v>
      </c>
      <c r="D60" s="119">
        <f t="shared" si="31"/>
        <v>0</v>
      </c>
      <c r="E60" s="120">
        <f t="shared" si="31"/>
        <v>97</v>
      </c>
      <c r="F60" s="120">
        <f t="shared" si="31"/>
        <v>0</v>
      </c>
      <c r="G60" s="120">
        <f t="shared" si="31"/>
        <v>0</v>
      </c>
      <c r="H60" s="151">
        <f t="shared" si="31"/>
        <v>0</v>
      </c>
      <c r="I60" s="109">
        <f t="shared" ref="I60:M61" si="35">IF(I31=0,0,I31/$AD31*100)</f>
        <v>97</v>
      </c>
      <c r="J60" s="109">
        <f t="shared" si="35"/>
        <v>97</v>
      </c>
      <c r="K60" s="109">
        <f t="shared" si="35"/>
        <v>0</v>
      </c>
      <c r="L60" s="109">
        <f t="shared" si="35"/>
        <v>0</v>
      </c>
      <c r="M60" s="110">
        <f t="shared" si="35"/>
        <v>97</v>
      </c>
      <c r="N60" s="120">
        <f>IF(N31=0,0,N31/$B$2/$AD31*100)</f>
        <v>3.3422184732180518</v>
      </c>
      <c r="O60" s="110">
        <f t="shared" si="11"/>
        <v>3.3422199999999997</v>
      </c>
      <c r="P60" s="147"/>
      <c r="Q60" s="119">
        <f t="shared" ref="Q60:AB60" si="36">IF(Q31=0,0,Q31/$AD31*100)</f>
        <v>0</v>
      </c>
      <c r="R60" s="120">
        <f t="shared" si="36"/>
        <v>0</v>
      </c>
      <c r="S60" s="120">
        <f t="shared" si="36"/>
        <v>0</v>
      </c>
      <c r="T60" s="120">
        <f t="shared" si="36"/>
        <v>0</v>
      </c>
      <c r="U60" s="120">
        <f t="shared" si="36"/>
        <v>0</v>
      </c>
      <c r="V60" s="109">
        <f t="shared" si="36"/>
        <v>0</v>
      </c>
      <c r="W60" s="109">
        <f t="shared" si="36"/>
        <v>0</v>
      </c>
      <c r="X60" s="109">
        <f t="shared" si="36"/>
        <v>0</v>
      </c>
      <c r="Y60" s="109">
        <f t="shared" si="36"/>
        <v>0</v>
      </c>
      <c r="Z60" s="109">
        <f t="shared" si="36"/>
        <v>97</v>
      </c>
      <c r="AA60" s="120">
        <f t="shared" si="36"/>
        <v>0</v>
      </c>
      <c r="AB60" s="110">
        <f t="shared" si="36"/>
        <v>1.40574</v>
      </c>
    </row>
    <row r="61" spans="1:28" x14ac:dyDescent="0.2">
      <c r="A61" s="28" t="str">
        <f t="shared" si="16"/>
        <v>Euro 2047</v>
      </c>
      <c r="B61" s="7">
        <v>2016</v>
      </c>
      <c r="C61" s="27" t="s">
        <v>133</v>
      </c>
      <c r="D61" s="119">
        <f t="shared" si="31"/>
        <v>0</v>
      </c>
      <c r="E61" s="120">
        <f t="shared" si="31"/>
        <v>0</v>
      </c>
      <c r="F61" s="120">
        <f t="shared" si="31"/>
        <v>97</v>
      </c>
      <c r="G61" s="120">
        <f t="shared" si="31"/>
        <v>0</v>
      </c>
      <c r="H61" s="151">
        <f t="shared" si="31"/>
        <v>0</v>
      </c>
      <c r="I61" s="109">
        <f t="shared" si="35"/>
        <v>0</v>
      </c>
      <c r="J61" s="109">
        <f t="shared" si="35"/>
        <v>97</v>
      </c>
      <c r="K61" s="109">
        <f t="shared" si="35"/>
        <v>0</v>
      </c>
      <c r="L61" s="109">
        <f t="shared" si="35"/>
        <v>0</v>
      </c>
      <c r="M61" s="110">
        <f t="shared" si="35"/>
        <v>97</v>
      </c>
      <c r="N61" s="120">
        <f>IF(N32=0,0,N32/$B$2/$AD32*100)</f>
        <v>5.1229523407844795</v>
      </c>
      <c r="O61" s="110">
        <f t="shared" si="11"/>
        <v>5.1229500000000003</v>
      </c>
      <c r="P61" s="147"/>
      <c r="Q61" s="119">
        <f t="shared" ref="Q61:AB61" si="37">IF(Q32=0,0,Q32/$AD32*100)</f>
        <v>0</v>
      </c>
      <c r="R61" s="120">
        <f t="shared" si="37"/>
        <v>0</v>
      </c>
      <c r="S61" s="120">
        <f t="shared" si="37"/>
        <v>0</v>
      </c>
      <c r="T61" s="120">
        <f t="shared" si="37"/>
        <v>0</v>
      </c>
      <c r="U61" s="120">
        <f t="shared" si="37"/>
        <v>0</v>
      </c>
      <c r="V61" s="109">
        <f t="shared" si="37"/>
        <v>0</v>
      </c>
      <c r="W61" s="109">
        <f t="shared" si="37"/>
        <v>0</v>
      </c>
      <c r="X61" s="109">
        <f t="shared" si="37"/>
        <v>0</v>
      </c>
      <c r="Y61" s="109">
        <f t="shared" si="37"/>
        <v>0</v>
      </c>
      <c r="Z61" s="109">
        <f t="shared" si="37"/>
        <v>97</v>
      </c>
      <c r="AA61" s="120">
        <f t="shared" si="37"/>
        <v>0</v>
      </c>
      <c r="AB61" s="110">
        <f t="shared" si="37"/>
        <v>2.8176199999999998</v>
      </c>
    </row>
    <row r="62" spans="1:28" x14ac:dyDescent="0.2">
      <c r="A62" s="36" t="str">
        <f t="shared" si="16"/>
        <v>CHF 2020</v>
      </c>
      <c r="B62" s="10">
        <v>2016</v>
      </c>
      <c r="C62" s="29" t="s">
        <v>130</v>
      </c>
      <c r="D62" s="123">
        <f>IF(D33=0,0,D33/$B$3/$AD33*100)</f>
        <v>97</v>
      </c>
      <c r="E62" s="124">
        <f>IF(E33=0,0,E33/$B$3/$AD33*100)</f>
        <v>0</v>
      </c>
      <c r="F62" s="124">
        <f>IF(F33=0,0,F33/$B$3/$AD33*100)</f>
        <v>0</v>
      </c>
      <c r="G62" s="124">
        <f>IF(G33=0,0,G33/$B$3/$AD33*100)</f>
        <v>0</v>
      </c>
      <c r="H62" s="149">
        <f>IF(H33=0,0,H33/$B$3/$AD33*100)</f>
        <v>0</v>
      </c>
      <c r="I62" s="124">
        <f>IF(I33=0,0,I33/$B$4/$AD33*100)</f>
        <v>96.995814003668158</v>
      </c>
      <c r="J62" s="124">
        <f>IF(J33=0,0,J33/$B$4/$AD33*100)</f>
        <v>96.995814003668158</v>
      </c>
      <c r="K62" s="124">
        <f>IF(K33=0,0,K33/$B$4/$AD33*100)</f>
        <v>0</v>
      </c>
      <c r="L62" s="124">
        <f>IF(L33=0,0,L33/$B$4/$AD33*100)</f>
        <v>0</v>
      </c>
      <c r="M62" s="149">
        <f>IF(M33=0,0,M33/$B$4/$AD33*100)</f>
        <v>96.995814003668158</v>
      </c>
      <c r="N62" s="124">
        <f>IF(N33=0,0,N33/$B$3/$AD33*100)</f>
        <v>3.0187477247906811</v>
      </c>
      <c r="O62" s="149">
        <f>IF(O33=0,0,O33/$B$4/$AD33*100)</f>
        <v>3.0186212104865682</v>
      </c>
      <c r="P62" s="147"/>
      <c r="Q62" s="123">
        <f t="shared" ref="Q62:Y62" si="38">IF(Q33=0,0,Q33/$AD33*100)</f>
        <v>0</v>
      </c>
      <c r="R62" s="124">
        <f t="shared" si="38"/>
        <v>0</v>
      </c>
      <c r="S62" s="124">
        <f t="shared" si="38"/>
        <v>0</v>
      </c>
      <c r="T62" s="124">
        <f t="shared" si="38"/>
        <v>0</v>
      </c>
      <c r="U62" s="124">
        <f t="shared" si="38"/>
        <v>0</v>
      </c>
      <c r="V62" s="124">
        <f t="shared" si="38"/>
        <v>0</v>
      </c>
      <c r="W62" s="124">
        <f t="shared" si="38"/>
        <v>0</v>
      </c>
      <c r="X62" s="124">
        <f t="shared" si="38"/>
        <v>0</v>
      </c>
      <c r="Y62" s="124">
        <f t="shared" si="38"/>
        <v>0</v>
      </c>
      <c r="Z62" s="124">
        <f>IF(Z33=0,0,Z33/$B$4/$AD33*100)</f>
        <v>96.995814003668158</v>
      </c>
      <c r="AA62" s="124">
        <f>IF(AA33=0,0,AA33/$AD33*100)</f>
        <v>0</v>
      </c>
      <c r="AB62" s="149">
        <f>IF(AB33=0,0,AB33/$B$4/$AD33*100)</f>
        <v>1.781173805156975</v>
      </c>
    </row>
    <row r="63" spans="1:28" x14ac:dyDescent="0.2">
      <c r="B63" s="7"/>
      <c r="D63" s="158" t="s">
        <v>271</v>
      </c>
    </row>
    <row r="82" spans="1:1" x14ac:dyDescent="0.2">
      <c r="A82" s="58"/>
    </row>
    <row r="83" spans="1:1" x14ac:dyDescent="0.2">
      <c r="A83" s="58"/>
    </row>
    <row r="98" spans="12:13" x14ac:dyDescent="0.2">
      <c r="L98" s="7"/>
      <c r="M98" s="7"/>
    </row>
    <row r="99" spans="12:13" x14ac:dyDescent="0.2">
      <c r="L99" s="109"/>
      <c r="M99" s="109"/>
    </row>
    <row r="100" spans="12:13" x14ac:dyDescent="0.2">
      <c r="L100" s="109"/>
      <c r="M100" s="109"/>
    </row>
    <row r="101" spans="12:13" x14ac:dyDescent="0.2">
      <c r="L101" s="109"/>
      <c r="M101" s="109"/>
    </row>
    <row r="102" spans="12:13" x14ac:dyDescent="0.2">
      <c r="L102" s="109"/>
      <c r="M102" s="109"/>
    </row>
    <row r="103" spans="12:13" x14ac:dyDescent="0.2">
      <c r="L103" s="109"/>
      <c r="M103" s="109"/>
    </row>
    <row r="104" spans="12:13" x14ac:dyDescent="0.2">
      <c r="L104" s="109"/>
      <c r="M104" s="109"/>
    </row>
    <row r="105" spans="12:13" x14ac:dyDescent="0.2">
      <c r="L105" s="109"/>
      <c r="M105" s="109"/>
    </row>
    <row r="106" spans="12:13" x14ac:dyDescent="0.2">
      <c r="L106" s="109"/>
      <c r="M106" s="109"/>
    </row>
    <row r="107" spans="12:13" x14ac:dyDescent="0.2">
      <c r="L107" s="109"/>
      <c r="M107" s="109"/>
    </row>
    <row r="108" spans="12:13" x14ac:dyDescent="0.2">
      <c r="L108" s="109"/>
      <c r="M108" s="109"/>
    </row>
    <row r="109" spans="12:13" x14ac:dyDescent="0.2">
      <c r="L109" s="109"/>
      <c r="M109" s="109"/>
    </row>
    <row r="110" spans="12:13" x14ac:dyDescent="0.2">
      <c r="L110" s="109"/>
      <c r="M110" s="109"/>
    </row>
    <row r="111" spans="12:13" x14ac:dyDescent="0.2">
      <c r="L111" s="109"/>
      <c r="M111" s="109"/>
    </row>
    <row r="112" spans="12:13" x14ac:dyDescent="0.2">
      <c r="L112" s="109"/>
      <c r="M112" s="109"/>
    </row>
    <row r="113" spans="1:13" x14ac:dyDescent="0.2">
      <c r="L113" s="109"/>
      <c r="M113" s="109"/>
    </row>
    <row r="114" spans="1:13" x14ac:dyDescent="0.2">
      <c r="L114" s="109"/>
      <c r="M114" s="109"/>
    </row>
    <row r="115" spans="1:13" x14ac:dyDescent="0.2">
      <c r="L115" s="109"/>
      <c r="M115" s="109"/>
    </row>
    <row r="116" spans="1:13" x14ac:dyDescent="0.2">
      <c r="L116" s="109"/>
      <c r="M116" s="109"/>
    </row>
    <row r="117" spans="1:13" x14ac:dyDescent="0.2">
      <c r="L117" s="109"/>
      <c r="M117" s="109"/>
    </row>
    <row r="118" spans="1:13" x14ac:dyDescent="0.2">
      <c r="L118" s="109"/>
      <c r="M118" s="109"/>
    </row>
    <row r="119" spans="1:13" x14ac:dyDescent="0.2">
      <c r="L119" s="109"/>
      <c r="M119" s="109"/>
    </row>
    <row r="120" spans="1:13" x14ac:dyDescent="0.2">
      <c r="L120" s="109"/>
      <c r="M120" s="109"/>
    </row>
    <row r="121" spans="1:13" x14ac:dyDescent="0.2">
      <c r="L121" s="109"/>
      <c r="M121" s="109"/>
    </row>
    <row r="122" spans="1:13" x14ac:dyDescent="0.2">
      <c r="L122" s="109"/>
      <c r="M122" s="109"/>
    </row>
    <row r="123" spans="1:13" x14ac:dyDescent="0.2">
      <c r="L123" s="109"/>
      <c r="M123" s="109"/>
    </row>
    <row r="124" spans="1:13" x14ac:dyDescent="0.2">
      <c r="L124" s="109"/>
      <c r="M124" s="109"/>
    </row>
    <row r="125" spans="1:13" x14ac:dyDescent="0.2">
      <c r="L125" s="109"/>
      <c r="M125" s="109"/>
    </row>
    <row r="126" spans="1:13" x14ac:dyDescent="0.2">
      <c r="L126" s="109"/>
      <c r="M126" s="109"/>
    </row>
    <row r="127" spans="1:13" x14ac:dyDescent="0.2">
      <c r="L127" s="109"/>
      <c r="M127" s="109"/>
    </row>
    <row r="128" spans="1:13" x14ac:dyDescent="0.2">
      <c r="A128" s="7"/>
      <c r="B128" s="51"/>
      <c r="C128" s="51"/>
      <c r="D128" s="51"/>
      <c r="E128" s="51"/>
      <c r="F128" s="51"/>
      <c r="G128" s="51"/>
      <c r="H128" s="51"/>
      <c r="I128" s="51"/>
    </row>
    <row r="129" spans="1:9" x14ac:dyDescent="0.2">
      <c r="A129" s="7"/>
      <c r="B129" s="51"/>
      <c r="C129" s="51"/>
      <c r="D129" s="51"/>
      <c r="E129" s="51"/>
      <c r="F129" s="51"/>
      <c r="G129" s="51"/>
      <c r="H129" s="51"/>
      <c r="I129" s="51"/>
    </row>
    <row r="130" spans="1:9" x14ac:dyDescent="0.2">
      <c r="A130" s="7"/>
      <c r="B130" s="51"/>
      <c r="C130" s="51"/>
      <c r="D130" s="51"/>
      <c r="E130" s="51"/>
      <c r="F130" s="51"/>
      <c r="G130" s="51"/>
      <c r="H130" s="51"/>
      <c r="I130" s="51"/>
    </row>
    <row r="131" spans="1:9" x14ac:dyDescent="0.2">
      <c r="A131" s="7"/>
      <c r="B131" s="51"/>
      <c r="C131" s="51"/>
      <c r="D131" s="51"/>
      <c r="E131" s="51"/>
      <c r="F131" s="51"/>
      <c r="G131" s="51"/>
      <c r="H131" s="51"/>
      <c r="I131" s="51"/>
    </row>
    <row r="132" spans="1:9" x14ac:dyDescent="0.2">
      <c r="A132" s="7"/>
      <c r="B132" s="51"/>
      <c r="C132" s="51"/>
      <c r="D132" s="51"/>
      <c r="E132" s="51"/>
      <c r="F132" s="51"/>
      <c r="G132" s="51"/>
      <c r="H132" s="51"/>
      <c r="I132" s="51"/>
    </row>
    <row r="133" spans="1:9" x14ac:dyDescent="0.2">
      <c r="A133" s="7"/>
      <c r="B133" s="51"/>
      <c r="C133" s="51"/>
      <c r="D133" s="51"/>
      <c r="E133" s="51"/>
      <c r="F133" s="51"/>
      <c r="G133" s="51"/>
      <c r="H133" s="51"/>
      <c r="I133" s="51"/>
    </row>
    <row r="134" spans="1:9" x14ac:dyDescent="0.2">
      <c r="A134" s="7"/>
      <c r="B134" s="51"/>
      <c r="C134" s="51"/>
      <c r="D134" s="51"/>
      <c r="E134" s="51"/>
      <c r="F134" s="51"/>
      <c r="G134" s="51"/>
      <c r="H134" s="51"/>
      <c r="I134" s="51"/>
    </row>
    <row r="135" spans="1:9" x14ac:dyDescent="0.2">
      <c r="A135" s="7"/>
      <c r="B135" s="51"/>
      <c r="C135" s="51"/>
      <c r="D135" s="51"/>
      <c r="E135" s="51"/>
      <c r="F135" s="51"/>
      <c r="G135" s="51"/>
      <c r="H135" s="51"/>
      <c r="I135" s="51"/>
    </row>
    <row r="136" spans="1:9" x14ac:dyDescent="0.2">
      <c r="A136" s="7"/>
      <c r="B136" s="51"/>
      <c r="C136" s="51"/>
      <c r="D136" s="51"/>
      <c r="E136" s="51"/>
      <c r="F136" s="51"/>
      <c r="G136" s="51"/>
      <c r="H136" s="51"/>
      <c r="I136" s="51"/>
    </row>
    <row r="137" spans="1:9" x14ac:dyDescent="0.2">
      <c r="A137" s="7"/>
      <c r="B137" s="51"/>
      <c r="C137" s="51"/>
      <c r="D137" s="51"/>
      <c r="E137" s="51"/>
      <c r="F137" s="51"/>
      <c r="G137" s="51"/>
      <c r="H137" s="51"/>
      <c r="I137" s="51"/>
    </row>
    <row r="138" spans="1:9" x14ac:dyDescent="0.2">
      <c r="A138" s="7"/>
      <c r="B138" s="51"/>
      <c r="C138" s="51"/>
      <c r="D138" s="51"/>
      <c r="E138" s="51"/>
      <c r="F138" s="51"/>
      <c r="G138" s="51"/>
      <c r="H138" s="51"/>
      <c r="I138" s="51"/>
    </row>
    <row r="139" spans="1:9" x14ac:dyDescent="0.2">
      <c r="A139" s="58"/>
    </row>
    <row r="141" spans="1:9" x14ac:dyDescent="0.2">
      <c r="A141" s="7"/>
      <c r="B141" s="7"/>
      <c r="C141" s="7"/>
      <c r="D141" s="7"/>
      <c r="E141" s="7"/>
      <c r="F141" s="7"/>
      <c r="G141" s="7"/>
      <c r="H141" s="7"/>
      <c r="I141" s="7"/>
    </row>
    <row r="142" spans="1:9" x14ac:dyDescent="0.2">
      <c r="A142" s="7"/>
      <c r="B142" s="51"/>
      <c r="C142" s="51"/>
      <c r="D142" s="51"/>
      <c r="E142" s="51"/>
      <c r="F142" s="51"/>
      <c r="G142" s="51"/>
      <c r="H142" s="51"/>
      <c r="I142" s="51"/>
    </row>
    <row r="143" spans="1:9" x14ac:dyDescent="0.2">
      <c r="A143" s="7"/>
      <c r="B143" s="51"/>
      <c r="C143" s="51"/>
      <c r="D143" s="51"/>
      <c r="E143" s="51"/>
      <c r="F143" s="51"/>
      <c r="G143" s="51"/>
      <c r="H143" s="51"/>
      <c r="I143" s="51"/>
    </row>
    <row r="144" spans="1:9" x14ac:dyDescent="0.2">
      <c r="A144" s="7"/>
      <c r="B144" s="51"/>
      <c r="C144" s="51"/>
      <c r="D144" s="51"/>
      <c r="E144" s="51"/>
      <c r="F144" s="51"/>
      <c r="G144" s="51"/>
      <c r="H144" s="51"/>
      <c r="I144" s="51"/>
    </row>
    <row r="145" spans="1:9" x14ac:dyDescent="0.2">
      <c r="A145" s="7"/>
      <c r="B145" s="51"/>
      <c r="C145" s="51"/>
      <c r="D145" s="51"/>
      <c r="E145" s="51"/>
      <c r="F145" s="51"/>
      <c r="G145" s="51"/>
      <c r="H145" s="51"/>
      <c r="I145" s="51"/>
    </row>
    <row r="146" spans="1:9" x14ac:dyDescent="0.2">
      <c r="A146" s="7"/>
      <c r="B146" s="51"/>
      <c r="C146" s="51"/>
      <c r="D146" s="51"/>
      <c r="E146" s="51"/>
      <c r="F146" s="51"/>
      <c r="G146" s="51"/>
      <c r="H146" s="51"/>
      <c r="I146" s="51"/>
    </row>
    <row r="147" spans="1:9" x14ac:dyDescent="0.2">
      <c r="A147" s="7"/>
      <c r="B147" s="51"/>
      <c r="C147" s="51"/>
      <c r="D147" s="51"/>
      <c r="E147" s="51"/>
      <c r="F147" s="51"/>
      <c r="G147" s="51"/>
      <c r="H147" s="51"/>
      <c r="I147" s="51"/>
    </row>
    <row r="148" spans="1:9" x14ac:dyDescent="0.2">
      <c r="A148" s="7"/>
      <c r="B148" s="51"/>
      <c r="C148" s="51"/>
      <c r="D148" s="51"/>
      <c r="E148" s="51"/>
      <c r="F148" s="51"/>
      <c r="G148" s="51"/>
      <c r="H148" s="51"/>
      <c r="I148" s="51"/>
    </row>
    <row r="149" spans="1:9" x14ac:dyDescent="0.2">
      <c r="A149" s="7"/>
      <c r="B149" s="51"/>
      <c r="C149" s="51"/>
      <c r="D149" s="51"/>
      <c r="E149" s="51"/>
      <c r="F149" s="51"/>
      <c r="G149" s="51"/>
      <c r="H149" s="51"/>
      <c r="I149" s="51"/>
    </row>
    <row r="150" spans="1:9" x14ac:dyDescent="0.2">
      <c r="A150" s="7"/>
      <c r="B150" s="51"/>
      <c r="C150" s="51"/>
      <c r="D150" s="51"/>
      <c r="E150" s="51"/>
      <c r="F150" s="51"/>
      <c r="G150" s="51"/>
      <c r="H150" s="51"/>
      <c r="I150" s="51"/>
    </row>
    <row r="151" spans="1:9" x14ac:dyDescent="0.2">
      <c r="A151" s="7"/>
      <c r="B151" s="51"/>
      <c r="C151" s="51"/>
      <c r="D151" s="51"/>
      <c r="E151" s="51"/>
      <c r="F151" s="51"/>
      <c r="G151" s="51"/>
      <c r="H151" s="51"/>
      <c r="I151" s="51"/>
    </row>
    <row r="152" spans="1:9" x14ac:dyDescent="0.2">
      <c r="A152" s="7"/>
      <c r="B152" s="51"/>
      <c r="C152" s="51"/>
      <c r="D152" s="51"/>
      <c r="E152" s="51"/>
      <c r="F152" s="51"/>
      <c r="G152" s="51"/>
      <c r="H152" s="51"/>
      <c r="I152" s="51"/>
    </row>
    <row r="153" spans="1:9" x14ac:dyDescent="0.2">
      <c r="A153" s="7"/>
      <c r="B153" s="51"/>
      <c r="C153" s="51"/>
      <c r="D153" s="51"/>
      <c r="E153" s="51"/>
      <c r="F153" s="51"/>
      <c r="G153" s="51"/>
      <c r="H153" s="51"/>
      <c r="I153" s="51"/>
    </row>
    <row r="154" spans="1:9" x14ac:dyDescent="0.2">
      <c r="A154" s="7"/>
      <c r="B154" s="51"/>
      <c r="C154" s="51"/>
      <c r="D154" s="51"/>
      <c r="E154" s="51"/>
      <c r="F154" s="51"/>
      <c r="G154" s="51"/>
      <c r="H154" s="51"/>
      <c r="I154" s="51"/>
    </row>
    <row r="155" spans="1:9" x14ac:dyDescent="0.2">
      <c r="A155" s="7"/>
      <c r="B155" s="51"/>
      <c r="C155" s="51"/>
      <c r="D155" s="51"/>
      <c r="E155" s="51"/>
      <c r="F155" s="51"/>
      <c r="G155" s="51"/>
      <c r="H155" s="51"/>
      <c r="I155" s="51"/>
    </row>
    <row r="156" spans="1:9" x14ac:dyDescent="0.2">
      <c r="A156" s="7"/>
      <c r="B156" s="51"/>
      <c r="C156" s="51"/>
      <c r="D156" s="51"/>
      <c r="E156" s="51"/>
      <c r="F156" s="51"/>
      <c r="G156" s="51"/>
      <c r="H156" s="51"/>
      <c r="I156" s="51"/>
    </row>
    <row r="157" spans="1:9" x14ac:dyDescent="0.2">
      <c r="A157" s="7"/>
      <c r="B157" s="51"/>
      <c r="C157" s="51"/>
      <c r="D157" s="51"/>
      <c r="E157" s="51"/>
      <c r="F157" s="51"/>
      <c r="G157" s="51"/>
      <c r="H157" s="51"/>
      <c r="I157" s="51"/>
    </row>
    <row r="158" spans="1:9" x14ac:dyDescent="0.2">
      <c r="A158" s="7"/>
      <c r="B158" s="51"/>
      <c r="C158" s="51"/>
      <c r="D158" s="51"/>
      <c r="E158" s="51"/>
      <c r="F158" s="51"/>
      <c r="G158" s="51"/>
      <c r="H158" s="51"/>
      <c r="I158" s="51"/>
    </row>
  </sheetData>
  <mergeCells count="2">
    <mergeCell ref="D5:O5"/>
    <mergeCell ref="Q5:AB5"/>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BECCB-A2C3-854C-B29C-68948515F43A}">
  <sheetPr codeName="Sheet5"/>
  <dimension ref="A1:BT91"/>
  <sheetViews>
    <sheetView showGridLines="0" zoomScale="80" zoomScaleNormal="80" workbookViewId="0"/>
  </sheetViews>
  <sheetFormatPr baseColWidth="10" defaultColWidth="11.5" defaultRowHeight="15" x14ac:dyDescent="0.2"/>
  <cols>
    <col min="1" max="1" width="28" customWidth="1"/>
    <col min="2" max="2" width="10.33203125" bestFit="1" customWidth="1"/>
    <col min="3" max="3" width="26.5" bestFit="1" customWidth="1"/>
    <col min="4" max="21" width="12.6640625" customWidth="1"/>
    <col min="22" max="26" width="11" customWidth="1"/>
    <col min="27" max="27" width="12" customWidth="1"/>
    <col min="28" max="28" width="10.1640625" customWidth="1"/>
    <col min="29" max="58" width="11.5" customWidth="1"/>
    <col min="59" max="59" width="21.1640625" customWidth="1"/>
    <col min="60" max="60" width="19.83203125" customWidth="1"/>
    <col min="61" max="71" width="11.5" customWidth="1"/>
    <col min="72" max="72" width="17.5" bestFit="1" customWidth="1"/>
  </cols>
  <sheetData>
    <row r="1" spans="1:72" x14ac:dyDescent="0.2">
      <c r="D1" s="60"/>
      <c r="E1" s="33"/>
      <c r="G1" s="33"/>
    </row>
    <row r="2" spans="1:72" ht="40" customHeight="1" x14ac:dyDescent="0.25">
      <c r="A2" s="34"/>
      <c r="B2" s="35"/>
      <c r="C2" s="35"/>
      <c r="D2" s="265" t="s">
        <v>152</v>
      </c>
      <c r="E2" s="267" t="s">
        <v>262</v>
      </c>
      <c r="F2" s="267" t="s">
        <v>348</v>
      </c>
      <c r="G2" s="267" t="s">
        <v>138</v>
      </c>
      <c r="H2" s="269" t="s">
        <v>140</v>
      </c>
      <c r="I2" s="256" t="s">
        <v>307</v>
      </c>
      <c r="J2" s="256"/>
      <c r="K2" s="256"/>
      <c r="L2" s="256"/>
      <c r="M2" s="256"/>
      <c r="N2" s="256"/>
      <c r="O2" s="256"/>
      <c r="P2" s="256"/>
      <c r="Q2" s="256"/>
      <c r="R2" s="257"/>
      <c r="S2" s="258" t="s">
        <v>308</v>
      </c>
      <c r="T2" s="256"/>
      <c r="U2" s="256"/>
      <c r="V2" s="256"/>
      <c r="W2" s="256"/>
      <c r="X2" s="256"/>
      <c r="Y2" s="256"/>
      <c r="Z2" s="256"/>
      <c r="AA2" s="256"/>
      <c r="AB2" s="257"/>
      <c r="AC2" s="259" t="s">
        <v>319</v>
      </c>
      <c r="AD2" s="260"/>
      <c r="AE2" s="260"/>
      <c r="AF2" s="260"/>
      <c r="AG2" s="260"/>
      <c r="AH2" s="260"/>
      <c r="AI2" s="260"/>
      <c r="AJ2" s="260"/>
      <c r="AK2" s="260"/>
      <c r="AL2" s="261"/>
      <c r="AM2" s="259" t="s">
        <v>320</v>
      </c>
      <c r="AN2" s="260"/>
      <c r="AO2" s="260"/>
      <c r="AP2" s="260"/>
      <c r="AQ2" s="260"/>
      <c r="AR2" s="260"/>
      <c r="AS2" s="260"/>
      <c r="AT2" s="260"/>
      <c r="AU2" s="260"/>
      <c r="AV2" s="261"/>
      <c r="AW2" s="262" t="s">
        <v>321</v>
      </c>
      <c r="AX2" s="263"/>
      <c r="AY2" s="263"/>
      <c r="AZ2" s="263"/>
      <c r="BA2" s="263"/>
      <c r="BB2" s="263"/>
      <c r="BC2" s="263"/>
      <c r="BD2" s="263"/>
      <c r="BE2" s="263"/>
      <c r="BF2" s="264"/>
    </row>
    <row r="3" spans="1:72" ht="45" customHeight="1" x14ac:dyDescent="0.2">
      <c r="A3" s="36" t="s">
        <v>164</v>
      </c>
      <c r="B3" s="10" t="s">
        <v>104</v>
      </c>
      <c r="C3" s="9" t="s">
        <v>103</v>
      </c>
      <c r="D3" s="266"/>
      <c r="E3" s="268"/>
      <c r="F3" s="268"/>
      <c r="G3" s="268"/>
      <c r="H3" s="270"/>
      <c r="I3" s="9" t="s">
        <v>107</v>
      </c>
      <c r="J3" s="9" t="s">
        <v>109</v>
      </c>
      <c r="K3" s="9" t="s">
        <v>115</v>
      </c>
      <c r="L3" s="9" t="s">
        <v>111</v>
      </c>
      <c r="M3" s="9" t="s">
        <v>113</v>
      </c>
      <c r="N3" s="9" t="s">
        <v>108</v>
      </c>
      <c r="O3" s="9" t="s">
        <v>110</v>
      </c>
      <c r="P3" s="9" t="s">
        <v>112</v>
      </c>
      <c r="Q3" s="9" t="s">
        <v>114</v>
      </c>
      <c r="R3" s="29" t="s">
        <v>116</v>
      </c>
      <c r="S3" s="9" t="s">
        <v>107</v>
      </c>
      <c r="T3" s="9" t="s">
        <v>109</v>
      </c>
      <c r="U3" s="9" t="s">
        <v>115</v>
      </c>
      <c r="V3" s="9" t="s">
        <v>111</v>
      </c>
      <c r="W3" s="9" t="s">
        <v>113</v>
      </c>
      <c r="X3" s="9" t="s">
        <v>108</v>
      </c>
      <c r="Y3" s="9" t="s">
        <v>110</v>
      </c>
      <c r="Z3" s="9" t="s">
        <v>112</v>
      </c>
      <c r="AA3" s="9" t="s">
        <v>114</v>
      </c>
      <c r="AB3" s="29" t="s">
        <v>116</v>
      </c>
      <c r="AC3" s="9" t="s">
        <v>107</v>
      </c>
      <c r="AD3" s="9" t="s">
        <v>109</v>
      </c>
      <c r="AE3" s="9" t="s">
        <v>115</v>
      </c>
      <c r="AF3" s="9" t="s">
        <v>111</v>
      </c>
      <c r="AG3" s="9" t="s">
        <v>113</v>
      </c>
      <c r="AH3" s="9" t="s">
        <v>108</v>
      </c>
      <c r="AI3" s="9" t="s">
        <v>110</v>
      </c>
      <c r="AJ3" s="9" t="s">
        <v>112</v>
      </c>
      <c r="AK3" s="9" t="s">
        <v>114</v>
      </c>
      <c r="AL3" s="9" t="s">
        <v>116</v>
      </c>
      <c r="AM3" s="36" t="s">
        <v>107</v>
      </c>
      <c r="AN3" s="9" t="s">
        <v>109</v>
      </c>
      <c r="AO3" s="9" t="s">
        <v>115</v>
      </c>
      <c r="AP3" s="9" t="s">
        <v>111</v>
      </c>
      <c r="AQ3" s="9" t="s">
        <v>113</v>
      </c>
      <c r="AR3" s="9" t="s">
        <v>108</v>
      </c>
      <c r="AS3" s="9" t="s">
        <v>110</v>
      </c>
      <c r="AT3" s="9" t="s">
        <v>112</v>
      </c>
      <c r="AU3" s="9" t="s">
        <v>114</v>
      </c>
      <c r="AV3" s="29" t="s">
        <v>116</v>
      </c>
      <c r="AW3" s="36" t="s">
        <v>107</v>
      </c>
      <c r="AX3" s="9" t="s">
        <v>109</v>
      </c>
      <c r="AY3" s="9" t="s">
        <v>115</v>
      </c>
      <c r="AZ3" s="9" t="s">
        <v>111</v>
      </c>
      <c r="BA3" s="9" t="s">
        <v>113</v>
      </c>
      <c r="BB3" s="9" t="s">
        <v>108</v>
      </c>
      <c r="BC3" s="9" t="s">
        <v>110</v>
      </c>
      <c r="BD3" s="9" t="s">
        <v>112</v>
      </c>
      <c r="BE3" s="9" t="s">
        <v>114</v>
      </c>
      <c r="BF3" s="29" t="s">
        <v>116</v>
      </c>
    </row>
    <row r="4" spans="1:72" x14ac:dyDescent="0.2">
      <c r="A4" s="28" t="str">
        <f>C4</f>
        <v>USD 2033 Discount I</v>
      </c>
      <c r="B4" s="7">
        <v>2005</v>
      </c>
      <c r="C4" s="27" t="s">
        <v>134</v>
      </c>
      <c r="D4" s="60">
        <v>2950447.8659999999</v>
      </c>
      <c r="E4" s="60">
        <v>3732792.3289999999</v>
      </c>
      <c r="F4" s="60">
        <v>403847.696</v>
      </c>
      <c r="G4" s="60">
        <v>3857694.6680000001</v>
      </c>
      <c r="H4" s="154">
        <v>0.9676225440971058</v>
      </c>
      <c r="I4" s="48">
        <v>0</v>
      </c>
      <c r="J4" s="25">
        <v>0</v>
      </c>
      <c r="K4" s="25">
        <v>1590.021</v>
      </c>
      <c r="L4" s="25">
        <v>2929952.9369999999</v>
      </c>
      <c r="M4" s="25">
        <v>18904.907999999999</v>
      </c>
      <c r="N4" s="25">
        <v>0</v>
      </c>
      <c r="O4" s="25">
        <v>0</v>
      </c>
      <c r="P4" s="25">
        <v>0</v>
      </c>
      <c r="Q4" s="25">
        <v>0</v>
      </c>
      <c r="R4" s="46">
        <v>0</v>
      </c>
      <c r="S4" s="25">
        <v>0</v>
      </c>
      <c r="T4" s="25">
        <v>0</v>
      </c>
      <c r="U4" s="25">
        <v>1590.021</v>
      </c>
      <c r="V4" s="25">
        <v>2929952.9369999999</v>
      </c>
      <c r="W4" s="25">
        <v>18904.907999999999</v>
      </c>
      <c r="X4" s="25">
        <v>0</v>
      </c>
      <c r="Y4" s="25">
        <v>0</v>
      </c>
      <c r="Z4" s="25">
        <v>0</v>
      </c>
      <c r="AA4" s="25">
        <v>0</v>
      </c>
      <c r="AB4" s="46">
        <v>0</v>
      </c>
      <c r="AC4" s="52">
        <f t="shared" ref="AC4:AC14" si="0">IFERROR(I4/$D4,"")</f>
        <v>0</v>
      </c>
      <c r="AD4" s="52">
        <f t="shared" ref="AD4:AD14" si="1">IFERROR(J4/$D4,"")</f>
        <v>0</v>
      </c>
      <c r="AE4" s="52">
        <f t="shared" ref="AE4:AE14" si="2">IFERROR(K4/$D4,"")</f>
        <v>5.3890835297341943E-4</v>
      </c>
      <c r="AF4" s="52">
        <f t="shared" ref="AF4:AF14" si="3">IFERROR(L4/$D4,"")</f>
        <v>0.99305362103286865</v>
      </c>
      <c r="AG4" s="52">
        <f t="shared" ref="AG4:AG14" si="4">IFERROR(M4/$D4,"")</f>
        <v>6.4074706141579391E-3</v>
      </c>
      <c r="AH4" s="52">
        <f t="shared" ref="AH4:AH14" si="5">IFERROR(N4/$D4,"")</f>
        <v>0</v>
      </c>
      <c r="AI4" s="52">
        <f t="shared" ref="AI4:AI14" si="6">IFERROR(O4/$D4,"")</f>
        <v>0</v>
      </c>
      <c r="AJ4" s="52">
        <f t="shared" ref="AJ4:AJ14" si="7">IFERROR(P4/$D4,"")</f>
        <v>0</v>
      </c>
      <c r="AK4" s="52">
        <f t="shared" ref="AK4:AK14" si="8">IFERROR(Q4/$D4,"")</f>
        <v>0</v>
      </c>
      <c r="AL4" s="52">
        <f t="shared" ref="AL4:AL14" si="9">IFERROR(R4/$D4,"")</f>
        <v>0</v>
      </c>
      <c r="AM4" s="53">
        <f t="shared" ref="AM4:AM14" si="10">IFERROR(S4/$D4,"")</f>
        <v>0</v>
      </c>
      <c r="AN4" s="52">
        <f t="shared" ref="AN4:AN14" si="11">IFERROR(T4/$D4,"")</f>
        <v>0</v>
      </c>
      <c r="AO4" s="52">
        <f t="shared" ref="AO4:AO14" si="12">IFERROR(U4/$D4,"")</f>
        <v>5.3890835297341943E-4</v>
      </c>
      <c r="AP4" s="52">
        <f t="shared" ref="AP4:AP14" si="13">IFERROR(V4/$D4,"")</f>
        <v>0.99305362103286865</v>
      </c>
      <c r="AQ4" s="52">
        <f t="shared" ref="AQ4:AQ14" si="14">IFERROR(W4/$D4,"")</f>
        <v>6.4074706141579391E-3</v>
      </c>
      <c r="AR4" s="52">
        <f t="shared" ref="AR4:AR14" si="15">IFERROR(X4/$D4,"")</f>
        <v>0</v>
      </c>
      <c r="AS4" s="52">
        <f t="shared" ref="AS4:AS14" si="16">IFERROR(Y4/$D4,"")</f>
        <v>0</v>
      </c>
      <c r="AT4" s="52">
        <f t="shared" ref="AT4:AT14" si="17">IFERROR(Z4/$D4,"")</f>
        <v>0</v>
      </c>
      <c r="AU4" s="52">
        <f t="shared" ref="AU4:AU14" si="18">IFERROR(AA4/$D4,"")</f>
        <v>0</v>
      </c>
      <c r="AV4" s="54">
        <f t="shared" ref="AV4:AV14" si="19">IFERROR(AB4/$D4,"")</f>
        <v>0</v>
      </c>
      <c r="AW4" s="53">
        <f>AM4-AC4</f>
        <v>0</v>
      </c>
      <c r="AX4" s="52">
        <f t="shared" ref="AX4:AX28" si="20">AN4-AD4</f>
        <v>0</v>
      </c>
      <c r="AY4" s="52">
        <f t="shared" ref="AY4:AY28" si="21">AO4-AE4</f>
        <v>0</v>
      </c>
      <c r="AZ4" s="52">
        <f t="shared" ref="AZ4:AZ28" si="22">AP4-AF4</f>
        <v>0</v>
      </c>
      <c r="BA4" s="52">
        <f t="shared" ref="BA4:BA28" si="23">AQ4-AG4</f>
        <v>0</v>
      </c>
      <c r="BB4" s="52">
        <f t="shared" ref="BB4:BB28" si="24">AR4-AH4</f>
        <v>0</v>
      </c>
      <c r="BC4" s="52">
        <f t="shared" ref="BC4:BC28" si="25">AS4-AI4</f>
        <v>0</v>
      </c>
      <c r="BD4" s="52">
        <f t="shared" ref="BD4:BD28" si="26">AT4-AJ4</f>
        <v>0</v>
      </c>
      <c r="BE4" s="52">
        <f t="shared" ref="BE4:BE28" si="27">AU4-AK4</f>
        <v>0</v>
      </c>
      <c r="BF4" s="54">
        <f t="shared" ref="BF4:BF28" si="28">AV4-AL4</f>
        <v>0</v>
      </c>
      <c r="BT4" s="25"/>
    </row>
    <row r="5" spans="1:72" x14ac:dyDescent="0.2">
      <c r="A5" s="28" t="s">
        <v>135</v>
      </c>
      <c r="B5" s="7">
        <v>2005</v>
      </c>
      <c r="C5" s="27" t="s">
        <v>135</v>
      </c>
      <c r="D5" s="60">
        <v>889836.02899999998</v>
      </c>
      <c r="E5" s="60">
        <v>1178601.169</v>
      </c>
      <c r="F5" s="60">
        <v>68982.756999999998</v>
      </c>
      <c r="G5" s="60">
        <v>1234766.676</v>
      </c>
      <c r="H5" s="154">
        <v>0.95451326303853057</v>
      </c>
      <c r="I5" s="48">
        <v>0</v>
      </c>
      <c r="J5" s="25">
        <v>0</v>
      </c>
      <c r="K5" s="25">
        <v>681.69500000000005</v>
      </c>
      <c r="L5" s="25">
        <v>883786.09100000001</v>
      </c>
      <c r="M5" s="25">
        <v>5368.2430000000004</v>
      </c>
      <c r="N5" s="25">
        <v>0</v>
      </c>
      <c r="O5" s="25">
        <v>0</v>
      </c>
      <c r="P5" s="25">
        <v>0</v>
      </c>
      <c r="Q5" s="25">
        <v>0</v>
      </c>
      <c r="R5" s="46">
        <v>0</v>
      </c>
      <c r="S5" s="25">
        <v>0</v>
      </c>
      <c r="T5" s="25">
        <v>0</v>
      </c>
      <c r="U5" s="25">
        <v>681.69500000000005</v>
      </c>
      <c r="V5" s="25">
        <v>883786.09100000001</v>
      </c>
      <c r="W5" s="25">
        <v>5368.2430000000004</v>
      </c>
      <c r="X5" s="25">
        <v>0</v>
      </c>
      <c r="Y5" s="25">
        <v>0</v>
      </c>
      <c r="Z5" s="25">
        <v>0</v>
      </c>
      <c r="AA5" s="25">
        <v>0</v>
      </c>
      <c r="AB5" s="46">
        <v>0</v>
      </c>
      <c r="AC5" s="52">
        <f t="shared" si="0"/>
        <v>0</v>
      </c>
      <c r="AD5" s="52">
        <f t="shared" si="1"/>
        <v>0</v>
      </c>
      <c r="AE5" s="52">
        <f t="shared" si="2"/>
        <v>7.660905804927798E-4</v>
      </c>
      <c r="AF5" s="52">
        <f t="shared" si="3"/>
        <v>0.99320106423786991</v>
      </c>
      <c r="AG5" s="52">
        <f t="shared" si="4"/>
        <v>6.032845181637392E-3</v>
      </c>
      <c r="AH5" s="52">
        <f t="shared" si="5"/>
        <v>0</v>
      </c>
      <c r="AI5" s="52">
        <f t="shared" si="6"/>
        <v>0</v>
      </c>
      <c r="AJ5" s="52">
        <f t="shared" si="7"/>
        <v>0</v>
      </c>
      <c r="AK5" s="52">
        <f t="shared" si="8"/>
        <v>0</v>
      </c>
      <c r="AL5" s="52">
        <f t="shared" si="9"/>
        <v>0</v>
      </c>
      <c r="AM5" s="53">
        <f t="shared" si="10"/>
        <v>0</v>
      </c>
      <c r="AN5" s="52">
        <f t="shared" si="11"/>
        <v>0</v>
      </c>
      <c r="AO5" s="52">
        <f t="shared" si="12"/>
        <v>7.660905804927798E-4</v>
      </c>
      <c r="AP5" s="52">
        <f t="shared" si="13"/>
        <v>0.99320106423786991</v>
      </c>
      <c r="AQ5" s="52">
        <f t="shared" si="14"/>
        <v>6.032845181637392E-3</v>
      </c>
      <c r="AR5" s="52">
        <f t="shared" si="15"/>
        <v>0</v>
      </c>
      <c r="AS5" s="52">
        <f t="shared" si="16"/>
        <v>0</v>
      </c>
      <c r="AT5" s="52">
        <f t="shared" si="17"/>
        <v>0</v>
      </c>
      <c r="AU5" s="52">
        <f t="shared" si="18"/>
        <v>0</v>
      </c>
      <c r="AV5" s="54">
        <f t="shared" si="19"/>
        <v>0</v>
      </c>
      <c r="AW5" s="53">
        <f t="shared" ref="AW5:AW28" si="29">AM5-AC5</f>
        <v>0</v>
      </c>
      <c r="AX5" s="52">
        <f t="shared" si="20"/>
        <v>0</v>
      </c>
      <c r="AY5" s="52">
        <f t="shared" si="21"/>
        <v>0</v>
      </c>
      <c r="AZ5" s="52">
        <f t="shared" si="22"/>
        <v>0</v>
      </c>
      <c r="BA5" s="52">
        <f t="shared" si="23"/>
        <v>0</v>
      </c>
      <c r="BB5" s="52">
        <f t="shared" si="24"/>
        <v>0</v>
      </c>
      <c r="BC5" s="52">
        <f t="shared" si="25"/>
        <v>0</v>
      </c>
      <c r="BD5" s="52">
        <f t="shared" si="26"/>
        <v>0</v>
      </c>
      <c r="BE5" s="52">
        <f t="shared" si="27"/>
        <v>0</v>
      </c>
      <c r="BF5" s="54">
        <f t="shared" si="28"/>
        <v>0</v>
      </c>
      <c r="BT5" s="25"/>
    </row>
    <row r="6" spans="1:72" x14ac:dyDescent="0.2">
      <c r="A6" s="28" t="str">
        <f>C6</f>
        <v>USD Par 2038 I</v>
      </c>
      <c r="B6" s="7">
        <v>2005</v>
      </c>
      <c r="C6" s="200" t="s">
        <v>136</v>
      </c>
      <c r="D6" s="201">
        <v>5006901.3330000006</v>
      </c>
      <c r="E6" s="201">
        <v>4648872.08</v>
      </c>
      <c r="F6" s="201">
        <v>358029.25300000003</v>
      </c>
      <c r="G6" s="201">
        <v>4938658.5290000001</v>
      </c>
      <c r="H6" s="202">
        <v>0.9413228415574062</v>
      </c>
      <c r="I6" s="203">
        <v>0</v>
      </c>
      <c r="J6" s="25">
        <v>0</v>
      </c>
      <c r="K6" s="25">
        <v>46043.785000000003</v>
      </c>
      <c r="L6" s="25">
        <v>0</v>
      </c>
      <c r="M6" s="25">
        <v>4960857.5480000004</v>
      </c>
      <c r="N6" s="25">
        <v>0</v>
      </c>
      <c r="O6" s="25">
        <v>0</v>
      </c>
      <c r="P6" s="25">
        <v>0</v>
      </c>
      <c r="Q6" s="25">
        <v>0</v>
      </c>
      <c r="R6" s="46">
        <v>0</v>
      </c>
      <c r="S6" s="25">
        <v>0</v>
      </c>
      <c r="T6" s="25">
        <v>0</v>
      </c>
      <c r="U6" s="25">
        <v>46043.785000000003</v>
      </c>
      <c r="V6" s="25">
        <v>0</v>
      </c>
      <c r="W6" s="25">
        <v>4960857.5480000004</v>
      </c>
      <c r="X6" s="25">
        <v>0</v>
      </c>
      <c r="Y6" s="25">
        <v>0</v>
      </c>
      <c r="Z6" s="25">
        <v>0</v>
      </c>
      <c r="AA6" s="25">
        <v>0</v>
      </c>
      <c r="AB6" s="46">
        <v>0</v>
      </c>
      <c r="AC6" s="52">
        <f t="shared" si="0"/>
        <v>0</v>
      </c>
      <c r="AD6" s="52">
        <f t="shared" si="1"/>
        <v>0</v>
      </c>
      <c r="AE6" s="52">
        <f t="shared" si="2"/>
        <v>9.196063980036891E-3</v>
      </c>
      <c r="AF6" s="52">
        <f t="shared" si="3"/>
        <v>0</v>
      </c>
      <c r="AG6" s="52">
        <f t="shared" si="4"/>
        <v>0.99080393601996308</v>
      </c>
      <c r="AH6" s="52">
        <f t="shared" si="5"/>
        <v>0</v>
      </c>
      <c r="AI6" s="52">
        <f t="shared" si="6"/>
        <v>0</v>
      </c>
      <c r="AJ6" s="52">
        <f t="shared" si="7"/>
        <v>0</v>
      </c>
      <c r="AK6" s="52">
        <f t="shared" si="8"/>
        <v>0</v>
      </c>
      <c r="AL6" s="52">
        <f t="shared" si="9"/>
        <v>0</v>
      </c>
      <c r="AM6" s="53">
        <f t="shared" si="10"/>
        <v>0</v>
      </c>
      <c r="AN6" s="52">
        <f t="shared" si="11"/>
        <v>0</v>
      </c>
      <c r="AO6" s="52">
        <f t="shared" si="12"/>
        <v>9.196063980036891E-3</v>
      </c>
      <c r="AP6" s="52">
        <f t="shared" si="13"/>
        <v>0</v>
      </c>
      <c r="AQ6" s="52">
        <f t="shared" si="14"/>
        <v>0.99080393601996308</v>
      </c>
      <c r="AR6" s="52">
        <f t="shared" si="15"/>
        <v>0</v>
      </c>
      <c r="AS6" s="52">
        <f t="shared" si="16"/>
        <v>0</v>
      </c>
      <c r="AT6" s="52">
        <f t="shared" si="17"/>
        <v>0</v>
      </c>
      <c r="AU6" s="52">
        <f t="shared" si="18"/>
        <v>0</v>
      </c>
      <c r="AV6" s="54">
        <f t="shared" si="19"/>
        <v>0</v>
      </c>
      <c r="AW6" s="53">
        <f t="shared" si="29"/>
        <v>0</v>
      </c>
      <c r="AX6" s="52">
        <f t="shared" si="20"/>
        <v>0</v>
      </c>
      <c r="AY6" s="52">
        <f t="shared" si="21"/>
        <v>0</v>
      </c>
      <c r="AZ6" s="52">
        <f t="shared" si="22"/>
        <v>0</v>
      </c>
      <c r="BA6" s="52">
        <f t="shared" si="23"/>
        <v>0</v>
      </c>
      <c r="BB6" s="52">
        <f t="shared" si="24"/>
        <v>0</v>
      </c>
      <c r="BC6" s="52">
        <f t="shared" si="25"/>
        <v>0</v>
      </c>
      <c r="BD6" s="52">
        <f t="shared" si="26"/>
        <v>0</v>
      </c>
      <c r="BE6" s="52">
        <f t="shared" si="27"/>
        <v>0</v>
      </c>
      <c r="BF6" s="54">
        <f t="shared" si="28"/>
        <v>0</v>
      </c>
      <c r="BT6" s="25"/>
    </row>
    <row r="7" spans="1:72" x14ac:dyDescent="0.2">
      <c r="A7" s="28" t="s">
        <v>157</v>
      </c>
      <c r="B7" s="7">
        <v>2005</v>
      </c>
      <c r="C7" s="200" t="s">
        <v>157</v>
      </c>
      <c r="D7" s="215">
        <v>61119.618999999999</v>
      </c>
      <c r="E7" s="215">
        <v>61119.618999999999</v>
      </c>
      <c r="F7" s="215">
        <v>0</v>
      </c>
      <c r="G7" s="215">
        <v>94939.179000000004</v>
      </c>
      <c r="H7" s="216">
        <v>0.64377656983951792</v>
      </c>
      <c r="I7" s="203">
        <v>0</v>
      </c>
      <c r="J7" s="25">
        <v>0</v>
      </c>
      <c r="K7" s="25">
        <v>5182.7629999999999</v>
      </c>
      <c r="L7" s="25">
        <v>0</v>
      </c>
      <c r="M7" s="25">
        <v>55936.856</v>
      </c>
      <c r="N7" s="25">
        <v>0</v>
      </c>
      <c r="O7" s="25">
        <v>0</v>
      </c>
      <c r="P7" s="25">
        <v>0</v>
      </c>
      <c r="Q7" s="25">
        <v>0</v>
      </c>
      <c r="R7" s="46">
        <v>0</v>
      </c>
      <c r="S7" s="25">
        <v>0</v>
      </c>
      <c r="T7" s="25">
        <v>0</v>
      </c>
      <c r="U7" s="25">
        <v>5182.7629999999999</v>
      </c>
      <c r="V7" s="25">
        <v>0</v>
      </c>
      <c r="W7" s="25">
        <v>55936.856</v>
      </c>
      <c r="X7" s="25">
        <v>0</v>
      </c>
      <c r="Y7" s="25">
        <v>0</v>
      </c>
      <c r="Z7" s="25">
        <v>0</v>
      </c>
      <c r="AA7" s="25">
        <v>0</v>
      </c>
      <c r="AB7" s="46">
        <v>0</v>
      </c>
      <c r="AC7" s="52">
        <f t="shared" si="0"/>
        <v>0</v>
      </c>
      <c r="AD7" s="52">
        <f t="shared" si="1"/>
        <v>0</v>
      </c>
      <c r="AE7" s="52">
        <f t="shared" si="2"/>
        <v>8.4797043646492626E-2</v>
      </c>
      <c r="AF7" s="52">
        <f t="shared" si="3"/>
        <v>0</v>
      </c>
      <c r="AG7" s="52">
        <f t="shared" si="4"/>
        <v>0.91520295635350735</v>
      </c>
      <c r="AH7" s="52">
        <f t="shared" si="5"/>
        <v>0</v>
      </c>
      <c r="AI7" s="52">
        <f t="shared" si="6"/>
        <v>0</v>
      </c>
      <c r="AJ7" s="52">
        <f t="shared" si="7"/>
        <v>0</v>
      </c>
      <c r="AK7" s="52">
        <f t="shared" si="8"/>
        <v>0</v>
      </c>
      <c r="AL7" s="52">
        <f t="shared" si="9"/>
        <v>0</v>
      </c>
      <c r="AM7" s="53">
        <f t="shared" si="10"/>
        <v>0</v>
      </c>
      <c r="AN7" s="52">
        <f t="shared" si="11"/>
        <v>0</v>
      </c>
      <c r="AO7" s="52">
        <f t="shared" si="12"/>
        <v>8.4797043646492626E-2</v>
      </c>
      <c r="AP7" s="52">
        <f t="shared" si="13"/>
        <v>0</v>
      </c>
      <c r="AQ7" s="52">
        <f t="shared" si="14"/>
        <v>0.91520295635350735</v>
      </c>
      <c r="AR7" s="52">
        <f t="shared" si="15"/>
        <v>0</v>
      </c>
      <c r="AS7" s="52">
        <f t="shared" si="16"/>
        <v>0</v>
      </c>
      <c r="AT7" s="52">
        <f t="shared" si="17"/>
        <v>0</v>
      </c>
      <c r="AU7" s="52">
        <f t="shared" si="18"/>
        <v>0</v>
      </c>
      <c r="AV7" s="54">
        <f t="shared" si="19"/>
        <v>0</v>
      </c>
      <c r="AW7" s="53">
        <f t="shared" si="29"/>
        <v>0</v>
      </c>
      <c r="AX7" s="52">
        <f t="shared" si="20"/>
        <v>0</v>
      </c>
      <c r="AY7" s="52">
        <f t="shared" si="21"/>
        <v>0</v>
      </c>
      <c r="AZ7" s="52">
        <f t="shared" si="22"/>
        <v>0</v>
      </c>
      <c r="BA7" s="52">
        <f t="shared" si="23"/>
        <v>0</v>
      </c>
      <c r="BB7" s="52">
        <f t="shared" si="24"/>
        <v>0</v>
      </c>
      <c r="BC7" s="52">
        <f t="shared" si="25"/>
        <v>0</v>
      </c>
      <c r="BD7" s="52">
        <f t="shared" si="26"/>
        <v>0</v>
      </c>
      <c r="BE7" s="52">
        <f t="shared" si="27"/>
        <v>0</v>
      </c>
      <c r="BF7" s="54">
        <f t="shared" si="28"/>
        <v>0</v>
      </c>
      <c r="BT7" s="25"/>
    </row>
    <row r="8" spans="1:72" x14ac:dyDescent="0.2">
      <c r="A8" s="28" t="str">
        <f>C8</f>
        <v>Euro 2033 Discount I</v>
      </c>
      <c r="B8" s="7">
        <v>2005</v>
      </c>
      <c r="C8" s="200" t="s">
        <v>154</v>
      </c>
      <c r="D8" s="201">
        <v>2035810.906</v>
      </c>
      <c r="E8" s="201">
        <v>2794245.0010000002</v>
      </c>
      <c r="F8" s="201">
        <v>7241.9189999999999</v>
      </c>
      <c r="G8" s="201">
        <v>3107569.662</v>
      </c>
      <c r="H8" s="202">
        <v>0.89917372896530745</v>
      </c>
      <c r="I8" s="203">
        <v>0</v>
      </c>
      <c r="J8" s="25">
        <v>0</v>
      </c>
      <c r="K8" s="25">
        <v>0</v>
      </c>
      <c r="L8" s="25">
        <v>1912461.7890000001</v>
      </c>
      <c r="M8" s="25">
        <v>0</v>
      </c>
      <c r="N8" s="25">
        <v>0</v>
      </c>
      <c r="O8" s="25">
        <v>0</v>
      </c>
      <c r="P8" s="25">
        <v>117876.947</v>
      </c>
      <c r="Q8" s="25">
        <v>3818.6280000000002</v>
      </c>
      <c r="R8" s="46">
        <v>1653.5419999999999</v>
      </c>
      <c r="S8" s="25">
        <v>0</v>
      </c>
      <c r="T8" s="25">
        <v>0</v>
      </c>
      <c r="U8" s="25">
        <v>0</v>
      </c>
      <c r="V8" s="25">
        <v>1912461.7890000001</v>
      </c>
      <c r="W8" s="25">
        <v>0</v>
      </c>
      <c r="X8" s="25">
        <v>0</v>
      </c>
      <c r="Y8" s="25">
        <v>0</v>
      </c>
      <c r="Z8" s="25">
        <v>117876.947</v>
      </c>
      <c r="AA8" s="25">
        <v>3818.6280000000002</v>
      </c>
      <c r="AB8" s="46">
        <v>1653.5419999999999</v>
      </c>
      <c r="AC8" s="52">
        <f t="shared" si="0"/>
        <v>0</v>
      </c>
      <c r="AD8" s="52">
        <f t="shared" si="1"/>
        <v>0</v>
      </c>
      <c r="AE8" s="52">
        <f t="shared" si="2"/>
        <v>0</v>
      </c>
      <c r="AF8" s="52">
        <f t="shared" si="3"/>
        <v>0.93941032704144489</v>
      </c>
      <c r="AG8" s="52">
        <f t="shared" si="4"/>
        <v>0</v>
      </c>
      <c r="AH8" s="52">
        <f t="shared" si="5"/>
        <v>0</v>
      </c>
      <c r="AI8" s="52">
        <f t="shared" si="6"/>
        <v>0</v>
      </c>
      <c r="AJ8" s="52">
        <f t="shared" si="7"/>
        <v>5.7901717027151051E-2</v>
      </c>
      <c r="AK8" s="52">
        <f t="shared" si="8"/>
        <v>1.8757282362254918E-3</v>
      </c>
      <c r="AL8" s="52">
        <f t="shared" si="9"/>
        <v>8.1222769517867981E-4</v>
      </c>
      <c r="AM8" s="53">
        <f t="shared" si="10"/>
        <v>0</v>
      </c>
      <c r="AN8" s="52">
        <f t="shared" si="11"/>
        <v>0</v>
      </c>
      <c r="AO8" s="52">
        <f t="shared" si="12"/>
        <v>0</v>
      </c>
      <c r="AP8" s="52">
        <f t="shared" si="13"/>
        <v>0.93941032704144489</v>
      </c>
      <c r="AQ8" s="52">
        <f t="shared" si="14"/>
        <v>0</v>
      </c>
      <c r="AR8" s="52">
        <f t="shared" si="15"/>
        <v>0</v>
      </c>
      <c r="AS8" s="52">
        <f t="shared" si="16"/>
        <v>0</v>
      </c>
      <c r="AT8" s="52">
        <f t="shared" si="17"/>
        <v>5.7901717027151051E-2</v>
      </c>
      <c r="AU8" s="52">
        <f t="shared" si="18"/>
        <v>1.8757282362254918E-3</v>
      </c>
      <c r="AV8" s="54">
        <f t="shared" si="19"/>
        <v>8.1222769517867981E-4</v>
      </c>
      <c r="AW8" s="53">
        <f t="shared" si="29"/>
        <v>0</v>
      </c>
      <c r="AX8" s="52">
        <f t="shared" si="20"/>
        <v>0</v>
      </c>
      <c r="AY8" s="52">
        <f t="shared" si="21"/>
        <v>0</v>
      </c>
      <c r="AZ8" s="52">
        <f t="shared" si="22"/>
        <v>0</v>
      </c>
      <c r="BA8" s="52">
        <f t="shared" si="23"/>
        <v>0</v>
      </c>
      <c r="BB8" s="52">
        <f t="shared" si="24"/>
        <v>0</v>
      </c>
      <c r="BC8" s="52">
        <f t="shared" si="25"/>
        <v>0</v>
      </c>
      <c r="BD8" s="52">
        <f t="shared" si="26"/>
        <v>0</v>
      </c>
      <c r="BE8" s="52">
        <f t="shared" si="27"/>
        <v>0</v>
      </c>
      <c r="BF8" s="54">
        <f t="shared" si="28"/>
        <v>0</v>
      </c>
      <c r="BT8" s="25"/>
    </row>
    <row r="9" spans="1:72" x14ac:dyDescent="0.2">
      <c r="A9" s="28" t="s">
        <v>155</v>
      </c>
      <c r="B9" s="7">
        <v>2005</v>
      </c>
      <c r="C9" s="200" t="s">
        <v>155</v>
      </c>
      <c r="D9" s="201">
        <v>1766585.9080000001</v>
      </c>
      <c r="E9" s="201">
        <v>2431005.4040000001</v>
      </c>
      <c r="F9" s="201">
        <v>0</v>
      </c>
      <c r="G9" s="201">
        <v>2661472.4380000001</v>
      </c>
      <c r="H9" s="202">
        <v>0.91340619173453186</v>
      </c>
      <c r="I9" s="203">
        <v>0</v>
      </c>
      <c r="J9" s="25">
        <v>0</v>
      </c>
      <c r="K9" s="25">
        <v>0</v>
      </c>
      <c r="L9" s="25">
        <v>1690025.8330000001</v>
      </c>
      <c r="M9" s="25">
        <v>0</v>
      </c>
      <c r="N9" s="25">
        <v>0</v>
      </c>
      <c r="O9" s="25">
        <v>0</v>
      </c>
      <c r="P9" s="25">
        <v>75092.214000000007</v>
      </c>
      <c r="Q9" s="25">
        <v>1348.047</v>
      </c>
      <c r="R9" s="46">
        <v>119.81399999999999</v>
      </c>
      <c r="S9" s="25">
        <v>0</v>
      </c>
      <c r="T9" s="25">
        <v>0</v>
      </c>
      <c r="U9" s="25">
        <v>0</v>
      </c>
      <c r="V9" s="25">
        <v>1690025.8330000001</v>
      </c>
      <c r="W9" s="25">
        <v>0</v>
      </c>
      <c r="X9" s="25">
        <v>0</v>
      </c>
      <c r="Y9" s="25">
        <v>0</v>
      </c>
      <c r="Z9" s="25">
        <v>75092.214000000007</v>
      </c>
      <c r="AA9" s="25">
        <v>1348.047</v>
      </c>
      <c r="AB9" s="46">
        <v>119.81399999999999</v>
      </c>
      <c r="AC9" s="52">
        <f t="shared" si="0"/>
        <v>0</v>
      </c>
      <c r="AD9" s="52">
        <f t="shared" si="1"/>
        <v>0</v>
      </c>
      <c r="AE9" s="52">
        <f t="shared" si="2"/>
        <v>0</v>
      </c>
      <c r="AF9" s="52">
        <f t="shared" si="3"/>
        <v>0.95666212741010959</v>
      </c>
      <c r="AG9" s="52">
        <f t="shared" si="4"/>
        <v>0</v>
      </c>
      <c r="AH9" s="52">
        <f t="shared" si="5"/>
        <v>0</v>
      </c>
      <c r="AI9" s="52">
        <f t="shared" si="6"/>
        <v>0</v>
      </c>
      <c r="AJ9" s="52">
        <f t="shared" si="7"/>
        <v>4.2506969890308895E-2</v>
      </c>
      <c r="AK9" s="52">
        <f t="shared" si="8"/>
        <v>7.6308035397279982E-4</v>
      </c>
      <c r="AL9" s="52">
        <f t="shared" si="9"/>
        <v>6.7822345608793336E-5</v>
      </c>
      <c r="AM9" s="53">
        <f t="shared" si="10"/>
        <v>0</v>
      </c>
      <c r="AN9" s="52">
        <f t="shared" si="11"/>
        <v>0</v>
      </c>
      <c r="AO9" s="52">
        <f t="shared" si="12"/>
        <v>0</v>
      </c>
      <c r="AP9" s="52">
        <f t="shared" si="13"/>
        <v>0.95666212741010959</v>
      </c>
      <c r="AQ9" s="52">
        <f t="shared" si="14"/>
        <v>0</v>
      </c>
      <c r="AR9" s="52">
        <f t="shared" si="15"/>
        <v>0</v>
      </c>
      <c r="AS9" s="52">
        <f t="shared" si="16"/>
        <v>0</v>
      </c>
      <c r="AT9" s="52">
        <f t="shared" si="17"/>
        <v>4.2506969890308895E-2</v>
      </c>
      <c r="AU9" s="52">
        <f t="shared" si="18"/>
        <v>7.6308035397279982E-4</v>
      </c>
      <c r="AV9" s="54">
        <f t="shared" si="19"/>
        <v>6.7822345608793336E-5</v>
      </c>
      <c r="AW9" s="53">
        <f t="shared" si="29"/>
        <v>0</v>
      </c>
      <c r="AX9" s="52">
        <f t="shared" si="20"/>
        <v>0</v>
      </c>
      <c r="AY9" s="52">
        <f t="shared" si="21"/>
        <v>0</v>
      </c>
      <c r="AZ9" s="52">
        <f t="shared" si="22"/>
        <v>0</v>
      </c>
      <c r="BA9" s="52">
        <f t="shared" si="23"/>
        <v>0</v>
      </c>
      <c r="BB9" s="52">
        <f t="shared" si="24"/>
        <v>0</v>
      </c>
      <c r="BC9" s="52">
        <f t="shared" si="25"/>
        <v>0</v>
      </c>
      <c r="BD9" s="52">
        <f t="shared" si="26"/>
        <v>0</v>
      </c>
      <c r="BE9" s="52">
        <f t="shared" si="27"/>
        <v>0</v>
      </c>
      <c r="BF9" s="54">
        <f t="shared" si="28"/>
        <v>0</v>
      </c>
      <c r="BT9" s="25"/>
    </row>
    <row r="10" spans="1:72" x14ac:dyDescent="0.2">
      <c r="A10" s="28" t="str">
        <f>C10</f>
        <v>Euro Par 2038 I</v>
      </c>
      <c r="B10" s="7">
        <v>2005</v>
      </c>
      <c r="C10" s="200" t="s">
        <v>156</v>
      </c>
      <c r="D10" s="201">
        <v>3897569.7579999999</v>
      </c>
      <c r="E10" s="201">
        <v>3897569.7579999999</v>
      </c>
      <c r="F10" s="201">
        <v>0</v>
      </c>
      <c r="G10" s="201">
        <v>5034912.1679999996</v>
      </c>
      <c r="H10" s="202">
        <v>0.7741087883859189</v>
      </c>
      <c r="I10" s="203">
        <v>0</v>
      </c>
      <c r="J10" s="25">
        <v>0</v>
      </c>
      <c r="K10" s="25">
        <v>0</v>
      </c>
      <c r="L10" s="25">
        <v>0</v>
      </c>
      <c r="M10" s="25">
        <v>3554340.088</v>
      </c>
      <c r="N10" s="25">
        <v>0</v>
      </c>
      <c r="O10" s="25">
        <v>0</v>
      </c>
      <c r="P10" s="25">
        <v>0</v>
      </c>
      <c r="Q10" s="25">
        <v>341184.772</v>
      </c>
      <c r="R10" s="46">
        <v>2044.8979999999999</v>
      </c>
      <c r="S10" s="25">
        <v>0</v>
      </c>
      <c r="T10" s="25">
        <v>0</v>
      </c>
      <c r="U10" s="25">
        <v>0</v>
      </c>
      <c r="V10" s="25">
        <v>0</v>
      </c>
      <c r="W10" s="25">
        <v>3554340.088</v>
      </c>
      <c r="X10" s="25">
        <v>0</v>
      </c>
      <c r="Y10" s="25">
        <v>0</v>
      </c>
      <c r="Z10" s="25">
        <v>0</v>
      </c>
      <c r="AA10" s="25">
        <v>341184.772</v>
      </c>
      <c r="AB10" s="46">
        <v>2044.8979999999999</v>
      </c>
      <c r="AC10" s="52">
        <f t="shared" si="0"/>
        <v>0</v>
      </c>
      <c r="AD10" s="52">
        <f t="shared" si="1"/>
        <v>0</v>
      </c>
      <c r="AE10" s="52">
        <f t="shared" si="2"/>
        <v>0</v>
      </c>
      <c r="AF10" s="52">
        <f t="shared" si="3"/>
        <v>0</v>
      </c>
      <c r="AG10" s="52">
        <f t="shared" si="4"/>
        <v>0.91193751714244498</v>
      </c>
      <c r="AH10" s="52">
        <f t="shared" si="5"/>
        <v>0</v>
      </c>
      <c r="AI10" s="52">
        <f t="shared" si="6"/>
        <v>0</v>
      </c>
      <c r="AJ10" s="52">
        <f t="shared" si="7"/>
        <v>0</v>
      </c>
      <c r="AK10" s="52">
        <f t="shared" si="8"/>
        <v>8.7537823101099713E-2</v>
      </c>
      <c r="AL10" s="52">
        <f t="shared" si="9"/>
        <v>5.2465975645534554E-4</v>
      </c>
      <c r="AM10" s="53">
        <f t="shared" si="10"/>
        <v>0</v>
      </c>
      <c r="AN10" s="52">
        <f t="shared" si="11"/>
        <v>0</v>
      </c>
      <c r="AO10" s="52">
        <f t="shared" si="12"/>
        <v>0</v>
      </c>
      <c r="AP10" s="52">
        <f t="shared" si="13"/>
        <v>0</v>
      </c>
      <c r="AQ10" s="52">
        <f t="shared" si="14"/>
        <v>0.91193751714244498</v>
      </c>
      <c r="AR10" s="52">
        <f t="shared" si="15"/>
        <v>0</v>
      </c>
      <c r="AS10" s="52">
        <f t="shared" si="16"/>
        <v>0</v>
      </c>
      <c r="AT10" s="52">
        <f t="shared" si="17"/>
        <v>0</v>
      </c>
      <c r="AU10" s="52">
        <f t="shared" si="18"/>
        <v>8.7537823101099713E-2</v>
      </c>
      <c r="AV10" s="54">
        <f t="shared" si="19"/>
        <v>5.2465975645534554E-4</v>
      </c>
      <c r="AW10" s="53">
        <f t="shared" si="29"/>
        <v>0</v>
      </c>
      <c r="AX10" s="52">
        <f t="shared" si="20"/>
        <v>0</v>
      </c>
      <c r="AY10" s="52">
        <f t="shared" si="21"/>
        <v>0</v>
      </c>
      <c r="AZ10" s="52">
        <f t="shared" si="22"/>
        <v>0</v>
      </c>
      <c r="BA10" s="52">
        <f t="shared" si="23"/>
        <v>0</v>
      </c>
      <c r="BB10" s="52">
        <f t="shared" si="24"/>
        <v>0</v>
      </c>
      <c r="BC10" s="52">
        <f t="shared" si="25"/>
        <v>0</v>
      </c>
      <c r="BD10" s="52">
        <f t="shared" si="26"/>
        <v>0</v>
      </c>
      <c r="BE10" s="52">
        <f t="shared" si="27"/>
        <v>0</v>
      </c>
      <c r="BF10" s="54">
        <f t="shared" si="28"/>
        <v>0</v>
      </c>
      <c r="BT10" s="25"/>
    </row>
    <row r="11" spans="1:72" x14ac:dyDescent="0.2">
      <c r="A11" s="36" t="s">
        <v>158</v>
      </c>
      <c r="B11" s="10">
        <v>2005</v>
      </c>
      <c r="C11" s="217" t="s">
        <v>158</v>
      </c>
      <c r="D11" s="218">
        <v>870126.72600000002</v>
      </c>
      <c r="E11" s="218">
        <v>870126.72600000002</v>
      </c>
      <c r="F11" s="218">
        <v>0</v>
      </c>
      <c r="G11" s="218">
        <v>1438310.9300000002</v>
      </c>
      <c r="H11" s="219">
        <v>0.60496427291976429</v>
      </c>
      <c r="I11" s="220">
        <v>0</v>
      </c>
      <c r="J11" s="24">
        <v>0</v>
      </c>
      <c r="K11" s="24">
        <v>0</v>
      </c>
      <c r="L11" s="24">
        <v>0</v>
      </c>
      <c r="M11" s="24">
        <v>782647.45799999998</v>
      </c>
      <c r="N11" s="24">
        <v>0</v>
      </c>
      <c r="O11" s="24">
        <v>0</v>
      </c>
      <c r="P11" s="24">
        <v>0</v>
      </c>
      <c r="Q11" s="24">
        <v>86964.93</v>
      </c>
      <c r="R11" s="47">
        <v>514.33799999999997</v>
      </c>
      <c r="S11" s="24">
        <v>0</v>
      </c>
      <c r="T11" s="24">
        <v>0</v>
      </c>
      <c r="U11" s="24">
        <v>0</v>
      </c>
      <c r="V11" s="24">
        <v>0</v>
      </c>
      <c r="W11" s="24">
        <v>782647.45799999998</v>
      </c>
      <c r="X11" s="24">
        <v>0</v>
      </c>
      <c r="Y11" s="24">
        <v>0</v>
      </c>
      <c r="Z11" s="24">
        <v>0</v>
      </c>
      <c r="AA11" s="24">
        <v>86964.93</v>
      </c>
      <c r="AB11" s="47">
        <v>514.33799999999997</v>
      </c>
      <c r="AC11" s="55">
        <f t="shared" si="0"/>
        <v>0</v>
      </c>
      <c r="AD11" s="55">
        <f t="shared" si="1"/>
        <v>0</v>
      </c>
      <c r="AE11" s="55">
        <f t="shared" si="2"/>
        <v>0</v>
      </c>
      <c r="AF11" s="55">
        <f t="shared" si="3"/>
        <v>0</v>
      </c>
      <c r="AG11" s="55">
        <f t="shared" si="4"/>
        <v>0.89946376155787677</v>
      </c>
      <c r="AH11" s="55">
        <f t="shared" si="5"/>
        <v>0</v>
      </c>
      <c r="AI11" s="55">
        <f t="shared" si="6"/>
        <v>0</v>
      </c>
      <c r="AJ11" s="55">
        <f t="shared" si="7"/>
        <v>0</v>
      </c>
      <c r="AK11" s="55">
        <f t="shared" si="8"/>
        <v>9.9945131440543747E-2</v>
      </c>
      <c r="AL11" s="55">
        <f t="shared" si="9"/>
        <v>5.9110700157944578E-4</v>
      </c>
      <c r="AM11" s="56">
        <f t="shared" si="10"/>
        <v>0</v>
      </c>
      <c r="AN11" s="55">
        <f t="shared" si="11"/>
        <v>0</v>
      </c>
      <c r="AO11" s="55">
        <f t="shared" si="12"/>
        <v>0</v>
      </c>
      <c r="AP11" s="55">
        <f t="shared" si="13"/>
        <v>0</v>
      </c>
      <c r="AQ11" s="55">
        <f t="shared" si="14"/>
        <v>0.89946376155787677</v>
      </c>
      <c r="AR11" s="55">
        <f t="shared" si="15"/>
        <v>0</v>
      </c>
      <c r="AS11" s="55">
        <f t="shared" si="16"/>
        <v>0</v>
      </c>
      <c r="AT11" s="55">
        <f t="shared" si="17"/>
        <v>0</v>
      </c>
      <c r="AU11" s="55">
        <f t="shared" si="18"/>
        <v>9.9945131440543747E-2</v>
      </c>
      <c r="AV11" s="57">
        <f t="shared" si="19"/>
        <v>5.9110700157944578E-4</v>
      </c>
      <c r="AW11" s="56">
        <f t="shared" si="29"/>
        <v>0</v>
      </c>
      <c r="AX11" s="55">
        <f t="shared" si="20"/>
        <v>0</v>
      </c>
      <c r="AY11" s="55">
        <f t="shared" si="21"/>
        <v>0</v>
      </c>
      <c r="AZ11" s="55">
        <f t="shared" si="22"/>
        <v>0</v>
      </c>
      <c r="BA11" s="55">
        <f t="shared" si="23"/>
        <v>0</v>
      </c>
      <c r="BB11" s="55">
        <f t="shared" si="24"/>
        <v>0</v>
      </c>
      <c r="BC11" s="55">
        <f t="shared" si="25"/>
        <v>0</v>
      </c>
      <c r="BD11" s="55">
        <f t="shared" si="26"/>
        <v>0</v>
      </c>
      <c r="BE11" s="55">
        <f t="shared" si="27"/>
        <v>0</v>
      </c>
      <c r="BF11" s="57">
        <f t="shared" si="28"/>
        <v>0</v>
      </c>
      <c r="BT11" s="25"/>
    </row>
    <row r="12" spans="1:72" x14ac:dyDescent="0.2">
      <c r="A12" s="28" t="str">
        <f t="shared" ref="A12:A28" si="30">C12</f>
        <v>USD 2021</v>
      </c>
      <c r="B12" s="7">
        <v>2016</v>
      </c>
      <c r="C12" s="200" t="s">
        <v>117</v>
      </c>
      <c r="D12" s="201">
        <v>4423101</v>
      </c>
      <c r="E12" s="201">
        <v>4407101</v>
      </c>
      <c r="F12" s="201">
        <v>16000</v>
      </c>
      <c r="G12" s="201">
        <v>4484000</v>
      </c>
      <c r="H12" s="202">
        <v>0.98285035682426403</v>
      </c>
      <c r="I12" s="203">
        <v>4340296</v>
      </c>
      <c r="J12" s="25">
        <v>78245</v>
      </c>
      <c r="K12" s="25">
        <v>4560</v>
      </c>
      <c r="L12" s="25">
        <v>0</v>
      </c>
      <c r="M12" s="25">
        <v>0</v>
      </c>
      <c r="N12" s="25">
        <v>0</v>
      </c>
      <c r="O12" s="25">
        <v>0</v>
      </c>
      <c r="P12" s="25">
        <v>0</v>
      </c>
      <c r="Q12" s="25">
        <v>0</v>
      </c>
      <c r="R12" s="46">
        <v>0</v>
      </c>
      <c r="S12" s="64">
        <v>4340296</v>
      </c>
      <c r="T12" s="25">
        <v>78245</v>
      </c>
      <c r="U12" s="25">
        <v>4560</v>
      </c>
      <c r="V12" s="25">
        <v>0</v>
      </c>
      <c r="W12" s="25">
        <v>0</v>
      </c>
      <c r="X12" s="25">
        <v>0</v>
      </c>
      <c r="Y12" s="25">
        <v>0</v>
      </c>
      <c r="Z12" s="25">
        <v>0</v>
      </c>
      <c r="AA12" s="25">
        <v>0</v>
      </c>
      <c r="AB12" s="46">
        <v>0</v>
      </c>
      <c r="AC12" s="52">
        <f t="shared" si="0"/>
        <v>0.98127897147272924</v>
      </c>
      <c r="AD12" s="52">
        <f t="shared" si="1"/>
        <v>1.7690077617490533E-2</v>
      </c>
      <c r="AE12" s="52">
        <f t="shared" si="2"/>
        <v>1.0309509097802651E-3</v>
      </c>
      <c r="AF12" s="52">
        <f t="shared" si="3"/>
        <v>0</v>
      </c>
      <c r="AG12" s="52">
        <f t="shared" si="4"/>
        <v>0</v>
      </c>
      <c r="AH12" s="52">
        <f t="shared" si="5"/>
        <v>0</v>
      </c>
      <c r="AI12" s="52">
        <f t="shared" si="6"/>
        <v>0</v>
      </c>
      <c r="AJ12" s="52">
        <f t="shared" si="7"/>
        <v>0</v>
      </c>
      <c r="AK12" s="52">
        <f t="shared" si="8"/>
        <v>0</v>
      </c>
      <c r="AL12" s="52">
        <f t="shared" si="9"/>
        <v>0</v>
      </c>
      <c r="AM12" s="53">
        <f t="shared" si="10"/>
        <v>0.98127897147272924</v>
      </c>
      <c r="AN12" s="52">
        <f t="shared" si="11"/>
        <v>1.7690077617490533E-2</v>
      </c>
      <c r="AO12" s="52">
        <f t="shared" si="12"/>
        <v>1.0309509097802651E-3</v>
      </c>
      <c r="AP12" s="52">
        <f t="shared" si="13"/>
        <v>0</v>
      </c>
      <c r="AQ12" s="52">
        <f t="shared" si="14"/>
        <v>0</v>
      </c>
      <c r="AR12" s="52">
        <f t="shared" si="15"/>
        <v>0</v>
      </c>
      <c r="AS12" s="52">
        <f t="shared" si="16"/>
        <v>0</v>
      </c>
      <c r="AT12" s="52">
        <f t="shared" si="17"/>
        <v>0</v>
      </c>
      <c r="AU12" s="52">
        <f t="shared" si="18"/>
        <v>0</v>
      </c>
      <c r="AV12" s="54">
        <f t="shared" si="19"/>
        <v>0</v>
      </c>
      <c r="AW12" s="53">
        <f t="shared" si="29"/>
        <v>0</v>
      </c>
      <c r="AX12" s="52">
        <f t="shared" si="20"/>
        <v>0</v>
      </c>
      <c r="AY12" s="52">
        <f t="shared" si="21"/>
        <v>0</v>
      </c>
      <c r="AZ12" s="52">
        <f t="shared" si="22"/>
        <v>0</v>
      </c>
      <c r="BA12" s="52">
        <f t="shared" si="23"/>
        <v>0</v>
      </c>
      <c r="BB12" s="52">
        <f t="shared" si="24"/>
        <v>0</v>
      </c>
      <c r="BC12" s="52">
        <f t="shared" si="25"/>
        <v>0</v>
      </c>
      <c r="BD12" s="52">
        <f t="shared" si="26"/>
        <v>0</v>
      </c>
      <c r="BE12" s="52">
        <f t="shared" si="27"/>
        <v>0</v>
      </c>
      <c r="BF12" s="54">
        <f t="shared" si="28"/>
        <v>0</v>
      </c>
      <c r="BT12" s="25"/>
    </row>
    <row r="13" spans="1:72" x14ac:dyDescent="0.2">
      <c r="A13" s="28" t="str">
        <f t="shared" si="30"/>
        <v>USD 2022</v>
      </c>
      <c r="B13" s="7">
        <v>2016</v>
      </c>
      <c r="C13" s="200" t="s">
        <v>118</v>
      </c>
      <c r="D13" s="201">
        <v>2810177</v>
      </c>
      <c r="E13" s="201">
        <v>2810177</v>
      </c>
      <c r="F13" s="201">
        <v>0</v>
      </c>
      <c r="G13" s="201">
        <v>3250000</v>
      </c>
      <c r="H13" s="202">
        <v>0.86466984615384612</v>
      </c>
      <c r="I13" s="203">
        <v>2716614</v>
      </c>
      <c r="J13" s="25">
        <v>88421</v>
      </c>
      <c r="K13" s="25">
        <v>5142</v>
      </c>
      <c r="L13" s="25">
        <v>0</v>
      </c>
      <c r="M13" s="25">
        <v>0</v>
      </c>
      <c r="N13" s="25">
        <v>0</v>
      </c>
      <c r="O13" s="25">
        <v>0</v>
      </c>
      <c r="P13" s="25">
        <v>0</v>
      </c>
      <c r="Q13" s="25">
        <v>0</v>
      </c>
      <c r="R13" s="46">
        <v>0</v>
      </c>
      <c r="S13" s="64">
        <v>2716614</v>
      </c>
      <c r="T13" s="25">
        <v>88421</v>
      </c>
      <c r="U13" s="25">
        <v>5142</v>
      </c>
      <c r="V13" s="25">
        <v>0</v>
      </c>
      <c r="W13" s="25">
        <v>0</v>
      </c>
      <c r="X13" s="25">
        <v>0</v>
      </c>
      <c r="Y13" s="25">
        <v>0</v>
      </c>
      <c r="Z13" s="25">
        <v>0</v>
      </c>
      <c r="AA13" s="25">
        <v>0</v>
      </c>
      <c r="AB13" s="46">
        <v>0</v>
      </c>
      <c r="AC13" s="52">
        <f t="shared" si="0"/>
        <v>0.96670565590708346</v>
      </c>
      <c r="AD13" s="52">
        <f t="shared" si="1"/>
        <v>3.1464566110960268E-2</v>
      </c>
      <c r="AE13" s="52">
        <f t="shared" si="2"/>
        <v>1.8297779819562968E-3</v>
      </c>
      <c r="AF13" s="52">
        <f t="shared" si="3"/>
        <v>0</v>
      </c>
      <c r="AG13" s="52">
        <f t="shared" si="4"/>
        <v>0</v>
      </c>
      <c r="AH13" s="52">
        <f t="shared" si="5"/>
        <v>0</v>
      </c>
      <c r="AI13" s="52">
        <f t="shared" si="6"/>
        <v>0</v>
      </c>
      <c r="AJ13" s="52">
        <f t="shared" si="7"/>
        <v>0</v>
      </c>
      <c r="AK13" s="52">
        <f t="shared" si="8"/>
        <v>0</v>
      </c>
      <c r="AL13" s="52">
        <f t="shared" si="9"/>
        <v>0</v>
      </c>
      <c r="AM13" s="53">
        <f t="shared" si="10"/>
        <v>0.96670565590708346</v>
      </c>
      <c r="AN13" s="52">
        <f t="shared" si="11"/>
        <v>3.1464566110960268E-2</v>
      </c>
      <c r="AO13" s="52">
        <f t="shared" si="12"/>
        <v>1.8297779819562968E-3</v>
      </c>
      <c r="AP13" s="52">
        <f t="shared" si="13"/>
        <v>0</v>
      </c>
      <c r="AQ13" s="52">
        <f t="shared" si="14"/>
        <v>0</v>
      </c>
      <c r="AR13" s="52">
        <f t="shared" si="15"/>
        <v>0</v>
      </c>
      <c r="AS13" s="52">
        <f t="shared" si="16"/>
        <v>0</v>
      </c>
      <c r="AT13" s="52">
        <f t="shared" si="17"/>
        <v>0</v>
      </c>
      <c r="AU13" s="52">
        <f t="shared" si="18"/>
        <v>0</v>
      </c>
      <c r="AV13" s="54">
        <f t="shared" si="19"/>
        <v>0</v>
      </c>
      <c r="AW13" s="53">
        <f t="shared" si="29"/>
        <v>0</v>
      </c>
      <c r="AX13" s="52">
        <f t="shared" si="20"/>
        <v>0</v>
      </c>
      <c r="AY13" s="52">
        <f t="shared" si="21"/>
        <v>0</v>
      </c>
      <c r="AZ13" s="52">
        <f t="shared" si="22"/>
        <v>0</v>
      </c>
      <c r="BA13" s="52">
        <f t="shared" si="23"/>
        <v>0</v>
      </c>
      <c r="BB13" s="52">
        <f t="shared" si="24"/>
        <v>0</v>
      </c>
      <c r="BC13" s="52">
        <f t="shared" si="25"/>
        <v>0</v>
      </c>
      <c r="BD13" s="52">
        <f t="shared" si="26"/>
        <v>0</v>
      </c>
      <c r="BE13" s="52">
        <f t="shared" si="27"/>
        <v>0</v>
      </c>
      <c r="BF13" s="54">
        <f t="shared" si="28"/>
        <v>0</v>
      </c>
      <c r="BT13" s="25"/>
    </row>
    <row r="14" spans="1:72" x14ac:dyDescent="0.2">
      <c r="A14" s="198" t="str">
        <f t="shared" si="30"/>
        <v>USD 2023</v>
      </c>
      <c r="B14" s="199">
        <v>2016</v>
      </c>
      <c r="C14" s="200" t="s">
        <v>119</v>
      </c>
      <c r="D14" s="201">
        <v>1725488</v>
      </c>
      <c r="E14" s="201">
        <v>1725488</v>
      </c>
      <c r="F14" s="201">
        <v>0</v>
      </c>
      <c r="G14" s="201">
        <v>1750000</v>
      </c>
      <c r="H14" s="202">
        <v>0.9859931428571429</v>
      </c>
      <c r="I14" s="203">
        <v>1707832</v>
      </c>
      <c r="J14" s="204">
        <v>13555</v>
      </c>
      <c r="K14" s="204">
        <v>4101</v>
      </c>
      <c r="L14" s="204">
        <v>0</v>
      </c>
      <c r="M14" s="204">
        <v>0</v>
      </c>
      <c r="N14" s="204">
        <v>0</v>
      </c>
      <c r="O14" s="204">
        <v>0</v>
      </c>
      <c r="P14" s="204">
        <v>0</v>
      </c>
      <c r="Q14" s="204">
        <v>0</v>
      </c>
      <c r="R14" s="205">
        <v>0</v>
      </c>
      <c r="S14" s="204">
        <v>1707832</v>
      </c>
      <c r="T14" s="204">
        <v>13555</v>
      </c>
      <c r="U14" s="204">
        <v>4101</v>
      </c>
      <c r="V14" s="204">
        <v>0</v>
      </c>
      <c r="W14" s="204">
        <v>0</v>
      </c>
      <c r="X14" s="25">
        <v>0</v>
      </c>
      <c r="Y14" s="25">
        <v>0</v>
      </c>
      <c r="Z14" s="25">
        <v>0</v>
      </c>
      <c r="AA14" s="25">
        <v>0</v>
      </c>
      <c r="AB14" s="46">
        <v>0</v>
      </c>
      <c r="AC14" s="52">
        <f t="shared" si="0"/>
        <v>0.98976753243140492</v>
      </c>
      <c r="AD14" s="52">
        <f t="shared" si="1"/>
        <v>7.8557486345891721E-3</v>
      </c>
      <c r="AE14" s="52">
        <f t="shared" si="2"/>
        <v>2.3767189340059159E-3</v>
      </c>
      <c r="AF14" s="52">
        <f t="shared" si="3"/>
        <v>0</v>
      </c>
      <c r="AG14" s="52">
        <f t="shared" si="4"/>
        <v>0</v>
      </c>
      <c r="AH14" s="52">
        <f t="shared" si="5"/>
        <v>0</v>
      </c>
      <c r="AI14" s="52">
        <f t="shared" si="6"/>
        <v>0</v>
      </c>
      <c r="AJ14" s="52">
        <f t="shared" si="7"/>
        <v>0</v>
      </c>
      <c r="AK14" s="52">
        <f t="shared" si="8"/>
        <v>0</v>
      </c>
      <c r="AL14" s="52">
        <f t="shared" si="9"/>
        <v>0</v>
      </c>
      <c r="AM14" s="53">
        <f t="shared" si="10"/>
        <v>0.98976753243140492</v>
      </c>
      <c r="AN14" s="52">
        <f t="shared" si="11"/>
        <v>7.8557486345891721E-3</v>
      </c>
      <c r="AO14" s="52">
        <f t="shared" si="12"/>
        <v>2.3767189340059159E-3</v>
      </c>
      <c r="AP14" s="52">
        <f t="shared" si="13"/>
        <v>0</v>
      </c>
      <c r="AQ14" s="52">
        <f t="shared" si="14"/>
        <v>0</v>
      </c>
      <c r="AR14" s="52">
        <f t="shared" si="15"/>
        <v>0</v>
      </c>
      <c r="AS14" s="52">
        <f t="shared" si="16"/>
        <v>0</v>
      </c>
      <c r="AT14" s="52">
        <f t="shared" si="17"/>
        <v>0</v>
      </c>
      <c r="AU14" s="52">
        <f t="shared" si="18"/>
        <v>0</v>
      </c>
      <c r="AV14" s="54">
        <f t="shared" si="19"/>
        <v>0</v>
      </c>
      <c r="AW14" s="53">
        <f t="shared" si="29"/>
        <v>0</v>
      </c>
      <c r="AX14" s="52">
        <f t="shared" si="20"/>
        <v>0</v>
      </c>
      <c r="AY14" s="52">
        <f t="shared" si="21"/>
        <v>0</v>
      </c>
      <c r="AZ14" s="52">
        <f t="shared" si="22"/>
        <v>0</v>
      </c>
      <c r="BA14" s="52">
        <f t="shared" si="23"/>
        <v>0</v>
      </c>
      <c r="BB14" s="52">
        <f t="shared" si="24"/>
        <v>0</v>
      </c>
      <c r="BC14" s="52">
        <f t="shared" si="25"/>
        <v>0</v>
      </c>
      <c r="BD14" s="52">
        <f t="shared" si="26"/>
        <v>0</v>
      </c>
      <c r="BE14" s="52">
        <f t="shared" si="27"/>
        <v>0</v>
      </c>
      <c r="BF14" s="54">
        <f t="shared" si="28"/>
        <v>0</v>
      </c>
      <c r="BT14" s="25"/>
    </row>
    <row r="15" spans="1:72" x14ac:dyDescent="0.2">
      <c r="A15" s="198" t="str">
        <f t="shared" si="30"/>
        <v>USD 2026</v>
      </c>
      <c r="B15" s="199">
        <v>2016</v>
      </c>
      <c r="C15" s="200" t="s">
        <v>120</v>
      </c>
      <c r="D15" s="207">
        <v>6400300</v>
      </c>
      <c r="E15" s="207">
        <v>6355150</v>
      </c>
      <c r="F15" s="207">
        <v>45150</v>
      </c>
      <c r="G15" s="207">
        <v>6454850</v>
      </c>
      <c r="H15" s="208">
        <v>0.98455424990511009</v>
      </c>
      <c r="I15" s="209">
        <v>5912899</v>
      </c>
      <c r="J15" s="206">
        <v>479511</v>
      </c>
      <c r="K15" s="206">
        <v>7890</v>
      </c>
      <c r="L15" s="206">
        <v>0</v>
      </c>
      <c r="M15" s="206">
        <v>0</v>
      </c>
      <c r="N15" s="206">
        <v>0</v>
      </c>
      <c r="O15" s="206">
        <v>0</v>
      </c>
      <c r="P15" s="206">
        <v>0</v>
      </c>
      <c r="Q15" s="206">
        <v>0</v>
      </c>
      <c r="R15" s="210">
        <v>0</v>
      </c>
      <c r="S15" s="206">
        <v>2087832.5020000001</v>
      </c>
      <c r="T15" s="206">
        <v>479511</v>
      </c>
      <c r="U15" s="206">
        <v>7890</v>
      </c>
      <c r="V15" s="206">
        <v>0</v>
      </c>
      <c r="W15" s="206">
        <v>0</v>
      </c>
      <c r="X15" s="69">
        <v>0</v>
      </c>
      <c r="Y15" s="69">
        <v>0</v>
      </c>
      <c r="Z15" s="69">
        <v>0</v>
      </c>
      <c r="AA15" s="69">
        <v>0</v>
      </c>
      <c r="AB15" s="211">
        <v>0</v>
      </c>
      <c r="AC15" s="212">
        <f t="shared" ref="AC15:AC28" si="31">IFERROR(I15/$D15,"")</f>
        <v>0.92384716341421491</v>
      </c>
      <c r="AD15" s="212">
        <f t="shared" ref="AD15:AD28" si="32">IFERROR(J15/$D15,"")</f>
        <v>7.4920081871162295E-2</v>
      </c>
      <c r="AE15" s="212">
        <f t="shared" ref="AE15:AE28" si="33">IFERROR(K15/$D15,"")</f>
        <v>1.232754714622752E-3</v>
      </c>
      <c r="AF15" s="212">
        <f t="shared" ref="AF15:AF28" si="34">IFERROR(L15/$D15,"")</f>
        <v>0</v>
      </c>
      <c r="AG15" s="212">
        <f t="shared" ref="AG15:AG28" si="35">IFERROR(M15/$D15,"")</f>
        <v>0</v>
      </c>
      <c r="AH15" s="212">
        <f t="shared" ref="AH15:AH28" si="36">IFERROR(N15/$D15,"")</f>
        <v>0</v>
      </c>
      <c r="AI15" s="212">
        <f t="shared" ref="AI15:AI28" si="37">IFERROR(O15/$D15,"")</f>
        <v>0</v>
      </c>
      <c r="AJ15" s="212">
        <f t="shared" ref="AJ15:AJ28" si="38">IFERROR(P15/$D15,"")</f>
        <v>0</v>
      </c>
      <c r="AK15" s="212">
        <f t="shared" ref="AK15:AK28" si="39">IFERROR(Q15/$D15,"")</f>
        <v>0</v>
      </c>
      <c r="AL15" s="212">
        <f t="shared" ref="AL15:AL28" si="40">IFERROR(R15/$D15,"")</f>
        <v>0</v>
      </c>
      <c r="AM15" s="213">
        <f t="shared" ref="AM15:AM28" si="41">IFERROR(S15/$D15,"")</f>
        <v>0.32620853741230882</v>
      </c>
      <c r="AN15" s="212">
        <f>IFERROR((T15+I15-S15)/$D15,"")</f>
        <v>0.67255870787306837</v>
      </c>
      <c r="AO15" s="212">
        <f t="shared" ref="AO15:AO28" si="42">IFERROR(U15/$D15,"")</f>
        <v>1.232754714622752E-3</v>
      </c>
      <c r="AP15" s="212">
        <f t="shared" ref="AP15:AP28" si="43">IFERROR(V15/$D15,"")</f>
        <v>0</v>
      </c>
      <c r="AQ15" s="212">
        <f t="shared" ref="AQ15:AQ28" si="44">IFERROR(W15/$D15,"")</f>
        <v>0</v>
      </c>
      <c r="AR15" s="212">
        <f t="shared" ref="AR15:AR28" si="45">IFERROR(X15/$D15,"")</f>
        <v>0</v>
      </c>
      <c r="AS15" s="212">
        <f t="shared" ref="AS15:AS28" si="46">IFERROR(Y15/$D15,"")</f>
        <v>0</v>
      </c>
      <c r="AT15" s="212">
        <f t="shared" ref="AT15:AT28" si="47">IFERROR(Z15/$D15,"")</f>
        <v>0</v>
      </c>
      <c r="AU15" s="212">
        <f t="shared" ref="AU15:AU28" si="48">IFERROR(AA15/$D15,"")</f>
        <v>0</v>
      </c>
      <c r="AV15" s="214">
        <f t="shared" ref="AV15:AV28" si="49">IFERROR(AB15/$D15,"")</f>
        <v>0</v>
      </c>
      <c r="AW15" s="213">
        <f t="shared" si="29"/>
        <v>-0.59763862600190609</v>
      </c>
      <c r="AX15" s="212">
        <f t="shared" si="20"/>
        <v>0.59763862600190609</v>
      </c>
      <c r="AY15" s="212">
        <f t="shared" si="21"/>
        <v>0</v>
      </c>
      <c r="AZ15" s="212">
        <f t="shared" si="22"/>
        <v>0</v>
      </c>
      <c r="BA15" s="212">
        <f t="shared" si="23"/>
        <v>0</v>
      </c>
      <c r="BB15" s="212">
        <f t="shared" si="24"/>
        <v>0</v>
      </c>
      <c r="BC15" s="212">
        <f t="shared" si="25"/>
        <v>0</v>
      </c>
      <c r="BD15" s="212">
        <f t="shared" si="26"/>
        <v>0</v>
      </c>
      <c r="BE15" s="212">
        <f t="shared" si="27"/>
        <v>0</v>
      </c>
      <c r="BF15" s="214">
        <f t="shared" si="28"/>
        <v>0</v>
      </c>
      <c r="BT15" s="25"/>
    </row>
    <row r="16" spans="1:72" x14ac:dyDescent="0.2">
      <c r="A16" s="198" t="str">
        <f t="shared" si="30"/>
        <v>USD 2027</v>
      </c>
      <c r="B16" s="199">
        <v>2016</v>
      </c>
      <c r="C16" s="200" t="s">
        <v>121</v>
      </c>
      <c r="D16" s="207">
        <v>3670156</v>
      </c>
      <c r="E16" s="207">
        <v>3670156</v>
      </c>
      <c r="F16" s="207">
        <v>0</v>
      </c>
      <c r="G16" s="207">
        <v>3750000</v>
      </c>
      <c r="H16" s="208">
        <v>0.97870826666666666</v>
      </c>
      <c r="I16" s="209">
        <v>3393343</v>
      </c>
      <c r="J16" s="206">
        <v>263472</v>
      </c>
      <c r="K16" s="206">
        <v>13341</v>
      </c>
      <c r="L16" s="206">
        <v>0</v>
      </c>
      <c r="M16" s="206">
        <v>0</v>
      </c>
      <c r="N16" s="206">
        <v>0</v>
      </c>
      <c r="O16" s="206">
        <v>0</v>
      </c>
      <c r="P16" s="206">
        <v>0</v>
      </c>
      <c r="Q16" s="206">
        <v>0</v>
      </c>
      <c r="R16" s="210">
        <v>0</v>
      </c>
      <c r="S16" s="206">
        <v>1198182.449</v>
      </c>
      <c r="T16" s="206">
        <v>263472</v>
      </c>
      <c r="U16" s="206">
        <v>13341</v>
      </c>
      <c r="V16" s="206">
        <v>0</v>
      </c>
      <c r="W16" s="206">
        <v>0</v>
      </c>
      <c r="X16" s="69">
        <v>0</v>
      </c>
      <c r="Y16" s="69">
        <v>0</v>
      </c>
      <c r="Z16" s="69">
        <v>0</v>
      </c>
      <c r="AA16" s="69">
        <v>0</v>
      </c>
      <c r="AB16" s="211">
        <v>0</v>
      </c>
      <c r="AC16" s="212">
        <f t="shared" si="31"/>
        <v>0.92457732041907759</v>
      </c>
      <c r="AD16" s="212">
        <f t="shared" si="32"/>
        <v>7.1787684229226226E-2</v>
      </c>
      <c r="AE16" s="212">
        <f t="shared" si="33"/>
        <v>3.6349953516962223E-3</v>
      </c>
      <c r="AF16" s="212">
        <f t="shared" si="34"/>
        <v>0</v>
      </c>
      <c r="AG16" s="212">
        <f t="shared" si="35"/>
        <v>0</v>
      </c>
      <c r="AH16" s="212">
        <f t="shared" si="36"/>
        <v>0</v>
      </c>
      <c r="AI16" s="212">
        <f t="shared" si="37"/>
        <v>0</v>
      </c>
      <c r="AJ16" s="212">
        <f t="shared" si="38"/>
        <v>0</v>
      </c>
      <c r="AK16" s="212">
        <f t="shared" si="39"/>
        <v>0</v>
      </c>
      <c r="AL16" s="212">
        <f t="shared" si="40"/>
        <v>0</v>
      </c>
      <c r="AM16" s="213">
        <f t="shared" si="41"/>
        <v>0.32646635429120724</v>
      </c>
      <c r="AN16" s="212">
        <f>IFERROR((T16+I16-S16)/$D16,"")</f>
        <v>0.6698986503570965</v>
      </c>
      <c r="AO16" s="212">
        <f t="shared" si="42"/>
        <v>3.6349953516962223E-3</v>
      </c>
      <c r="AP16" s="212">
        <f t="shared" si="43"/>
        <v>0</v>
      </c>
      <c r="AQ16" s="212">
        <f t="shared" si="44"/>
        <v>0</v>
      </c>
      <c r="AR16" s="212">
        <f t="shared" si="45"/>
        <v>0</v>
      </c>
      <c r="AS16" s="212">
        <f t="shared" si="46"/>
        <v>0</v>
      </c>
      <c r="AT16" s="212">
        <f t="shared" si="47"/>
        <v>0</v>
      </c>
      <c r="AU16" s="212">
        <f t="shared" si="48"/>
        <v>0</v>
      </c>
      <c r="AV16" s="214">
        <f t="shared" si="49"/>
        <v>0</v>
      </c>
      <c r="AW16" s="213">
        <f t="shared" si="29"/>
        <v>-0.59811096612787029</v>
      </c>
      <c r="AX16" s="212">
        <f t="shared" si="20"/>
        <v>0.59811096612787029</v>
      </c>
      <c r="AY16" s="212">
        <f t="shared" si="21"/>
        <v>0</v>
      </c>
      <c r="AZ16" s="212">
        <f t="shared" si="22"/>
        <v>0</v>
      </c>
      <c r="BA16" s="212">
        <f t="shared" si="23"/>
        <v>0</v>
      </c>
      <c r="BB16" s="212">
        <f t="shared" si="24"/>
        <v>0</v>
      </c>
      <c r="BC16" s="212">
        <f t="shared" si="25"/>
        <v>0</v>
      </c>
      <c r="BD16" s="212">
        <f t="shared" si="26"/>
        <v>0</v>
      </c>
      <c r="BE16" s="212">
        <f t="shared" si="27"/>
        <v>0</v>
      </c>
      <c r="BF16" s="214">
        <f t="shared" si="28"/>
        <v>0</v>
      </c>
      <c r="BT16" s="25"/>
    </row>
    <row r="17" spans="1:72" x14ac:dyDescent="0.2">
      <c r="A17" s="198" t="str">
        <f t="shared" si="30"/>
        <v>USD 5.875% 2028</v>
      </c>
      <c r="B17" s="199">
        <v>2016</v>
      </c>
      <c r="C17" s="200" t="s">
        <v>122</v>
      </c>
      <c r="D17" s="207">
        <v>4177029</v>
      </c>
      <c r="E17" s="207">
        <v>4177029</v>
      </c>
      <c r="F17" s="207">
        <v>0</v>
      </c>
      <c r="G17" s="207">
        <v>4250000</v>
      </c>
      <c r="H17" s="208">
        <v>0.98283035294117649</v>
      </c>
      <c r="I17" s="209">
        <v>3922502</v>
      </c>
      <c r="J17" s="206">
        <v>227004</v>
      </c>
      <c r="K17" s="206">
        <v>27523</v>
      </c>
      <c r="L17" s="206">
        <v>0</v>
      </c>
      <c r="M17" s="206">
        <v>0</v>
      </c>
      <c r="N17" s="206">
        <v>0</v>
      </c>
      <c r="O17" s="206">
        <v>0</v>
      </c>
      <c r="P17" s="206">
        <v>0</v>
      </c>
      <c r="Q17" s="206">
        <v>0</v>
      </c>
      <c r="R17" s="210">
        <v>0</v>
      </c>
      <c r="S17" s="206">
        <v>1385027.406</v>
      </c>
      <c r="T17" s="206">
        <v>227004</v>
      </c>
      <c r="U17" s="206">
        <v>27523</v>
      </c>
      <c r="V17" s="206">
        <v>0</v>
      </c>
      <c r="W17" s="206">
        <v>0</v>
      </c>
      <c r="X17" s="69">
        <v>0</v>
      </c>
      <c r="Y17" s="69">
        <v>0</v>
      </c>
      <c r="Z17" s="69">
        <v>0</v>
      </c>
      <c r="AA17" s="69">
        <v>0</v>
      </c>
      <c r="AB17" s="211">
        <v>0</v>
      </c>
      <c r="AC17" s="212">
        <f t="shared" si="31"/>
        <v>0.93906506275153945</v>
      </c>
      <c r="AD17" s="212">
        <f t="shared" si="32"/>
        <v>5.4345804158889011E-2</v>
      </c>
      <c r="AE17" s="212">
        <f t="shared" si="33"/>
        <v>6.589133089571559E-3</v>
      </c>
      <c r="AF17" s="212">
        <f t="shared" si="34"/>
        <v>0</v>
      </c>
      <c r="AG17" s="212">
        <f t="shared" si="35"/>
        <v>0</v>
      </c>
      <c r="AH17" s="212">
        <f t="shared" si="36"/>
        <v>0</v>
      </c>
      <c r="AI17" s="212">
        <f t="shared" si="37"/>
        <v>0</v>
      </c>
      <c r="AJ17" s="212">
        <f t="shared" si="38"/>
        <v>0</v>
      </c>
      <c r="AK17" s="212">
        <f t="shared" si="39"/>
        <v>0</v>
      </c>
      <c r="AL17" s="212">
        <f t="shared" si="40"/>
        <v>0</v>
      </c>
      <c r="AM17" s="213">
        <f t="shared" si="41"/>
        <v>0.33158194640257466</v>
      </c>
      <c r="AN17" s="212">
        <f>IFERROR((T17+I17-S17)/$D17,"")</f>
        <v>0.6618289205078538</v>
      </c>
      <c r="AO17" s="212">
        <f t="shared" si="42"/>
        <v>6.589133089571559E-3</v>
      </c>
      <c r="AP17" s="212">
        <f t="shared" si="43"/>
        <v>0</v>
      </c>
      <c r="AQ17" s="212">
        <f t="shared" si="44"/>
        <v>0</v>
      </c>
      <c r="AR17" s="212">
        <f t="shared" si="45"/>
        <v>0</v>
      </c>
      <c r="AS17" s="212">
        <f t="shared" si="46"/>
        <v>0</v>
      </c>
      <c r="AT17" s="212">
        <f t="shared" si="47"/>
        <v>0</v>
      </c>
      <c r="AU17" s="212">
        <f t="shared" si="48"/>
        <v>0</v>
      </c>
      <c r="AV17" s="214">
        <f t="shared" si="49"/>
        <v>0</v>
      </c>
      <c r="AW17" s="213">
        <f t="shared" si="29"/>
        <v>-0.60748311634896479</v>
      </c>
      <c r="AX17" s="212">
        <f t="shared" si="20"/>
        <v>0.60748311634896479</v>
      </c>
      <c r="AY17" s="212">
        <f t="shared" si="21"/>
        <v>0</v>
      </c>
      <c r="AZ17" s="212">
        <f t="shared" si="22"/>
        <v>0</v>
      </c>
      <c r="BA17" s="212">
        <f t="shared" si="23"/>
        <v>0</v>
      </c>
      <c r="BB17" s="212">
        <f t="shared" si="24"/>
        <v>0</v>
      </c>
      <c r="BC17" s="212">
        <f t="shared" si="25"/>
        <v>0</v>
      </c>
      <c r="BD17" s="212">
        <f t="shared" si="26"/>
        <v>0</v>
      </c>
      <c r="BE17" s="212">
        <f t="shared" si="27"/>
        <v>0</v>
      </c>
      <c r="BF17" s="214">
        <f t="shared" si="28"/>
        <v>0</v>
      </c>
      <c r="BT17" s="25"/>
    </row>
    <row r="18" spans="1:72" x14ac:dyDescent="0.2">
      <c r="A18" s="198" t="str">
        <f t="shared" si="30"/>
        <v>USD 6.625% 2028</v>
      </c>
      <c r="B18" s="199">
        <v>2016</v>
      </c>
      <c r="C18" s="200" t="s">
        <v>123</v>
      </c>
      <c r="D18" s="207">
        <v>981944</v>
      </c>
      <c r="E18" s="207">
        <v>946944</v>
      </c>
      <c r="F18" s="207">
        <v>35000</v>
      </c>
      <c r="G18" s="207">
        <v>965000</v>
      </c>
      <c r="H18" s="208">
        <v>0.98128911917098449</v>
      </c>
      <c r="I18" s="209">
        <v>868600</v>
      </c>
      <c r="J18" s="206">
        <v>105154</v>
      </c>
      <c r="K18" s="206">
        <v>8190</v>
      </c>
      <c r="L18" s="206">
        <v>0</v>
      </c>
      <c r="M18" s="206">
        <v>0</v>
      </c>
      <c r="N18" s="206">
        <v>0</v>
      </c>
      <c r="O18" s="206">
        <v>0</v>
      </c>
      <c r="P18" s="206">
        <v>0</v>
      </c>
      <c r="Q18" s="206">
        <v>0</v>
      </c>
      <c r="R18" s="210">
        <v>0</v>
      </c>
      <c r="S18" s="206">
        <v>306700.87699999998</v>
      </c>
      <c r="T18" s="206">
        <v>105154</v>
      </c>
      <c r="U18" s="206">
        <v>8190</v>
      </c>
      <c r="V18" s="206">
        <v>0</v>
      </c>
      <c r="W18" s="206">
        <v>0</v>
      </c>
      <c r="X18" s="69">
        <v>0</v>
      </c>
      <c r="Y18" s="69">
        <v>0</v>
      </c>
      <c r="Z18" s="69">
        <v>0</v>
      </c>
      <c r="AA18" s="69">
        <v>0</v>
      </c>
      <c r="AB18" s="211">
        <v>0</v>
      </c>
      <c r="AC18" s="212">
        <f t="shared" si="31"/>
        <v>0.88457182894340203</v>
      </c>
      <c r="AD18" s="212">
        <f t="shared" si="32"/>
        <v>0.10708757322209821</v>
      </c>
      <c r="AE18" s="212">
        <f t="shared" si="33"/>
        <v>8.3405978344997262E-3</v>
      </c>
      <c r="AF18" s="212">
        <f t="shared" si="34"/>
        <v>0</v>
      </c>
      <c r="AG18" s="212">
        <f t="shared" si="35"/>
        <v>0</v>
      </c>
      <c r="AH18" s="212">
        <f t="shared" si="36"/>
        <v>0</v>
      </c>
      <c r="AI18" s="212">
        <f t="shared" si="37"/>
        <v>0</v>
      </c>
      <c r="AJ18" s="212">
        <f t="shared" si="38"/>
        <v>0</v>
      </c>
      <c r="AK18" s="212">
        <f t="shared" si="39"/>
        <v>0</v>
      </c>
      <c r="AL18" s="212">
        <f t="shared" si="40"/>
        <v>0</v>
      </c>
      <c r="AM18" s="213">
        <f t="shared" si="41"/>
        <v>0.31234049701408634</v>
      </c>
      <c r="AN18" s="212">
        <f>IFERROR((T18+I18-S18)/$D18,"")</f>
        <v>0.67931890515141391</v>
      </c>
      <c r="AO18" s="212">
        <f t="shared" si="42"/>
        <v>8.3405978344997262E-3</v>
      </c>
      <c r="AP18" s="212">
        <f t="shared" si="43"/>
        <v>0</v>
      </c>
      <c r="AQ18" s="212">
        <f t="shared" si="44"/>
        <v>0</v>
      </c>
      <c r="AR18" s="212">
        <f t="shared" si="45"/>
        <v>0</v>
      </c>
      <c r="AS18" s="212">
        <f t="shared" si="46"/>
        <v>0</v>
      </c>
      <c r="AT18" s="212">
        <f t="shared" si="47"/>
        <v>0</v>
      </c>
      <c r="AU18" s="212">
        <f t="shared" si="48"/>
        <v>0</v>
      </c>
      <c r="AV18" s="214">
        <f t="shared" si="49"/>
        <v>0</v>
      </c>
      <c r="AW18" s="213">
        <f t="shared" si="29"/>
        <v>-0.57223133192931575</v>
      </c>
      <c r="AX18" s="212">
        <f t="shared" si="20"/>
        <v>0.57223133192931575</v>
      </c>
      <c r="AY18" s="212">
        <f t="shared" si="21"/>
        <v>0</v>
      </c>
      <c r="AZ18" s="212">
        <f t="shared" si="22"/>
        <v>0</v>
      </c>
      <c r="BA18" s="212">
        <f t="shared" si="23"/>
        <v>0</v>
      </c>
      <c r="BB18" s="212">
        <f t="shared" si="24"/>
        <v>0</v>
      </c>
      <c r="BC18" s="212">
        <f t="shared" si="25"/>
        <v>0</v>
      </c>
      <c r="BD18" s="212">
        <f t="shared" si="26"/>
        <v>0</v>
      </c>
      <c r="BE18" s="212">
        <f t="shared" si="27"/>
        <v>0</v>
      </c>
      <c r="BF18" s="214">
        <f t="shared" si="28"/>
        <v>0</v>
      </c>
      <c r="BT18" s="25"/>
    </row>
    <row r="19" spans="1:72" x14ac:dyDescent="0.2">
      <c r="A19" s="198" t="str">
        <f t="shared" si="30"/>
        <v>USD 2036</v>
      </c>
      <c r="B19" s="199">
        <v>2016</v>
      </c>
      <c r="C19" s="200" t="s">
        <v>124</v>
      </c>
      <c r="D19" s="207">
        <v>1728922</v>
      </c>
      <c r="E19" s="207">
        <v>1705922</v>
      </c>
      <c r="F19" s="207">
        <v>23000</v>
      </c>
      <c r="G19" s="207">
        <v>1727000</v>
      </c>
      <c r="H19" s="208">
        <v>0.98779502026635779</v>
      </c>
      <c r="I19" s="209">
        <v>1371640</v>
      </c>
      <c r="J19" s="206">
        <v>339202</v>
      </c>
      <c r="K19" s="206">
        <v>18080</v>
      </c>
      <c r="L19" s="206">
        <v>0</v>
      </c>
      <c r="M19" s="206">
        <v>0</v>
      </c>
      <c r="N19" s="206">
        <v>0</v>
      </c>
      <c r="O19" s="206">
        <v>0</v>
      </c>
      <c r="P19" s="206">
        <v>0</v>
      </c>
      <c r="Q19" s="206">
        <v>0</v>
      </c>
      <c r="R19" s="210">
        <v>0</v>
      </c>
      <c r="S19" s="206">
        <v>484323.26899999997</v>
      </c>
      <c r="T19" s="206">
        <v>339202</v>
      </c>
      <c r="U19" s="206">
        <v>18080</v>
      </c>
      <c r="V19" s="206">
        <v>0</v>
      </c>
      <c r="W19" s="206">
        <v>0</v>
      </c>
      <c r="X19" s="69">
        <v>0</v>
      </c>
      <c r="Y19" s="69">
        <v>0</v>
      </c>
      <c r="Z19" s="69">
        <v>0</v>
      </c>
      <c r="AA19" s="69">
        <v>0</v>
      </c>
      <c r="AB19" s="211">
        <v>0</v>
      </c>
      <c r="AC19" s="212">
        <f t="shared" si="31"/>
        <v>0.79334984458523872</v>
      </c>
      <c r="AD19" s="212">
        <f t="shared" si="32"/>
        <v>0.19619277214356692</v>
      </c>
      <c r="AE19" s="212">
        <f t="shared" si="33"/>
        <v>1.045738327119442E-2</v>
      </c>
      <c r="AF19" s="212">
        <f t="shared" si="34"/>
        <v>0</v>
      </c>
      <c r="AG19" s="212">
        <f t="shared" si="35"/>
        <v>0</v>
      </c>
      <c r="AH19" s="212">
        <f t="shared" si="36"/>
        <v>0</v>
      </c>
      <c r="AI19" s="212">
        <f t="shared" si="37"/>
        <v>0</v>
      </c>
      <c r="AJ19" s="212">
        <f t="shared" si="38"/>
        <v>0</v>
      </c>
      <c r="AK19" s="212">
        <f t="shared" si="39"/>
        <v>0</v>
      </c>
      <c r="AL19" s="212">
        <f t="shared" si="40"/>
        <v>0</v>
      </c>
      <c r="AM19" s="213">
        <f t="shared" si="41"/>
        <v>0.28013020194086258</v>
      </c>
      <c r="AN19" s="212">
        <f>IFERROR((T19+I19-S19)/$D19,"")</f>
        <v>0.70941241478794315</v>
      </c>
      <c r="AO19" s="212">
        <f t="shared" si="42"/>
        <v>1.045738327119442E-2</v>
      </c>
      <c r="AP19" s="212">
        <f t="shared" si="43"/>
        <v>0</v>
      </c>
      <c r="AQ19" s="212">
        <f t="shared" si="44"/>
        <v>0</v>
      </c>
      <c r="AR19" s="212">
        <f t="shared" si="45"/>
        <v>0</v>
      </c>
      <c r="AS19" s="212">
        <f t="shared" si="46"/>
        <v>0</v>
      </c>
      <c r="AT19" s="212">
        <f t="shared" si="47"/>
        <v>0</v>
      </c>
      <c r="AU19" s="212">
        <f t="shared" si="48"/>
        <v>0</v>
      </c>
      <c r="AV19" s="214">
        <f t="shared" si="49"/>
        <v>0</v>
      </c>
      <c r="AW19" s="213">
        <f t="shared" si="29"/>
        <v>-0.51321964264437614</v>
      </c>
      <c r="AX19" s="212">
        <f t="shared" si="20"/>
        <v>0.51321964264437625</v>
      </c>
      <c r="AY19" s="212">
        <f t="shared" si="21"/>
        <v>0</v>
      </c>
      <c r="AZ19" s="212">
        <f t="shared" si="22"/>
        <v>0</v>
      </c>
      <c r="BA19" s="212">
        <f t="shared" si="23"/>
        <v>0</v>
      </c>
      <c r="BB19" s="212">
        <f t="shared" si="24"/>
        <v>0</v>
      </c>
      <c r="BC19" s="212">
        <f t="shared" si="25"/>
        <v>0</v>
      </c>
      <c r="BD19" s="212">
        <f t="shared" si="26"/>
        <v>0</v>
      </c>
      <c r="BE19" s="212">
        <f t="shared" si="27"/>
        <v>0</v>
      </c>
      <c r="BF19" s="214">
        <f t="shared" si="28"/>
        <v>0</v>
      </c>
      <c r="BT19" s="25"/>
    </row>
    <row r="20" spans="1:72" x14ac:dyDescent="0.2">
      <c r="A20" s="198" t="str">
        <f t="shared" si="30"/>
        <v>USD 2046</v>
      </c>
      <c r="B20" s="199">
        <v>2016</v>
      </c>
      <c r="C20" s="200" t="s">
        <v>125</v>
      </c>
      <c r="D20" s="201">
        <v>2674005</v>
      </c>
      <c r="E20" s="201">
        <v>2541690</v>
      </c>
      <c r="F20" s="201">
        <v>132315</v>
      </c>
      <c r="G20" s="201">
        <v>2617685</v>
      </c>
      <c r="H20" s="202">
        <v>0.97096862303905929</v>
      </c>
      <c r="I20" s="203">
        <v>0</v>
      </c>
      <c r="J20" s="204">
        <v>2578012</v>
      </c>
      <c r="K20" s="204">
        <v>95993</v>
      </c>
      <c r="L20" s="204">
        <v>0</v>
      </c>
      <c r="M20" s="204">
        <v>0</v>
      </c>
      <c r="N20" s="204">
        <v>0</v>
      </c>
      <c r="O20" s="204">
        <v>0</v>
      </c>
      <c r="P20" s="204">
        <v>0</v>
      </c>
      <c r="Q20" s="204">
        <v>0</v>
      </c>
      <c r="R20" s="205">
        <v>0</v>
      </c>
      <c r="S20" s="206">
        <v>0</v>
      </c>
      <c r="T20" s="206">
        <v>2578012</v>
      </c>
      <c r="U20" s="206">
        <v>95993</v>
      </c>
      <c r="V20" s="206">
        <v>0</v>
      </c>
      <c r="W20" s="206">
        <v>0</v>
      </c>
      <c r="X20" s="25">
        <v>0</v>
      </c>
      <c r="Y20" s="25">
        <v>0</v>
      </c>
      <c r="Z20" s="25">
        <v>0</v>
      </c>
      <c r="AA20" s="25">
        <v>0</v>
      </c>
      <c r="AB20" s="46">
        <v>0</v>
      </c>
      <c r="AC20" s="52">
        <f t="shared" si="31"/>
        <v>0</v>
      </c>
      <c r="AD20" s="52">
        <f t="shared" si="32"/>
        <v>0.96410141342293676</v>
      </c>
      <c r="AE20" s="52">
        <f t="shared" si="33"/>
        <v>3.5898586577063241E-2</v>
      </c>
      <c r="AF20" s="52">
        <f t="shared" si="34"/>
        <v>0</v>
      </c>
      <c r="AG20" s="52">
        <f t="shared" si="35"/>
        <v>0</v>
      </c>
      <c r="AH20" s="52">
        <f t="shared" si="36"/>
        <v>0</v>
      </c>
      <c r="AI20" s="52">
        <f t="shared" si="37"/>
        <v>0</v>
      </c>
      <c r="AJ20" s="52">
        <f t="shared" si="38"/>
        <v>0</v>
      </c>
      <c r="AK20" s="52">
        <f t="shared" si="39"/>
        <v>0</v>
      </c>
      <c r="AL20" s="52">
        <f t="shared" si="40"/>
        <v>0</v>
      </c>
      <c r="AM20" s="53">
        <f t="shared" si="41"/>
        <v>0</v>
      </c>
      <c r="AN20" s="52">
        <f t="shared" ref="AN20:AN28" si="50">IFERROR(T20/$D20,"")</f>
        <v>0.96410141342293676</v>
      </c>
      <c r="AO20" s="52">
        <f t="shared" si="42"/>
        <v>3.5898586577063241E-2</v>
      </c>
      <c r="AP20" s="52">
        <f t="shared" si="43"/>
        <v>0</v>
      </c>
      <c r="AQ20" s="52">
        <f t="shared" si="44"/>
        <v>0</v>
      </c>
      <c r="AR20" s="52">
        <f t="shared" si="45"/>
        <v>0</v>
      </c>
      <c r="AS20" s="52">
        <f t="shared" si="46"/>
        <v>0</v>
      </c>
      <c r="AT20" s="52">
        <f t="shared" si="47"/>
        <v>0</v>
      </c>
      <c r="AU20" s="52">
        <f t="shared" si="48"/>
        <v>0</v>
      </c>
      <c r="AV20" s="54">
        <f t="shared" si="49"/>
        <v>0</v>
      </c>
      <c r="AW20" s="53">
        <f t="shared" si="29"/>
        <v>0</v>
      </c>
      <c r="AX20" s="52">
        <f t="shared" si="20"/>
        <v>0</v>
      </c>
      <c r="AY20" s="52">
        <f t="shared" si="21"/>
        <v>0</v>
      </c>
      <c r="AZ20" s="52">
        <f t="shared" si="22"/>
        <v>0</v>
      </c>
      <c r="BA20" s="52">
        <f t="shared" si="23"/>
        <v>0</v>
      </c>
      <c r="BB20" s="52">
        <f t="shared" si="24"/>
        <v>0</v>
      </c>
      <c r="BC20" s="52">
        <f t="shared" si="25"/>
        <v>0</v>
      </c>
      <c r="BD20" s="52">
        <f t="shared" si="26"/>
        <v>0</v>
      </c>
      <c r="BE20" s="52">
        <f t="shared" si="27"/>
        <v>0</v>
      </c>
      <c r="BF20" s="54">
        <f t="shared" si="28"/>
        <v>0</v>
      </c>
      <c r="BT20" s="25"/>
    </row>
    <row r="21" spans="1:72" x14ac:dyDescent="0.2">
      <c r="A21" s="198" t="str">
        <f t="shared" si="30"/>
        <v>USD 2048</v>
      </c>
      <c r="B21" s="199">
        <v>2016</v>
      </c>
      <c r="C21" s="200" t="s">
        <v>126</v>
      </c>
      <c r="D21" s="201">
        <v>2934546</v>
      </c>
      <c r="E21" s="201">
        <v>2934546</v>
      </c>
      <c r="F21" s="201">
        <v>0</v>
      </c>
      <c r="G21" s="201">
        <v>3000000</v>
      </c>
      <c r="H21" s="202">
        <v>0.978182</v>
      </c>
      <c r="I21" s="203">
        <v>0</v>
      </c>
      <c r="J21" s="204">
        <v>2856986</v>
      </c>
      <c r="K21" s="204">
        <v>77560</v>
      </c>
      <c r="L21" s="204">
        <v>0</v>
      </c>
      <c r="M21" s="204">
        <v>0</v>
      </c>
      <c r="N21" s="204">
        <v>0</v>
      </c>
      <c r="O21" s="204">
        <v>0</v>
      </c>
      <c r="P21" s="204">
        <v>0</v>
      </c>
      <c r="Q21" s="204">
        <v>0</v>
      </c>
      <c r="R21" s="205">
        <v>0</v>
      </c>
      <c r="S21" s="206">
        <v>0</v>
      </c>
      <c r="T21" s="206">
        <v>2856986</v>
      </c>
      <c r="U21" s="206">
        <v>77560</v>
      </c>
      <c r="V21" s="206">
        <v>0</v>
      </c>
      <c r="W21" s="206">
        <v>0</v>
      </c>
      <c r="X21" s="25">
        <v>0</v>
      </c>
      <c r="Y21" s="25">
        <v>0</v>
      </c>
      <c r="Z21" s="25">
        <v>0</v>
      </c>
      <c r="AA21" s="25">
        <v>0</v>
      </c>
      <c r="AB21" s="46">
        <v>0</v>
      </c>
      <c r="AC21" s="52">
        <f t="shared" si="31"/>
        <v>0</v>
      </c>
      <c r="AD21" s="52">
        <f t="shared" si="32"/>
        <v>0.97357001730420989</v>
      </c>
      <c r="AE21" s="52">
        <f t="shared" si="33"/>
        <v>2.6429982695790083E-2</v>
      </c>
      <c r="AF21" s="52">
        <f t="shared" si="34"/>
        <v>0</v>
      </c>
      <c r="AG21" s="52">
        <f t="shared" si="35"/>
        <v>0</v>
      </c>
      <c r="AH21" s="52">
        <f t="shared" si="36"/>
        <v>0</v>
      </c>
      <c r="AI21" s="52">
        <f t="shared" si="37"/>
        <v>0</v>
      </c>
      <c r="AJ21" s="52">
        <f t="shared" si="38"/>
        <v>0</v>
      </c>
      <c r="AK21" s="52">
        <f t="shared" si="39"/>
        <v>0</v>
      </c>
      <c r="AL21" s="52">
        <f t="shared" si="40"/>
        <v>0</v>
      </c>
      <c r="AM21" s="53">
        <f t="shared" si="41"/>
        <v>0</v>
      </c>
      <c r="AN21" s="52">
        <f t="shared" si="50"/>
        <v>0.97357001730420989</v>
      </c>
      <c r="AO21" s="52">
        <f t="shared" si="42"/>
        <v>2.6429982695790083E-2</v>
      </c>
      <c r="AP21" s="52">
        <f t="shared" si="43"/>
        <v>0</v>
      </c>
      <c r="AQ21" s="52">
        <f t="shared" si="44"/>
        <v>0</v>
      </c>
      <c r="AR21" s="52">
        <f t="shared" si="45"/>
        <v>0</v>
      </c>
      <c r="AS21" s="52">
        <f t="shared" si="46"/>
        <v>0</v>
      </c>
      <c r="AT21" s="52">
        <f t="shared" si="47"/>
        <v>0</v>
      </c>
      <c r="AU21" s="52">
        <f t="shared" si="48"/>
        <v>0</v>
      </c>
      <c r="AV21" s="54">
        <f t="shared" si="49"/>
        <v>0</v>
      </c>
      <c r="AW21" s="53">
        <f t="shared" si="29"/>
        <v>0</v>
      </c>
      <c r="AX21" s="52">
        <f t="shared" si="20"/>
        <v>0</v>
      </c>
      <c r="AY21" s="52">
        <f t="shared" si="21"/>
        <v>0</v>
      </c>
      <c r="AZ21" s="52">
        <f t="shared" si="22"/>
        <v>0</v>
      </c>
      <c r="BA21" s="52">
        <f t="shared" si="23"/>
        <v>0</v>
      </c>
      <c r="BB21" s="52">
        <f t="shared" si="24"/>
        <v>0</v>
      </c>
      <c r="BC21" s="52">
        <f t="shared" si="25"/>
        <v>0</v>
      </c>
      <c r="BD21" s="52">
        <f t="shared" si="26"/>
        <v>0</v>
      </c>
      <c r="BE21" s="52">
        <f t="shared" si="27"/>
        <v>0</v>
      </c>
      <c r="BF21" s="54">
        <f t="shared" si="28"/>
        <v>0</v>
      </c>
      <c r="BT21" s="25"/>
    </row>
    <row r="22" spans="1:72" x14ac:dyDescent="0.2">
      <c r="A22" s="28" t="str">
        <f t="shared" si="30"/>
        <v>USD 2117</v>
      </c>
      <c r="B22" s="7">
        <v>2016</v>
      </c>
      <c r="C22" s="27" t="s">
        <v>127</v>
      </c>
      <c r="D22" s="60">
        <v>2644596</v>
      </c>
      <c r="E22" s="60">
        <v>2583772</v>
      </c>
      <c r="F22" s="60">
        <v>60824</v>
      </c>
      <c r="G22" s="60">
        <v>2689176</v>
      </c>
      <c r="H22" s="154">
        <v>0.96080435047761847</v>
      </c>
      <c r="I22" s="50">
        <v>0</v>
      </c>
      <c r="J22" s="25">
        <v>2434533</v>
      </c>
      <c r="K22" s="25">
        <v>210063</v>
      </c>
      <c r="L22" s="25">
        <v>0</v>
      </c>
      <c r="M22" s="25">
        <v>0</v>
      </c>
      <c r="N22" s="25">
        <v>0</v>
      </c>
      <c r="O22" s="25">
        <v>0</v>
      </c>
      <c r="P22" s="25">
        <v>0</v>
      </c>
      <c r="Q22" s="25">
        <v>0</v>
      </c>
      <c r="R22" s="46">
        <v>0</v>
      </c>
      <c r="S22" s="69">
        <v>0</v>
      </c>
      <c r="T22" s="69">
        <v>2434533</v>
      </c>
      <c r="U22" s="69">
        <v>210063</v>
      </c>
      <c r="V22" s="69">
        <v>0</v>
      </c>
      <c r="W22" s="69">
        <v>0</v>
      </c>
      <c r="X22" s="25">
        <v>0</v>
      </c>
      <c r="Y22" s="25">
        <v>0</v>
      </c>
      <c r="Z22" s="25">
        <v>0</v>
      </c>
      <c r="AA22" s="25">
        <v>0</v>
      </c>
      <c r="AB22" s="46">
        <v>0</v>
      </c>
      <c r="AC22" s="52">
        <f t="shared" si="31"/>
        <v>0</v>
      </c>
      <c r="AD22" s="52">
        <f t="shared" si="32"/>
        <v>0.92056896403080091</v>
      </c>
      <c r="AE22" s="52">
        <f t="shared" si="33"/>
        <v>7.9431035969199079E-2</v>
      </c>
      <c r="AF22" s="52">
        <f t="shared" si="34"/>
        <v>0</v>
      </c>
      <c r="AG22" s="52">
        <f t="shared" si="35"/>
        <v>0</v>
      </c>
      <c r="AH22" s="52">
        <f t="shared" si="36"/>
        <v>0</v>
      </c>
      <c r="AI22" s="52">
        <f t="shared" si="37"/>
        <v>0</v>
      </c>
      <c r="AJ22" s="52">
        <f t="shared" si="38"/>
        <v>0</v>
      </c>
      <c r="AK22" s="52">
        <f t="shared" si="39"/>
        <v>0</v>
      </c>
      <c r="AL22" s="52">
        <f t="shared" si="40"/>
        <v>0</v>
      </c>
      <c r="AM22" s="53">
        <f t="shared" si="41"/>
        <v>0</v>
      </c>
      <c r="AN22" s="52">
        <f t="shared" si="50"/>
        <v>0.92056896403080091</v>
      </c>
      <c r="AO22" s="52">
        <f t="shared" si="42"/>
        <v>7.9431035969199079E-2</v>
      </c>
      <c r="AP22" s="52">
        <f t="shared" si="43"/>
        <v>0</v>
      </c>
      <c r="AQ22" s="52">
        <f t="shared" si="44"/>
        <v>0</v>
      </c>
      <c r="AR22" s="52">
        <f t="shared" si="45"/>
        <v>0</v>
      </c>
      <c r="AS22" s="52">
        <f t="shared" si="46"/>
        <v>0</v>
      </c>
      <c r="AT22" s="52">
        <f t="shared" si="47"/>
        <v>0</v>
      </c>
      <c r="AU22" s="52">
        <f t="shared" si="48"/>
        <v>0</v>
      </c>
      <c r="AV22" s="54">
        <f t="shared" si="49"/>
        <v>0</v>
      </c>
      <c r="AW22" s="53">
        <f t="shared" si="29"/>
        <v>0</v>
      </c>
      <c r="AX22" s="52">
        <f t="shared" si="20"/>
        <v>0</v>
      </c>
      <c r="AY22" s="52">
        <f t="shared" si="21"/>
        <v>0</v>
      </c>
      <c r="AZ22" s="52">
        <f t="shared" si="22"/>
        <v>0</v>
      </c>
      <c r="BA22" s="52">
        <f t="shared" si="23"/>
        <v>0</v>
      </c>
      <c r="BB22" s="52">
        <f t="shared" si="24"/>
        <v>0</v>
      </c>
      <c r="BC22" s="52">
        <f t="shared" si="25"/>
        <v>0</v>
      </c>
      <c r="BD22" s="52">
        <f t="shared" si="26"/>
        <v>0</v>
      </c>
      <c r="BE22" s="52">
        <f t="shared" si="27"/>
        <v>0</v>
      </c>
      <c r="BF22" s="54">
        <f t="shared" si="28"/>
        <v>0</v>
      </c>
      <c r="BT22" s="25"/>
    </row>
    <row r="23" spans="1:72" x14ac:dyDescent="0.2">
      <c r="A23" s="28" t="str">
        <f t="shared" si="30"/>
        <v>Euro 2022</v>
      </c>
      <c r="B23" s="7">
        <v>2016</v>
      </c>
      <c r="C23" s="27" t="s">
        <v>128</v>
      </c>
      <c r="D23" s="60">
        <v>1212229</v>
      </c>
      <c r="E23" s="60">
        <v>1212229</v>
      </c>
      <c r="F23" s="60">
        <v>0</v>
      </c>
      <c r="G23" s="60">
        <v>1250000</v>
      </c>
      <c r="H23" s="154">
        <v>0.96978319999999996</v>
      </c>
      <c r="I23" s="50">
        <v>905034</v>
      </c>
      <c r="J23" s="25">
        <v>0</v>
      </c>
      <c r="K23" s="25">
        <v>0</v>
      </c>
      <c r="L23" s="25">
        <v>0</v>
      </c>
      <c r="M23" s="25">
        <v>0</v>
      </c>
      <c r="N23" s="25">
        <v>290082</v>
      </c>
      <c r="O23" s="25">
        <v>15313</v>
      </c>
      <c r="P23" s="25">
        <v>0</v>
      </c>
      <c r="Q23" s="25">
        <v>0</v>
      </c>
      <c r="R23" s="46">
        <v>1800</v>
      </c>
      <c r="S23" s="25">
        <v>905034</v>
      </c>
      <c r="T23" s="25">
        <v>0</v>
      </c>
      <c r="U23" s="25">
        <v>0</v>
      </c>
      <c r="V23" s="25">
        <v>0</v>
      </c>
      <c r="W23" s="25">
        <v>0</v>
      </c>
      <c r="X23" s="25">
        <v>290082</v>
      </c>
      <c r="Y23" s="25">
        <v>15313</v>
      </c>
      <c r="Z23" s="25">
        <v>0</v>
      </c>
      <c r="AA23" s="25">
        <v>0</v>
      </c>
      <c r="AB23" s="46">
        <v>1800</v>
      </c>
      <c r="AC23" s="52">
        <f t="shared" si="31"/>
        <v>0.74658665978127892</v>
      </c>
      <c r="AD23" s="52">
        <f t="shared" si="32"/>
        <v>0</v>
      </c>
      <c r="AE23" s="52">
        <f t="shared" si="33"/>
        <v>0</v>
      </c>
      <c r="AF23" s="52">
        <f t="shared" si="34"/>
        <v>0</v>
      </c>
      <c r="AG23" s="52">
        <f t="shared" si="35"/>
        <v>0</v>
      </c>
      <c r="AH23" s="52">
        <f t="shared" si="36"/>
        <v>0.23929637057024705</v>
      </c>
      <c r="AI23" s="52">
        <f t="shared" si="37"/>
        <v>1.2632101690357184E-2</v>
      </c>
      <c r="AJ23" s="52">
        <f t="shared" si="38"/>
        <v>0</v>
      </c>
      <c r="AK23" s="52">
        <f t="shared" si="39"/>
        <v>0</v>
      </c>
      <c r="AL23" s="52">
        <f t="shared" si="40"/>
        <v>1.4848679581168246E-3</v>
      </c>
      <c r="AM23" s="53">
        <f t="shared" si="41"/>
        <v>0.74658665978127892</v>
      </c>
      <c r="AN23" s="52">
        <f t="shared" si="50"/>
        <v>0</v>
      </c>
      <c r="AO23" s="52">
        <f t="shared" si="42"/>
        <v>0</v>
      </c>
      <c r="AP23" s="52">
        <f t="shared" si="43"/>
        <v>0</v>
      </c>
      <c r="AQ23" s="52">
        <f t="shared" si="44"/>
        <v>0</v>
      </c>
      <c r="AR23" s="52">
        <f t="shared" si="45"/>
        <v>0.23929637057024705</v>
      </c>
      <c r="AS23" s="52">
        <f t="shared" si="46"/>
        <v>1.2632101690357184E-2</v>
      </c>
      <c r="AT23" s="52">
        <f t="shared" si="47"/>
        <v>0</v>
      </c>
      <c r="AU23" s="52">
        <f t="shared" si="48"/>
        <v>0</v>
      </c>
      <c r="AV23" s="54">
        <f t="shared" si="49"/>
        <v>1.4848679581168246E-3</v>
      </c>
      <c r="AW23" s="53">
        <f t="shared" si="29"/>
        <v>0</v>
      </c>
      <c r="AX23" s="52">
        <f t="shared" si="20"/>
        <v>0</v>
      </c>
      <c r="AY23" s="52">
        <f t="shared" si="21"/>
        <v>0</v>
      </c>
      <c r="AZ23" s="52">
        <f t="shared" si="22"/>
        <v>0</v>
      </c>
      <c r="BA23" s="52">
        <f t="shared" si="23"/>
        <v>0</v>
      </c>
      <c r="BB23" s="52">
        <f t="shared" si="24"/>
        <v>0</v>
      </c>
      <c r="BC23" s="52">
        <f t="shared" si="25"/>
        <v>0</v>
      </c>
      <c r="BD23" s="52">
        <f t="shared" si="26"/>
        <v>0</v>
      </c>
      <c r="BE23" s="52">
        <f t="shared" si="27"/>
        <v>0</v>
      </c>
      <c r="BF23" s="54">
        <f t="shared" si="28"/>
        <v>0</v>
      </c>
      <c r="BT23" s="25"/>
    </row>
    <row r="24" spans="1:72" x14ac:dyDescent="0.2">
      <c r="A24" s="28" t="str">
        <f t="shared" si="30"/>
        <v>Euro 2023</v>
      </c>
      <c r="B24" s="7">
        <v>2016</v>
      </c>
      <c r="C24" s="27" t="s">
        <v>129</v>
      </c>
      <c r="D24" s="60">
        <v>995730</v>
      </c>
      <c r="E24" s="60">
        <v>995730</v>
      </c>
      <c r="F24" s="60">
        <v>0</v>
      </c>
      <c r="G24" s="60">
        <v>1000000</v>
      </c>
      <c r="H24" s="154">
        <v>0.99573</v>
      </c>
      <c r="I24" s="50">
        <v>851218</v>
      </c>
      <c r="J24" s="25">
        <v>0</v>
      </c>
      <c r="K24" s="25">
        <v>0</v>
      </c>
      <c r="L24" s="25">
        <v>0</v>
      </c>
      <c r="M24" s="25">
        <v>0</v>
      </c>
      <c r="N24" s="25">
        <v>134398</v>
      </c>
      <c r="O24" s="25">
        <v>5588</v>
      </c>
      <c r="P24" s="25">
        <v>0</v>
      </c>
      <c r="Q24" s="25">
        <v>0</v>
      </c>
      <c r="R24" s="46">
        <v>4526</v>
      </c>
      <c r="S24" s="25">
        <v>851218</v>
      </c>
      <c r="T24" s="25">
        <v>0</v>
      </c>
      <c r="U24" s="25">
        <v>0</v>
      </c>
      <c r="V24" s="25">
        <v>0</v>
      </c>
      <c r="W24" s="25">
        <v>0</v>
      </c>
      <c r="X24" s="25">
        <v>134398</v>
      </c>
      <c r="Y24" s="25">
        <v>5588</v>
      </c>
      <c r="Z24" s="25">
        <v>0</v>
      </c>
      <c r="AA24" s="25">
        <v>0</v>
      </c>
      <c r="AB24" s="46">
        <v>4526</v>
      </c>
      <c r="AC24" s="52">
        <f t="shared" si="31"/>
        <v>0.85486828758800071</v>
      </c>
      <c r="AD24" s="52">
        <f t="shared" si="32"/>
        <v>0</v>
      </c>
      <c r="AE24" s="52">
        <f t="shared" si="33"/>
        <v>0</v>
      </c>
      <c r="AF24" s="52">
        <f t="shared" si="34"/>
        <v>0</v>
      </c>
      <c r="AG24" s="52">
        <f t="shared" si="35"/>
        <v>0</v>
      </c>
      <c r="AH24" s="52">
        <f t="shared" si="36"/>
        <v>0.1349743404336517</v>
      </c>
      <c r="AI24" s="52">
        <f t="shared" si="37"/>
        <v>5.6119630823616845E-3</v>
      </c>
      <c r="AJ24" s="52">
        <f t="shared" si="38"/>
        <v>0</v>
      </c>
      <c r="AK24" s="52">
        <f t="shared" si="39"/>
        <v>0</v>
      </c>
      <c r="AL24" s="52">
        <f t="shared" si="40"/>
        <v>4.5454088959858592E-3</v>
      </c>
      <c r="AM24" s="53">
        <f t="shared" si="41"/>
        <v>0.85486828758800071</v>
      </c>
      <c r="AN24" s="52">
        <f t="shared" si="50"/>
        <v>0</v>
      </c>
      <c r="AO24" s="52">
        <f t="shared" si="42"/>
        <v>0</v>
      </c>
      <c r="AP24" s="52">
        <f t="shared" si="43"/>
        <v>0</v>
      </c>
      <c r="AQ24" s="52">
        <f t="shared" si="44"/>
        <v>0</v>
      </c>
      <c r="AR24" s="52">
        <f t="shared" si="45"/>
        <v>0.1349743404336517</v>
      </c>
      <c r="AS24" s="52">
        <f t="shared" si="46"/>
        <v>5.6119630823616845E-3</v>
      </c>
      <c r="AT24" s="52">
        <f t="shared" si="47"/>
        <v>0</v>
      </c>
      <c r="AU24" s="52">
        <f t="shared" si="48"/>
        <v>0</v>
      </c>
      <c r="AV24" s="54">
        <f t="shared" si="49"/>
        <v>4.5454088959858592E-3</v>
      </c>
      <c r="AW24" s="53">
        <f t="shared" si="29"/>
        <v>0</v>
      </c>
      <c r="AX24" s="52">
        <f t="shared" si="20"/>
        <v>0</v>
      </c>
      <c r="AY24" s="52">
        <f t="shared" si="21"/>
        <v>0</v>
      </c>
      <c r="AZ24" s="52">
        <f t="shared" si="22"/>
        <v>0</v>
      </c>
      <c r="BA24" s="52">
        <f t="shared" si="23"/>
        <v>0</v>
      </c>
      <c r="BB24" s="52">
        <f t="shared" si="24"/>
        <v>0</v>
      </c>
      <c r="BC24" s="52">
        <f t="shared" si="25"/>
        <v>0</v>
      </c>
      <c r="BD24" s="52">
        <f t="shared" si="26"/>
        <v>0</v>
      </c>
      <c r="BE24" s="52">
        <f t="shared" si="27"/>
        <v>0</v>
      </c>
      <c r="BF24" s="54">
        <f t="shared" si="28"/>
        <v>0</v>
      </c>
      <c r="BT24" s="25"/>
    </row>
    <row r="25" spans="1:72" x14ac:dyDescent="0.2">
      <c r="A25" s="28" t="str">
        <f t="shared" si="30"/>
        <v>Euro 2027</v>
      </c>
      <c r="B25" s="7">
        <v>2016</v>
      </c>
      <c r="C25" s="27" t="s">
        <v>131</v>
      </c>
      <c r="D25" s="60">
        <v>1192222</v>
      </c>
      <c r="E25" s="60">
        <v>1192222</v>
      </c>
      <c r="F25" s="60">
        <v>0</v>
      </c>
      <c r="G25" s="60">
        <v>1250000</v>
      </c>
      <c r="H25" s="154">
        <v>0.9537776</v>
      </c>
      <c r="I25" s="48">
        <v>0</v>
      </c>
      <c r="J25" s="25">
        <v>790528</v>
      </c>
      <c r="K25" s="25">
        <v>0</v>
      </c>
      <c r="L25" s="25">
        <v>0</v>
      </c>
      <c r="M25" s="25">
        <v>0</v>
      </c>
      <c r="N25" s="25">
        <v>355030</v>
      </c>
      <c r="O25" s="25">
        <v>42864</v>
      </c>
      <c r="P25" s="25">
        <v>0</v>
      </c>
      <c r="Q25" s="25">
        <v>0</v>
      </c>
      <c r="R25" s="46">
        <v>3800</v>
      </c>
      <c r="S25" s="25">
        <v>0</v>
      </c>
      <c r="T25" s="25">
        <v>790528</v>
      </c>
      <c r="U25" s="25">
        <v>0</v>
      </c>
      <c r="V25" s="25">
        <v>0</v>
      </c>
      <c r="W25" s="25">
        <v>0</v>
      </c>
      <c r="X25" s="25">
        <v>355030</v>
      </c>
      <c r="Y25" s="25">
        <v>42864</v>
      </c>
      <c r="Z25" s="25">
        <v>0</v>
      </c>
      <c r="AA25" s="25">
        <v>0</v>
      </c>
      <c r="AB25" s="46">
        <v>3800</v>
      </c>
      <c r="AC25" s="52">
        <f t="shared" si="31"/>
        <v>0</v>
      </c>
      <c r="AD25" s="52">
        <f t="shared" si="32"/>
        <v>0.66307113943544072</v>
      </c>
      <c r="AE25" s="52">
        <f t="shared" si="33"/>
        <v>0</v>
      </c>
      <c r="AF25" s="52">
        <f t="shared" si="34"/>
        <v>0</v>
      </c>
      <c r="AG25" s="52">
        <f t="shared" si="35"/>
        <v>0</v>
      </c>
      <c r="AH25" s="52">
        <f t="shared" si="36"/>
        <v>0.29778849912180783</v>
      </c>
      <c r="AI25" s="52">
        <f t="shared" si="37"/>
        <v>3.5953035592364506E-2</v>
      </c>
      <c r="AJ25" s="52">
        <f t="shared" si="38"/>
        <v>0</v>
      </c>
      <c r="AK25" s="52">
        <f t="shared" si="39"/>
        <v>0</v>
      </c>
      <c r="AL25" s="52">
        <f t="shared" si="40"/>
        <v>3.1873258503869245E-3</v>
      </c>
      <c r="AM25" s="53">
        <f t="shared" si="41"/>
        <v>0</v>
      </c>
      <c r="AN25" s="52">
        <f t="shared" si="50"/>
        <v>0.66307113943544072</v>
      </c>
      <c r="AO25" s="52">
        <f t="shared" si="42"/>
        <v>0</v>
      </c>
      <c r="AP25" s="52">
        <f t="shared" si="43"/>
        <v>0</v>
      </c>
      <c r="AQ25" s="52">
        <f t="shared" si="44"/>
        <v>0</v>
      </c>
      <c r="AR25" s="52">
        <f t="shared" si="45"/>
        <v>0.29778849912180783</v>
      </c>
      <c r="AS25" s="52">
        <f t="shared" si="46"/>
        <v>3.5953035592364506E-2</v>
      </c>
      <c r="AT25" s="52">
        <f t="shared" si="47"/>
        <v>0</v>
      </c>
      <c r="AU25" s="52">
        <f t="shared" si="48"/>
        <v>0</v>
      </c>
      <c r="AV25" s="54">
        <f t="shared" si="49"/>
        <v>3.1873258503869245E-3</v>
      </c>
      <c r="AW25" s="53">
        <f t="shared" si="29"/>
        <v>0</v>
      </c>
      <c r="AX25" s="52">
        <f t="shared" si="20"/>
        <v>0</v>
      </c>
      <c r="AY25" s="52">
        <f t="shared" si="21"/>
        <v>0</v>
      </c>
      <c r="AZ25" s="52">
        <f t="shared" si="22"/>
        <v>0</v>
      </c>
      <c r="BA25" s="52">
        <f t="shared" si="23"/>
        <v>0</v>
      </c>
      <c r="BB25" s="52">
        <f t="shared" si="24"/>
        <v>0</v>
      </c>
      <c r="BC25" s="52">
        <f t="shared" si="25"/>
        <v>0</v>
      </c>
      <c r="BD25" s="52">
        <f t="shared" si="26"/>
        <v>0</v>
      </c>
      <c r="BE25" s="52">
        <f t="shared" si="27"/>
        <v>0</v>
      </c>
      <c r="BF25" s="54">
        <f t="shared" si="28"/>
        <v>0</v>
      </c>
      <c r="BT25" s="25"/>
    </row>
    <row r="26" spans="1:72" x14ac:dyDescent="0.2">
      <c r="A26" s="28" t="str">
        <f t="shared" si="30"/>
        <v>Euro 2028</v>
      </c>
      <c r="B26" s="7">
        <v>2016</v>
      </c>
      <c r="C26" s="27" t="s">
        <v>132</v>
      </c>
      <c r="D26" s="60">
        <v>986729</v>
      </c>
      <c r="E26" s="60">
        <v>986729</v>
      </c>
      <c r="F26" s="60">
        <v>0</v>
      </c>
      <c r="G26" s="60">
        <v>1000000</v>
      </c>
      <c r="H26" s="154">
        <v>0.98672899999999997</v>
      </c>
      <c r="I26" s="48">
        <v>0</v>
      </c>
      <c r="J26" s="25">
        <v>613761</v>
      </c>
      <c r="K26" s="25">
        <v>0</v>
      </c>
      <c r="L26" s="25">
        <v>0</v>
      </c>
      <c r="M26" s="25">
        <v>0</v>
      </c>
      <c r="N26" s="25">
        <v>348417</v>
      </c>
      <c r="O26" s="25">
        <v>22302</v>
      </c>
      <c r="P26" s="25">
        <v>0</v>
      </c>
      <c r="Q26" s="25">
        <v>0</v>
      </c>
      <c r="R26" s="46">
        <v>2249</v>
      </c>
      <c r="S26" s="25">
        <v>0</v>
      </c>
      <c r="T26" s="25">
        <v>613761</v>
      </c>
      <c r="U26" s="25">
        <v>0</v>
      </c>
      <c r="V26" s="25">
        <v>0</v>
      </c>
      <c r="W26" s="25">
        <v>0</v>
      </c>
      <c r="X26" s="25">
        <v>348417</v>
      </c>
      <c r="Y26" s="25">
        <v>22302</v>
      </c>
      <c r="Z26" s="25">
        <v>0</v>
      </c>
      <c r="AA26" s="25">
        <v>0</v>
      </c>
      <c r="AB26" s="46">
        <v>2249</v>
      </c>
      <c r="AC26" s="52">
        <f t="shared" si="31"/>
        <v>0</v>
      </c>
      <c r="AD26" s="52">
        <f t="shared" si="32"/>
        <v>0.62201577130093466</v>
      </c>
      <c r="AE26" s="52">
        <f t="shared" si="33"/>
        <v>0</v>
      </c>
      <c r="AF26" s="52">
        <f t="shared" si="34"/>
        <v>0</v>
      </c>
      <c r="AG26" s="52">
        <f t="shared" si="35"/>
        <v>0</v>
      </c>
      <c r="AH26" s="52">
        <f t="shared" si="36"/>
        <v>0.35310303031531454</v>
      </c>
      <c r="AI26" s="52">
        <f t="shared" si="37"/>
        <v>2.2601950484884909E-2</v>
      </c>
      <c r="AJ26" s="52">
        <f t="shared" si="38"/>
        <v>0</v>
      </c>
      <c r="AK26" s="52">
        <f t="shared" si="39"/>
        <v>0</v>
      </c>
      <c r="AL26" s="52">
        <f t="shared" si="40"/>
        <v>2.2792478988658488E-3</v>
      </c>
      <c r="AM26" s="53">
        <f t="shared" si="41"/>
        <v>0</v>
      </c>
      <c r="AN26" s="52">
        <f t="shared" si="50"/>
        <v>0.62201577130093466</v>
      </c>
      <c r="AO26" s="52">
        <f t="shared" si="42"/>
        <v>0</v>
      </c>
      <c r="AP26" s="52">
        <f t="shared" si="43"/>
        <v>0</v>
      </c>
      <c r="AQ26" s="52">
        <f t="shared" si="44"/>
        <v>0</v>
      </c>
      <c r="AR26" s="52">
        <f t="shared" si="45"/>
        <v>0.35310303031531454</v>
      </c>
      <c r="AS26" s="52">
        <f t="shared" si="46"/>
        <v>2.2601950484884909E-2</v>
      </c>
      <c r="AT26" s="52">
        <f t="shared" si="47"/>
        <v>0</v>
      </c>
      <c r="AU26" s="52">
        <f t="shared" si="48"/>
        <v>0</v>
      </c>
      <c r="AV26" s="54">
        <f t="shared" si="49"/>
        <v>2.2792478988658488E-3</v>
      </c>
      <c r="AW26" s="53">
        <f t="shared" si="29"/>
        <v>0</v>
      </c>
      <c r="AX26" s="52">
        <f t="shared" si="20"/>
        <v>0</v>
      </c>
      <c r="AY26" s="52">
        <f t="shared" si="21"/>
        <v>0</v>
      </c>
      <c r="AZ26" s="52">
        <f t="shared" si="22"/>
        <v>0</v>
      </c>
      <c r="BA26" s="52">
        <f t="shared" si="23"/>
        <v>0</v>
      </c>
      <c r="BB26" s="52">
        <f t="shared" si="24"/>
        <v>0</v>
      </c>
      <c r="BC26" s="52">
        <f t="shared" si="25"/>
        <v>0</v>
      </c>
      <c r="BD26" s="52">
        <f t="shared" si="26"/>
        <v>0</v>
      </c>
      <c r="BE26" s="52">
        <f t="shared" si="27"/>
        <v>0</v>
      </c>
      <c r="BF26" s="54">
        <f t="shared" si="28"/>
        <v>0</v>
      </c>
      <c r="BT26" s="25"/>
    </row>
    <row r="27" spans="1:72" x14ac:dyDescent="0.2">
      <c r="A27" s="28" t="str">
        <f t="shared" si="30"/>
        <v>Euro 2047</v>
      </c>
      <c r="B27" s="7">
        <v>2016</v>
      </c>
      <c r="C27" s="27" t="s">
        <v>133</v>
      </c>
      <c r="D27" s="60">
        <v>685835</v>
      </c>
      <c r="E27" s="60">
        <v>685835</v>
      </c>
      <c r="F27" s="60">
        <v>0</v>
      </c>
      <c r="G27" s="60">
        <v>750000</v>
      </c>
      <c r="H27" s="154">
        <v>0.91444666666666663</v>
      </c>
      <c r="I27" s="48">
        <v>0</v>
      </c>
      <c r="J27" s="25">
        <v>0</v>
      </c>
      <c r="K27" s="25">
        <v>464030</v>
      </c>
      <c r="L27" s="25">
        <v>0</v>
      </c>
      <c r="M27" s="25">
        <v>0</v>
      </c>
      <c r="N27" s="25">
        <v>0</v>
      </c>
      <c r="O27" s="25">
        <v>207325</v>
      </c>
      <c r="P27" s="25">
        <v>0</v>
      </c>
      <c r="Q27" s="25">
        <v>0</v>
      </c>
      <c r="R27" s="46">
        <v>14480</v>
      </c>
      <c r="S27" s="25">
        <v>0</v>
      </c>
      <c r="T27" s="25">
        <v>0</v>
      </c>
      <c r="U27" s="25">
        <v>464030</v>
      </c>
      <c r="V27" s="25">
        <v>0</v>
      </c>
      <c r="W27" s="25">
        <v>0</v>
      </c>
      <c r="X27" s="25">
        <v>0</v>
      </c>
      <c r="Y27" s="25">
        <v>207325</v>
      </c>
      <c r="Z27" s="25">
        <v>0</v>
      </c>
      <c r="AA27" s="25">
        <v>0</v>
      </c>
      <c r="AB27" s="46">
        <v>14480</v>
      </c>
      <c r="AC27" s="52">
        <f t="shared" si="31"/>
        <v>0</v>
      </c>
      <c r="AD27" s="52">
        <f t="shared" si="32"/>
        <v>0</v>
      </c>
      <c r="AE27" s="52">
        <f t="shared" si="33"/>
        <v>0.67659130840508286</v>
      </c>
      <c r="AF27" s="52">
        <f t="shared" si="34"/>
        <v>0</v>
      </c>
      <c r="AG27" s="52">
        <f t="shared" si="35"/>
        <v>0</v>
      </c>
      <c r="AH27" s="52">
        <f t="shared" si="36"/>
        <v>0</v>
      </c>
      <c r="AI27" s="52">
        <f t="shared" si="37"/>
        <v>0.30229574168714052</v>
      </c>
      <c r="AJ27" s="52">
        <f t="shared" si="38"/>
        <v>0</v>
      </c>
      <c r="AK27" s="52">
        <f t="shared" si="39"/>
        <v>0</v>
      </c>
      <c r="AL27" s="52">
        <f t="shared" si="40"/>
        <v>2.1112949907776651E-2</v>
      </c>
      <c r="AM27" s="53">
        <f t="shared" si="41"/>
        <v>0</v>
      </c>
      <c r="AN27" s="52">
        <f t="shared" si="50"/>
        <v>0</v>
      </c>
      <c r="AO27" s="52">
        <f t="shared" si="42"/>
        <v>0.67659130840508286</v>
      </c>
      <c r="AP27" s="52">
        <f t="shared" si="43"/>
        <v>0</v>
      </c>
      <c r="AQ27" s="52">
        <f t="shared" si="44"/>
        <v>0</v>
      </c>
      <c r="AR27" s="52">
        <f t="shared" si="45"/>
        <v>0</v>
      </c>
      <c r="AS27" s="52">
        <f t="shared" si="46"/>
        <v>0.30229574168714052</v>
      </c>
      <c r="AT27" s="52">
        <f t="shared" si="47"/>
        <v>0</v>
      </c>
      <c r="AU27" s="52">
        <f t="shared" si="48"/>
        <v>0</v>
      </c>
      <c r="AV27" s="54">
        <f t="shared" si="49"/>
        <v>2.1112949907776651E-2</v>
      </c>
      <c r="AW27" s="53">
        <f t="shared" si="29"/>
        <v>0</v>
      </c>
      <c r="AX27" s="52">
        <f t="shared" si="20"/>
        <v>0</v>
      </c>
      <c r="AY27" s="52">
        <f t="shared" si="21"/>
        <v>0</v>
      </c>
      <c r="AZ27" s="52">
        <f t="shared" si="22"/>
        <v>0</v>
      </c>
      <c r="BA27" s="52">
        <f t="shared" si="23"/>
        <v>0</v>
      </c>
      <c r="BB27" s="52">
        <f t="shared" si="24"/>
        <v>0</v>
      </c>
      <c r="BC27" s="52">
        <f t="shared" si="25"/>
        <v>0</v>
      </c>
      <c r="BD27" s="52">
        <f t="shared" si="26"/>
        <v>0</v>
      </c>
      <c r="BE27" s="52">
        <f t="shared" si="27"/>
        <v>0</v>
      </c>
      <c r="BF27" s="54">
        <f t="shared" si="28"/>
        <v>0</v>
      </c>
      <c r="BT27" s="25"/>
    </row>
    <row r="28" spans="1:72" x14ac:dyDescent="0.2">
      <c r="A28" s="36" t="str">
        <f t="shared" si="30"/>
        <v>CHF 2020</v>
      </c>
      <c r="B28" s="10">
        <v>2016</v>
      </c>
      <c r="C28" s="29" t="s">
        <v>130</v>
      </c>
      <c r="D28" s="61">
        <v>350445</v>
      </c>
      <c r="E28" s="61">
        <v>350445</v>
      </c>
      <c r="F28" s="61">
        <v>0</v>
      </c>
      <c r="G28" s="61">
        <v>400000</v>
      </c>
      <c r="H28" s="153">
        <v>0.87611249999999996</v>
      </c>
      <c r="I28" s="49">
        <v>254295</v>
      </c>
      <c r="J28" s="24">
        <v>0</v>
      </c>
      <c r="K28" s="24">
        <v>0</v>
      </c>
      <c r="L28" s="24">
        <v>0</v>
      </c>
      <c r="M28" s="24">
        <v>0</v>
      </c>
      <c r="N28" s="24">
        <v>79530</v>
      </c>
      <c r="O28" s="24">
        <v>15800</v>
      </c>
      <c r="P28" s="24">
        <v>0</v>
      </c>
      <c r="Q28" s="24">
        <v>0</v>
      </c>
      <c r="R28" s="47">
        <v>820</v>
      </c>
      <c r="S28" s="24">
        <v>254295</v>
      </c>
      <c r="T28" s="24">
        <v>0</v>
      </c>
      <c r="U28" s="24">
        <v>0</v>
      </c>
      <c r="V28" s="24">
        <v>0</v>
      </c>
      <c r="W28" s="24">
        <v>0</v>
      </c>
      <c r="X28" s="24">
        <v>79530</v>
      </c>
      <c r="Y28" s="24">
        <v>15800</v>
      </c>
      <c r="Z28" s="24">
        <v>0</v>
      </c>
      <c r="AA28" s="24">
        <v>0</v>
      </c>
      <c r="AB28" s="47">
        <v>820</v>
      </c>
      <c r="AC28" s="55">
        <f t="shared" si="31"/>
        <v>0.72563455035740276</v>
      </c>
      <c r="AD28" s="55">
        <f t="shared" si="32"/>
        <v>0</v>
      </c>
      <c r="AE28" s="55">
        <f t="shared" si="33"/>
        <v>0</v>
      </c>
      <c r="AF28" s="55">
        <f t="shared" si="34"/>
        <v>0</v>
      </c>
      <c r="AG28" s="55">
        <f t="shared" si="35"/>
        <v>0</v>
      </c>
      <c r="AH28" s="55">
        <f t="shared" si="36"/>
        <v>0.22694003338612337</v>
      </c>
      <c r="AI28" s="55">
        <f t="shared" si="37"/>
        <v>4.5085534106635849E-2</v>
      </c>
      <c r="AJ28" s="55">
        <f t="shared" si="38"/>
        <v>0</v>
      </c>
      <c r="AK28" s="55">
        <f t="shared" si="39"/>
        <v>0</v>
      </c>
      <c r="AL28" s="55">
        <f t="shared" si="40"/>
        <v>2.3398821498380631E-3</v>
      </c>
      <c r="AM28" s="56">
        <f t="shared" si="41"/>
        <v>0.72563455035740276</v>
      </c>
      <c r="AN28" s="55">
        <f t="shared" si="50"/>
        <v>0</v>
      </c>
      <c r="AO28" s="55">
        <f t="shared" si="42"/>
        <v>0</v>
      </c>
      <c r="AP28" s="55">
        <f t="shared" si="43"/>
        <v>0</v>
      </c>
      <c r="AQ28" s="55">
        <f t="shared" si="44"/>
        <v>0</v>
      </c>
      <c r="AR28" s="55">
        <f t="shared" si="45"/>
        <v>0.22694003338612337</v>
      </c>
      <c r="AS28" s="55">
        <f t="shared" si="46"/>
        <v>4.5085534106635849E-2</v>
      </c>
      <c r="AT28" s="55">
        <f t="shared" si="47"/>
        <v>0</v>
      </c>
      <c r="AU28" s="55">
        <f t="shared" si="48"/>
        <v>0</v>
      </c>
      <c r="AV28" s="57">
        <f t="shared" si="49"/>
        <v>2.3398821498380631E-3</v>
      </c>
      <c r="AW28" s="56">
        <f t="shared" si="29"/>
        <v>0</v>
      </c>
      <c r="AX28" s="55">
        <f t="shared" si="20"/>
        <v>0</v>
      </c>
      <c r="AY28" s="55">
        <f t="shared" si="21"/>
        <v>0</v>
      </c>
      <c r="AZ28" s="55">
        <f t="shared" si="22"/>
        <v>0</v>
      </c>
      <c r="BA28" s="55">
        <f t="shared" si="23"/>
        <v>0</v>
      </c>
      <c r="BB28" s="55">
        <f t="shared" si="24"/>
        <v>0</v>
      </c>
      <c r="BC28" s="55">
        <f t="shared" si="25"/>
        <v>0</v>
      </c>
      <c r="BD28" s="55">
        <f t="shared" si="26"/>
        <v>0</v>
      </c>
      <c r="BE28" s="55">
        <f t="shared" si="27"/>
        <v>0</v>
      </c>
      <c r="BF28" s="57">
        <f t="shared" si="28"/>
        <v>0</v>
      </c>
      <c r="BT28" s="25"/>
    </row>
    <row r="29" spans="1:72" x14ac:dyDescent="0.2">
      <c r="B29" s="7"/>
      <c r="D29" s="25"/>
      <c r="E29" s="25"/>
      <c r="F29" s="25"/>
      <c r="G29" s="25" t="s">
        <v>261</v>
      </c>
      <c r="H29" s="66"/>
      <c r="I29" s="64"/>
      <c r="J29" s="64"/>
      <c r="K29" s="64"/>
      <c r="L29" s="64"/>
      <c r="M29" s="64"/>
      <c r="N29" s="64"/>
      <c r="O29" s="64"/>
      <c r="P29" s="64"/>
      <c r="Q29" s="64"/>
      <c r="R29" s="64"/>
      <c r="S29" s="64"/>
      <c r="T29" s="64"/>
      <c r="U29" s="64"/>
      <c r="V29" s="64"/>
      <c r="W29" s="64"/>
      <c r="X29" s="64"/>
      <c r="Y29" s="64"/>
      <c r="Z29" s="64"/>
      <c r="AA29" s="64"/>
      <c r="AB29" s="64"/>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T29" s="25"/>
    </row>
    <row r="30" spans="1:72" x14ac:dyDescent="0.2">
      <c r="B30" s="7"/>
      <c r="D30" s="25"/>
      <c r="E30" s="25"/>
      <c r="F30" s="25"/>
      <c r="G30" s="25"/>
      <c r="H30" s="26"/>
      <c r="I30" s="25"/>
      <c r="J30" s="25"/>
      <c r="K30" s="25"/>
      <c r="L30" s="25"/>
      <c r="M30" s="25"/>
      <c r="N30" s="25"/>
      <c r="O30" s="25"/>
      <c r="P30" s="25"/>
      <c r="Q30" s="25"/>
      <c r="R30" s="25"/>
      <c r="S30" s="25"/>
      <c r="T30" s="25"/>
      <c r="U30" s="25"/>
      <c r="V30" s="25"/>
      <c r="W30" s="25"/>
      <c r="X30" s="25"/>
      <c r="Y30" s="25"/>
      <c r="Z30" s="25"/>
      <c r="AA30" s="25"/>
      <c r="AB30" s="25"/>
    </row>
    <row r="31" spans="1:72" ht="19" x14ac:dyDescent="0.25">
      <c r="A31" s="251" t="s">
        <v>272</v>
      </c>
      <c r="B31" s="251"/>
      <c r="C31" s="252"/>
      <c r="D31" s="253" t="s">
        <v>265</v>
      </c>
      <c r="E31" s="254"/>
      <c r="F31" s="254"/>
      <c r="G31" s="254"/>
      <c r="H31" s="254"/>
      <c r="I31" s="254"/>
      <c r="J31" s="254"/>
      <c r="K31" s="254"/>
      <c r="L31" s="254"/>
      <c r="M31" s="255"/>
      <c r="N31" s="253" t="s">
        <v>264</v>
      </c>
      <c r="O31" s="254"/>
      <c r="P31" s="254"/>
      <c r="Q31" s="255"/>
      <c r="R31" s="253" t="s">
        <v>266</v>
      </c>
      <c r="S31" s="254"/>
      <c r="T31" s="254"/>
      <c r="U31" s="254"/>
      <c r="V31" s="254"/>
      <c r="W31" s="254"/>
      <c r="X31" s="254"/>
      <c r="Y31" s="254"/>
      <c r="Z31" s="254"/>
      <c r="AA31" s="255"/>
      <c r="AB31" s="253" t="s">
        <v>263</v>
      </c>
      <c r="AC31" s="254"/>
      <c r="AD31" s="254"/>
      <c r="AE31" s="255"/>
      <c r="AM31" s="30"/>
      <c r="AN31" s="30"/>
      <c r="AO31" s="30"/>
      <c r="AP31" s="30"/>
      <c r="AQ31" s="30"/>
      <c r="AR31" s="30"/>
      <c r="AS31" s="30"/>
      <c r="AT31" s="30"/>
      <c r="AU31" s="30"/>
      <c r="AV31" s="30"/>
      <c r="AW31" s="30"/>
    </row>
    <row r="32" spans="1:72" ht="64" x14ac:dyDescent="0.2">
      <c r="A32" s="37" t="s">
        <v>164</v>
      </c>
      <c r="B32" s="41" t="s">
        <v>104</v>
      </c>
      <c r="C32" s="38" t="s">
        <v>103</v>
      </c>
      <c r="D32" s="156" t="s">
        <v>107</v>
      </c>
      <c r="E32" s="116" t="s">
        <v>109</v>
      </c>
      <c r="F32" s="116" t="s">
        <v>115</v>
      </c>
      <c r="G32" s="116" t="s">
        <v>111</v>
      </c>
      <c r="H32" s="116" t="s">
        <v>113</v>
      </c>
      <c r="I32" s="116" t="s">
        <v>108</v>
      </c>
      <c r="J32" s="116" t="s">
        <v>110</v>
      </c>
      <c r="K32" s="116" t="s">
        <v>112</v>
      </c>
      <c r="L32" s="116" t="s">
        <v>114</v>
      </c>
      <c r="M32" s="157" t="s">
        <v>116</v>
      </c>
      <c r="N32" s="116" t="s">
        <v>268</v>
      </c>
      <c r="O32" s="116" t="s">
        <v>270</v>
      </c>
      <c r="P32" s="116" t="s">
        <v>269</v>
      </c>
      <c r="Q32" s="116" t="s">
        <v>267</v>
      </c>
      <c r="R32" s="156" t="s">
        <v>107</v>
      </c>
      <c r="S32" s="116" t="s">
        <v>109</v>
      </c>
      <c r="T32" s="116" t="s">
        <v>115</v>
      </c>
      <c r="U32" s="116" t="s">
        <v>111</v>
      </c>
      <c r="V32" s="116" t="s">
        <v>113</v>
      </c>
      <c r="W32" s="116" t="s">
        <v>108</v>
      </c>
      <c r="X32" s="116" t="s">
        <v>110</v>
      </c>
      <c r="Y32" s="116" t="s">
        <v>112</v>
      </c>
      <c r="Z32" s="116" t="s">
        <v>114</v>
      </c>
      <c r="AA32" s="157" t="s">
        <v>116</v>
      </c>
      <c r="AB32" s="116" t="s">
        <v>268</v>
      </c>
      <c r="AC32" s="116" t="s">
        <v>270</v>
      </c>
      <c r="AD32" s="116" t="s">
        <v>269</v>
      </c>
      <c r="AE32" s="157" t="s">
        <v>267</v>
      </c>
      <c r="AF32" s="2" t="s">
        <v>353</v>
      </c>
      <c r="AG32" s="45"/>
      <c r="AM32" s="30"/>
      <c r="AN32" s="30"/>
      <c r="AO32" s="30"/>
      <c r="AP32" s="30"/>
      <c r="AQ32" s="30"/>
      <c r="AR32" s="30"/>
      <c r="AS32" s="30"/>
      <c r="AT32" s="30"/>
      <c r="AU32" s="30"/>
      <c r="AV32" s="30"/>
      <c r="AW32" s="30"/>
    </row>
    <row r="33" spans="1:49" x14ac:dyDescent="0.2">
      <c r="A33" t="str">
        <f>C33</f>
        <v>USD 2033 Discount I</v>
      </c>
      <c r="B33" s="7">
        <v>2005</v>
      </c>
      <c r="C33" t="s">
        <v>134</v>
      </c>
      <c r="D33" s="75">
        <f t="shared" ref="D33:H36" si="51">IFERROR(
INDEX(offer_adj_vals,MATCH($A33,offer_adj_oldbonds,0),MATCH(D$32,offer_adj_newbonds,0))
*INDEX(exit_prices,MATCH(D$32,exit_newbonds,0),1)/100,"")</f>
        <v>0</v>
      </c>
      <c r="E33" s="76">
        <f t="shared" si="51"/>
        <v>0</v>
      </c>
      <c r="F33" s="76">
        <f t="shared" si="51"/>
        <v>44.910869300389187</v>
      </c>
      <c r="G33" s="76">
        <f t="shared" si="51"/>
        <v>49.948853169735457</v>
      </c>
      <c r="H33" s="76">
        <f t="shared" si="51"/>
        <v>44.444869349314146</v>
      </c>
      <c r="I33" s="133">
        <f t="shared" ref="I33:M36" si="52">IFERROR(
INDEX(offer_adj_vals,MATCH($A33,offer_adj_oldbonds,0),MATCH(I$32,offer_adj_newbonds,0))
*INDEX(exit_prices,MATCH(I$32,exit_newbonds,0),1)/100*eurusd_offer/eurusd_exit,"")</f>
        <v>0</v>
      </c>
      <c r="J33" s="133">
        <f t="shared" si="52"/>
        <v>0</v>
      </c>
      <c r="K33" s="133">
        <f t="shared" si="52"/>
        <v>0</v>
      </c>
      <c r="L33" s="133">
        <f t="shared" si="52"/>
        <v>0</v>
      </c>
      <c r="M33" s="225">
        <f t="shared" si="52"/>
        <v>0</v>
      </c>
      <c r="N33" s="133">
        <f t="shared" ref="N33:N57" si="53">MAX(D33:M33)</f>
        <v>49.948853169735457</v>
      </c>
      <c r="O33" s="133">
        <f t="shared" ref="O33:O57" si="54">SUMPRODUCT(D33:M33,AC4:AL4)</f>
        <v>49.91087154355597</v>
      </c>
      <c r="P33" s="133">
        <f t="shared" ref="P33:P57" si="55">SUMPRODUCT(D33:M33,AM4:AV4)</f>
        <v>49.91087154355597</v>
      </c>
      <c r="Q33" s="133">
        <f>P33-O33</f>
        <v>0</v>
      </c>
      <c r="R33" s="75">
        <f t="shared" ref="R33:R57" si="56">IFERROR(D33*$AF33/INDEX(NPVs_oldbonds_vals,MATCH($A33,NPVs_oldbonds_names,0)),"")</f>
        <v>0</v>
      </c>
      <c r="S33" s="76">
        <f t="shared" ref="S33:S57" si="57">IFERROR(E33*$AF33/INDEX(NPVs_oldbonds_vals,MATCH($A33,NPVs_oldbonds_names,0)),"")</f>
        <v>0</v>
      </c>
      <c r="T33" s="76">
        <f t="shared" ref="T33:T57" si="58">IFERROR(F33*$AF33/INDEX(NPVs_oldbonds_vals,MATCH($A33,NPVs_oldbonds_names,0)),"")</f>
        <v>52.528169229616736</v>
      </c>
      <c r="U33" s="76">
        <f t="shared" ref="U33:U57" si="59">IFERROR(G33*$AF33/INDEX(NPVs_oldbonds_vals,MATCH($A33,NPVs_oldbonds_names,0)),"")</f>
        <v>58.420641884622924</v>
      </c>
      <c r="V33" s="76">
        <f t="shared" ref="V33:V57" si="60">IFERROR(H33*$AF33/INDEX(NPVs_oldbonds_vals,MATCH($A33,NPVs_oldbonds_names,0)),"")</f>
        <v>51.983131365233852</v>
      </c>
      <c r="W33" s="133">
        <f>IFERROR(I33*$AF33/INDEX('EBs NPVs'!$F$121:$F$145,MATCH($A33,'EBs NPVs'!$A$121:$A$145,0)),"")</f>
        <v>0</v>
      </c>
      <c r="X33" s="133">
        <f>IFERROR(J33*$AF33/INDEX('EBs NPVs'!$F$121:$F$145,MATCH($A33,'EBs NPVs'!$A$121:$A$145,0)),"")</f>
        <v>0</v>
      </c>
      <c r="Y33" s="133">
        <f>IFERROR(K33*$AF33/INDEX('EBs NPVs'!$F$121:$F$145,MATCH($A33,'EBs NPVs'!$A$121:$A$145,0)),"")</f>
        <v>0</v>
      </c>
      <c r="Z33" s="133">
        <f>IFERROR(L33*$AF33/INDEX('EBs NPVs'!$F$121:$F$145,MATCH($A33,'EBs NPVs'!$A$121:$A$145,0)),"")</f>
        <v>0</v>
      </c>
      <c r="AA33" s="225">
        <f>IFERROR(M33*$AF33/INDEX('EBs NPVs'!$F$121:$F$145,MATCH($A33,'EBs NPVs'!$A$121:$A$145,0)),"")</f>
        <v>0</v>
      </c>
      <c r="AB33" s="76">
        <f t="shared" ref="AB33" si="61">MAX(R33:AA33)</f>
        <v>58.420641884622924</v>
      </c>
      <c r="AC33" s="76">
        <f t="shared" ref="AC33:AC57" si="62">SUMPRODUCT(R33:AA33,AC4:AL4)</f>
        <v>58.376218222408163</v>
      </c>
      <c r="AD33" s="76">
        <f t="shared" ref="AD33:AD57" si="63">SUMPRODUCT(R33:AA33,AM4:AV4)</f>
        <v>58.376218222408163</v>
      </c>
      <c r="AE33" s="221">
        <f>AC33-AD33</f>
        <v>0</v>
      </c>
      <c r="AF33" s="17">
        <f>INDEX('EBs List'!$P$2:$P$26,MATCH('Exchange Results'!A33,'EBs List'!$A$2:$A$26,0))</f>
        <v>140.20421214481891</v>
      </c>
      <c r="AG33" s="134"/>
      <c r="AM33" s="30"/>
      <c r="AN33" s="30"/>
      <c r="AO33" s="30"/>
      <c r="AP33" s="30"/>
      <c r="AQ33" s="30"/>
      <c r="AR33" s="30"/>
      <c r="AS33" s="30"/>
      <c r="AT33" s="30"/>
      <c r="AU33" s="30"/>
      <c r="AV33" s="30"/>
      <c r="AW33" s="30"/>
    </row>
    <row r="34" spans="1:49" x14ac:dyDescent="0.2">
      <c r="A34" t="s">
        <v>135</v>
      </c>
      <c r="B34" s="7">
        <v>2005</v>
      </c>
      <c r="C34" t="s">
        <v>135</v>
      </c>
      <c r="D34" s="77">
        <f t="shared" si="51"/>
        <v>0</v>
      </c>
      <c r="E34" s="78">
        <f t="shared" si="51"/>
        <v>0</v>
      </c>
      <c r="F34" s="78">
        <f t="shared" si="51"/>
        <v>44.910869300389187</v>
      </c>
      <c r="G34" s="78">
        <f t="shared" si="51"/>
        <v>49.948853169735457</v>
      </c>
      <c r="H34" s="78">
        <f t="shared" si="51"/>
        <v>44.444869349314146</v>
      </c>
      <c r="I34" s="84">
        <f t="shared" si="52"/>
        <v>0</v>
      </c>
      <c r="J34" s="84">
        <f t="shared" si="52"/>
        <v>0</v>
      </c>
      <c r="K34" s="84">
        <f t="shared" si="52"/>
        <v>0</v>
      </c>
      <c r="L34" s="84">
        <f t="shared" si="52"/>
        <v>0</v>
      </c>
      <c r="M34" s="85">
        <f t="shared" si="52"/>
        <v>0</v>
      </c>
      <c r="N34" s="84">
        <f t="shared" si="53"/>
        <v>49.948853169735457</v>
      </c>
      <c r="O34" s="84">
        <f t="shared" si="54"/>
        <v>49.911788935477645</v>
      </c>
      <c r="P34" s="84">
        <f t="shared" si="55"/>
        <v>49.911788935477645</v>
      </c>
      <c r="Q34" s="84">
        <f t="shared" ref="Q34:Q57" si="64">P34-O34</f>
        <v>0</v>
      </c>
      <c r="R34" s="77">
        <f t="shared" si="56"/>
        <v>0</v>
      </c>
      <c r="S34" s="78">
        <f t="shared" si="57"/>
        <v>0</v>
      </c>
      <c r="T34" s="78">
        <f t="shared" si="58"/>
        <v>52.528169229616736</v>
      </c>
      <c r="U34" s="78">
        <f t="shared" si="59"/>
        <v>58.420641884622924</v>
      </c>
      <c r="V34" s="78">
        <f t="shared" si="60"/>
        <v>51.983131365233852</v>
      </c>
      <c r="W34" s="84">
        <f>IFERROR(I34*$AF34/INDEX('EBs NPVs'!$F$121:$F$145,MATCH($A34,'EBs NPVs'!$A$121:$A$145,0)),"")</f>
        <v>0</v>
      </c>
      <c r="X34" s="84">
        <f>IFERROR(J34*$AF34/INDEX('EBs NPVs'!$F$121:$F$145,MATCH($A34,'EBs NPVs'!$A$121:$A$145,0)),"")</f>
        <v>0</v>
      </c>
      <c r="Y34" s="84">
        <f>IFERROR(K34*$AF34/INDEX('EBs NPVs'!$F$121:$F$145,MATCH($A34,'EBs NPVs'!$A$121:$A$145,0)),"")</f>
        <v>0</v>
      </c>
      <c r="Z34" s="84">
        <f>IFERROR(L34*$AF34/INDEX('EBs NPVs'!$F$121:$F$145,MATCH($A34,'EBs NPVs'!$A$121:$A$145,0)),"")</f>
        <v>0</v>
      </c>
      <c r="AA34" s="85">
        <f>IFERROR(M34*$AF34/INDEX('EBs NPVs'!$F$121:$F$145,MATCH($A34,'EBs NPVs'!$A$121:$A$145,0)),"")</f>
        <v>0</v>
      </c>
      <c r="AB34" s="78">
        <f t="shared" ref="AB34:AB57" si="65">MAX(R34:AA34)</f>
        <v>58.420641884622924</v>
      </c>
      <c r="AC34" s="78">
        <f t="shared" si="62"/>
        <v>58.377291212507487</v>
      </c>
      <c r="AD34" s="78">
        <f t="shared" si="63"/>
        <v>58.377291212507487</v>
      </c>
      <c r="AE34" s="222">
        <f t="shared" ref="AE34:AE57" si="66">AC34-AD34</f>
        <v>0</v>
      </c>
      <c r="AF34" s="17">
        <f>INDEX('EBs List'!$P$2:$P$26,MATCH('Exchange Results'!A34,'EBs List'!$A$2:$A$26,0))</f>
        <v>140.20421214481891</v>
      </c>
      <c r="AG34" s="134"/>
      <c r="AM34" s="30"/>
      <c r="AN34" s="30"/>
      <c r="AO34" s="30"/>
      <c r="AP34" s="30"/>
      <c r="AQ34" s="30"/>
      <c r="AR34" s="30"/>
      <c r="AS34" s="30"/>
      <c r="AT34" s="30"/>
      <c r="AU34" s="30"/>
      <c r="AV34" s="30"/>
      <c r="AW34" s="30"/>
    </row>
    <row r="35" spans="1:49" x14ac:dyDescent="0.2">
      <c r="A35" t="str">
        <f>C35</f>
        <v>USD Par 2038 I</v>
      </c>
      <c r="B35" s="7">
        <v>2005</v>
      </c>
      <c r="C35" t="s">
        <v>136</v>
      </c>
      <c r="D35" s="77">
        <f t="shared" si="51"/>
        <v>0</v>
      </c>
      <c r="E35" s="78">
        <f t="shared" si="51"/>
        <v>0</v>
      </c>
      <c r="F35" s="78">
        <f t="shared" si="51"/>
        <v>44.910999999999994</v>
      </c>
      <c r="G35" s="78">
        <f t="shared" si="51"/>
        <v>0</v>
      </c>
      <c r="H35" s="78">
        <f t="shared" si="51"/>
        <v>44.445</v>
      </c>
      <c r="I35" s="84">
        <f t="shared" si="52"/>
        <v>0</v>
      </c>
      <c r="J35" s="84">
        <f t="shared" si="52"/>
        <v>0</v>
      </c>
      <c r="K35" s="84">
        <f t="shared" si="52"/>
        <v>0</v>
      </c>
      <c r="L35" s="84">
        <f t="shared" si="52"/>
        <v>0</v>
      </c>
      <c r="M35" s="85">
        <f t="shared" si="52"/>
        <v>0</v>
      </c>
      <c r="N35" s="84">
        <f t="shared" si="53"/>
        <v>44.910999999999994</v>
      </c>
      <c r="O35" s="84">
        <f t="shared" si="54"/>
        <v>44.449285365814696</v>
      </c>
      <c r="P35" s="84">
        <f t="shared" si="55"/>
        <v>44.449285365814696</v>
      </c>
      <c r="Q35" s="84">
        <f t="shared" si="64"/>
        <v>0</v>
      </c>
      <c r="R35" s="77">
        <f t="shared" si="56"/>
        <v>0</v>
      </c>
      <c r="S35" s="78">
        <f t="shared" si="57"/>
        <v>0</v>
      </c>
      <c r="T35" s="78">
        <f t="shared" si="58"/>
        <v>86.553403040949817</v>
      </c>
      <c r="U35" s="78">
        <f t="shared" si="59"/>
        <v>0</v>
      </c>
      <c r="V35" s="78">
        <f t="shared" si="60"/>
        <v>85.655318255104874</v>
      </c>
      <c r="W35" s="84">
        <f>IFERROR(I35*$AF35/INDEX('EBs NPVs'!$F$121:$F$145,MATCH($A35,'EBs NPVs'!$A$121:$A$145,0)),"")</f>
        <v>0</v>
      </c>
      <c r="X35" s="84">
        <f>IFERROR(J35*$AF35/INDEX('EBs NPVs'!$F$121:$F$145,MATCH($A35,'EBs NPVs'!$A$121:$A$145,0)),"")</f>
        <v>0</v>
      </c>
      <c r="Y35" s="84">
        <f>IFERROR(K35*$AF35/INDEX('EBs NPVs'!$F$121:$F$145,MATCH($A35,'EBs NPVs'!$A$121:$A$145,0)),"")</f>
        <v>0</v>
      </c>
      <c r="Z35" s="84">
        <f>IFERROR(L35*$AF35/INDEX('EBs NPVs'!$F$121:$F$145,MATCH($A35,'EBs NPVs'!$A$121:$A$145,0)),"")</f>
        <v>0</v>
      </c>
      <c r="AA35" s="85">
        <f>IFERROR(M35*$AF35/INDEX('EBs NPVs'!$F$121:$F$145,MATCH($A35,'EBs NPVs'!$A$121:$A$145,0)),"")</f>
        <v>0</v>
      </c>
      <c r="AB35" s="84">
        <f t="shared" si="65"/>
        <v>86.553403040949817</v>
      </c>
      <c r="AC35" s="84">
        <f t="shared" si="62"/>
        <v>85.663577100254997</v>
      </c>
      <c r="AD35" s="84">
        <f t="shared" si="63"/>
        <v>85.663577100254997</v>
      </c>
      <c r="AE35" s="223">
        <f t="shared" si="66"/>
        <v>0</v>
      </c>
      <c r="AF35" s="17">
        <f>INDEX('EBs List'!$P$2:$P$26,MATCH('Exchange Results'!A35,'EBs List'!$A$2:$A$26,0))</f>
        <v>100</v>
      </c>
      <c r="AG35" s="6"/>
      <c r="AM35" s="30"/>
      <c r="AN35" s="30"/>
      <c r="AO35" s="30"/>
      <c r="AP35" s="30"/>
      <c r="AQ35" s="30"/>
      <c r="AR35" s="30"/>
      <c r="AS35" s="30"/>
      <c r="AT35" s="30"/>
      <c r="AU35" s="30"/>
      <c r="AV35" s="30"/>
      <c r="AW35" s="30"/>
    </row>
    <row r="36" spans="1:49" x14ac:dyDescent="0.2">
      <c r="A36" t="s">
        <v>157</v>
      </c>
      <c r="B36" s="7">
        <v>2005</v>
      </c>
      <c r="C36" t="s">
        <v>157</v>
      </c>
      <c r="D36" s="77">
        <f t="shared" si="51"/>
        <v>0</v>
      </c>
      <c r="E36" s="78">
        <f t="shared" si="51"/>
        <v>0</v>
      </c>
      <c r="F36" s="78">
        <f t="shared" si="51"/>
        <v>44.910999999999994</v>
      </c>
      <c r="G36" s="78">
        <f t="shared" si="51"/>
        <v>0</v>
      </c>
      <c r="H36" s="78">
        <f t="shared" si="51"/>
        <v>44.445</v>
      </c>
      <c r="I36" s="84">
        <f t="shared" si="52"/>
        <v>0</v>
      </c>
      <c r="J36" s="84">
        <f t="shared" si="52"/>
        <v>0</v>
      </c>
      <c r="K36" s="84">
        <f t="shared" si="52"/>
        <v>0</v>
      </c>
      <c r="L36" s="84">
        <f t="shared" si="52"/>
        <v>0</v>
      </c>
      <c r="M36" s="85">
        <f t="shared" si="52"/>
        <v>0</v>
      </c>
      <c r="N36" s="84">
        <f t="shared" si="53"/>
        <v>44.910999999999994</v>
      </c>
      <c r="O36" s="84">
        <f t="shared" si="54"/>
        <v>44.484515422339264</v>
      </c>
      <c r="P36" s="84">
        <f t="shared" si="55"/>
        <v>44.484515422339264</v>
      </c>
      <c r="Q36" s="84">
        <f t="shared" si="64"/>
        <v>0</v>
      </c>
      <c r="R36" s="77">
        <f t="shared" si="56"/>
        <v>0</v>
      </c>
      <c r="S36" s="78">
        <f t="shared" si="57"/>
        <v>0</v>
      </c>
      <c r="T36" s="78">
        <f t="shared" si="58"/>
        <v>86.553403040949817</v>
      </c>
      <c r="U36" s="78">
        <f t="shared" si="59"/>
        <v>0</v>
      </c>
      <c r="V36" s="78">
        <f t="shared" si="60"/>
        <v>85.655318255104874</v>
      </c>
      <c r="W36" s="84">
        <f>IFERROR(I36*$AF36/INDEX('EBs NPVs'!$F$121:$F$145,MATCH($A36,'EBs NPVs'!$A$121:$A$145,0)),"")</f>
        <v>0</v>
      </c>
      <c r="X36" s="84">
        <f>IFERROR(J36*$AF36/INDEX('EBs NPVs'!$F$121:$F$145,MATCH($A36,'EBs NPVs'!$A$121:$A$145,0)),"")</f>
        <v>0</v>
      </c>
      <c r="Y36" s="84">
        <f>IFERROR(K36*$AF36/INDEX('EBs NPVs'!$F$121:$F$145,MATCH($A36,'EBs NPVs'!$A$121:$A$145,0)),"")</f>
        <v>0</v>
      </c>
      <c r="Z36" s="84">
        <f>IFERROR(L36*$AF36/INDEX('EBs NPVs'!$F$121:$F$145,MATCH($A36,'EBs NPVs'!$A$121:$A$145,0)),"")</f>
        <v>0</v>
      </c>
      <c r="AA36" s="85">
        <f>IFERROR(M36*$AF36/INDEX('EBs NPVs'!$F$121:$F$145,MATCH($A36,'EBs NPVs'!$A$121:$A$145,0)),"")</f>
        <v>0</v>
      </c>
      <c r="AB36" s="84">
        <f t="shared" si="65"/>
        <v>86.553403040949817</v>
      </c>
      <c r="AC36" s="84">
        <f t="shared" si="62"/>
        <v>85.731473189888419</v>
      </c>
      <c r="AD36" s="84">
        <f t="shared" si="63"/>
        <v>85.731473189888419</v>
      </c>
      <c r="AE36" s="223">
        <f t="shared" si="66"/>
        <v>0</v>
      </c>
      <c r="AF36" s="17">
        <f>INDEX('EBs List'!$P$2:$P$26,MATCH('Exchange Results'!A36,'EBs List'!$A$2:$A$26,0))</f>
        <v>100</v>
      </c>
      <c r="AM36" s="30"/>
      <c r="AN36" s="30"/>
      <c r="AO36" s="30"/>
      <c r="AP36" s="30"/>
      <c r="AQ36" s="30"/>
      <c r="AR36" s="30"/>
      <c r="AS36" s="30"/>
      <c r="AT36" s="30"/>
      <c r="AU36" s="30"/>
      <c r="AV36" s="30"/>
      <c r="AW36" s="30"/>
    </row>
    <row r="37" spans="1:49" x14ac:dyDescent="0.2">
      <c r="A37" s="68" t="str">
        <f>C37</f>
        <v>Euro 2033 Discount I</v>
      </c>
      <c r="B37" s="8">
        <v>2005</v>
      </c>
      <c r="C37" s="68" t="s">
        <v>154</v>
      </c>
      <c r="D37" s="79">
        <f t="shared" ref="D37:H40" si="67">IFERROR(
INDEX(offer_adj_vals,MATCH($A37,offer_adj_oldbonds,0),MATCH(D$32,offer_adj_newbonds,0))
*INDEX(exit_prices,MATCH(D$32,exit_newbonds,0),1)/100*eurusd_offer/eurusd_exit,"")</f>
        <v>0</v>
      </c>
      <c r="E37" s="80">
        <f t="shared" si="67"/>
        <v>0</v>
      </c>
      <c r="F37" s="80">
        <f t="shared" si="67"/>
        <v>0</v>
      </c>
      <c r="G37" s="80">
        <f t="shared" si="67"/>
        <v>49.875682861448219</v>
      </c>
      <c r="H37" s="80">
        <f t="shared" si="67"/>
        <v>0</v>
      </c>
      <c r="I37" s="84">
        <f t="shared" ref="I37:M40" si="68">IFERROR(
INDEX(offer_adj_vals,MATCH($A37,offer_adj_oldbonds,0),MATCH(I$32,offer_adj_newbonds,0))
*INDEX(exit_prices,MATCH(I$32,exit_newbonds,0),1)/100,"")</f>
        <v>0</v>
      </c>
      <c r="J37" s="84">
        <f t="shared" si="68"/>
        <v>0</v>
      </c>
      <c r="K37" s="84">
        <f t="shared" si="68"/>
        <v>56.710160607207214</v>
      </c>
      <c r="L37" s="84">
        <f t="shared" si="68"/>
        <v>52.279679309769151</v>
      </c>
      <c r="M37" s="85">
        <f t="shared" si="68"/>
        <v>48.545315633837106</v>
      </c>
      <c r="N37" s="84">
        <f t="shared" si="53"/>
        <v>56.710160607207214</v>
      </c>
      <c r="O37" s="84">
        <f t="shared" si="54"/>
        <v>50.274839540822398</v>
      </c>
      <c r="P37" s="84">
        <f t="shared" si="55"/>
        <v>50.274839540822398</v>
      </c>
      <c r="Q37" s="84">
        <f t="shared" si="64"/>
        <v>0</v>
      </c>
      <c r="R37" s="79">
        <f t="shared" si="56"/>
        <v>0</v>
      </c>
      <c r="S37" s="80">
        <f t="shared" si="57"/>
        <v>0</v>
      </c>
      <c r="T37" s="80">
        <f t="shared" si="58"/>
        <v>0</v>
      </c>
      <c r="U37" s="80">
        <f>IFERROR(G37*$AF37/INDEX(NPVs_oldbonds_vals,MATCH($A37,NPVs_oldbonds_names,0)),"")</f>
        <v>66.695970582589723</v>
      </c>
      <c r="V37" s="80">
        <f t="shared" si="60"/>
        <v>0</v>
      </c>
      <c r="W37" s="84">
        <f t="shared" ref="W37:AA40" si="69">IFERROR(I37*$AF37/INDEX(NPVs_oldbonds_vals,MATCH($A37,NPVs_oldbonds_names,0)),"")</f>
        <v>0</v>
      </c>
      <c r="X37" s="84">
        <f t="shared" si="69"/>
        <v>0</v>
      </c>
      <c r="Y37" s="84">
        <f t="shared" si="69"/>
        <v>75.835336713070205</v>
      </c>
      <c r="Z37" s="84">
        <f t="shared" si="69"/>
        <v>69.910701032361601</v>
      </c>
      <c r="AA37" s="85">
        <f t="shared" si="69"/>
        <v>64.916944644773906</v>
      </c>
      <c r="AB37" s="84">
        <f t="shared" si="65"/>
        <v>75.835336713070205</v>
      </c>
      <c r="AC37" s="84">
        <f t="shared" si="62"/>
        <v>67.229740560623696</v>
      </c>
      <c r="AD37" s="84">
        <f t="shared" si="63"/>
        <v>67.229740560623696</v>
      </c>
      <c r="AE37" s="223">
        <f t="shared" si="66"/>
        <v>0</v>
      </c>
      <c r="AF37" s="17">
        <f>INDEX('EBs List'!$P$2:$P$26,MATCH('Exchange Results'!A37,'EBs List'!$A$2:$A$26,0))</f>
        <v>137.96394286887087</v>
      </c>
      <c r="AM37" s="30"/>
      <c r="AN37" s="30"/>
      <c r="AO37" s="30"/>
      <c r="AP37" s="30"/>
      <c r="AQ37" s="30"/>
      <c r="AR37" s="30"/>
      <c r="AS37" s="30"/>
      <c r="AT37" s="30"/>
      <c r="AU37" s="30"/>
      <c r="AV37" s="30"/>
      <c r="AW37" s="30"/>
    </row>
    <row r="38" spans="1:49" x14ac:dyDescent="0.2">
      <c r="A38" s="68" t="s">
        <v>155</v>
      </c>
      <c r="B38" s="8">
        <v>2005</v>
      </c>
      <c r="C38" s="68" t="s">
        <v>155</v>
      </c>
      <c r="D38" s="79">
        <f t="shared" si="67"/>
        <v>0</v>
      </c>
      <c r="E38" s="80">
        <f t="shared" si="67"/>
        <v>0</v>
      </c>
      <c r="F38" s="80">
        <f t="shared" si="67"/>
        <v>0</v>
      </c>
      <c r="G38" s="80">
        <f t="shared" si="67"/>
        <v>49.875682861448219</v>
      </c>
      <c r="H38" s="80">
        <f t="shared" si="67"/>
        <v>0</v>
      </c>
      <c r="I38" s="84">
        <f t="shared" si="68"/>
        <v>0</v>
      </c>
      <c r="J38" s="84">
        <f t="shared" si="68"/>
        <v>0</v>
      </c>
      <c r="K38" s="84">
        <f t="shared" si="68"/>
        <v>56.710160607207214</v>
      </c>
      <c r="L38" s="84">
        <f t="shared" si="68"/>
        <v>52.279679309769151</v>
      </c>
      <c r="M38" s="85">
        <f t="shared" si="68"/>
        <v>48.545315633837106</v>
      </c>
      <c r="N38" s="84">
        <f t="shared" si="53"/>
        <v>56.710160607207214</v>
      </c>
      <c r="O38" s="84">
        <f t="shared" si="54"/>
        <v>50.16794001503802</v>
      </c>
      <c r="P38" s="84">
        <f t="shared" si="55"/>
        <v>50.16794001503802</v>
      </c>
      <c r="Q38" s="84">
        <f t="shared" si="64"/>
        <v>0</v>
      </c>
      <c r="R38" s="79">
        <f t="shared" si="56"/>
        <v>0</v>
      </c>
      <c r="S38" s="80">
        <f t="shared" si="57"/>
        <v>0</v>
      </c>
      <c r="T38" s="80">
        <f t="shared" si="58"/>
        <v>0</v>
      </c>
      <c r="U38" s="80">
        <f t="shared" si="59"/>
        <v>66.695970582589723</v>
      </c>
      <c r="V38" s="80">
        <f t="shared" si="60"/>
        <v>0</v>
      </c>
      <c r="W38" s="84">
        <f t="shared" si="69"/>
        <v>0</v>
      </c>
      <c r="X38" s="84">
        <f t="shared" si="69"/>
        <v>0</v>
      </c>
      <c r="Y38" s="84">
        <f t="shared" si="69"/>
        <v>75.835336713070205</v>
      </c>
      <c r="Z38" s="84">
        <f t="shared" si="69"/>
        <v>69.910701032361601</v>
      </c>
      <c r="AA38" s="85">
        <f t="shared" si="69"/>
        <v>64.916944644773906</v>
      </c>
      <c r="AB38" s="84">
        <f t="shared" si="65"/>
        <v>75.835336713070205</v>
      </c>
      <c r="AC38" s="84">
        <f t="shared" si="62"/>
        <v>67.086789783452119</v>
      </c>
      <c r="AD38" s="84">
        <f t="shared" si="63"/>
        <v>67.086789783452119</v>
      </c>
      <c r="AE38" s="223">
        <f t="shared" si="66"/>
        <v>0</v>
      </c>
      <c r="AF38" s="17">
        <f>INDEX('EBs List'!$P$2:$P$26,MATCH('Exchange Results'!A38,'EBs List'!$A$2:$A$26,0))</f>
        <v>137.96394286887087</v>
      </c>
      <c r="AM38" s="30"/>
      <c r="AN38" s="30"/>
      <c r="AO38" s="30"/>
      <c r="AP38" s="30"/>
      <c r="AQ38" s="30"/>
      <c r="AR38" s="30"/>
      <c r="AS38" s="30"/>
      <c r="AT38" s="30"/>
      <c r="AU38" s="30"/>
      <c r="AV38" s="30"/>
      <c r="AW38" s="30"/>
    </row>
    <row r="39" spans="1:49" x14ac:dyDescent="0.2">
      <c r="A39" s="68" t="str">
        <f>C39</f>
        <v>Euro Par 2038 I</v>
      </c>
      <c r="B39" s="8">
        <v>2005</v>
      </c>
      <c r="C39" s="68" t="s">
        <v>156</v>
      </c>
      <c r="D39" s="79">
        <f t="shared" si="67"/>
        <v>0</v>
      </c>
      <c r="E39" s="80">
        <f t="shared" si="67"/>
        <v>0</v>
      </c>
      <c r="F39" s="80">
        <f t="shared" si="67"/>
        <v>0</v>
      </c>
      <c r="G39" s="80">
        <f t="shared" si="67"/>
        <v>0</v>
      </c>
      <c r="H39" s="80">
        <f t="shared" si="67"/>
        <v>44.493791167032605</v>
      </c>
      <c r="I39" s="84">
        <f t="shared" si="68"/>
        <v>0</v>
      </c>
      <c r="J39" s="84">
        <f t="shared" si="68"/>
        <v>0</v>
      </c>
      <c r="K39" s="84">
        <f t="shared" si="68"/>
        <v>0</v>
      </c>
      <c r="L39" s="84">
        <f t="shared" si="68"/>
        <v>52.414005496067503</v>
      </c>
      <c r="M39" s="85">
        <f t="shared" si="68"/>
        <v>48.6700464322941</v>
      </c>
      <c r="N39" s="84">
        <f t="shared" si="53"/>
        <v>52.414005496067503</v>
      </c>
      <c r="O39" s="84">
        <f t="shared" si="54"/>
        <v>45.189300600960827</v>
      </c>
      <c r="P39" s="84">
        <f t="shared" si="55"/>
        <v>45.189300600960827</v>
      </c>
      <c r="Q39" s="84">
        <f t="shared" si="64"/>
        <v>0</v>
      </c>
      <c r="R39" s="79">
        <f t="shared" si="56"/>
        <v>0</v>
      </c>
      <c r="S39" s="80">
        <f t="shared" si="57"/>
        <v>0</v>
      </c>
      <c r="T39" s="80">
        <f t="shared" si="58"/>
        <v>0</v>
      </c>
      <c r="U39" s="80">
        <f t="shared" si="59"/>
        <v>0</v>
      </c>
      <c r="V39" s="80">
        <f t="shared" si="60"/>
        <v>106.98323751677779</v>
      </c>
      <c r="W39" s="84">
        <f t="shared" si="69"/>
        <v>0</v>
      </c>
      <c r="X39" s="84">
        <f t="shared" si="69"/>
        <v>0</v>
      </c>
      <c r="Y39" s="84">
        <f t="shared" si="69"/>
        <v>0</v>
      </c>
      <c r="Z39" s="84">
        <f t="shared" si="69"/>
        <v>126.02702202068743</v>
      </c>
      <c r="AA39" s="85">
        <f t="shared" si="69"/>
        <v>117.02484775621296</v>
      </c>
      <c r="AB39" s="84">
        <f t="shared" si="65"/>
        <v>126.02702202068743</v>
      </c>
      <c r="AC39" s="84">
        <f t="shared" si="62"/>
        <v>108.65555738463914</v>
      </c>
      <c r="AD39" s="84">
        <f t="shared" si="63"/>
        <v>108.65555738463914</v>
      </c>
      <c r="AE39" s="223">
        <f t="shared" si="66"/>
        <v>0</v>
      </c>
      <c r="AF39" s="17">
        <f>INDEX('EBs List'!$P$2:$P$26,MATCH('Exchange Results'!A39,'EBs List'!$A$2:$A$26,0))</f>
        <v>100</v>
      </c>
      <c r="AM39" s="30"/>
      <c r="AN39" s="30"/>
      <c r="AO39" s="30"/>
      <c r="AP39" s="30"/>
      <c r="AQ39" s="30"/>
      <c r="AR39" s="30"/>
      <c r="AS39" s="30"/>
      <c r="AT39" s="30"/>
      <c r="AU39" s="30"/>
      <c r="AV39" s="30"/>
      <c r="AW39" s="30"/>
    </row>
    <row r="40" spans="1:49" x14ac:dyDescent="0.2">
      <c r="A40" s="81" t="s">
        <v>158</v>
      </c>
      <c r="B40" s="12">
        <v>2005</v>
      </c>
      <c r="C40" s="81" t="s">
        <v>158</v>
      </c>
      <c r="D40" s="82">
        <f t="shared" si="67"/>
        <v>0</v>
      </c>
      <c r="E40" s="83">
        <f t="shared" si="67"/>
        <v>0</v>
      </c>
      <c r="F40" s="83">
        <f t="shared" si="67"/>
        <v>0</v>
      </c>
      <c r="G40" s="83">
        <f t="shared" si="67"/>
        <v>0</v>
      </c>
      <c r="H40" s="83">
        <f t="shared" si="67"/>
        <v>44.493791167032605</v>
      </c>
      <c r="I40" s="86">
        <f t="shared" si="68"/>
        <v>0</v>
      </c>
      <c r="J40" s="86">
        <f t="shared" si="68"/>
        <v>0</v>
      </c>
      <c r="K40" s="86">
        <f t="shared" si="68"/>
        <v>0</v>
      </c>
      <c r="L40" s="86">
        <f t="shared" si="68"/>
        <v>52.414005496067503</v>
      </c>
      <c r="M40" s="87">
        <f t="shared" si="68"/>
        <v>48.6700464322941</v>
      </c>
      <c r="N40" s="86">
        <f t="shared" si="53"/>
        <v>52.414005496067503</v>
      </c>
      <c r="O40" s="86">
        <f t="shared" si="54"/>
        <v>45.287846642912953</v>
      </c>
      <c r="P40" s="86">
        <f t="shared" si="55"/>
        <v>45.287846642912953</v>
      </c>
      <c r="Q40" s="86">
        <f t="shared" si="64"/>
        <v>0</v>
      </c>
      <c r="R40" s="82">
        <f t="shared" si="56"/>
        <v>0</v>
      </c>
      <c r="S40" s="83">
        <f t="shared" si="57"/>
        <v>0</v>
      </c>
      <c r="T40" s="83">
        <f t="shared" si="58"/>
        <v>0</v>
      </c>
      <c r="U40" s="83">
        <f t="shared" si="59"/>
        <v>0</v>
      </c>
      <c r="V40" s="83">
        <f t="shared" si="60"/>
        <v>106.98323751677779</v>
      </c>
      <c r="W40" s="86">
        <f t="shared" si="69"/>
        <v>0</v>
      </c>
      <c r="X40" s="86">
        <f t="shared" si="69"/>
        <v>0</v>
      </c>
      <c r="Y40" s="86">
        <f t="shared" si="69"/>
        <v>0</v>
      </c>
      <c r="Z40" s="86">
        <f t="shared" si="69"/>
        <v>126.02702202068743</v>
      </c>
      <c r="AA40" s="87">
        <f t="shared" si="69"/>
        <v>117.02484775621296</v>
      </c>
      <c r="AB40" s="86">
        <f t="shared" si="65"/>
        <v>126.02702202068743</v>
      </c>
      <c r="AC40" s="86">
        <f t="shared" si="62"/>
        <v>108.8925067282661</v>
      </c>
      <c r="AD40" s="86">
        <f t="shared" si="63"/>
        <v>108.8925067282661</v>
      </c>
      <c r="AE40" s="224">
        <f t="shared" si="66"/>
        <v>0</v>
      </c>
      <c r="AF40" s="17">
        <f>INDEX('EBs List'!$P$2:$P$26,MATCH('Exchange Results'!A40,'EBs List'!$A$2:$A$26,0))</f>
        <v>100</v>
      </c>
      <c r="AM40" s="30"/>
      <c r="AN40" s="30"/>
      <c r="AO40" s="30"/>
      <c r="AP40" s="30"/>
      <c r="AQ40" s="30"/>
      <c r="AR40" s="30"/>
      <c r="AS40" s="30"/>
      <c r="AT40" s="30"/>
      <c r="AU40" s="30"/>
      <c r="AV40" s="30"/>
      <c r="AW40" s="30"/>
    </row>
    <row r="41" spans="1:49" x14ac:dyDescent="0.2">
      <c r="A41" t="str">
        <f t="shared" ref="A41:A57" si="70">C41</f>
        <v>USD 2021</v>
      </c>
      <c r="B41" s="7">
        <v>2016</v>
      </c>
      <c r="C41" t="s">
        <v>117</v>
      </c>
      <c r="D41" s="77">
        <f t="shared" ref="D41:H51" si="71">IFERROR(
INDEX(offer_adj_vals,MATCH($A41,offer_adj_oldbonds,0),MATCH(D$32,offer_adj_newbonds,0))
*INDEX(exit_prices,MATCH(D$32,exit_newbonds,0),1)/100,"")</f>
        <v>47.430574999999997</v>
      </c>
      <c r="E41" s="78">
        <f t="shared" si="71"/>
        <v>41.922430000000006</v>
      </c>
      <c r="F41" s="78">
        <f t="shared" si="71"/>
        <v>44.910999999999994</v>
      </c>
      <c r="G41" s="78">
        <f t="shared" si="71"/>
        <v>0</v>
      </c>
      <c r="H41" s="78">
        <f t="shared" si="71"/>
        <v>0</v>
      </c>
      <c r="I41" s="84">
        <f t="shared" ref="I41:M51" si="72">IFERROR(
INDEX(offer_adj_vals,MATCH($A41,offer_adj_oldbonds,0),MATCH(I$32,offer_adj_newbonds,0))
*INDEX(exit_prices,MATCH(I$32,exit_newbonds,0),1)/100*eurusd_offer/eurusd_exit,"")</f>
        <v>0</v>
      </c>
      <c r="J41" s="84">
        <f t="shared" si="72"/>
        <v>0</v>
      </c>
      <c r="K41" s="84">
        <f t="shared" si="72"/>
        <v>0</v>
      </c>
      <c r="L41" s="84">
        <f t="shared" si="72"/>
        <v>0</v>
      </c>
      <c r="M41" s="85">
        <f t="shared" si="72"/>
        <v>0</v>
      </c>
      <c r="N41" s="84">
        <f t="shared" si="53"/>
        <v>47.430574999999997</v>
      </c>
      <c r="O41" s="84">
        <f t="shared" si="54"/>
        <v>47.330537929283089</v>
      </c>
      <c r="P41" s="84">
        <f t="shared" si="55"/>
        <v>47.330537929283089</v>
      </c>
      <c r="Q41" s="84">
        <f t="shared" si="64"/>
        <v>0</v>
      </c>
      <c r="R41" s="77">
        <f t="shared" si="56"/>
        <v>48.607036697926979</v>
      </c>
      <c r="S41" s="78">
        <f t="shared" si="57"/>
        <v>42.962268399155505</v>
      </c>
      <c r="T41" s="78">
        <f t="shared" si="58"/>
        <v>46.0249664934612</v>
      </c>
      <c r="U41" s="78">
        <f t="shared" si="59"/>
        <v>0</v>
      </c>
      <c r="V41" s="78">
        <f t="shared" si="60"/>
        <v>0</v>
      </c>
      <c r="W41" s="84">
        <f>IFERROR(I41*100/INDEX('EBs NPVs'!$F$121:$H$145,MATCH('Exchange Results'!$A41,'EBs NPVs'!$A$121:$A$145,0),1),"")</f>
        <v>0</v>
      </c>
      <c r="X41" s="84">
        <f>IFERROR(J41*100/INDEX('EBs NPVs'!$F$121:$H$145,MATCH('Exchange Results'!$A41,'EBs NPVs'!$A$121:$A$145,0),1),"")</f>
        <v>0</v>
      </c>
      <c r="Y41" s="84">
        <f>IFERROR(K41*100/INDEX('EBs NPVs'!$F$121:$H$145,MATCH('Exchange Results'!$A41,'EBs NPVs'!$A$121:$A$145,0),1),"")</f>
        <v>0</v>
      </c>
      <c r="Z41" s="84">
        <f>IFERROR(L41*100/INDEX('EBs NPVs'!$F$121:$H$145,MATCH('Exchange Results'!$A41,'EBs NPVs'!$A$121:$A$145,0),1),"")</f>
        <v>0</v>
      </c>
      <c r="AA41" s="85">
        <f>IFERROR(M41*100/INDEX('EBs NPVs'!$F$121:$H$145,MATCH('Exchange Results'!$A41,'EBs NPVs'!$A$121:$A$145,0),1),"")</f>
        <v>0</v>
      </c>
      <c r="AB41" s="84">
        <f t="shared" si="65"/>
        <v>48.607036697926979</v>
      </c>
      <c r="AC41" s="84">
        <f t="shared" si="62"/>
        <v>48.504518320962553</v>
      </c>
      <c r="AD41" s="84">
        <f t="shared" si="63"/>
        <v>48.504518320962553</v>
      </c>
      <c r="AE41" s="223">
        <f t="shared" si="66"/>
        <v>0</v>
      </c>
      <c r="AF41" s="17">
        <f>INDEX('EBs List'!$P$2:$P$26,MATCH('Exchange Results'!A41,'EBs List'!$A$2:$A$26,0))</f>
        <v>100</v>
      </c>
      <c r="AM41" s="30"/>
      <c r="AN41" s="30"/>
      <c r="AO41" s="30"/>
      <c r="AP41" s="30"/>
      <c r="AQ41" s="30"/>
      <c r="AR41" s="30"/>
      <c r="AS41" s="30"/>
      <c r="AT41" s="30"/>
      <c r="AU41" s="30"/>
      <c r="AV41" s="30"/>
      <c r="AW41" s="30"/>
    </row>
    <row r="42" spans="1:49" x14ac:dyDescent="0.2">
      <c r="A42" t="str">
        <f t="shared" si="70"/>
        <v>USD 2022</v>
      </c>
      <c r="B42" s="7">
        <v>2016</v>
      </c>
      <c r="C42" t="s">
        <v>118</v>
      </c>
      <c r="D42" s="77">
        <f t="shared" si="71"/>
        <v>47.430574999999997</v>
      </c>
      <c r="E42" s="78">
        <f t="shared" si="71"/>
        <v>41.922430000000006</v>
      </c>
      <c r="F42" s="78">
        <f t="shared" si="71"/>
        <v>44.910999999999994</v>
      </c>
      <c r="G42" s="78">
        <f t="shared" si="71"/>
        <v>0</v>
      </c>
      <c r="H42" s="78">
        <f t="shared" si="71"/>
        <v>0</v>
      </c>
      <c r="I42" s="84">
        <f t="shared" si="72"/>
        <v>0</v>
      </c>
      <c r="J42" s="84">
        <f t="shared" si="72"/>
        <v>0</v>
      </c>
      <c r="K42" s="84">
        <f t="shared" si="72"/>
        <v>0</v>
      </c>
      <c r="L42" s="84">
        <f t="shared" si="72"/>
        <v>0</v>
      </c>
      <c r="M42" s="85">
        <f t="shared" si="72"/>
        <v>0</v>
      </c>
      <c r="N42" s="84">
        <f t="shared" si="53"/>
        <v>47.430574999999997</v>
      </c>
      <c r="O42" s="84">
        <f t="shared" si="54"/>
        <v>47.252653344639853</v>
      </c>
      <c r="P42" s="84">
        <f t="shared" si="55"/>
        <v>47.252653344639853</v>
      </c>
      <c r="Q42" s="84">
        <f t="shared" si="64"/>
        <v>0</v>
      </c>
      <c r="R42" s="77">
        <f t="shared" si="56"/>
        <v>50.924884139739454</v>
      </c>
      <c r="S42" s="78">
        <f t="shared" si="57"/>
        <v>45.010942637873093</v>
      </c>
      <c r="T42" s="78">
        <f t="shared" si="58"/>
        <v>48.219686807504196</v>
      </c>
      <c r="U42" s="78">
        <f t="shared" si="59"/>
        <v>0</v>
      </c>
      <c r="V42" s="78">
        <f t="shared" si="60"/>
        <v>0</v>
      </c>
      <c r="W42" s="84">
        <f>IFERROR(I42*100/INDEX('EBs NPVs'!$F$121:$H$145,MATCH('Exchange Results'!$A42,'EBs NPVs'!$A$121:$A$145,0),1),"")</f>
        <v>0</v>
      </c>
      <c r="X42" s="84">
        <f>IFERROR(J42*100/INDEX('EBs NPVs'!$F$121:$H$145,MATCH('Exchange Results'!$A42,'EBs NPVs'!$A$121:$A$145,0),1),"")</f>
        <v>0</v>
      </c>
      <c r="Y42" s="84">
        <f>IFERROR(K42*100/INDEX('EBs NPVs'!$F$121:$H$145,MATCH('Exchange Results'!$A42,'EBs NPVs'!$A$121:$A$145,0),1),"")</f>
        <v>0</v>
      </c>
      <c r="Z42" s="84">
        <f>IFERROR(L42*100/INDEX('EBs NPVs'!$F$121:$H$145,MATCH('Exchange Results'!$A42,'EBs NPVs'!$A$121:$A$145,0),1),"")</f>
        <v>0</v>
      </c>
      <c r="AA42" s="85">
        <f>IFERROR(M42*100/INDEX('EBs NPVs'!$F$121:$H$145,MATCH('Exchange Results'!$A42,'EBs NPVs'!$A$121:$A$145,0),1),"")</f>
        <v>0</v>
      </c>
      <c r="AB42" s="84">
        <f t="shared" si="65"/>
        <v>50.924884139739454</v>
      </c>
      <c r="AC42" s="84">
        <f t="shared" si="62"/>
        <v>50.733854625862264</v>
      </c>
      <c r="AD42" s="84">
        <f t="shared" si="63"/>
        <v>50.733854625862264</v>
      </c>
      <c r="AE42" s="223">
        <f t="shared" si="66"/>
        <v>0</v>
      </c>
      <c r="AF42" s="17">
        <f>INDEX('EBs List'!$P$2:$P$26,MATCH('Exchange Results'!A42,'EBs List'!$A$2:$A$26,0))</f>
        <v>100</v>
      </c>
      <c r="AM42" s="30"/>
      <c r="AN42" s="30"/>
      <c r="AO42" s="30"/>
      <c r="AP42" s="30"/>
      <c r="AQ42" s="30"/>
      <c r="AR42" s="30"/>
      <c r="AS42" s="30"/>
      <c r="AT42" s="30"/>
      <c r="AU42" s="30"/>
      <c r="AV42" s="30"/>
      <c r="AW42" s="30"/>
    </row>
    <row r="43" spans="1:49" x14ac:dyDescent="0.2">
      <c r="A43" t="str">
        <f t="shared" si="70"/>
        <v>USD 2023</v>
      </c>
      <c r="B43" s="7">
        <v>2016</v>
      </c>
      <c r="C43" t="s">
        <v>119</v>
      </c>
      <c r="D43" s="77">
        <f t="shared" si="71"/>
        <v>47.430574999999997</v>
      </c>
      <c r="E43" s="78">
        <f t="shared" si="71"/>
        <v>41.922430000000006</v>
      </c>
      <c r="F43" s="78">
        <f t="shared" si="71"/>
        <v>44.910999999999994</v>
      </c>
      <c r="G43" s="78">
        <f t="shared" si="71"/>
        <v>0</v>
      </c>
      <c r="H43" s="78">
        <f t="shared" si="71"/>
        <v>0</v>
      </c>
      <c r="I43" s="84">
        <f t="shared" si="72"/>
        <v>0</v>
      </c>
      <c r="J43" s="84">
        <f t="shared" si="72"/>
        <v>0</v>
      </c>
      <c r="K43" s="84">
        <f t="shared" si="72"/>
        <v>0</v>
      </c>
      <c r="L43" s="84">
        <f t="shared" si="72"/>
        <v>0</v>
      </c>
      <c r="M43" s="85">
        <f t="shared" si="72"/>
        <v>0</v>
      </c>
      <c r="N43" s="84">
        <f t="shared" si="53"/>
        <v>47.430574999999997</v>
      </c>
      <c r="O43" s="84">
        <f t="shared" si="54"/>
        <v>47.381316075828984</v>
      </c>
      <c r="P43" s="84">
        <f t="shared" si="55"/>
        <v>47.381316075828984</v>
      </c>
      <c r="Q43" s="84">
        <f t="shared" si="64"/>
        <v>0</v>
      </c>
      <c r="R43" s="77">
        <f t="shared" si="56"/>
        <v>54.590455868091638</v>
      </c>
      <c r="S43" s="78">
        <f t="shared" si="57"/>
        <v>48.250829023223126</v>
      </c>
      <c r="T43" s="78">
        <f t="shared" si="58"/>
        <v>51.690538507953221</v>
      </c>
      <c r="U43" s="78">
        <f t="shared" si="59"/>
        <v>0</v>
      </c>
      <c r="V43" s="78">
        <f t="shared" si="60"/>
        <v>0</v>
      </c>
      <c r="W43" s="84">
        <f>IFERROR(I43*100/INDEX('EBs NPVs'!$F$121:$H$145,MATCH('Exchange Results'!$A43,'EBs NPVs'!$A$121:$A$145,0),1),"")</f>
        <v>0</v>
      </c>
      <c r="X43" s="84">
        <f>IFERROR(J43*100/INDEX('EBs NPVs'!$F$121:$H$145,MATCH('Exchange Results'!$A43,'EBs NPVs'!$A$121:$A$145,0),1),"")</f>
        <v>0</v>
      </c>
      <c r="Y43" s="84">
        <f>IFERROR(K43*100/INDEX('EBs NPVs'!$F$121:$H$145,MATCH('Exchange Results'!$A43,'EBs NPVs'!$A$121:$A$145,0),1),"")</f>
        <v>0</v>
      </c>
      <c r="Z43" s="84">
        <f>IFERROR(L43*100/INDEX('EBs NPVs'!$F$121:$H$145,MATCH('Exchange Results'!$A43,'EBs NPVs'!$A$121:$A$145,0),1),"")</f>
        <v>0</v>
      </c>
      <c r="AA43" s="85">
        <f>IFERROR(M43*100/INDEX('EBs NPVs'!$F$121:$H$145,MATCH('Exchange Results'!$A43,'EBs NPVs'!$A$121:$A$145,0),1),"")</f>
        <v>0</v>
      </c>
      <c r="AB43" s="84">
        <f t="shared" si="65"/>
        <v>54.590455868091638</v>
      </c>
      <c r="AC43" s="84">
        <f t="shared" si="62"/>
        <v>54.533761064664368</v>
      </c>
      <c r="AD43" s="84">
        <f t="shared" si="63"/>
        <v>54.533761064664368</v>
      </c>
      <c r="AE43" s="223">
        <f t="shared" si="66"/>
        <v>0</v>
      </c>
      <c r="AF43" s="17">
        <f>INDEX('EBs List'!$P$2:$P$26,MATCH('Exchange Results'!A43,'EBs List'!$A$2:$A$26,0))</f>
        <v>100</v>
      </c>
      <c r="AM43" s="30"/>
      <c r="AN43" s="30"/>
      <c r="AO43" s="30"/>
      <c r="AP43" s="30"/>
      <c r="AQ43" s="30"/>
      <c r="AR43" s="30"/>
      <c r="AS43" s="30"/>
      <c r="AT43" s="30"/>
      <c r="AU43" s="30"/>
      <c r="AV43" s="30"/>
      <c r="AW43" s="30"/>
    </row>
    <row r="44" spans="1:49" x14ac:dyDescent="0.2">
      <c r="A44" t="str">
        <f t="shared" si="70"/>
        <v>USD 2026</v>
      </c>
      <c r="B44" s="7">
        <v>2016</v>
      </c>
      <c r="C44" t="s">
        <v>120</v>
      </c>
      <c r="D44" s="77">
        <f t="shared" si="71"/>
        <v>47.430574999999997</v>
      </c>
      <c r="E44" s="78">
        <f t="shared" si="71"/>
        <v>41.922430000000006</v>
      </c>
      <c r="F44" s="78">
        <f t="shared" si="71"/>
        <v>44.910999999999994</v>
      </c>
      <c r="G44" s="78">
        <f t="shared" si="71"/>
        <v>0</v>
      </c>
      <c r="H44" s="78">
        <f t="shared" si="71"/>
        <v>0</v>
      </c>
      <c r="I44" s="84">
        <f t="shared" si="72"/>
        <v>0</v>
      </c>
      <c r="J44" s="84">
        <f t="shared" si="72"/>
        <v>0</v>
      </c>
      <c r="K44" s="84">
        <f t="shared" si="72"/>
        <v>0</v>
      </c>
      <c r="L44" s="84">
        <f t="shared" si="72"/>
        <v>0</v>
      </c>
      <c r="M44" s="85">
        <f t="shared" si="72"/>
        <v>0</v>
      </c>
      <c r="N44" s="84">
        <f t="shared" si="53"/>
        <v>47.430574999999997</v>
      </c>
      <c r="O44" s="84">
        <f t="shared" si="54"/>
        <v>47.014798307681666</v>
      </c>
      <c r="P44" s="84">
        <f t="shared" si="55"/>
        <v>43.722918098062408</v>
      </c>
      <c r="Q44" s="84">
        <f t="shared" si="64"/>
        <v>-3.2918802096192579</v>
      </c>
      <c r="R44" s="77">
        <f t="shared" si="56"/>
        <v>55.85783242386951</v>
      </c>
      <c r="S44" s="78">
        <f t="shared" si="57"/>
        <v>49.371024275826308</v>
      </c>
      <c r="T44" s="78">
        <f t="shared" si="58"/>
        <v>52.890590341533986</v>
      </c>
      <c r="U44" s="78">
        <f t="shared" si="59"/>
        <v>0</v>
      </c>
      <c r="V44" s="78">
        <f t="shared" si="60"/>
        <v>0</v>
      </c>
      <c r="W44" s="84">
        <f>IFERROR(I44*100/INDEX('EBs NPVs'!$F$121:$H$145,MATCH('Exchange Results'!$A44,'EBs NPVs'!$A$121:$A$145,0),1),"")</f>
        <v>0</v>
      </c>
      <c r="X44" s="84">
        <f>IFERROR(J44*100/INDEX('EBs NPVs'!$F$121:$H$145,MATCH('Exchange Results'!$A44,'EBs NPVs'!$A$121:$A$145,0),1),"")</f>
        <v>0</v>
      </c>
      <c r="Y44" s="84">
        <f>IFERROR(K44*100/INDEX('EBs NPVs'!$F$121:$H$145,MATCH('Exchange Results'!$A44,'EBs NPVs'!$A$121:$A$145,0),1),"")</f>
        <v>0</v>
      </c>
      <c r="Z44" s="84">
        <f>IFERROR(L44*100/INDEX('EBs NPVs'!$F$121:$H$145,MATCH('Exchange Results'!$A44,'EBs NPVs'!$A$121:$A$145,0),1),"")</f>
        <v>0</v>
      </c>
      <c r="AA44" s="85">
        <f>IFERROR(M44*100/INDEX('EBs NPVs'!$F$121:$H$145,MATCH('Exchange Results'!$A44,'EBs NPVs'!$A$121:$A$145,0),1),"")</f>
        <v>0</v>
      </c>
      <c r="AB44" s="84">
        <f t="shared" si="65"/>
        <v>55.85783242386951</v>
      </c>
      <c r="AC44" s="84">
        <f t="shared" si="62"/>
        <v>55.368182344669165</v>
      </c>
      <c r="AD44" s="84">
        <f t="shared" si="63"/>
        <v>51.491415235934653</v>
      </c>
      <c r="AE44" s="223">
        <f t="shared" si="66"/>
        <v>3.8767671087345121</v>
      </c>
      <c r="AF44" s="17">
        <f>INDEX('EBs List'!$P$2:$P$26,MATCH('Exchange Results'!A44,'EBs List'!$A$2:$A$26,0))</f>
        <v>100</v>
      </c>
      <c r="AM44" s="30"/>
      <c r="AN44" s="30"/>
      <c r="AO44" s="30"/>
      <c r="AP44" s="30"/>
      <c r="AQ44" s="30"/>
      <c r="AR44" s="30"/>
      <c r="AS44" s="30"/>
      <c r="AT44" s="30"/>
      <c r="AU44" s="30"/>
      <c r="AV44" s="30"/>
      <c r="AW44" s="30"/>
    </row>
    <row r="45" spans="1:49" x14ac:dyDescent="0.2">
      <c r="A45" t="str">
        <f t="shared" si="70"/>
        <v>USD 2027</v>
      </c>
      <c r="B45" s="7">
        <v>2016</v>
      </c>
      <c r="C45" t="s">
        <v>121</v>
      </c>
      <c r="D45" s="77">
        <f t="shared" si="71"/>
        <v>47.430574999999997</v>
      </c>
      <c r="E45" s="78">
        <f t="shared" si="71"/>
        <v>41.922430000000006</v>
      </c>
      <c r="F45" s="78">
        <f t="shared" si="71"/>
        <v>44.910999999999994</v>
      </c>
      <c r="G45" s="78">
        <f t="shared" si="71"/>
        <v>0</v>
      </c>
      <c r="H45" s="78">
        <f t="shared" si="71"/>
        <v>0</v>
      </c>
      <c r="I45" s="84">
        <f t="shared" si="72"/>
        <v>0</v>
      </c>
      <c r="J45" s="84">
        <f t="shared" si="72"/>
        <v>0</v>
      </c>
      <c r="K45" s="84">
        <f t="shared" si="72"/>
        <v>0</v>
      </c>
      <c r="L45" s="84">
        <f t="shared" si="72"/>
        <v>0</v>
      </c>
      <c r="M45" s="85">
        <f t="shared" si="72"/>
        <v>0</v>
      </c>
      <c r="N45" s="84">
        <f t="shared" si="53"/>
        <v>47.430574999999997</v>
      </c>
      <c r="O45" s="84">
        <f t="shared" si="54"/>
        <v>47.025999382637963</v>
      </c>
      <c r="P45" s="84">
        <f t="shared" si="55"/>
        <v>43.731517455115565</v>
      </c>
      <c r="Q45" s="84">
        <f t="shared" si="64"/>
        <v>-3.2944819275223978</v>
      </c>
      <c r="R45" s="77">
        <f t="shared" si="56"/>
        <v>58.782121706607214</v>
      </c>
      <c r="S45" s="78">
        <f t="shared" si="57"/>
        <v>51.955713851175567</v>
      </c>
      <c r="T45" s="78">
        <f t="shared" si="58"/>
        <v>55.659537502242728</v>
      </c>
      <c r="U45" s="78">
        <f t="shared" si="59"/>
        <v>0</v>
      </c>
      <c r="V45" s="78">
        <f t="shared" si="60"/>
        <v>0</v>
      </c>
      <c r="W45" s="84">
        <f>IFERROR(I45*100/INDEX('EBs NPVs'!$F$121:$H$145,MATCH('Exchange Results'!$A45,'EBs NPVs'!$A$121:$A$145,0),1),"")</f>
        <v>0</v>
      </c>
      <c r="X45" s="84">
        <f>IFERROR(J45*100/INDEX('EBs NPVs'!$F$121:$H$145,MATCH('Exchange Results'!$A45,'EBs NPVs'!$A$121:$A$145,0),1),"")</f>
        <v>0</v>
      </c>
      <c r="Y45" s="84">
        <f>IFERROR(K45*100/INDEX('EBs NPVs'!$F$121:$H$145,MATCH('Exchange Results'!$A45,'EBs NPVs'!$A$121:$A$145,0),1),"")</f>
        <v>0</v>
      </c>
      <c r="Z45" s="84">
        <f>IFERROR(L45*100/INDEX('EBs NPVs'!$F$121:$H$145,MATCH('Exchange Results'!$A45,'EBs NPVs'!$A$121:$A$145,0),1),"")</f>
        <v>0</v>
      </c>
      <c r="AA45" s="85">
        <f>IFERROR(M45*100/INDEX('EBs NPVs'!$F$121:$H$145,MATCH('Exchange Results'!$A45,'EBs NPVs'!$A$121:$A$145,0),1),"")</f>
        <v>0</v>
      </c>
      <c r="AB45" s="84">
        <f t="shared" si="65"/>
        <v>58.782121706607214</v>
      </c>
      <c r="AC45" s="84">
        <f t="shared" si="62"/>
        <v>58.280719115993435</v>
      </c>
      <c r="AD45" s="84">
        <f t="shared" si="63"/>
        <v>54.197769718398327</v>
      </c>
      <c r="AE45" s="223">
        <f t="shared" si="66"/>
        <v>4.0829493975951081</v>
      </c>
      <c r="AF45" s="17">
        <f>INDEX('EBs List'!$P$2:$P$26,MATCH('Exchange Results'!A45,'EBs List'!$A$2:$A$26,0))</f>
        <v>100</v>
      </c>
      <c r="AM45" s="30"/>
      <c r="AN45" s="30"/>
      <c r="AO45" s="30"/>
      <c r="AP45" s="30"/>
      <c r="AQ45" s="30"/>
      <c r="AR45" s="30"/>
      <c r="AS45" s="30"/>
      <c r="AT45" s="30"/>
      <c r="AU45" s="30"/>
      <c r="AV45" s="30"/>
      <c r="AW45" s="30"/>
    </row>
    <row r="46" spans="1:49" x14ac:dyDescent="0.2">
      <c r="A46" t="str">
        <f t="shared" si="70"/>
        <v>USD 5.875% 2028</v>
      </c>
      <c r="B46" s="7">
        <v>2016</v>
      </c>
      <c r="C46" t="s">
        <v>122</v>
      </c>
      <c r="D46" s="77">
        <f t="shared" si="71"/>
        <v>47.430574999999997</v>
      </c>
      <c r="E46" s="78">
        <f t="shared" si="71"/>
        <v>41.922430000000006</v>
      </c>
      <c r="F46" s="78">
        <f t="shared" si="71"/>
        <v>44.910999999999994</v>
      </c>
      <c r="G46" s="78">
        <f t="shared" si="71"/>
        <v>0</v>
      </c>
      <c r="H46" s="78">
        <f t="shared" si="71"/>
        <v>0</v>
      </c>
      <c r="I46" s="84">
        <f t="shared" si="72"/>
        <v>0</v>
      </c>
      <c r="J46" s="84">
        <f t="shared" si="72"/>
        <v>0</v>
      </c>
      <c r="K46" s="84">
        <f t="shared" si="72"/>
        <v>0</v>
      </c>
      <c r="L46" s="84">
        <f t="shared" si="72"/>
        <v>0</v>
      </c>
      <c r="M46" s="85">
        <f t="shared" si="72"/>
        <v>0</v>
      </c>
      <c r="N46" s="84">
        <f t="shared" si="53"/>
        <v>47.430574999999997</v>
      </c>
      <c r="O46" s="84">
        <f t="shared" si="54"/>
        <v>47.114628615547076</v>
      </c>
      <c r="P46" s="84">
        <f t="shared" si="55"/>
        <v>43.768523525645115</v>
      </c>
      <c r="Q46" s="84">
        <f t="shared" si="64"/>
        <v>-3.3461050899019611</v>
      </c>
      <c r="R46" s="77">
        <f t="shared" si="56"/>
        <v>64.212073575303549</v>
      </c>
      <c r="S46" s="78">
        <f t="shared" si="57"/>
        <v>56.755081708697674</v>
      </c>
      <c r="T46" s="78">
        <f t="shared" si="58"/>
        <v>60.801043131786983</v>
      </c>
      <c r="U46" s="78">
        <f t="shared" si="59"/>
        <v>0</v>
      </c>
      <c r="V46" s="78">
        <f t="shared" si="60"/>
        <v>0</v>
      </c>
      <c r="W46" s="84">
        <f>IFERROR(I46*100/INDEX('EBs NPVs'!$F$121:$H$145,MATCH('Exchange Results'!$A46,'EBs NPVs'!$A$121:$A$145,0),1),"")</f>
        <v>0</v>
      </c>
      <c r="X46" s="84">
        <f>IFERROR(J46*100/INDEX('EBs NPVs'!$F$121:$H$145,MATCH('Exchange Results'!$A46,'EBs NPVs'!$A$121:$A$145,0),1),"")</f>
        <v>0</v>
      </c>
      <c r="Y46" s="84">
        <f>IFERROR(K46*100/INDEX('EBs NPVs'!$F$121:$H$145,MATCH('Exchange Results'!$A46,'EBs NPVs'!$A$121:$A$145,0),1),"")</f>
        <v>0</v>
      </c>
      <c r="Z46" s="84">
        <f>IFERROR(L46*100/INDEX('EBs NPVs'!$F$121:$H$145,MATCH('Exchange Results'!$A46,'EBs NPVs'!$A$121:$A$145,0),1),"")</f>
        <v>0</v>
      </c>
      <c r="AA46" s="85">
        <f>IFERROR(M46*100/INDEX('EBs NPVs'!$F$121:$H$145,MATCH('Exchange Results'!$A46,'EBs NPVs'!$A$121:$A$145,0),1),"")</f>
        <v>0</v>
      </c>
      <c r="AB46" s="84">
        <f t="shared" si="65"/>
        <v>64.212073575303549</v>
      </c>
      <c r="AC46" s="84">
        <f t="shared" si="62"/>
        <v>63.784341622141653</v>
      </c>
      <c r="AD46" s="84">
        <f t="shared" si="63"/>
        <v>59.254344964427034</v>
      </c>
      <c r="AE46" s="223">
        <f t="shared" si="66"/>
        <v>4.5299966577146193</v>
      </c>
      <c r="AF46" s="17">
        <f>INDEX('EBs List'!$P$2:$P$26,MATCH('Exchange Results'!A46,'EBs List'!$A$2:$A$26,0))</f>
        <v>100</v>
      </c>
      <c r="AM46" s="30"/>
      <c r="AN46" s="30"/>
      <c r="AO46" s="30"/>
      <c r="AP46" s="30"/>
      <c r="AQ46" s="30"/>
      <c r="AR46" s="30"/>
      <c r="AS46" s="30"/>
      <c r="AT46" s="30"/>
      <c r="AU46" s="30"/>
      <c r="AV46" s="30"/>
      <c r="AW46" s="30"/>
    </row>
    <row r="47" spans="1:49" x14ac:dyDescent="0.2">
      <c r="A47" t="str">
        <f t="shared" si="70"/>
        <v>USD 6.625% 2028</v>
      </c>
      <c r="B47" s="7">
        <v>2016</v>
      </c>
      <c r="C47" t="s">
        <v>123</v>
      </c>
      <c r="D47" s="77">
        <f t="shared" si="71"/>
        <v>47.430574999999997</v>
      </c>
      <c r="E47" s="78">
        <f t="shared" si="71"/>
        <v>41.922430000000006</v>
      </c>
      <c r="F47" s="78">
        <f t="shared" si="71"/>
        <v>44.910999999999994</v>
      </c>
      <c r="G47" s="78">
        <f t="shared" si="71"/>
        <v>0</v>
      </c>
      <c r="H47" s="78">
        <f t="shared" si="71"/>
        <v>0</v>
      </c>
      <c r="I47" s="84">
        <f t="shared" si="72"/>
        <v>0</v>
      </c>
      <c r="J47" s="84">
        <f t="shared" si="72"/>
        <v>0</v>
      </c>
      <c r="K47" s="84">
        <f t="shared" si="72"/>
        <v>0</v>
      </c>
      <c r="L47" s="84">
        <f t="shared" si="72"/>
        <v>0</v>
      </c>
      <c r="M47" s="85">
        <f t="shared" si="72"/>
        <v>0</v>
      </c>
      <c r="N47" s="84">
        <f t="shared" si="53"/>
        <v>47.430574999999997</v>
      </c>
      <c r="O47" s="84">
        <f t="shared" si="54"/>
        <v>46.819706357205703</v>
      </c>
      <c r="P47" s="84">
        <f t="shared" si="55"/>
        <v>43.667773207395911</v>
      </c>
      <c r="Q47" s="84">
        <f t="shared" si="64"/>
        <v>-3.1519331498097927</v>
      </c>
      <c r="R47" s="77">
        <f t="shared" si="56"/>
        <v>61.91332728240711</v>
      </c>
      <c r="S47" s="78">
        <f t="shared" si="57"/>
        <v>54.72329038945454</v>
      </c>
      <c r="T47" s="78">
        <f t="shared" si="58"/>
        <v>58.624409288316357</v>
      </c>
      <c r="U47" s="78">
        <f t="shared" si="59"/>
        <v>0</v>
      </c>
      <c r="V47" s="78">
        <f t="shared" si="60"/>
        <v>0</v>
      </c>
      <c r="W47" s="84">
        <f>IFERROR(I47*100/INDEX('EBs NPVs'!$F$121:$H$145,MATCH('Exchange Results'!$A47,'EBs NPVs'!$A$121:$A$145,0),1),"")</f>
        <v>0</v>
      </c>
      <c r="X47" s="84">
        <f>IFERROR(J47*100/INDEX('EBs NPVs'!$F$121:$H$145,MATCH('Exchange Results'!$A47,'EBs NPVs'!$A$121:$A$145,0),1),"")</f>
        <v>0</v>
      </c>
      <c r="Y47" s="84">
        <f>IFERROR(K47*100/INDEX('EBs NPVs'!$F$121:$H$145,MATCH('Exchange Results'!$A47,'EBs NPVs'!$A$121:$A$145,0),1),"")</f>
        <v>0</v>
      </c>
      <c r="Z47" s="84">
        <f>IFERROR(L47*100/INDEX('EBs NPVs'!$F$121:$H$145,MATCH('Exchange Results'!$A47,'EBs NPVs'!$A$121:$A$145,0),1),"")</f>
        <v>0</v>
      </c>
      <c r="AA47" s="85">
        <f>IFERROR(M47*100/INDEX('EBs NPVs'!$F$121:$H$145,MATCH('Exchange Results'!$A47,'EBs NPVs'!$A$121:$A$145,0),1),"")</f>
        <v>0</v>
      </c>
      <c r="AB47" s="84">
        <f t="shared" si="65"/>
        <v>61.91332728240711</v>
      </c>
      <c r="AC47" s="84">
        <f t="shared" si="62"/>
        <v>61.1159321378641</v>
      </c>
      <c r="AD47" s="84">
        <f t="shared" si="63"/>
        <v>57.001567749988929</v>
      </c>
      <c r="AE47" s="223">
        <f t="shared" si="66"/>
        <v>4.1143643878751703</v>
      </c>
      <c r="AF47" s="17">
        <f>INDEX('EBs List'!$P$2:$P$26,MATCH('Exchange Results'!A47,'EBs List'!$A$2:$A$26,0))</f>
        <v>100</v>
      </c>
      <c r="AM47" s="30"/>
      <c r="AN47" s="30"/>
      <c r="AO47" s="30"/>
      <c r="AP47" s="30"/>
      <c r="AQ47" s="30"/>
      <c r="AR47" s="30"/>
      <c r="AS47" s="30"/>
      <c r="AT47" s="30"/>
      <c r="AU47" s="30"/>
      <c r="AV47" s="30"/>
      <c r="AW47" s="30"/>
    </row>
    <row r="48" spans="1:49" x14ac:dyDescent="0.2">
      <c r="A48" t="str">
        <f t="shared" si="70"/>
        <v>USD 2036</v>
      </c>
      <c r="B48" s="7">
        <v>2016</v>
      </c>
      <c r="C48" t="s">
        <v>124</v>
      </c>
      <c r="D48" s="77">
        <f t="shared" si="71"/>
        <v>47.430574999999997</v>
      </c>
      <c r="E48" s="78">
        <f t="shared" si="71"/>
        <v>41.922430000000006</v>
      </c>
      <c r="F48" s="78">
        <f t="shared" si="71"/>
        <v>44.910999999999994</v>
      </c>
      <c r="G48" s="78">
        <f t="shared" si="71"/>
        <v>0</v>
      </c>
      <c r="H48" s="78">
        <f t="shared" si="71"/>
        <v>0</v>
      </c>
      <c r="I48" s="84">
        <f t="shared" si="72"/>
        <v>0</v>
      </c>
      <c r="J48" s="84">
        <f t="shared" si="72"/>
        <v>0</v>
      </c>
      <c r="K48" s="84">
        <f t="shared" si="72"/>
        <v>0</v>
      </c>
      <c r="L48" s="84">
        <f t="shared" si="72"/>
        <v>0</v>
      </c>
      <c r="M48" s="85">
        <f t="shared" si="72"/>
        <v>0</v>
      </c>
      <c r="N48" s="84">
        <f t="shared" si="53"/>
        <v>47.430574999999997</v>
      </c>
      <c r="O48" s="84">
        <f t="shared" si="54"/>
        <v>46.323568601625752</v>
      </c>
      <c r="P48" s="84">
        <f t="shared" si="55"/>
        <v>43.496680393092355</v>
      </c>
      <c r="Q48" s="84">
        <f t="shared" si="64"/>
        <v>-2.8268882085333971</v>
      </c>
      <c r="R48" s="77">
        <f t="shared" si="56"/>
        <v>67.647548301301782</v>
      </c>
      <c r="S48" s="78">
        <f t="shared" si="57"/>
        <v>59.791592413394589</v>
      </c>
      <c r="T48" s="78">
        <f t="shared" si="58"/>
        <v>64.054020887576513</v>
      </c>
      <c r="U48" s="78">
        <f t="shared" si="59"/>
        <v>0</v>
      </c>
      <c r="V48" s="78">
        <f t="shared" si="60"/>
        <v>0</v>
      </c>
      <c r="W48" s="84">
        <f>IFERROR(I48*100/INDEX('EBs NPVs'!$F$121:$H$145,MATCH('Exchange Results'!$A48,'EBs NPVs'!$A$121:$A$145,0),1),"")</f>
        <v>0</v>
      </c>
      <c r="X48" s="84">
        <f>IFERROR(J48*100/INDEX('EBs NPVs'!$F$121:$H$145,MATCH('Exchange Results'!$A48,'EBs NPVs'!$A$121:$A$145,0),1),"")</f>
        <v>0</v>
      </c>
      <c r="Y48" s="84">
        <f>IFERROR(K48*100/INDEX('EBs NPVs'!$F$121:$H$145,MATCH('Exchange Results'!$A48,'EBs NPVs'!$A$121:$A$145,0),1),"")</f>
        <v>0</v>
      </c>
      <c r="Z48" s="84">
        <f>IFERROR(L48*100/INDEX('EBs NPVs'!$F$121:$H$145,MATCH('Exchange Results'!$A48,'EBs NPVs'!$A$121:$A$145,0),1),"")</f>
        <v>0</v>
      </c>
      <c r="AA48" s="85">
        <f>IFERROR(M48*100/INDEX('EBs NPVs'!$F$121:$H$145,MATCH('Exchange Results'!$A48,'EBs NPVs'!$A$121:$A$145,0),1),"")</f>
        <v>0</v>
      </c>
      <c r="AB48" s="84">
        <f t="shared" si="65"/>
        <v>67.647548301301782</v>
      </c>
      <c r="AC48" s="84">
        <f t="shared" si="62"/>
        <v>66.068687644354824</v>
      </c>
      <c r="AD48" s="84">
        <f t="shared" si="63"/>
        <v>62.03685677093312</v>
      </c>
      <c r="AE48" s="223">
        <f t="shared" si="66"/>
        <v>4.0318308734217041</v>
      </c>
      <c r="AF48" s="17">
        <f>INDEX('EBs List'!$P$2:$P$26,MATCH('Exchange Results'!A48,'EBs List'!$A$2:$A$26,0))</f>
        <v>100</v>
      </c>
      <c r="AG48" s="134"/>
      <c r="AM48" s="30"/>
      <c r="AN48" s="30"/>
      <c r="AO48" s="30"/>
      <c r="AP48" s="30"/>
      <c r="AQ48" s="30"/>
      <c r="AR48" s="30"/>
      <c r="AS48" s="30"/>
      <c r="AT48" s="30"/>
      <c r="AU48" s="30"/>
      <c r="AV48" s="30"/>
      <c r="AW48" s="30"/>
    </row>
    <row r="49" spans="1:72" x14ac:dyDescent="0.2">
      <c r="A49" t="str">
        <f t="shared" si="70"/>
        <v>USD 2046</v>
      </c>
      <c r="B49" s="7">
        <v>2016</v>
      </c>
      <c r="C49" t="s">
        <v>125</v>
      </c>
      <c r="D49" s="77">
        <f t="shared" si="71"/>
        <v>0</v>
      </c>
      <c r="E49" s="78">
        <f t="shared" si="71"/>
        <v>41.922430000000006</v>
      </c>
      <c r="F49" s="78">
        <f t="shared" si="71"/>
        <v>44.910999999999994</v>
      </c>
      <c r="G49" s="78">
        <f t="shared" si="71"/>
        <v>0</v>
      </c>
      <c r="H49" s="78">
        <f t="shared" si="71"/>
        <v>0</v>
      </c>
      <c r="I49" s="84">
        <f t="shared" si="72"/>
        <v>0</v>
      </c>
      <c r="J49" s="84">
        <f t="shared" si="72"/>
        <v>0</v>
      </c>
      <c r="K49" s="84">
        <f t="shared" si="72"/>
        <v>0</v>
      </c>
      <c r="L49" s="84">
        <f t="shared" si="72"/>
        <v>0</v>
      </c>
      <c r="M49" s="85">
        <f t="shared" si="72"/>
        <v>0</v>
      </c>
      <c r="N49" s="84">
        <f t="shared" si="53"/>
        <v>44.910999999999994</v>
      </c>
      <c r="O49" s="84">
        <f t="shared" si="54"/>
        <v>42.029715438886619</v>
      </c>
      <c r="P49" s="84">
        <f t="shared" si="55"/>
        <v>42.029715438886619</v>
      </c>
      <c r="Q49" s="84">
        <f t="shared" si="64"/>
        <v>0</v>
      </c>
      <c r="R49" s="77">
        <f t="shared" si="56"/>
        <v>0</v>
      </c>
      <c r="S49" s="78">
        <f t="shared" si="57"/>
        <v>59.87190084273783</v>
      </c>
      <c r="T49" s="78">
        <f t="shared" si="58"/>
        <v>64.14005435152967</v>
      </c>
      <c r="U49" s="78">
        <f t="shared" si="59"/>
        <v>0</v>
      </c>
      <c r="V49" s="78">
        <f t="shared" si="60"/>
        <v>0</v>
      </c>
      <c r="W49" s="84">
        <f>IFERROR(I49*100/INDEX('EBs NPVs'!$F$121:$H$145,MATCH('Exchange Results'!$A49,'EBs NPVs'!$A$121:$A$145,0),1),"")</f>
        <v>0</v>
      </c>
      <c r="X49" s="84">
        <f>IFERROR(J49*100/INDEX('EBs NPVs'!$F$121:$H$145,MATCH('Exchange Results'!$A49,'EBs NPVs'!$A$121:$A$145,0),1),"")</f>
        <v>0</v>
      </c>
      <c r="Y49" s="84">
        <f>IFERROR(K49*100/INDEX('EBs NPVs'!$F$121:$H$145,MATCH('Exchange Results'!$A49,'EBs NPVs'!$A$121:$A$145,0),1),"")</f>
        <v>0</v>
      </c>
      <c r="Z49" s="84">
        <f>IFERROR(L49*100/INDEX('EBs NPVs'!$F$121:$H$145,MATCH('Exchange Results'!$A49,'EBs NPVs'!$A$121:$A$145,0),1),"")</f>
        <v>0</v>
      </c>
      <c r="AA49" s="85">
        <f>IFERROR(M49*100/INDEX('EBs NPVs'!$F$121:$H$145,MATCH('Exchange Results'!$A49,'EBs NPVs'!$A$121:$A$145,0),1),"")</f>
        <v>0</v>
      </c>
      <c r="AB49" s="84">
        <f t="shared" si="65"/>
        <v>64.14005435152967</v>
      </c>
      <c r="AC49" s="84">
        <f t="shared" si="62"/>
        <v>60.025121520997388</v>
      </c>
      <c r="AD49" s="84">
        <f t="shared" si="63"/>
        <v>60.025121520997388</v>
      </c>
      <c r="AE49" s="223">
        <f t="shared" si="66"/>
        <v>0</v>
      </c>
      <c r="AF49" s="17">
        <f>INDEX('EBs List'!$P$2:$P$26,MATCH('Exchange Results'!A49,'EBs List'!$A$2:$A$26,0))</f>
        <v>100</v>
      </c>
      <c r="AM49" s="30"/>
      <c r="AN49" s="30"/>
      <c r="AO49" s="30"/>
      <c r="AP49" s="30"/>
      <c r="AQ49" s="30"/>
      <c r="AR49" s="30"/>
      <c r="AS49" s="30"/>
      <c r="AT49" s="30"/>
      <c r="AU49" s="30"/>
      <c r="AV49" s="30"/>
      <c r="AW49" s="30"/>
    </row>
    <row r="50" spans="1:72" x14ac:dyDescent="0.2">
      <c r="A50" t="str">
        <f t="shared" si="70"/>
        <v>USD 2048</v>
      </c>
      <c r="B50" s="7">
        <v>2016</v>
      </c>
      <c r="C50" t="s">
        <v>126</v>
      </c>
      <c r="D50" s="77">
        <f t="shared" si="71"/>
        <v>0</v>
      </c>
      <c r="E50" s="78">
        <f t="shared" si="71"/>
        <v>41.922430000000006</v>
      </c>
      <c r="F50" s="78">
        <f t="shared" si="71"/>
        <v>44.910999999999994</v>
      </c>
      <c r="G50" s="78">
        <f t="shared" si="71"/>
        <v>0</v>
      </c>
      <c r="H50" s="78">
        <f t="shared" si="71"/>
        <v>0</v>
      </c>
      <c r="I50" s="84">
        <f t="shared" si="72"/>
        <v>0</v>
      </c>
      <c r="J50" s="84">
        <f t="shared" si="72"/>
        <v>0</v>
      </c>
      <c r="K50" s="84">
        <f t="shared" si="72"/>
        <v>0</v>
      </c>
      <c r="L50" s="84">
        <f t="shared" si="72"/>
        <v>0</v>
      </c>
      <c r="M50" s="85">
        <f t="shared" si="72"/>
        <v>0</v>
      </c>
      <c r="N50" s="84">
        <f t="shared" si="53"/>
        <v>44.910999999999994</v>
      </c>
      <c r="O50" s="84">
        <f t="shared" si="54"/>
        <v>42.001417853385163</v>
      </c>
      <c r="P50" s="84">
        <f t="shared" si="55"/>
        <v>42.001417853385163</v>
      </c>
      <c r="Q50" s="84">
        <f t="shared" si="64"/>
        <v>0</v>
      </c>
      <c r="R50" s="77">
        <f t="shared" si="56"/>
        <v>0</v>
      </c>
      <c r="S50" s="78">
        <f t="shared" si="57"/>
        <v>66.180828792085748</v>
      </c>
      <c r="T50" s="78">
        <f t="shared" si="58"/>
        <v>70.898733729923634</v>
      </c>
      <c r="U50" s="78">
        <f t="shared" si="59"/>
        <v>0</v>
      </c>
      <c r="V50" s="78">
        <f t="shared" si="60"/>
        <v>0</v>
      </c>
      <c r="W50" s="84">
        <f>IFERROR(I50*100/INDEX('EBs NPVs'!$F$121:$H$145,MATCH('Exchange Results'!$A50,'EBs NPVs'!$A$121:$A$145,0),1),"")</f>
        <v>0</v>
      </c>
      <c r="X50" s="84">
        <f>IFERROR(J50*100/INDEX('EBs NPVs'!$F$121:$H$145,MATCH('Exchange Results'!$A50,'EBs NPVs'!$A$121:$A$145,0),1),"")</f>
        <v>0</v>
      </c>
      <c r="Y50" s="84">
        <f>IFERROR(K50*100/INDEX('EBs NPVs'!$F$121:$H$145,MATCH('Exchange Results'!$A50,'EBs NPVs'!$A$121:$A$145,0),1),"")</f>
        <v>0</v>
      </c>
      <c r="Z50" s="84">
        <f>IFERROR(L50*100/INDEX('EBs NPVs'!$F$121:$H$145,MATCH('Exchange Results'!$A50,'EBs NPVs'!$A$121:$A$145,0),1),"")</f>
        <v>0</v>
      </c>
      <c r="AA50" s="85">
        <f>IFERROR(M50*100/INDEX('EBs NPVs'!$F$121:$H$145,MATCH('Exchange Results'!$A50,'EBs NPVs'!$A$121:$A$145,0),1),"")</f>
        <v>0</v>
      </c>
      <c r="AB50" s="84">
        <f t="shared" si="65"/>
        <v>70.898733729923634</v>
      </c>
      <c r="AC50" s="84">
        <f t="shared" si="62"/>
        <v>66.305522937953185</v>
      </c>
      <c r="AD50" s="84">
        <f t="shared" si="63"/>
        <v>66.305522937953185</v>
      </c>
      <c r="AE50" s="223">
        <f t="shared" si="66"/>
        <v>0</v>
      </c>
      <c r="AF50" s="17">
        <f>INDEX('EBs List'!$P$2:$P$26,MATCH('Exchange Results'!A50,'EBs List'!$A$2:$A$26,0))</f>
        <v>100</v>
      </c>
      <c r="AM50" s="30"/>
      <c r="AN50" s="30"/>
      <c r="AO50" s="30"/>
      <c r="AP50" s="30"/>
      <c r="AQ50" s="30"/>
      <c r="AR50" s="30"/>
      <c r="AS50" s="30"/>
      <c r="AT50" s="30"/>
      <c r="AU50" s="30"/>
      <c r="AV50" s="30"/>
      <c r="AW50" s="30"/>
    </row>
    <row r="51" spans="1:72" x14ac:dyDescent="0.2">
      <c r="A51" t="str">
        <f t="shared" si="70"/>
        <v>USD 2117</v>
      </c>
      <c r="B51" s="7">
        <v>2016</v>
      </c>
      <c r="C51" t="s">
        <v>127</v>
      </c>
      <c r="D51" s="77">
        <f t="shared" si="71"/>
        <v>0</v>
      </c>
      <c r="E51" s="78">
        <f t="shared" si="71"/>
        <v>41.922430000000006</v>
      </c>
      <c r="F51" s="78">
        <f t="shared" si="71"/>
        <v>44.910999999999994</v>
      </c>
      <c r="G51" s="78">
        <f t="shared" si="71"/>
        <v>0</v>
      </c>
      <c r="H51" s="78">
        <f t="shared" si="71"/>
        <v>0</v>
      </c>
      <c r="I51" s="84">
        <f t="shared" si="72"/>
        <v>0</v>
      </c>
      <c r="J51" s="84">
        <f t="shared" si="72"/>
        <v>0</v>
      </c>
      <c r="K51" s="84">
        <f t="shared" si="72"/>
        <v>0</v>
      </c>
      <c r="L51" s="84">
        <f t="shared" si="72"/>
        <v>0</v>
      </c>
      <c r="M51" s="85">
        <f t="shared" si="72"/>
        <v>0</v>
      </c>
      <c r="N51" s="84">
        <f t="shared" si="53"/>
        <v>44.910999999999994</v>
      </c>
      <c r="O51" s="84">
        <f t="shared" si="54"/>
        <v>42.159815211166467</v>
      </c>
      <c r="P51" s="84">
        <f t="shared" si="55"/>
        <v>42.159815211166467</v>
      </c>
      <c r="Q51" s="84">
        <f t="shared" si="64"/>
        <v>0</v>
      </c>
      <c r="R51" s="77">
        <f t="shared" si="56"/>
        <v>0</v>
      </c>
      <c r="S51" s="78">
        <f t="shared" si="57"/>
        <v>65.909712365160104</v>
      </c>
      <c r="T51" s="78">
        <f t="shared" si="58"/>
        <v>70.608289930514644</v>
      </c>
      <c r="U51" s="78">
        <f t="shared" si="59"/>
        <v>0</v>
      </c>
      <c r="V51" s="78">
        <f t="shared" si="60"/>
        <v>0</v>
      </c>
      <c r="W51" s="84">
        <f>IFERROR(I51*100/INDEX('EBs NPVs'!$F$121:$H$145,MATCH('Exchange Results'!$A51,'EBs NPVs'!$A$121:$A$145,0),1),"")</f>
        <v>0</v>
      </c>
      <c r="X51" s="84">
        <f>IFERROR(J51*100/INDEX('EBs NPVs'!$F$121:$H$145,MATCH('Exchange Results'!$A51,'EBs NPVs'!$A$121:$A$145,0),1),"")</f>
        <v>0</v>
      </c>
      <c r="Y51" s="84">
        <f>IFERROR(K51*100/INDEX('EBs NPVs'!$F$121:$H$145,MATCH('Exchange Results'!$A51,'EBs NPVs'!$A$121:$A$145,0),1),"")</f>
        <v>0</v>
      </c>
      <c r="Z51" s="84">
        <f>IFERROR(L51*100/INDEX('EBs NPVs'!$F$121:$H$145,MATCH('Exchange Results'!$A51,'EBs NPVs'!$A$121:$A$145,0),1),"")</f>
        <v>0</v>
      </c>
      <c r="AA51" s="85">
        <f>IFERROR(M51*100/INDEX('EBs NPVs'!$F$121:$H$145,MATCH('Exchange Results'!$A51,'EBs NPVs'!$A$121:$A$145,0),1),"")</f>
        <v>0</v>
      </c>
      <c r="AB51" s="84">
        <f t="shared" si="65"/>
        <v>70.608289930514644</v>
      </c>
      <c r="AC51" s="84">
        <f t="shared" si="62"/>
        <v>66.282925248757849</v>
      </c>
      <c r="AD51" s="84">
        <f t="shared" si="63"/>
        <v>66.282925248757849</v>
      </c>
      <c r="AE51" s="223">
        <f t="shared" si="66"/>
        <v>0</v>
      </c>
      <c r="AF51" s="17">
        <f>INDEX('EBs List'!$P$2:$P$26,MATCH('Exchange Results'!A51,'EBs List'!$A$2:$A$26,0))</f>
        <v>100</v>
      </c>
      <c r="AM51" s="30"/>
      <c r="AN51" s="30"/>
      <c r="AO51" s="30"/>
      <c r="AP51" s="30"/>
      <c r="AQ51" s="30"/>
      <c r="AR51" s="30"/>
      <c r="AS51" s="30"/>
      <c r="AT51" s="30"/>
      <c r="AU51" s="30"/>
      <c r="AV51" s="30"/>
      <c r="AW51" s="30"/>
    </row>
    <row r="52" spans="1:72" x14ac:dyDescent="0.2">
      <c r="A52" s="68" t="str">
        <f t="shared" si="70"/>
        <v>Euro 2022</v>
      </c>
      <c r="B52" s="8">
        <v>2016</v>
      </c>
      <c r="C52" s="68" t="s">
        <v>128</v>
      </c>
      <c r="D52" s="79">
        <f t="shared" ref="D52:H56" si="73">IFERROR(
INDEX(offer_adj_vals,MATCH($A52,offer_adj_oldbonds,0),MATCH(D$32,offer_adj_newbonds,0))
*INDEX(exit_prices,MATCH(D$32,exit_newbonds,0),1)/100*eurusd_offer/eurusd_exit,"")</f>
        <v>47.482643694055064</v>
      </c>
      <c r="E52" s="80">
        <f t="shared" si="73"/>
        <v>0</v>
      </c>
      <c r="F52" s="80">
        <f t="shared" si="73"/>
        <v>0</v>
      </c>
      <c r="G52" s="80">
        <f t="shared" si="73"/>
        <v>0</v>
      </c>
      <c r="H52" s="80">
        <f t="shared" si="73"/>
        <v>0</v>
      </c>
      <c r="I52" s="84">
        <f t="shared" ref="I52:M56" si="74">IFERROR(
INDEX(offer_adj_vals,MATCH($A52,offer_adj_oldbonds,0),MATCH(I$32,offer_adj_newbonds,0))
*INDEX(exit_prices,MATCH(I$32,exit_newbonds,0),1)/100,"")</f>
        <v>55.701696200132645</v>
      </c>
      <c r="J52" s="84">
        <f t="shared" si="74"/>
        <v>50.922012697811049</v>
      </c>
      <c r="K52" s="84">
        <f t="shared" si="74"/>
        <v>0</v>
      </c>
      <c r="L52" s="84">
        <f t="shared" si="74"/>
        <v>0</v>
      </c>
      <c r="M52" s="85">
        <f t="shared" si="74"/>
        <v>48.6700464322941</v>
      </c>
      <c r="N52" s="84">
        <f t="shared" si="53"/>
        <v>55.701696200132645</v>
      </c>
      <c r="O52" s="84">
        <f t="shared" si="54"/>
        <v>49.494642723571225</v>
      </c>
      <c r="P52" s="84">
        <f t="shared" si="55"/>
        <v>49.494642723571225</v>
      </c>
      <c r="Q52" s="84">
        <f t="shared" si="64"/>
        <v>0</v>
      </c>
      <c r="R52" s="79">
        <f t="shared" si="56"/>
        <v>53.774885862908626</v>
      </c>
      <c r="S52" s="80">
        <f t="shared" si="57"/>
        <v>0</v>
      </c>
      <c r="T52" s="80">
        <f t="shared" si="58"/>
        <v>0</v>
      </c>
      <c r="U52" s="80">
        <f t="shared" si="59"/>
        <v>0</v>
      </c>
      <c r="V52" s="80">
        <f t="shared" si="60"/>
        <v>0</v>
      </c>
      <c r="W52" s="84">
        <f t="shared" ref="W52:AA56" si="75">IFERROR(I52*$AF52/INDEX(NPVs_oldbonds_vals,MATCH($A52,NPVs_oldbonds_names,0)),"")</f>
        <v>63.083099897143462</v>
      </c>
      <c r="X52" s="84">
        <f t="shared" si="75"/>
        <v>57.670028618840739</v>
      </c>
      <c r="Y52" s="84">
        <f t="shared" si="75"/>
        <v>0</v>
      </c>
      <c r="Z52" s="84">
        <f t="shared" si="75"/>
        <v>0</v>
      </c>
      <c r="AA52" s="85">
        <f t="shared" si="75"/>
        <v>55.119639266563446</v>
      </c>
      <c r="AB52" s="84">
        <f t="shared" si="65"/>
        <v>63.083099897143462</v>
      </c>
      <c r="AC52" s="84">
        <f t="shared" si="62"/>
        <v>56.0535083184241</v>
      </c>
      <c r="AD52" s="84">
        <f t="shared" si="63"/>
        <v>56.0535083184241</v>
      </c>
      <c r="AE52" s="223">
        <f t="shared" si="66"/>
        <v>0</v>
      </c>
      <c r="AF52" s="17">
        <f>INDEX('EBs List'!$P$2:$P$26,MATCH('Exchange Results'!A52,'EBs List'!$A$2:$A$26,0))</f>
        <v>100</v>
      </c>
      <c r="AL52" s="16"/>
      <c r="AM52" s="6"/>
      <c r="AN52" s="6"/>
      <c r="AO52" s="6"/>
      <c r="AP52" s="6"/>
      <c r="AQ52" s="6"/>
      <c r="AR52" s="6"/>
      <c r="AS52" s="6"/>
      <c r="AT52" s="6"/>
      <c r="AU52" s="6"/>
      <c r="AV52" s="6"/>
      <c r="AW52" s="6"/>
      <c r="BT52" s="33"/>
    </row>
    <row r="53" spans="1:72" x14ac:dyDescent="0.2">
      <c r="A53" s="68" t="str">
        <f t="shared" si="70"/>
        <v>Euro 2023</v>
      </c>
      <c r="B53" s="8">
        <v>2016</v>
      </c>
      <c r="C53" s="68" t="s">
        <v>129</v>
      </c>
      <c r="D53" s="79">
        <f t="shared" si="73"/>
        <v>47.482643694055064</v>
      </c>
      <c r="E53" s="80">
        <f t="shared" si="73"/>
        <v>0</v>
      </c>
      <c r="F53" s="80">
        <f t="shared" si="73"/>
        <v>0</v>
      </c>
      <c r="G53" s="80">
        <f t="shared" si="73"/>
        <v>0</v>
      </c>
      <c r="H53" s="80">
        <f t="shared" si="73"/>
        <v>0</v>
      </c>
      <c r="I53" s="84">
        <f t="shared" si="74"/>
        <v>55.701696200132645</v>
      </c>
      <c r="J53" s="84">
        <f t="shared" si="74"/>
        <v>50.922012697811049</v>
      </c>
      <c r="K53" s="84">
        <f t="shared" si="74"/>
        <v>0</v>
      </c>
      <c r="L53" s="84">
        <f t="shared" si="74"/>
        <v>0</v>
      </c>
      <c r="M53" s="85">
        <f t="shared" si="74"/>
        <v>48.6700464322941</v>
      </c>
      <c r="N53" s="84">
        <f t="shared" si="53"/>
        <v>55.701696200132645</v>
      </c>
      <c r="O53" s="84">
        <f t="shared" si="54"/>
        <v>48.616703727897637</v>
      </c>
      <c r="P53" s="84">
        <f t="shared" si="55"/>
        <v>48.616703727897637</v>
      </c>
      <c r="Q53" s="84">
        <f t="shared" si="64"/>
        <v>0</v>
      </c>
      <c r="R53" s="79">
        <f t="shared" si="56"/>
        <v>59.49623100058885</v>
      </c>
      <c r="S53" s="80">
        <f t="shared" si="57"/>
        <v>0</v>
      </c>
      <c r="T53" s="80">
        <f t="shared" si="58"/>
        <v>0</v>
      </c>
      <c r="U53" s="80">
        <f t="shared" si="59"/>
        <v>0</v>
      </c>
      <c r="V53" s="80">
        <f t="shared" si="60"/>
        <v>0</v>
      </c>
      <c r="W53" s="84">
        <f t="shared" si="75"/>
        <v>69.794786608788584</v>
      </c>
      <c r="X53" s="84">
        <f t="shared" si="75"/>
        <v>63.805795018595532</v>
      </c>
      <c r="Y53" s="84">
        <f t="shared" si="75"/>
        <v>0</v>
      </c>
      <c r="Z53" s="84">
        <f t="shared" si="75"/>
        <v>0</v>
      </c>
      <c r="AA53" s="85">
        <f t="shared" si="75"/>
        <v>60.984058596292982</v>
      </c>
      <c r="AB53" s="84">
        <f t="shared" si="65"/>
        <v>69.794786608788584</v>
      </c>
      <c r="AC53" s="84">
        <f t="shared" si="62"/>
        <v>60.917219650184222</v>
      </c>
      <c r="AD53" s="84">
        <f t="shared" si="63"/>
        <v>60.917219650184222</v>
      </c>
      <c r="AE53" s="223">
        <f t="shared" si="66"/>
        <v>0</v>
      </c>
      <c r="AF53" s="17">
        <f>INDEX('EBs List'!$P$2:$P$26,MATCH('Exchange Results'!A53,'EBs List'!$A$2:$A$26,0))</f>
        <v>100</v>
      </c>
      <c r="AL53" s="16"/>
      <c r="AM53" s="6"/>
      <c r="AN53" s="6"/>
      <c r="AO53" s="6"/>
      <c r="AP53" s="6"/>
      <c r="AQ53" s="6"/>
      <c r="AR53" s="6"/>
      <c r="AS53" s="6"/>
      <c r="AT53" s="6"/>
      <c r="AU53" s="6"/>
      <c r="AV53" s="6"/>
      <c r="AW53" s="6"/>
    </row>
    <row r="54" spans="1:72" x14ac:dyDescent="0.2">
      <c r="A54" s="68" t="str">
        <f t="shared" si="70"/>
        <v>Euro 2027</v>
      </c>
      <c r="B54" s="8">
        <v>2016</v>
      </c>
      <c r="C54" s="68" t="s">
        <v>131</v>
      </c>
      <c r="D54" s="79">
        <f t="shared" si="73"/>
        <v>0</v>
      </c>
      <c r="E54" s="80">
        <f t="shared" si="73"/>
        <v>41.968451921128199</v>
      </c>
      <c r="F54" s="80">
        <f t="shared" si="73"/>
        <v>0</v>
      </c>
      <c r="G54" s="80">
        <f t="shared" si="73"/>
        <v>0</v>
      </c>
      <c r="H54" s="80">
        <f t="shared" si="73"/>
        <v>0</v>
      </c>
      <c r="I54" s="84">
        <f t="shared" si="74"/>
        <v>55.701696200132645</v>
      </c>
      <c r="J54" s="84">
        <f t="shared" si="74"/>
        <v>50.922012697811049</v>
      </c>
      <c r="K54" s="84">
        <f t="shared" si="74"/>
        <v>0</v>
      </c>
      <c r="L54" s="84">
        <f t="shared" si="74"/>
        <v>0</v>
      </c>
      <c r="M54" s="85">
        <f t="shared" si="74"/>
        <v>48.6700464322941</v>
      </c>
      <c r="N54" s="84">
        <f t="shared" si="53"/>
        <v>55.701696200132645</v>
      </c>
      <c r="O54" s="84">
        <f t="shared" si="54"/>
        <v>46.401321977752815</v>
      </c>
      <c r="P54" s="84">
        <f t="shared" si="55"/>
        <v>46.401321977752815</v>
      </c>
      <c r="Q54" s="84">
        <f t="shared" si="64"/>
        <v>0</v>
      </c>
      <c r="R54" s="79">
        <f t="shared" si="56"/>
        <v>0</v>
      </c>
      <c r="S54" s="80">
        <f t="shared" si="57"/>
        <v>66.251332039322506</v>
      </c>
      <c r="T54" s="80">
        <f t="shared" si="58"/>
        <v>0</v>
      </c>
      <c r="U54" s="80">
        <f t="shared" si="59"/>
        <v>0</v>
      </c>
      <c r="V54" s="80">
        <f t="shared" si="60"/>
        <v>0</v>
      </c>
      <c r="W54" s="84">
        <f t="shared" si="75"/>
        <v>87.930609807664624</v>
      </c>
      <c r="X54" s="84">
        <f t="shared" si="75"/>
        <v>80.385408966082878</v>
      </c>
      <c r="Y54" s="84">
        <f t="shared" si="75"/>
        <v>0</v>
      </c>
      <c r="Z54" s="84">
        <f t="shared" si="75"/>
        <v>0</v>
      </c>
      <c r="AA54" s="85">
        <f t="shared" si="75"/>
        <v>76.830458569568322</v>
      </c>
      <c r="AB54" s="84">
        <f t="shared" si="65"/>
        <v>87.930609807664624</v>
      </c>
      <c r="AC54" s="84">
        <f t="shared" si="62"/>
        <v>73.249053722279285</v>
      </c>
      <c r="AD54" s="84">
        <f t="shared" si="63"/>
        <v>73.249053722279285</v>
      </c>
      <c r="AE54" s="223">
        <f t="shared" si="66"/>
        <v>0</v>
      </c>
      <c r="AF54" s="17">
        <f>INDEX('EBs List'!$P$2:$P$26,MATCH('Exchange Results'!A54,'EBs List'!$A$2:$A$26,0))</f>
        <v>100</v>
      </c>
    </row>
    <row r="55" spans="1:72" x14ac:dyDescent="0.2">
      <c r="A55" s="68" t="str">
        <f t="shared" si="70"/>
        <v>Euro 2028</v>
      </c>
      <c r="B55" s="8">
        <v>2016</v>
      </c>
      <c r="C55" s="68" t="s">
        <v>132</v>
      </c>
      <c r="D55" s="79">
        <f t="shared" si="73"/>
        <v>0</v>
      </c>
      <c r="E55" s="80">
        <f t="shared" si="73"/>
        <v>41.968451921128199</v>
      </c>
      <c r="F55" s="80">
        <f t="shared" si="73"/>
        <v>0</v>
      </c>
      <c r="G55" s="80">
        <f t="shared" si="73"/>
        <v>0</v>
      </c>
      <c r="H55" s="80">
        <f t="shared" si="73"/>
        <v>0</v>
      </c>
      <c r="I55" s="84">
        <f t="shared" si="74"/>
        <v>55.701696200132645</v>
      </c>
      <c r="J55" s="84">
        <f t="shared" si="74"/>
        <v>50.922012697811049</v>
      </c>
      <c r="K55" s="84">
        <f t="shared" si="74"/>
        <v>0</v>
      </c>
      <c r="L55" s="84">
        <f t="shared" si="74"/>
        <v>0</v>
      </c>
      <c r="M55" s="85">
        <f t="shared" si="74"/>
        <v>48.6700464322941</v>
      </c>
      <c r="N55" s="84">
        <f t="shared" si="53"/>
        <v>55.701696200132645</v>
      </c>
      <c r="O55" s="84">
        <f t="shared" si="54"/>
        <v>47.035344624651742</v>
      </c>
      <c r="P55" s="84">
        <f t="shared" si="55"/>
        <v>47.035344624651742</v>
      </c>
      <c r="Q55" s="84">
        <f t="shared" si="64"/>
        <v>0</v>
      </c>
      <c r="R55" s="79">
        <f t="shared" si="56"/>
        <v>0</v>
      </c>
      <c r="S55" s="80">
        <f t="shared" si="57"/>
        <v>68.820229622007091</v>
      </c>
      <c r="T55" s="80">
        <f t="shared" si="58"/>
        <v>0</v>
      </c>
      <c r="U55" s="80">
        <f t="shared" si="59"/>
        <v>0</v>
      </c>
      <c r="V55" s="80">
        <f t="shared" si="60"/>
        <v>0</v>
      </c>
      <c r="W55" s="84">
        <f t="shared" si="75"/>
        <v>91.340122100109127</v>
      </c>
      <c r="X55" s="84">
        <f t="shared" si="75"/>
        <v>83.50235584729451</v>
      </c>
      <c r="Y55" s="84">
        <f t="shared" si="75"/>
        <v>0</v>
      </c>
      <c r="Z55" s="84">
        <f t="shared" si="75"/>
        <v>0</v>
      </c>
      <c r="AA55" s="85">
        <f t="shared" si="75"/>
        <v>79.809562132026016</v>
      </c>
      <c r="AB55" s="84">
        <f t="shared" si="65"/>
        <v>91.340122100109127</v>
      </c>
      <c r="AC55" s="84">
        <f t="shared" si="62"/>
        <v>77.128964001390159</v>
      </c>
      <c r="AD55" s="84">
        <f t="shared" si="63"/>
        <v>77.128964001390159</v>
      </c>
      <c r="AE55" s="223">
        <f t="shared" si="66"/>
        <v>0</v>
      </c>
      <c r="AF55" s="17">
        <f>INDEX('EBs List'!$P$2:$P$26,MATCH('Exchange Results'!A55,'EBs List'!$A$2:$A$26,0))</f>
        <v>100</v>
      </c>
    </row>
    <row r="56" spans="1:72" x14ac:dyDescent="0.2">
      <c r="A56" s="68" t="str">
        <f t="shared" si="70"/>
        <v>Euro 2047</v>
      </c>
      <c r="B56" s="8">
        <v>2016</v>
      </c>
      <c r="C56" s="68" t="s">
        <v>133</v>
      </c>
      <c r="D56" s="79">
        <f t="shared" si="73"/>
        <v>0</v>
      </c>
      <c r="E56" s="80">
        <f t="shared" si="73"/>
        <v>0</v>
      </c>
      <c r="F56" s="80">
        <f t="shared" si="73"/>
        <v>44.960302736024317</v>
      </c>
      <c r="G56" s="80">
        <f t="shared" si="73"/>
        <v>0</v>
      </c>
      <c r="H56" s="80">
        <f t="shared" si="73"/>
        <v>0</v>
      </c>
      <c r="I56" s="84">
        <f t="shared" si="74"/>
        <v>0</v>
      </c>
      <c r="J56" s="84">
        <f t="shared" si="74"/>
        <v>50.922012697811049</v>
      </c>
      <c r="K56" s="84">
        <f t="shared" si="74"/>
        <v>0</v>
      </c>
      <c r="L56" s="84">
        <f t="shared" si="74"/>
        <v>0</v>
      </c>
      <c r="M56" s="85">
        <f t="shared" si="74"/>
        <v>48.6700464322941</v>
      </c>
      <c r="N56" s="84">
        <f t="shared" si="53"/>
        <v>50.922012697811049</v>
      </c>
      <c r="O56" s="84">
        <f t="shared" si="54"/>
        <v>46.840825903476286</v>
      </c>
      <c r="P56" s="84">
        <f t="shared" si="55"/>
        <v>46.840825903476286</v>
      </c>
      <c r="Q56" s="84">
        <f t="shared" si="64"/>
        <v>0</v>
      </c>
      <c r="R56" s="79">
        <f t="shared" si="56"/>
        <v>0</v>
      </c>
      <c r="S56" s="80">
        <f t="shared" si="57"/>
        <v>0</v>
      </c>
      <c r="T56" s="80">
        <f t="shared" si="58"/>
        <v>98.329130199545517</v>
      </c>
      <c r="U56" s="80">
        <f t="shared" si="59"/>
        <v>0</v>
      </c>
      <c r="V56" s="80">
        <f t="shared" si="60"/>
        <v>0</v>
      </c>
      <c r="W56" s="84">
        <f t="shared" si="75"/>
        <v>0</v>
      </c>
      <c r="X56" s="84">
        <f t="shared" si="75"/>
        <v>111.36751560558409</v>
      </c>
      <c r="Y56" s="84">
        <f t="shared" si="75"/>
        <v>0</v>
      </c>
      <c r="Z56" s="84">
        <f t="shared" si="75"/>
        <v>0</v>
      </c>
      <c r="AA56" s="85">
        <f t="shared" si="75"/>
        <v>106.44241789378472</v>
      </c>
      <c r="AB56" s="84">
        <f t="shared" si="65"/>
        <v>111.36751560558409</v>
      </c>
      <c r="AC56" s="84">
        <f t="shared" si="62"/>
        <v>102.4418740229426</v>
      </c>
      <c r="AD56" s="84">
        <f t="shared" si="63"/>
        <v>102.4418740229426</v>
      </c>
      <c r="AE56" s="223">
        <f t="shared" si="66"/>
        <v>0</v>
      </c>
      <c r="AF56" s="17">
        <f>INDEX('EBs List'!$P$2:$P$26,MATCH('Exchange Results'!A56,'EBs List'!$A$2:$A$26,0))</f>
        <v>100</v>
      </c>
      <c r="AR56" s="21"/>
      <c r="AV56" s="21"/>
    </row>
    <row r="57" spans="1:72" x14ac:dyDescent="0.2">
      <c r="A57" s="129" t="str">
        <f t="shared" si="70"/>
        <v>CHF 2020</v>
      </c>
      <c r="B57" s="11">
        <v>2016</v>
      </c>
      <c r="C57" s="129" t="s">
        <v>130</v>
      </c>
      <c r="D57" s="130">
        <f>IFERROR(
INDEX(offer_adj_vals,MATCH($A57,offer_adj_oldbonds,0),MATCH(D$32,offer_adj_newbonds,0))
*INDEX(exit_prices,MATCH(D$32,exit_newbonds,0),1)/100*chfusd_offer/chfusd_exit,"")</f>
        <v>47.331501053491962</v>
      </c>
      <c r="E57" s="131">
        <f>IFERROR(
INDEX(offer_adj_vals,MATCH($A57,offer_adj_oldbonds,0),MATCH(E$32,offer_adj_newbonds,0))
*INDEX(exit_prices,MATCH(E$32,exit_newbonds,0),1)/100*chfusd_offer/chfusd_exit,"")</f>
        <v>0</v>
      </c>
      <c r="F57" s="131">
        <f>IFERROR(
INDEX(offer_adj_vals,MATCH($A57,offer_adj_oldbonds,0),MATCH(F$32,offer_adj_newbonds,0))
*INDEX(exit_prices,MATCH(F$32,exit_newbonds,0),1)/100*chfusd_offer/chfusd_exit,"")</f>
        <v>0</v>
      </c>
      <c r="G57" s="131">
        <f>IFERROR(
INDEX(offer_adj_vals,MATCH($A57,offer_adj_oldbonds,0),MATCH(G$32,offer_adj_newbonds,0))
*INDEX(exit_prices,MATCH(G$32,exit_newbonds,0),1)/100*chfusd_offer/chfusd_exit,"")</f>
        <v>0</v>
      </c>
      <c r="H57" s="131">
        <f>IFERROR(
INDEX(offer_adj_vals,MATCH($A57,offer_adj_oldbonds,0),MATCH(H$32,offer_adj_newbonds,0))
*INDEX(exit_prices,MATCH(H$32,exit_newbonds,0),1)/100*chfusd_offer/chfusd_exit,"")</f>
        <v>0</v>
      </c>
      <c r="I57" s="131">
        <f>IFERROR(
INDEX(offer_adj_vals,MATCH($A57,offer_adj_oldbonds,0),MATCH(I$32,offer_adj_newbonds,0))
*INDEX(exit_prices,MATCH(I$32,exit_newbonds,0),1)/100*chfeur_offer/chfeur_exit,"")</f>
        <v>55.555444033202356</v>
      </c>
      <c r="J57" s="131">
        <f>IFERROR(
INDEX(offer_adj_vals,MATCH($A57,offer_adj_oldbonds,0),MATCH(J$32,offer_adj_newbonds,0))
*INDEX(exit_prices,MATCH(J$32,exit_newbonds,0),1)/100*chfusd_offer/chfusd_exit,"")</f>
        <v>50.813452836530338</v>
      </c>
      <c r="K57" s="131">
        <f>IFERROR(
INDEX(offer_adj_vals,MATCH($A57,offer_adj_oldbonds,0),MATCH(K$32,offer_adj_newbonds,0))
*INDEX(exit_prices,MATCH(K$32,exit_newbonds,0),1)/100*chfusd_offer/chfusd_exit,"")</f>
        <v>0</v>
      </c>
      <c r="L57" s="131">
        <f>IFERROR(
INDEX(offer_adj_vals,MATCH($A57,offer_adj_oldbonds,0),MATCH(L$32,offer_adj_newbonds,0))
*INDEX(exit_prices,MATCH(L$32,exit_newbonds,0),1)/100*chfusd_offer/chfusd_exit,"")</f>
        <v>0</v>
      </c>
      <c r="M57" s="132">
        <f>IFERROR(
INDEX(offer_adj_vals,MATCH($A57,offer_adj_oldbonds,0),MATCH(M$32,offer_adj_newbonds,0))
*INDEX(exit_prices,MATCH(M$32,exit_newbonds,0),1)/100*chfusd_offer/chfusd_exit,"")</f>
        <v>48.56628750350685</v>
      </c>
      <c r="N57" s="86">
        <f t="shared" si="53"/>
        <v>55.555444033202356</v>
      </c>
      <c r="O57" s="86">
        <f t="shared" si="54"/>
        <v>49.3577178585181</v>
      </c>
      <c r="P57" s="86">
        <f t="shared" si="55"/>
        <v>49.3577178585181</v>
      </c>
      <c r="Q57" s="86">
        <f t="shared" si="64"/>
        <v>0</v>
      </c>
      <c r="R57" s="130">
        <f t="shared" si="56"/>
        <v>46.236692415392426</v>
      </c>
      <c r="S57" s="131">
        <f t="shared" si="57"/>
        <v>0</v>
      </c>
      <c r="T57" s="131">
        <f t="shared" si="58"/>
        <v>0</v>
      </c>
      <c r="U57" s="131">
        <f t="shared" si="59"/>
        <v>0</v>
      </c>
      <c r="V57" s="131">
        <f t="shared" si="60"/>
        <v>0</v>
      </c>
      <c r="W57" s="131">
        <f>IFERROR(I57*100/INDEX('EBs NPVs'!$F$121:$H$145,MATCH('Exchange Results'!$A57,'EBs NPVs'!$A$121:$A$145,0),1),"")</f>
        <v>54.270410204415342</v>
      </c>
      <c r="X57" s="131">
        <f>IFERROR(J57*100/INDEX('EBs NPVs'!$F$121:$H$145,MATCH('Exchange Results'!$A57,'EBs NPVs'!$A$121:$A$145,0),1),"")</f>
        <v>49.638104371789595</v>
      </c>
      <c r="Y57" s="131">
        <f>IFERROR(K57*100/INDEX('EBs NPVs'!$F$121:$H$145,MATCH('Exchange Results'!$A57,'EBs NPVs'!$A$121:$A$145,0),1),"")</f>
        <v>0</v>
      </c>
      <c r="Z57" s="131">
        <f>IFERROR(L57*100/INDEX('EBs NPVs'!$F$121:$H$145,MATCH('Exchange Results'!$A57,'EBs NPVs'!$A$121:$A$145,0),1),"")</f>
        <v>0</v>
      </c>
      <c r="AA57" s="132">
        <f>IFERROR(M57*100/INDEX('EBs NPVs'!$F$121:$H$145,MATCH('Exchange Results'!$A57,'EBs NPVs'!$A$121:$A$145,0),1),"")</f>
        <v>47.442917445600301</v>
      </c>
      <c r="AB57" s="86">
        <f t="shared" si="65"/>
        <v>54.270410204415342</v>
      </c>
      <c r="AC57" s="86">
        <f t="shared" si="62"/>
        <v>48.216041497835711</v>
      </c>
      <c r="AD57" s="86">
        <f t="shared" si="63"/>
        <v>48.216041497835711</v>
      </c>
      <c r="AE57" s="224">
        <f t="shared" si="66"/>
        <v>0</v>
      </c>
      <c r="AF57" s="17">
        <f>INDEX('EBs List'!$P$2:$P$26,MATCH('Exchange Results'!A57,'EBs List'!$A$2:$A$26,0))</f>
        <v>100</v>
      </c>
    </row>
    <row r="58" spans="1:72" x14ac:dyDescent="0.2">
      <c r="A58" s="32"/>
      <c r="D58" s="158" t="s">
        <v>271</v>
      </c>
      <c r="E58" s="15"/>
      <c r="F58" s="15"/>
      <c r="G58" s="15"/>
      <c r="H58" s="135"/>
      <c r="R58" s="158" t="s">
        <v>271</v>
      </c>
    </row>
    <row r="59" spans="1:72" x14ac:dyDescent="0.2">
      <c r="A59" s="32"/>
      <c r="D59" s="158"/>
      <c r="E59" s="15"/>
      <c r="F59" s="15"/>
      <c r="G59" s="15"/>
      <c r="H59" s="135"/>
      <c r="R59" s="158"/>
    </row>
    <row r="60" spans="1:72" x14ac:dyDescent="0.2">
      <c r="D60" s="58"/>
      <c r="V60" s="67"/>
      <c r="X60" s="67"/>
    </row>
    <row r="61" spans="1:72" x14ac:dyDescent="0.2">
      <c r="A61" s="16"/>
      <c r="B61" s="7"/>
      <c r="D61" s="25"/>
      <c r="E61" s="25"/>
      <c r="F61" s="25"/>
      <c r="G61" s="25"/>
      <c r="H61" s="26"/>
      <c r="I61" s="25"/>
      <c r="J61" s="26"/>
      <c r="K61" s="25"/>
      <c r="L61" s="25"/>
      <c r="M61" s="25"/>
      <c r="N61" s="25"/>
      <c r="O61" s="25"/>
      <c r="P61" s="25"/>
      <c r="Q61" s="25"/>
      <c r="R61" s="25"/>
      <c r="S61" s="25"/>
      <c r="T61" s="25"/>
      <c r="U61" s="25"/>
      <c r="V61" s="25"/>
      <c r="W61" s="25"/>
      <c r="X61" s="25"/>
      <c r="Y61" s="25"/>
      <c r="Z61" s="25"/>
      <c r="AA61" s="25"/>
      <c r="AB61" s="25"/>
      <c r="AC61" s="25"/>
      <c r="AD61" s="25"/>
    </row>
    <row r="62" spans="1:72" ht="19" x14ac:dyDescent="0.25">
      <c r="A62" s="251" t="s">
        <v>251</v>
      </c>
      <c r="B62" s="251"/>
      <c r="C62" s="252"/>
      <c r="D62" s="253" t="s">
        <v>265</v>
      </c>
      <c r="E62" s="254"/>
      <c r="F62" s="254"/>
      <c r="G62" s="254"/>
      <c r="H62" s="254"/>
      <c r="I62" s="254"/>
      <c r="J62" s="254"/>
      <c r="K62" s="254"/>
      <c r="L62" s="254"/>
      <c r="M62" s="255"/>
      <c r="N62" s="253" t="s">
        <v>266</v>
      </c>
      <c r="O62" s="254"/>
      <c r="P62" s="254"/>
      <c r="Q62" s="254"/>
      <c r="R62" s="254"/>
      <c r="S62" s="254"/>
      <c r="T62" s="254"/>
      <c r="U62" s="254"/>
      <c r="V62" s="254"/>
      <c r="W62" s="255"/>
    </row>
    <row r="63" spans="1:72" ht="16" x14ac:dyDescent="0.2">
      <c r="A63" s="37" t="s">
        <v>164</v>
      </c>
      <c r="B63" s="41" t="s">
        <v>104</v>
      </c>
      <c r="C63" s="39" t="s">
        <v>103</v>
      </c>
      <c r="D63" s="156" t="s">
        <v>107</v>
      </c>
      <c r="E63" s="116" t="s">
        <v>109</v>
      </c>
      <c r="F63" s="116" t="s">
        <v>115</v>
      </c>
      <c r="G63" s="116" t="s">
        <v>111</v>
      </c>
      <c r="H63" s="116" t="s">
        <v>113</v>
      </c>
      <c r="I63" s="116" t="s">
        <v>108</v>
      </c>
      <c r="J63" s="116" t="s">
        <v>110</v>
      </c>
      <c r="K63" s="116" t="s">
        <v>112</v>
      </c>
      <c r="L63" s="116" t="s">
        <v>114</v>
      </c>
      <c r="M63" s="157" t="s">
        <v>116</v>
      </c>
      <c r="N63" s="156" t="s">
        <v>107</v>
      </c>
      <c r="O63" s="116" t="s">
        <v>109</v>
      </c>
      <c r="P63" s="116" t="s">
        <v>115</v>
      </c>
      <c r="Q63" s="116" t="s">
        <v>111</v>
      </c>
      <c r="R63" s="116" t="s">
        <v>113</v>
      </c>
      <c r="S63" s="116" t="s">
        <v>108</v>
      </c>
      <c r="T63" s="116" t="s">
        <v>110</v>
      </c>
      <c r="U63" s="116" t="s">
        <v>112</v>
      </c>
      <c r="V63" s="116" t="s">
        <v>114</v>
      </c>
      <c r="W63" s="157" t="s">
        <v>116</v>
      </c>
      <c r="X63" s="230" t="s">
        <v>353</v>
      </c>
      <c r="Y63" s="2"/>
      <c r="Z63" s="2"/>
      <c r="AA63" s="2"/>
    </row>
    <row r="64" spans="1:72" x14ac:dyDescent="0.2">
      <c r="A64" t="str">
        <f>C64</f>
        <v>USD 2033 Discount I</v>
      </c>
      <c r="B64" s="7">
        <v>2005</v>
      </c>
      <c r="C64" t="s">
        <v>134</v>
      </c>
      <c r="D64" s="178">
        <f>IF(D33=0,0,D33+INDEX('Exchange Offer'!$N$38:$N$62,MATCH('Exchange Results'!$A64,offer_adj_oldbonds,0))/100*'NBs List'!$M$13)</f>
        <v>0</v>
      </c>
      <c r="E64" s="176">
        <f>IF(E33=0,0,E33+INDEX('Exchange Offer'!$N$38:$N$62,MATCH('Exchange Results'!$A64,offer_adj_oldbonds,0))/100*'NBs List'!$M$13)</f>
        <v>0</v>
      </c>
      <c r="F64" s="176">
        <f>IF(F33=0,0,F33+INDEX('Exchange Offer'!$N$38:$N$62,MATCH('Exchange Results'!$A64,offer_adj_oldbonds,0))/100*'NBs List'!$M$13)</f>
        <v>47.855393891516144</v>
      </c>
      <c r="G64" s="176">
        <f>IF(G33=0,0,G33+INDEX('Exchange Offer'!$N$38:$N$62,MATCH('Exchange Results'!$A64,offer_adj_oldbonds,0))/100*'NBs List'!$M$13)</f>
        <v>52.893377760862414</v>
      </c>
      <c r="H64" s="176">
        <f>IF(H33=0,0,H33+INDEX('Exchange Offer'!$N$38:$N$62,MATCH('Exchange Results'!$A64,offer_adj_oldbonds,0))/100*'NBs List'!$M$13)</f>
        <v>47.389393940441103</v>
      </c>
      <c r="I64" s="226">
        <f>IF(I33=0,0,I33+INDEX('Exchange Offer'!$N$38:$N$62,MATCH('Exchange Results'!$A64,offer_adj_oldbonds,0))/100*'NBs List'!$M$13)</f>
        <v>0</v>
      </c>
      <c r="J64" s="226">
        <f>IF(J33=0,0,J33+INDEX('Exchange Offer'!$N$38:$N$62,MATCH('Exchange Results'!$A64,offer_adj_oldbonds,0))/100*'NBs List'!$M$13)</f>
        <v>0</v>
      </c>
      <c r="K64" s="226">
        <f>IF(K33=0,0,K33+INDEX('Exchange Offer'!$N$38:$N$62,MATCH('Exchange Results'!$A64,offer_adj_oldbonds,0))/100*'NBs List'!$M$13)</f>
        <v>0</v>
      </c>
      <c r="L64" s="226">
        <f>IF(L33=0,0,L33+INDEX('Exchange Offer'!$N$38:$N$62,MATCH('Exchange Results'!$A64,offer_adj_oldbonds,0))/100*'NBs List'!$M$13)</f>
        <v>0</v>
      </c>
      <c r="M64" s="227">
        <f>IF(M33=0,0,M33+INDEX('Exchange Offer'!$N$38:$N$62,MATCH('Exchange Results'!$A64,offer_adj_oldbonds,0))/100*'NBs List'!$M$13)</f>
        <v>0</v>
      </c>
      <c r="N64" s="177">
        <f>IF(D64="","",D64*$X64/INDEX('EBs NPVs'!$F$121:$F$145,MATCH($A64,'EBs NPVs'!$A$121:$A$145,0)))</f>
        <v>0</v>
      </c>
      <c r="O64" s="176">
        <f>IF(E64="","",E64*$X64/INDEX('EBs NPVs'!$F$121:$F$145,MATCH($A64,'EBs NPVs'!$A$121:$A$145,0)))</f>
        <v>0</v>
      </c>
      <c r="P64" s="176">
        <f>IF(F64="","",F64*$X64/INDEX('EBs NPVs'!$F$121:$F$145,MATCH($A64,'EBs NPVs'!$A$121:$A$145,0)))</f>
        <v>55.972112498426817</v>
      </c>
      <c r="Q64" s="176">
        <f>IF(G64="","",G64*$X64/INDEX('EBs NPVs'!$F$121:$F$145,MATCH($A64,'EBs NPVs'!$A$121:$A$145,0)))</f>
        <v>61.864585153433005</v>
      </c>
      <c r="R64" s="176">
        <f>IF(H64="","",H64*$X64/INDEX('EBs NPVs'!$F$121:$F$145,MATCH($A64,'EBs NPVs'!$A$121:$A$145,0)))</f>
        <v>55.42707463404394</v>
      </c>
      <c r="S64" s="226">
        <f>IF(I64="","",I64*$X64/INDEX('EBs NPVs'!$F$121:$F$145,MATCH($A64,'EBs NPVs'!$A$121:$A$145,0)))</f>
        <v>0</v>
      </c>
      <c r="T64" s="226">
        <f>IF(J64="","",J64*$X64/INDEX('EBs NPVs'!$F$121:$F$145,MATCH($A64,'EBs NPVs'!$A$121:$A$145,0)))</f>
        <v>0</v>
      </c>
      <c r="U64" s="226">
        <f>IF(K64="","",K64*$X64/INDEX('EBs NPVs'!$F$121:$F$145,MATCH($A64,'EBs NPVs'!$A$121:$A$145,0)))</f>
        <v>0</v>
      </c>
      <c r="V64" s="226">
        <f>IF(L64="","",L64*$X64/INDEX('EBs NPVs'!$F$121:$F$145,MATCH($A64,'EBs NPVs'!$A$121:$A$145,0)))</f>
        <v>0</v>
      </c>
      <c r="W64" s="227">
        <f>IF(M64="","",M64*$X64/INDEX('EBs NPVs'!$F$121:$F$145,MATCH($A64,'EBs NPVs'!$A$121:$A$145,0)))</f>
        <v>0</v>
      </c>
      <c r="X64" s="6">
        <f>INDEX('EBs List'!$P$2:$P$26,MATCH('Exchange Results'!A64,'EBs List'!$A$2:$A$26,0))</f>
        <v>140.20421214481891</v>
      </c>
      <c r="Y64" s="84"/>
      <c r="Z64" s="84"/>
      <c r="AA64" s="84"/>
    </row>
    <row r="65" spans="1:27" x14ac:dyDescent="0.2">
      <c r="A65" t="s">
        <v>135</v>
      </c>
      <c r="B65" s="7">
        <v>2005</v>
      </c>
      <c r="C65" t="s">
        <v>135</v>
      </c>
      <c r="D65" s="178">
        <f>IF(D34=0,0,D34+INDEX('Exchange Offer'!$N$38:$N$62,MATCH('Exchange Results'!$A65,offer_adj_oldbonds,0))/100*'NBs List'!$M$13)</f>
        <v>0</v>
      </c>
      <c r="E65" s="179">
        <f>IF(E34=0,0,E34+INDEX('Exchange Offer'!$N$38:$N$62,MATCH('Exchange Results'!$A65,offer_adj_oldbonds,0))/100*'NBs List'!$M$13)</f>
        <v>0</v>
      </c>
      <c r="F65" s="179">
        <f>IF(F34=0,0,F34+INDEX('Exchange Offer'!$N$38:$N$62,MATCH('Exchange Results'!$A65,offer_adj_oldbonds,0))/100*'NBs List'!$M$13)</f>
        <v>47.855393891516144</v>
      </c>
      <c r="G65" s="179">
        <f>IF(G34=0,0,G34+INDEX('Exchange Offer'!$N$38:$N$62,MATCH('Exchange Results'!$A65,offer_adj_oldbonds,0))/100*'NBs List'!$M$13)</f>
        <v>52.893377760862414</v>
      </c>
      <c r="H65" s="179">
        <f>IF(H34=0,0,H34+INDEX('Exchange Offer'!$N$38:$N$62,MATCH('Exchange Results'!$A65,offer_adj_oldbonds,0))/100*'NBs List'!$M$13)</f>
        <v>47.389393940441103</v>
      </c>
      <c r="I65" s="182">
        <f>IF(I34=0,0,I34+INDEX('Exchange Offer'!$N$38:$N$62,MATCH('Exchange Results'!$A65,offer_adj_oldbonds,0))/100*'NBs List'!$M$13)</f>
        <v>0</v>
      </c>
      <c r="J65" s="182">
        <f>IF(J34=0,0,J34+INDEX('Exchange Offer'!$N$38:$N$62,MATCH('Exchange Results'!$A65,offer_adj_oldbonds,0))/100*'NBs List'!$M$13)</f>
        <v>0</v>
      </c>
      <c r="K65" s="182">
        <f>IF(K34=0,0,K34+INDEX('Exchange Offer'!$N$38:$N$62,MATCH('Exchange Results'!$A65,offer_adj_oldbonds,0))/100*'NBs List'!$M$13)</f>
        <v>0</v>
      </c>
      <c r="L65" s="182">
        <f>IF(L34=0,0,L34+INDEX('Exchange Offer'!$N$38:$N$62,MATCH('Exchange Results'!$A65,offer_adj_oldbonds,0))/100*'NBs List'!$M$13)</f>
        <v>0</v>
      </c>
      <c r="M65" s="183">
        <f>IF(M34=0,0,M34+INDEX('Exchange Offer'!$N$38:$N$62,MATCH('Exchange Results'!$A65,offer_adj_oldbonds,0))/100*'NBs List'!$M$13)</f>
        <v>0</v>
      </c>
      <c r="N65" s="178">
        <f>IF(D65="","",D65*$X65/INDEX('EBs NPVs'!$F$121:$F$145,MATCH($A65,'EBs NPVs'!$A$121:$A$145,0)))</f>
        <v>0</v>
      </c>
      <c r="O65" s="179">
        <f>IF(E65="","",E65*$X65/INDEX('EBs NPVs'!$F$121:$F$145,MATCH($A65,'EBs NPVs'!$A$121:$A$145,0)))</f>
        <v>0</v>
      </c>
      <c r="P65" s="179">
        <f>IF(F65="","",F65*$X65/INDEX('EBs NPVs'!$F$121:$F$145,MATCH($A65,'EBs NPVs'!$A$121:$A$145,0)))</f>
        <v>55.972112498426817</v>
      </c>
      <c r="Q65" s="179">
        <f>IF(G65="","",G65*$X65/INDEX('EBs NPVs'!$F$121:$F$145,MATCH($A65,'EBs NPVs'!$A$121:$A$145,0)))</f>
        <v>61.864585153433005</v>
      </c>
      <c r="R65" s="179">
        <f>IF(H65="","",H65*$X65/INDEX('EBs NPVs'!$F$121:$F$145,MATCH($A65,'EBs NPVs'!$A$121:$A$145,0)))</f>
        <v>55.42707463404394</v>
      </c>
      <c r="S65" s="182">
        <f>IF(I65="","",I65*$X65/INDEX('EBs NPVs'!$F$121:$F$145,MATCH($A65,'EBs NPVs'!$A$121:$A$145,0)))</f>
        <v>0</v>
      </c>
      <c r="T65" s="182">
        <f>IF(J65="","",J65*$X65/INDEX('EBs NPVs'!$F$121:$F$145,MATCH($A65,'EBs NPVs'!$A$121:$A$145,0)))</f>
        <v>0</v>
      </c>
      <c r="U65" s="182">
        <f>IF(K65="","",K65*$X65/INDEX('EBs NPVs'!$F$121:$F$145,MATCH($A65,'EBs NPVs'!$A$121:$A$145,0)))</f>
        <v>0</v>
      </c>
      <c r="V65" s="182">
        <f>IF(L65="","",L65*$X65/INDEX('EBs NPVs'!$F$121:$F$145,MATCH($A65,'EBs NPVs'!$A$121:$A$145,0)))</f>
        <v>0</v>
      </c>
      <c r="W65" s="183">
        <f>IF(M65="","",M65*$X65/INDEX('EBs NPVs'!$F$121:$F$145,MATCH($A65,'EBs NPVs'!$A$121:$A$145,0)))</f>
        <v>0</v>
      </c>
      <c r="X65" s="6">
        <f>INDEX('EBs List'!$P$2:$P$26,MATCH('Exchange Results'!A65,'EBs List'!$A$2:$A$26,0))</f>
        <v>140.20421214481891</v>
      </c>
      <c r="Y65" s="84"/>
      <c r="Z65" s="84"/>
      <c r="AA65" s="84"/>
    </row>
    <row r="66" spans="1:27" x14ac:dyDescent="0.2">
      <c r="A66" t="str">
        <f>C66</f>
        <v>USD Par 2038 I</v>
      </c>
      <c r="B66" s="7">
        <v>2005</v>
      </c>
      <c r="C66" t="s">
        <v>136</v>
      </c>
      <c r="D66" s="178">
        <f>IF(D35=0,0,D35+INDEX('Exchange Offer'!$N$38:$N$62,MATCH('Exchange Results'!$A66,offer_adj_oldbonds,0))/100*'NBs List'!$M$13)</f>
        <v>0</v>
      </c>
      <c r="E66" s="179">
        <f>IF(E35=0,0,E35+INDEX('Exchange Offer'!$N$38:$N$62,MATCH('Exchange Results'!$A66,offer_adj_oldbonds,0))/100*'NBs List'!$M$13)</f>
        <v>0</v>
      </c>
      <c r="F66" s="179">
        <f>IF(F35=0,0,F35+INDEX('Exchange Offer'!$N$38:$N$62,MATCH('Exchange Results'!$A66,offer_adj_oldbonds,0))/100*'NBs List'!$M$13)</f>
        <v>45.752683936449998</v>
      </c>
      <c r="G66" s="179">
        <f>IF(G35=0,0,G35+INDEX('Exchange Offer'!$N$38:$N$62,MATCH('Exchange Results'!$A66,offer_adj_oldbonds,0))/100*'NBs List'!$M$13)</f>
        <v>0</v>
      </c>
      <c r="H66" s="179">
        <f>IF(H35=0,0,H35+INDEX('Exchange Offer'!$N$38:$N$62,MATCH('Exchange Results'!$A66,offer_adj_oldbonds,0))/100*'NBs List'!$M$13)</f>
        <v>45.286683936450004</v>
      </c>
      <c r="I66" s="182">
        <f>IF(I35=0,0,I35+INDEX('Exchange Offer'!$N$38:$N$62,MATCH('Exchange Results'!$A66,offer_adj_oldbonds,0))/100*'NBs List'!$M$13)</f>
        <v>0</v>
      </c>
      <c r="J66" s="182">
        <f>IF(J35=0,0,J35+INDEX('Exchange Offer'!$N$38:$N$62,MATCH('Exchange Results'!$A66,offer_adj_oldbonds,0))/100*'NBs List'!$M$13)</f>
        <v>0</v>
      </c>
      <c r="K66" s="182">
        <f>IF(K35=0,0,K35+INDEX('Exchange Offer'!$N$38:$N$62,MATCH('Exchange Results'!$A66,offer_adj_oldbonds,0))/100*'NBs List'!$M$13)</f>
        <v>0</v>
      </c>
      <c r="L66" s="182">
        <f>IF(L35=0,0,L35+INDEX('Exchange Offer'!$N$38:$N$62,MATCH('Exchange Results'!$A66,offer_adj_oldbonds,0))/100*'NBs List'!$M$13)</f>
        <v>0</v>
      </c>
      <c r="M66" s="183">
        <f>IF(M35=0,0,M35+INDEX('Exchange Offer'!$N$38:$N$62,MATCH('Exchange Results'!$A66,offer_adj_oldbonds,0))/100*'NBs List'!$M$13)</f>
        <v>0</v>
      </c>
      <c r="N66" s="178">
        <f>IF(D66="","",D66*$X66/INDEX('EBs NPVs'!$F$121:$F$145,MATCH($A66,'EBs NPVs'!$A$121:$A$145,0)))</f>
        <v>0</v>
      </c>
      <c r="O66" s="179">
        <f>IF(E66="","",E66*$X66/INDEX('EBs NPVs'!$F$121:$F$145,MATCH($A66,'EBs NPVs'!$A$121:$A$145,0)))</f>
        <v>0</v>
      </c>
      <c r="P66" s="179">
        <f>IF(F66="","",F66*$X66/INDEX('EBs NPVs'!$F$121:$F$145,MATCH($A66,'EBs NPVs'!$A$121:$A$145,0)))</f>
        <v>88.175513637121128</v>
      </c>
      <c r="Q66" s="179">
        <f>IF(G66="","",G66*$X66/INDEX('EBs NPVs'!$F$121:$F$145,MATCH($A66,'EBs NPVs'!$A$121:$A$145,0)))</f>
        <v>0</v>
      </c>
      <c r="R66" s="179">
        <f>IF(H66="","",H66*$X66/INDEX('EBs NPVs'!$F$121:$F$145,MATCH($A66,'EBs NPVs'!$A$121:$A$145,0)))</f>
        <v>87.277428851276198</v>
      </c>
      <c r="S66" s="182">
        <f>IF(I66="","",I66*$X66/INDEX('EBs NPVs'!$F$121:$F$145,MATCH($A66,'EBs NPVs'!$A$121:$A$145,0)))</f>
        <v>0</v>
      </c>
      <c r="T66" s="182">
        <f>IF(J66="","",J66*$X66/INDEX('EBs NPVs'!$F$121:$F$145,MATCH($A66,'EBs NPVs'!$A$121:$A$145,0)))</f>
        <v>0</v>
      </c>
      <c r="U66" s="182">
        <f>IF(K66="","",K66*$X66/INDEX('EBs NPVs'!$F$121:$F$145,MATCH($A66,'EBs NPVs'!$A$121:$A$145,0)))</f>
        <v>0</v>
      </c>
      <c r="V66" s="182">
        <f>IF(L66="","",L66*$X66/INDEX('EBs NPVs'!$F$121:$F$145,MATCH($A66,'EBs NPVs'!$A$121:$A$145,0)))</f>
        <v>0</v>
      </c>
      <c r="W66" s="183">
        <f>IF(M66="","",M66*$X66/INDEX('EBs NPVs'!$F$121:$F$145,MATCH($A66,'EBs NPVs'!$A$121:$A$145,0)))</f>
        <v>0</v>
      </c>
      <c r="X66" s="6">
        <f>INDEX('EBs List'!$P$2:$P$26,MATCH('Exchange Results'!A66,'EBs List'!$A$2:$A$26,0))</f>
        <v>100</v>
      </c>
      <c r="Y66" s="84"/>
      <c r="Z66" s="84"/>
      <c r="AA66" s="84"/>
    </row>
    <row r="67" spans="1:27" x14ac:dyDescent="0.2">
      <c r="A67" t="s">
        <v>157</v>
      </c>
      <c r="B67" s="7">
        <v>2005</v>
      </c>
      <c r="C67" t="s">
        <v>157</v>
      </c>
      <c r="D67" s="178">
        <f>IF(D36=0,0,D36+INDEX('Exchange Offer'!$N$38:$N$62,MATCH('Exchange Results'!$A67,offer_adj_oldbonds,0))/100*'NBs List'!$M$13)</f>
        <v>0</v>
      </c>
      <c r="E67" s="179">
        <f>IF(E36=0,0,E36+INDEX('Exchange Offer'!$N$38:$N$62,MATCH('Exchange Results'!$A67,offer_adj_oldbonds,0))/100*'NBs List'!$M$13)</f>
        <v>0</v>
      </c>
      <c r="F67" s="179">
        <f>IF(F36=0,0,F36+INDEX('Exchange Offer'!$N$38:$N$62,MATCH('Exchange Results'!$A67,offer_adj_oldbonds,0))/100*'NBs List'!$M$13)</f>
        <v>45.752683936449998</v>
      </c>
      <c r="G67" s="179">
        <f>IF(G36=0,0,G36+INDEX('Exchange Offer'!$N$38:$N$62,MATCH('Exchange Results'!$A67,offer_adj_oldbonds,0))/100*'NBs List'!$M$13)</f>
        <v>0</v>
      </c>
      <c r="H67" s="179">
        <f>IF(H36=0,0,H36+INDEX('Exchange Offer'!$N$38:$N$62,MATCH('Exchange Results'!$A67,offer_adj_oldbonds,0))/100*'NBs List'!$M$13)</f>
        <v>45.286683936450004</v>
      </c>
      <c r="I67" s="182">
        <f>IF(I36=0,0,I36+INDEX('Exchange Offer'!$N$38:$N$62,MATCH('Exchange Results'!$A67,offer_adj_oldbonds,0))/100*'NBs List'!$M$13)</f>
        <v>0</v>
      </c>
      <c r="J67" s="182">
        <f>IF(J36=0,0,J36+INDEX('Exchange Offer'!$N$38:$N$62,MATCH('Exchange Results'!$A67,offer_adj_oldbonds,0))/100*'NBs List'!$M$13)</f>
        <v>0</v>
      </c>
      <c r="K67" s="182">
        <f>IF(K36=0,0,K36+INDEX('Exchange Offer'!$N$38:$N$62,MATCH('Exchange Results'!$A67,offer_adj_oldbonds,0))/100*'NBs List'!$M$13)</f>
        <v>0</v>
      </c>
      <c r="L67" s="182">
        <f>IF(L36=0,0,L36+INDEX('Exchange Offer'!$N$38:$N$62,MATCH('Exchange Results'!$A67,offer_adj_oldbonds,0))/100*'NBs List'!$M$13)</f>
        <v>0</v>
      </c>
      <c r="M67" s="183">
        <f>IF(M36=0,0,M36+INDEX('Exchange Offer'!$N$38:$N$62,MATCH('Exchange Results'!$A67,offer_adj_oldbonds,0))/100*'NBs List'!$M$13)</f>
        <v>0</v>
      </c>
      <c r="N67" s="178">
        <f>IF(D67="","",D67*$X67/INDEX('EBs NPVs'!$F$121:$F$145,MATCH($A67,'EBs NPVs'!$A$121:$A$145,0)))</f>
        <v>0</v>
      </c>
      <c r="O67" s="179">
        <f>IF(E67="","",E67*$X67/INDEX('EBs NPVs'!$F$121:$F$145,MATCH($A67,'EBs NPVs'!$A$121:$A$145,0)))</f>
        <v>0</v>
      </c>
      <c r="P67" s="179">
        <f>IF(F67="","",F67*$X67/INDEX('EBs NPVs'!$F$121:$F$145,MATCH($A67,'EBs NPVs'!$A$121:$A$145,0)))</f>
        <v>88.175513637121128</v>
      </c>
      <c r="Q67" s="179">
        <f>IF(G67="","",G67*$X67/INDEX('EBs NPVs'!$F$121:$F$145,MATCH($A67,'EBs NPVs'!$A$121:$A$145,0)))</f>
        <v>0</v>
      </c>
      <c r="R67" s="179">
        <f>IF(H67="","",H67*$X67/INDEX('EBs NPVs'!$F$121:$F$145,MATCH($A67,'EBs NPVs'!$A$121:$A$145,0)))</f>
        <v>87.277428851276198</v>
      </c>
      <c r="S67" s="182">
        <f>IF(I67="","",I67*$X67/INDEX('EBs NPVs'!$F$121:$F$145,MATCH($A67,'EBs NPVs'!$A$121:$A$145,0)))</f>
        <v>0</v>
      </c>
      <c r="T67" s="182">
        <f>IF(J67="","",J67*$X67/INDEX('EBs NPVs'!$F$121:$F$145,MATCH($A67,'EBs NPVs'!$A$121:$A$145,0)))</f>
        <v>0</v>
      </c>
      <c r="U67" s="182">
        <f>IF(K67="","",K67*$X67/INDEX('EBs NPVs'!$F$121:$F$145,MATCH($A67,'EBs NPVs'!$A$121:$A$145,0)))</f>
        <v>0</v>
      </c>
      <c r="V67" s="182">
        <f>IF(L67="","",L67*$X67/INDEX('EBs NPVs'!$F$121:$F$145,MATCH($A67,'EBs NPVs'!$A$121:$A$145,0)))</f>
        <v>0</v>
      </c>
      <c r="W67" s="183">
        <f>IF(M67="","",M67*$X67/INDEX('EBs NPVs'!$F$121:$F$145,MATCH($A67,'EBs NPVs'!$A$121:$A$145,0)))</f>
        <v>0</v>
      </c>
      <c r="X67" s="6">
        <f>INDEX('EBs List'!$P$2:$P$26,MATCH('Exchange Results'!A67,'EBs List'!$A$2:$A$26,0))</f>
        <v>100</v>
      </c>
      <c r="Y67" s="84"/>
      <c r="Z67" s="84"/>
      <c r="AA67" s="84"/>
    </row>
    <row r="68" spans="1:27" x14ac:dyDescent="0.2">
      <c r="A68" s="68" t="str">
        <f>C68</f>
        <v>Euro 2033 Discount I</v>
      </c>
      <c r="B68" s="8">
        <v>2005</v>
      </c>
      <c r="C68" s="68" t="s">
        <v>154</v>
      </c>
      <c r="D68" s="180">
        <f>IF(D37=0,0,D37+INDEX('Exchange Offer'!$N$38:$N$62,MATCH('Exchange Results'!$A68,offer_adj_oldbonds,0))/100*'NBs List'!$M$13)</f>
        <v>0</v>
      </c>
      <c r="E68" s="181">
        <f>IF(E37=0,0,E37+INDEX('Exchange Offer'!$N$38:$N$62,MATCH('Exchange Results'!$A68,offer_adj_oldbonds,0))/100*'NBs List'!$M$13)</f>
        <v>0</v>
      </c>
      <c r="F68" s="181">
        <f>IF(F37=0,0,F37+INDEX('Exchange Offer'!$N$38:$N$62,MATCH('Exchange Results'!$A68,offer_adj_oldbonds,0))/100*'NBs List'!$M$13)</f>
        <v>0</v>
      </c>
      <c r="G68" s="181">
        <f>IF(G37=0,0,G37+INDEX('Exchange Offer'!$N$38:$N$62,MATCH('Exchange Results'!$A68,offer_adj_oldbonds,0))/100*'NBs List'!$M$13)</f>
        <v>52.649503454105997</v>
      </c>
      <c r="H68" s="181">
        <f>IF(H37=0,0,H37+INDEX('Exchange Offer'!$N$38:$N$62,MATCH('Exchange Results'!$A68,offer_adj_oldbonds,0))/100*'NBs List'!$M$13)</f>
        <v>0</v>
      </c>
      <c r="I68" s="182">
        <f>IF(I37=0,0,I37+INDEX('Exchange Offer'!$N$38:$N$62,MATCH('Exchange Results'!$A68,offer_adj_oldbonds,0))/100*'NBs List'!$M$13)</f>
        <v>0</v>
      </c>
      <c r="J68" s="182">
        <f>IF(J37=0,0,J37+INDEX('Exchange Offer'!$N$38:$N$62,MATCH('Exchange Results'!$A68,offer_adj_oldbonds,0))/100*'NBs List'!$M$13)</f>
        <v>0</v>
      </c>
      <c r="K68" s="182">
        <f>IF(K37=0,0,K37+INDEX('Exchange Offer'!$N$38:$N$62,MATCH('Exchange Results'!$A68,offer_adj_oldbonds,0))/100*'NBs List'!$M$13)</f>
        <v>59.483981199864992</v>
      </c>
      <c r="L68" s="182">
        <f>IF(L37=0,0,L37+INDEX('Exchange Offer'!$N$38:$N$62,MATCH('Exchange Results'!$A68,offer_adj_oldbonds,0))/100*'NBs List'!$M$13)</f>
        <v>55.053499902426928</v>
      </c>
      <c r="M68" s="183">
        <f>IF(M37=0,0,M37+INDEX('Exchange Offer'!$N$38:$N$62,MATCH('Exchange Results'!$A68,offer_adj_oldbonds,0))/100*'NBs List'!$M$13)</f>
        <v>51.319136226494884</v>
      </c>
      <c r="N68" s="180">
        <f>IF(D68="","",D68*$X68/INDEX('EBs NPVs'!$F$121:$F$145,MATCH($A68,'EBs NPVs'!$A$121:$A$145,0)))</f>
        <v>0</v>
      </c>
      <c r="O68" s="181">
        <f>IF(E68="","",E68*$X68/INDEX('EBs NPVs'!$F$121:$F$145,MATCH($A68,'EBs NPVs'!$A$121:$A$145,0)))</f>
        <v>0</v>
      </c>
      <c r="P68" s="181">
        <f>IF(F68="","",F68*$X68/INDEX('EBs NPVs'!$F$121:$F$145,MATCH($A68,'EBs NPVs'!$A$121:$A$145,0)))</f>
        <v>0</v>
      </c>
      <c r="Q68" s="181">
        <f>IF(G68="","",G68*$X68/INDEX('EBs NPVs'!$F$121:$F$145,MATCH($A68,'EBs NPVs'!$A$121:$A$145,0)))</f>
        <v>70.405246246307684</v>
      </c>
      <c r="R68" s="181">
        <f>IF(H68="","",H68*$X68/INDEX('EBs NPVs'!$F$121:$F$145,MATCH($A68,'EBs NPVs'!$A$121:$A$145,0)))</f>
        <v>0</v>
      </c>
      <c r="S68" s="182">
        <f>IF(I68="","",I68*$X68/INDEX('EBs NPVs'!$F$121:$F$145,MATCH($A68,'EBs NPVs'!$A$121:$A$145,0)))</f>
        <v>0</v>
      </c>
      <c r="T68" s="182">
        <f>IF(J68="","",J68*$X68/INDEX('EBs NPVs'!$F$121:$F$145,MATCH($A68,'EBs NPVs'!$A$121:$A$145,0)))</f>
        <v>0</v>
      </c>
      <c r="U68" s="182">
        <f>IF(K68="","",K68*$X68/INDEX('EBs NPVs'!$F$121:$F$145,MATCH($A68,'EBs NPVs'!$A$121:$A$145,0)))</f>
        <v>79.544612376788166</v>
      </c>
      <c r="V68" s="182">
        <f>IF(L68="","",L68*$X68/INDEX('EBs NPVs'!$F$121:$F$145,MATCH($A68,'EBs NPVs'!$A$121:$A$145,0)))</f>
        <v>73.619976696079547</v>
      </c>
      <c r="W68" s="183">
        <f>IF(M68="","",M68*$X68/INDEX('EBs NPVs'!$F$121:$F$145,MATCH($A68,'EBs NPVs'!$A$121:$A$145,0)))</f>
        <v>68.626220308491867</v>
      </c>
      <c r="X68" s="6">
        <f>INDEX('EBs List'!$P$2:$P$26,MATCH('Exchange Results'!A68,'EBs List'!$A$2:$A$26,0))</f>
        <v>137.96394286887087</v>
      </c>
      <c r="Y68" s="84"/>
      <c r="Z68" s="84"/>
      <c r="AA68" s="84"/>
    </row>
    <row r="69" spans="1:27" x14ac:dyDescent="0.2">
      <c r="A69" s="68" t="s">
        <v>155</v>
      </c>
      <c r="B69" s="8">
        <v>2005</v>
      </c>
      <c r="C69" s="68" t="s">
        <v>155</v>
      </c>
      <c r="D69" s="180">
        <f>IF(D38=0,0,D38+INDEX('Exchange Offer'!$N$38:$N$62,MATCH('Exchange Results'!$A69,offer_adj_oldbonds,0))/100*'NBs List'!$M$13)</f>
        <v>0</v>
      </c>
      <c r="E69" s="181">
        <f>IF(E38=0,0,E38+INDEX('Exchange Offer'!$N$38:$N$62,MATCH('Exchange Results'!$A69,offer_adj_oldbonds,0))/100*'NBs List'!$M$13)</f>
        <v>0</v>
      </c>
      <c r="F69" s="181">
        <f>IF(F38=0,0,F38+INDEX('Exchange Offer'!$N$38:$N$62,MATCH('Exchange Results'!$A69,offer_adj_oldbonds,0))/100*'NBs List'!$M$13)</f>
        <v>0</v>
      </c>
      <c r="G69" s="181">
        <f>IF(G38=0,0,G38+INDEX('Exchange Offer'!$N$38:$N$62,MATCH('Exchange Results'!$A69,offer_adj_oldbonds,0))/100*'NBs List'!$M$13)</f>
        <v>52.649503454105997</v>
      </c>
      <c r="H69" s="181">
        <f>IF(H38=0,0,H38+INDEX('Exchange Offer'!$N$38:$N$62,MATCH('Exchange Results'!$A69,offer_adj_oldbonds,0))/100*'NBs List'!$M$13)</f>
        <v>0</v>
      </c>
      <c r="I69" s="182">
        <f>IF(I38=0,0,I38+INDEX('Exchange Offer'!$N$38:$N$62,MATCH('Exchange Results'!$A69,offer_adj_oldbonds,0))/100*'NBs List'!$M$13)</f>
        <v>0</v>
      </c>
      <c r="J69" s="182">
        <f>IF(J38=0,0,J38+INDEX('Exchange Offer'!$N$38:$N$62,MATCH('Exchange Results'!$A69,offer_adj_oldbonds,0))/100*'NBs List'!$M$13)</f>
        <v>0</v>
      </c>
      <c r="K69" s="182">
        <f>IF(K38=0,0,K38+INDEX('Exchange Offer'!$N$38:$N$62,MATCH('Exchange Results'!$A69,offer_adj_oldbonds,0))/100*'NBs List'!$M$13)</f>
        <v>59.483981199864992</v>
      </c>
      <c r="L69" s="182">
        <f>IF(L38=0,0,L38+INDEX('Exchange Offer'!$N$38:$N$62,MATCH('Exchange Results'!$A69,offer_adj_oldbonds,0))/100*'NBs List'!$M$13)</f>
        <v>55.053499902426928</v>
      </c>
      <c r="M69" s="183">
        <f>IF(M38=0,0,M38+INDEX('Exchange Offer'!$N$38:$N$62,MATCH('Exchange Results'!$A69,offer_adj_oldbonds,0))/100*'NBs List'!$M$13)</f>
        <v>51.319136226494884</v>
      </c>
      <c r="N69" s="180">
        <f>IF(D69="","",D69*$X69/INDEX('EBs NPVs'!$F$121:$F$145,MATCH($A69,'EBs NPVs'!$A$121:$A$145,0)))</f>
        <v>0</v>
      </c>
      <c r="O69" s="181">
        <f>IF(E69="","",E69*$X69/INDEX('EBs NPVs'!$F$121:$F$145,MATCH($A69,'EBs NPVs'!$A$121:$A$145,0)))</f>
        <v>0</v>
      </c>
      <c r="P69" s="181">
        <f>IF(F69="","",F69*$X69/INDEX('EBs NPVs'!$F$121:$F$145,MATCH($A69,'EBs NPVs'!$A$121:$A$145,0)))</f>
        <v>0</v>
      </c>
      <c r="Q69" s="181">
        <f>IF(G69="","",G69*$X69/INDEX('EBs NPVs'!$F$121:$F$145,MATCH($A69,'EBs NPVs'!$A$121:$A$145,0)))</f>
        <v>70.405246246307684</v>
      </c>
      <c r="R69" s="181">
        <f>IF(H69="","",H69*$X69/INDEX('EBs NPVs'!$F$121:$F$145,MATCH($A69,'EBs NPVs'!$A$121:$A$145,0)))</f>
        <v>0</v>
      </c>
      <c r="S69" s="182">
        <f>IF(I69="","",I69*$X69/INDEX('EBs NPVs'!$F$121:$F$145,MATCH($A69,'EBs NPVs'!$A$121:$A$145,0)))</f>
        <v>0</v>
      </c>
      <c r="T69" s="182">
        <f>IF(J69="","",J69*$X69/INDEX('EBs NPVs'!$F$121:$F$145,MATCH($A69,'EBs NPVs'!$A$121:$A$145,0)))</f>
        <v>0</v>
      </c>
      <c r="U69" s="182">
        <f>IF(K69="","",K69*$X69/INDEX('EBs NPVs'!$F$121:$F$145,MATCH($A69,'EBs NPVs'!$A$121:$A$145,0)))</f>
        <v>79.544612376788166</v>
      </c>
      <c r="V69" s="182">
        <f>IF(L69="","",L69*$X69/INDEX('EBs NPVs'!$F$121:$F$145,MATCH($A69,'EBs NPVs'!$A$121:$A$145,0)))</f>
        <v>73.619976696079547</v>
      </c>
      <c r="W69" s="183">
        <f>IF(M69="","",M69*$X69/INDEX('EBs NPVs'!$F$121:$F$145,MATCH($A69,'EBs NPVs'!$A$121:$A$145,0)))</f>
        <v>68.626220308491867</v>
      </c>
      <c r="X69" s="6">
        <f>INDEX('EBs List'!$P$2:$P$26,MATCH('Exchange Results'!A69,'EBs List'!$A$2:$A$26,0))</f>
        <v>137.96394286887087</v>
      </c>
      <c r="Y69" s="84"/>
      <c r="Z69" s="84"/>
      <c r="AA69" s="84"/>
    </row>
    <row r="70" spans="1:27" x14ac:dyDescent="0.2">
      <c r="A70" s="68" t="str">
        <f>C70</f>
        <v>Euro Par 2038 I</v>
      </c>
      <c r="B70" s="8">
        <v>2005</v>
      </c>
      <c r="C70" s="68" t="s">
        <v>156</v>
      </c>
      <c r="D70" s="180">
        <f>IF(D39=0,0,D39+INDEX('Exchange Offer'!$N$38:$N$62,MATCH('Exchange Results'!$A70,offer_adj_oldbonds,0))/100*'NBs List'!$M$13)</f>
        <v>0</v>
      </c>
      <c r="E70" s="181">
        <f>IF(E39=0,0,E39+INDEX('Exchange Offer'!$N$38:$N$62,MATCH('Exchange Results'!$A70,offer_adj_oldbonds,0))/100*'NBs List'!$M$13)</f>
        <v>0</v>
      </c>
      <c r="F70" s="181">
        <f>IF(F39=0,0,F39+INDEX('Exchange Offer'!$N$38:$N$62,MATCH('Exchange Results'!$A70,offer_adj_oldbonds,0))/100*'NBs List'!$M$13)</f>
        <v>0</v>
      </c>
      <c r="G70" s="181">
        <f>IF(G39=0,0,G39+INDEX('Exchange Offer'!$N$38:$N$62,MATCH('Exchange Results'!$A70,offer_adj_oldbonds,0))/100*'NBs List'!$M$13)</f>
        <v>0</v>
      </c>
      <c r="H70" s="181">
        <f>IF(H39=0,0,H39+INDEX('Exchange Offer'!$N$38:$N$62,MATCH('Exchange Results'!$A70,offer_adj_oldbonds,0))/100*'NBs List'!$M$13)</f>
        <v>45.252426813173471</v>
      </c>
      <c r="I70" s="182">
        <f>IF(I39=0,0,I39+INDEX('Exchange Offer'!$N$38:$N$62,MATCH('Exchange Results'!$A70,offer_adj_oldbonds,0))/100*'NBs List'!$M$13)</f>
        <v>0</v>
      </c>
      <c r="J70" s="182">
        <f>IF(J39=0,0,J39+INDEX('Exchange Offer'!$N$38:$N$62,MATCH('Exchange Results'!$A70,offer_adj_oldbonds,0))/100*'NBs List'!$M$13)</f>
        <v>0</v>
      </c>
      <c r="K70" s="182">
        <f>IF(K39=0,0,K39+INDEX('Exchange Offer'!$N$38:$N$62,MATCH('Exchange Results'!$A70,offer_adj_oldbonds,0))/100*'NBs List'!$M$13)</f>
        <v>0</v>
      </c>
      <c r="L70" s="182">
        <f>IF(L39=0,0,L39+INDEX('Exchange Offer'!$N$38:$N$62,MATCH('Exchange Results'!$A70,offer_adj_oldbonds,0))/100*'NBs List'!$M$13)</f>
        <v>53.17264114220837</v>
      </c>
      <c r="M70" s="183">
        <f>IF(M39=0,0,M39+INDEX('Exchange Offer'!$N$38:$N$62,MATCH('Exchange Results'!$A70,offer_adj_oldbonds,0))/100*'NBs List'!$M$13)</f>
        <v>49.428682078434967</v>
      </c>
      <c r="N70" s="180">
        <f>IF(D70="","",D70*$X70/INDEX('EBs NPVs'!$F$121:$F$145,MATCH($A70,'EBs NPVs'!$A$121:$A$145,0)))</f>
        <v>0</v>
      </c>
      <c r="O70" s="181">
        <f>IF(E70="","",E70*$X70/INDEX('EBs NPVs'!$F$121:$F$145,MATCH($A70,'EBs NPVs'!$A$121:$A$145,0)))</f>
        <v>0</v>
      </c>
      <c r="P70" s="181">
        <f>IF(F70="","",F70*$X70/INDEX('EBs NPVs'!$F$121:$F$145,MATCH($A70,'EBs NPVs'!$A$121:$A$145,0)))</f>
        <v>0</v>
      </c>
      <c r="Q70" s="181">
        <f>IF(G70="","",G70*$X70/INDEX('EBs NPVs'!$F$121:$F$145,MATCH($A70,'EBs NPVs'!$A$121:$A$145,0)))</f>
        <v>0</v>
      </c>
      <c r="R70" s="181">
        <f>IF(H70="","",H70*$X70/INDEX('EBs NPVs'!$F$121:$F$145,MATCH($A70,'EBs NPVs'!$A$121:$A$145,0)))</f>
        <v>108.8073414061294</v>
      </c>
      <c r="S70" s="182">
        <f>IF(I70="","",I70*$X70/INDEX('EBs NPVs'!$F$121:$F$145,MATCH($A70,'EBs NPVs'!$A$121:$A$145,0)))</f>
        <v>0</v>
      </c>
      <c r="T70" s="182">
        <f>IF(J70="","",J70*$X70/INDEX('EBs NPVs'!$F$121:$F$145,MATCH($A70,'EBs NPVs'!$A$121:$A$145,0)))</f>
        <v>0</v>
      </c>
      <c r="U70" s="182">
        <f>IF(K70="","",K70*$X70/INDEX('EBs NPVs'!$F$121:$F$145,MATCH($A70,'EBs NPVs'!$A$121:$A$145,0)))</f>
        <v>0</v>
      </c>
      <c r="V70" s="182">
        <f>IF(L70="","",L70*$X70/INDEX('EBs NPVs'!$F$121:$F$145,MATCH($A70,'EBs NPVs'!$A$121:$A$145,0)))</f>
        <v>127.85112591003904</v>
      </c>
      <c r="W70" s="183">
        <f>IF(M70="","",M70*$X70/INDEX('EBs NPVs'!$F$121:$F$145,MATCH($A70,'EBs NPVs'!$A$121:$A$145,0)))</f>
        <v>118.84895164556457</v>
      </c>
      <c r="X70" s="6">
        <f>INDEX('EBs List'!$P$2:$P$26,MATCH('Exchange Results'!A70,'EBs List'!$A$2:$A$26,0))</f>
        <v>100</v>
      </c>
      <c r="Y70" s="84"/>
      <c r="Z70" s="84"/>
      <c r="AA70" s="84"/>
    </row>
    <row r="71" spans="1:27" x14ac:dyDescent="0.2">
      <c r="A71" s="81" t="s">
        <v>158</v>
      </c>
      <c r="B71" s="12">
        <v>2005</v>
      </c>
      <c r="C71" s="81" t="s">
        <v>158</v>
      </c>
      <c r="D71" s="184">
        <f>IF(D40=0,0,D40+INDEX('Exchange Offer'!$N$38:$N$62,MATCH('Exchange Results'!$A71,offer_adj_oldbonds,0))/100*'NBs List'!$M$13)</f>
        <v>0</v>
      </c>
      <c r="E71" s="185">
        <f>IF(E40=0,0,E40+INDEX('Exchange Offer'!$N$38:$N$62,MATCH('Exchange Results'!$A71,offer_adj_oldbonds,0))/100*'NBs List'!$M$13)</f>
        <v>0</v>
      </c>
      <c r="F71" s="185">
        <f>IF(F40=0,0,F40+INDEX('Exchange Offer'!$N$38:$N$62,MATCH('Exchange Results'!$A71,offer_adj_oldbonds,0))/100*'NBs List'!$M$13)</f>
        <v>0</v>
      </c>
      <c r="G71" s="185">
        <f>IF(G40=0,0,G40+INDEX('Exchange Offer'!$N$38:$N$62,MATCH('Exchange Results'!$A71,offer_adj_oldbonds,0))/100*'NBs List'!$M$13)</f>
        <v>0</v>
      </c>
      <c r="H71" s="185">
        <f>IF(H40=0,0,H40+INDEX('Exchange Offer'!$N$38:$N$62,MATCH('Exchange Results'!$A71,offer_adj_oldbonds,0))/100*'NBs List'!$M$13)</f>
        <v>45.252426813173471</v>
      </c>
      <c r="I71" s="186">
        <f>IF(I40=0,0,I40+INDEX('Exchange Offer'!$N$38:$N$62,MATCH('Exchange Results'!$A71,offer_adj_oldbonds,0))/100*'NBs List'!$M$13)</f>
        <v>0</v>
      </c>
      <c r="J71" s="186">
        <f>IF(J40=0,0,J40+INDEX('Exchange Offer'!$N$38:$N$62,MATCH('Exchange Results'!$A71,offer_adj_oldbonds,0))/100*'NBs List'!$M$13)</f>
        <v>0</v>
      </c>
      <c r="K71" s="186">
        <f>IF(K40=0,0,K40+INDEX('Exchange Offer'!$N$38:$N$62,MATCH('Exchange Results'!$A71,offer_adj_oldbonds,0))/100*'NBs List'!$M$13)</f>
        <v>0</v>
      </c>
      <c r="L71" s="186">
        <f>IF(L40=0,0,L40+INDEX('Exchange Offer'!$N$38:$N$62,MATCH('Exchange Results'!$A71,offer_adj_oldbonds,0))/100*'NBs List'!$M$13)</f>
        <v>53.17264114220837</v>
      </c>
      <c r="M71" s="187">
        <f>IF(M40=0,0,M40+INDEX('Exchange Offer'!$N$38:$N$62,MATCH('Exchange Results'!$A71,offer_adj_oldbonds,0))/100*'NBs List'!$M$13)</f>
        <v>49.428682078434967</v>
      </c>
      <c r="N71" s="184">
        <f>IF(D71="","",D71*$X71/INDEX('EBs NPVs'!$F$121:$F$145,MATCH($A71,'EBs NPVs'!$A$121:$A$145,0)))</f>
        <v>0</v>
      </c>
      <c r="O71" s="185">
        <f>IF(E71="","",E71*$X71/INDEX('EBs NPVs'!$F$121:$F$145,MATCH($A71,'EBs NPVs'!$A$121:$A$145,0)))</f>
        <v>0</v>
      </c>
      <c r="P71" s="185">
        <f>IF(F71="","",F71*$X71/INDEX('EBs NPVs'!$F$121:$F$145,MATCH($A71,'EBs NPVs'!$A$121:$A$145,0)))</f>
        <v>0</v>
      </c>
      <c r="Q71" s="185">
        <f>IF(G71="","",G71*$X71/INDEX('EBs NPVs'!$F$121:$F$145,MATCH($A71,'EBs NPVs'!$A$121:$A$145,0)))</f>
        <v>0</v>
      </c>
      <c r="R71" s="185">
        <f>IF(H71="","",H71*$X71/INDEX('EBs NPVs'!$F$121:$F$145,MATCH($A71,'EBs NPVs'!$A$121:$A$145,0)))</f>
        <v>108.8073414061294</v>
      </c>
      <c r="S71" s="186">
        <f>IF(I71="","",I71*$X71/INDEX('EBs NPVs'!$F$121:$F$145,MATCH($A71,'EBs NPVs'!$A$121:$A$145,0)))</f>
        <v>0</v>
      </c>
      <c r="T71" s="186">
        <f>IF(J71="","",J71*$X71/INDEX('EBs NPVs'!$F$121:$F$145,MATCH($A71,'EBs NPVs'!$A$121:$A$145,0)))</f>
        <v>0</v>
      </c>
      <c r="U71" s="186">
        <f>IF(K71="","",K71*$X71/INDEX('EBs NPVs'!$F$121:$F$145,MATCH($A71,'EBs NPVs'!$A$121:$A$145,0)))</f>
        <v>0</v>
      </c>
      <c r="V71" s="186">
        <f>IF(L71="","",L71*$X71/INDEX('EBs NPVs'!$F$121:$F$145,MATCH($A71,'EBs NPVs'!$A$121:$A$145,0)))</f>
        <v>127.85112591003904</v>
      </c>
      <c r="W71" s="187">
        <f>IF(M71="","",M71*$X71/INDEX('EBs NPVs'!$F$121:$F$145,MATCH($A71,'EBs NPVs'!$A$121:$A$145,0)))</f>
        <v>118.84895164556457</v>
      </c>
      <c r="X71" s="6">
        <f>INDEX('EBs List'!$P$2:$P$26,MATCH('Exchange Results'!A71,'EBs List'!$A$2:$A$26,0))</f>
        <v>100</v>
      </c>
      <c r="Y71" s="84"/>
      <c r="Z71" s="84"/>
      <c r="AA71" s="84"/>
    </row>
    <row r="72" spans="1:27" x14ac:dyDescent="0.2">
      <c r="A72" t="str">
        <f t="shared" ref="A72:A88" si="76">C72</f>
        <v>USD 2021</v>
      </c>
      <c r="B72" s="7">
        <v>2016</v>
      </c>
      <c r="C72" t="s">
        <v>117</v>
      </c>
      <c r="D72" s="178">
        <f>IF(D41=0,0,D41+INDEX('Exchange Offer'!$N$38:$N$62,MATCH('Exchange Results'!$A72,offer_adj_oldbonds,0))/100*'NBs List'!$M$13)</f>
        <v>50.556821376049996</v>
      </c>
      <c r="E72" s="179">
        <f>IF(E41=0,0,E41+INDEX('Exchange Offer'!$N$38:$N$62,MATCH('Exchange Results'!$A72,offer_adj_oldbonds,0))/100*'NBs List'!$M$13)</f>
        <v>45.048676376050004</v>
      </c>
      <c r="F72" s="179">
        <f>IF(F41=0,0,F41+INDEX('Exchange Offer'!$N$38:$N$62,MATCH('Exchange Results'!$A72,offer_adj_oldbonds,0))/100*'NBs List'!$M$13)</f>
        <v>48.037246376049993</v>
      </c>
      <c r="G72" s="179">
        <f>IF(G41=0,0,G41+INDEX('Exchange Offer'!$N$38:$N$62,MATCH('Exchange Results'!$A72,offer_adj_oldbonds,0))/100*'NBs List'!$M$13)</f>
        <v>0</v>
      </c>
      <c r="H72" s="179">
        <f>IF(H41=0,0,H41+INDEX('Exchange Offer'!$N$38:$N$62,MATCH('Exchange Results'!$A72,offer_adj_oldbonds,0))/100*'NBs List'!$M$13)</f>
        <v>0</v>
      </c>
      <c r="I72" s="182">
        <f>IF(I41=0,0,I41+INDEX('Exchange Offer'!$N$38:$N$62,MATCH('Exchange Results'!$A72,offer_adj_oldbonds,0))/100*'NBs List'!$M$13)</f>
        <v>0</v>
      </c>
      <c r="J72" s="182">
        <f>IF(J41=0,0,J41+INDEX('Exchange Offer'!$N$38:$N$62,MATCH('Exchange Results'!$A72,offer_adj_oldbonds,0))/100*'NBs List'!$M$13)</f>
        <v>0</v>
      </c>
      <c r="K72" s="182">
        <f>IF(K41=0,0,K41+INDEX('Exchange Offer'!$N$38:$N$62,MATCH('Exchange Results'!$A72,offer_adj_oldbonds,0))/100*'NBs List'!$M$13)</f>
        <v>0</v>
      </c>
      <c r="L72" s="182">
        <f>IF(L41=0,0,L41+INDEX('Exchange Offer'!$N$38:$N$62,MATCH('Exchange Results'!$A72,offer_adj_oldbonds,0))/100*'NBs List'!$M$13)</f>
        <v>0</v>
      </c>
      <c r="M72" s="183">
        <f>IF(M41=0,0,M41+INDEX('Exchange Offer'!$N$38:$N$62,MATCH('Exchange Results'!$A72,offer_adj_oldbonds,0))/100*'NBs List'!$M$13)</f>
        <v>0</v>
      </c>
      <c r="N72" s="178">
        <f>IF(D72="","",D72*$X72/INDEX('EBs NPVs'!$F$121:$F$145,MATCH($A72,'EBs NPVs'!$A$121:$A$145,0)))</f>
        <v>51.810826074872615</v>
      </c>
      <c r="O72" s="179">
        <f>IF(E72="","",E72*$X72/INDEX('EBs NPVs'!$F$121:$F$145,MATCH($A72,'EBs NPVs'!$A$121:$A$145,0)))</f>
        <v>46.166057776101155</v>
      </c>
      <c r="P72" s="179">
        <f>IF(F72="","",F72*$X72/INDEX('EBs NPVs'!$F$121:$F$145,MATCH($A72,'EBs NPVs'!$A$121:$A$145,0)))</f>
        <v>49.228755870406836</v>
      </c>
      <c r="Q72" s="179">
        <f>IF(G72="","",G72*$X72/INDEX('EBs NPVs'!$F$121:$F$145,MATCH($A72,'EBs NPVs'!$A$121:$A$145,0)))</f>
        <v>0</v>
      </c>
      <c r="R72" s="179">
        <f>IF(H72="","",H72*$X72/INDEX('EBs NPVs'!$F$121:$F$145,MATCH($A72,'EBs NPVs'!$A$121:$A$145,0)))</f>
        <v>0</v>
      </c>
      <c r="S72" s="182">
        <f>IF(I72="","",I72*$X72/INDEX('EBs NPVs'!$F$121:$F$145,MATCH($A72,'EBs NPVs'!$A$121:$A$145,0)))</f>
        <v>0</v>
      </c>
      <c r="T72" s="182">
        <f>IF(J72="","",J72*$X72/INDEX('EBs NPVs'!$F$121:$F$145,MATCH($A72,'EBs NPVs'!$A$121:$A$145,0)))</f>
        <v>0</v>
      </c>
      <c r="U72" s="182">
        <f>IF(K72="","",K72*$X72/INDEX('EBs NPVs'!$F$121:$F$145,MATCH($A72,'EBs NPVs'!$A$121:$A$145,0)))</f>
        <v>0</v>
      </c>
      <c r="V72" s="182">
        <f>IF(L72="","",L72*$X72/INDEX('EBs NPVs'!$F$121:$F$145,MATCH($A72,'EBs NPVs'!$A$121:$A$145,0)))</f>
        <v>0</v>
      </c>
      <c r="W72" s="183">
        <f>IF(M72="","",M72*$X72/INDEX('EBs NPVs'!$F$121:$F$145,MATCH($A72,'EBs NPVs'!$A$121:$A$145,0)))</f>
        <v>0</v>
      </c>
      <c r="X72" s="6">
        <f>INDEX('EBs List'!$P$2:$P$26,MATCH('Exchange Results'!A72,'EBs List'!$A$2:$A$26,0))</f>
        <v>100</v>
      </c>
      <c r="Y72" s="84"/>
      <c r="Z72" s="84"/>
      <c r="AA72" s="84"/>
    </row>
    <row r="73" spans="1:27" x14ac:dyDescent="0.2">
      <c r="A73" t="str">
        <f t="shared" si="76"/>
        <v>USD 2022</v>
      </c>
      <c r="B73" s="7">
        <v>2016</v>
      </c>
      <c r="C73" t="s">
        <v>118</v>
      </c>
      <c r="D73" s="178">
        <f>IF(D42=0,0,D42+INDEX('Exchange Offer'!$N$38:$N$62,MATCH('Exchange Results'!$A73,offer_adj_oldbonds,0))/100*'NBs List'!$M$13)</f>
        <v>49.21778328125</v>
      </c>
      <c r="E73" s="179">
        <f>IF(E42=0,0,E42+INDEX('Exchange Offer'!$N$38:$N$62,MATCH('Exchange Results'!$A73,offer_adj_oldbonds,0))/100*'NBs List'!$M$13)</f>
        <v>43.709638281250008</v>
      </c>
      <c r="F73" s="179">
        <f>IF(F42=0,0,F42+INDEX('Exchange Offer'!$N$38:$N$62,MATCH('Exchange Results'!$A73,offer_adj_oldbonds,0))/100*'NBs List'!$M$13)</f>
        <v>46.698208281249997</v>
      </c>
      <c r="G73" s="179">
        <f>IF(G42=0,0,G42+INDEX('Exchange Offer'!$N$38:$N$62,MATCH('Exchange Results'!$A73,offer_adj_oldbonds,0))/100*'NBs List'!$M$13)</f>
        <v>0</v>
      </c>
      <c r="H73" s="179">
        <f>IF(H42=0,0,H42+INDEX('Exchange Offer'!$N$38:$N$62,MATCH('Exchange Results'!$A73,offer_adj_oldbonds,0))/100*'NBs List'!$M$13)</f>
        <v>0</v>
      </c>
      <c r="I73" s="182">
        <f>IF(I42=0,0,I42+INDEX('Exchange Offer'!$N$38:$N$62,MATCH('Exchange Results'!$A73,offer_adj_oldbonds,0))/100*'NBs List'!$M$13)</f>
        <v>0</v>
      </c>
      <c r="J73" s="182">
        <f>IF(J42=0,0,J42+INDEX('Exchange Offer'!$N$38:$N$62,MATCH('Exchange Results'!$A73,offer_adj_oldbonds,0))/100*'NBs List'!$M$13)</f>
        <v>0</v>
      </c>
      <c r="K73" s="182">
        <f>IF(K42=0,0,K42+INDEX('Exchange Offer'!$N$38:$N$62,MATCH('Exchange Results'!$A73,offer_adj_oldbonds,0))/100*'NBs List'!$M$13)</f>
        <v>0</v>
      </c>
      <c r="L73" s="182">
        <f>IF(L42=0,0,L42+INDEX('Exchange Offer'!$N$38:$N$62,MATCH('Exchange Results'!$A73,offer_adj_oldbonds,0))/100*'NBs List'!$M$13)</f>
        <v>0</v>
      </c>
      <c r="M73" s="183">
        <f>IF(M42=0,0,M42+INDEX('Exchange Offer'!$N$38:$N$62,MATCH('Exchange Results'!$A73,offer_adj_oldbonds,0))/100*'NBs List'!$M$13)</f>
        <v>0</v>
      </c>
      <c r="N73" s="178">
        <f>IF(D73="","",D73*$X73/INDEX('EBs NPVs'!$F$121:$F$145,MATCH($A73,'EBs NPVs'!$A$121:$A$145,0)))</f>
        <v>52.843759773362684</v>
      </c>
      <c r="O73" s="179">
        <f>IF(E73="","",E73*$X73/INDEX('EBs NPVs'!$F$121:$F$145,MATCH($A73,'EBs NPVs'!$A$121:$A$145,0)))</f>
        <v>46.92981827149633</v>
      </c>
      <c r="P73" s="179">
        <f>IF(F73="","",F73*$X73/INDEX('EBs NPVs'!$F$121:$F$145,MATCH($A73,'EBs NPVs'!$A$121:$A$145,0)))</f>
        <v>50.138562441127426</v>
      </c>
      <c r="Q73" s="179">
        <f>IF(G73="","",G73*$X73/INDEX('EBs NPVs'!$F$121:$F$145,MATCH($A73,'EBs NPVs'!$A$121:$A$145,0)))</f>
        <v>0</v>
      </c>
      <c r="R73" s="179">
        <f>IF(H73="","",H73*$X73/INDEX('EBs NPVs'!$F$121:$F$145,MATCH($A73,'EBs NPVs'!$A$121:$A$145,0)))</f>
        <v>0</v>
      </c>
      <c r="S73" s="182">
        <f>IF(I73="","",I73*$X73/INDEX('EBs NPVs'!$F$121:$F$145,MATCH($A73,'EBs NPVs'!$A$121:$A$145,0)))</f>
        <v>0</v>
      </c>
      <c r="T73" s="182">
        <f>IF(J73="","",J73*$X73/INDEX('EBs NPVs'!$F$121:$F$145,MATCH($A73,'EBs NPVs'!$A$121:$A$145,0)))</f>
        <v>0</v>
      </c>
      <c r="U73" s="182">
        <f>IF(K73="","",K73*$X73/INDEX('EBs NPVs'!$F$121:$F$145,MATCH($A73,'EBs NPVs'!$A$121:$A$145,0)))</f>
        <v>0</v>
      </c>
      <c r="V73" s="182">
        <f>IF(L73="","",L73*$X73/INDEX('EBs NPVs'!$F$121:$F$145,MATCH($A73,'EBs NPVs'!$A$121:$A$145,0)))</f>
        <v>0</v>
      </c>
      <c r="W73" s="183">
        <f>IF(M73="","",M73*$X73/INDEX('EBs NPVs'!$F$121:$F$145,MATCH($A73,'EBs NPVs'!$A$121:$A$145,0)))</f>
        <v>0</v>
      </c>
      <c r="X73" s="6">
        <f>INDEX('EBs List'!$P$2:$P$26,MATCH('Exchange Results'!A73,'EBs List'!$A$2:$A$26,0))</f>
        <v>100</v>
      </c>
      <c r="Y73" s="84"/>
      <c r="Z73" s="84"/>
      <c r="AA73" s="84"/>
    </row>
    <row r="74" spans="1:27" x14ac:dyDescent="0.2">
      <c r="A74" t="str">
        <f t="shared" si="76"/>
        <v>USD 2023</v>
      </c>
      <c r="B74" s="7">
        <v>2016</v>
      </c>
      <c r="C74" t="s">
        <v>119</v>
      </c>
      <c r="D74" s="178">
        <f>IF(D43=0,0,D43+INDEX('Exchange Offer'!$N$38:$N$62,MATCH('Exchange Results'!$A74,offer_adj_oldbonds,0))/100*'NBs List'!$M$13)</f>
        <v>49.001167078999998</v>
      </c>
      <c r="E74" s="179">
        <f>IF(E43=0,0,E43+INDEX('Exchange Offer'!$N$38:$N$62,MATCH('Exchange Results'!$A74,offer_adj_oldbonds,0))/100*'NBs List'!$M$13)</f>
        <v>43.493022079000006</v>
      </c>
      <c r="F74" s="179">
        <f>IF(F43=0,0,F43+INDEX('Exchange Offer'!$N$38:$N$62,MATCH('Exchange Results'!$A74,offer_adj_oldbonds,0))/100*'NBs List'!$M$13)</f>
        <v>46.481592078999995</v>
      </c>
      <c r="G74" s="179">
        <f>IF(G43=0,0,G43+INDEX('Exchange Offer'!$N$38:$N$62,MATCH('Exchange Results'!$A74,offer_adj_oldbonds,0))/100*'NBs List'!$M$13)</f>
        <v>0</v>
      </c>
      <c r="H74" s="179">
        <f>IF(H43=0,0,H43+INDEX('Exchange Offer'!$N$38:$N$62,MATCH('Exchange Results'!$A74,offer_adj_oldbonds,0))/100*'NBs List'!$M$13)</f>
        <v>0</v>
      </c>
      <c r="I74" s="182">
        <f>IF(I43=0,0,I43+INDEX('Exchange Offer'!$N$38:$N$62,MATCH('Exchange Results'!$A74,offer_adj_oldbonds,0))/100*'NBs List'!$M$13)</f>
        <v>0</v>
      </c>
      <c r="J74" s="182">
        <f>IF(J43=0,0,J43+INDEX('Exchange Offer'!$N$38:$N$62,MATCH('Exchange Results'!$A74,offer_adj_oldbonds,0))/100*'NBs List'!$M$13)</f>
        <v>0</v>
      </c>
      <c r="K74" s="182">
        <f>IF(K43=0,0,K43+INDEX('Exchange Offer'!$N$38:$N$62,MATCH('Exchange Results'!$A74,offer_adj_oldbonds,0))/100*'NBs List'!$M$13)</f>
        <v>0</v>
      </c>
      <c r="L74" s="182">
        <f>IF(L43=0,0,L43+INDEX('Exchange Offer'!$N$38:$N$62,MATCH('Exchange Results'!$A74,offer_adj_oldbonds,0))/100*'NBs List'!$M$13)</f>
        <v>0</v>
      </c>
      <c r="M74" s="183">
        <f>IF(M43=0,0,M43+INDEX('Exchange Offer'!$N$38:$N$62,MATCH('Exchange Results'!$A74,offer_adj_oldbonds,0))/100*'NBs List'!$M$13)</f>
        <v>0</v>
      </c>
      <c r="N74" s="178">
        <f>IF(D74="","",D74*$X74/INDEX('EBs NPVs'!$F$121:$F$145,MATCH($A74,'EBs NPVs'!$A$121:$A$145,0)))</f>
        <v>56.398136622023536</v>
      </c>
      <c r="O74" s="179">
        <f>IF(E74="","",E74*$X74/INDEX('EBs NPVs'!$F$121:$F$145,MATCH($A74,'EBs NPVs'!$A$121:$A$145,0)))</f>
        <v>50.058509777155024</v>
      </c>
      <c r="P74" s="179">
        <f>IF(F74="","",F74*$X74/INDEX('EBs NPVs'!$F$121:$F$145,MATCH($A74,'EBs NPVs'!$A$121:$A$145,0)))</f>
        <v>53.498219261885119</v>
      </c>
      <c r="Q74" s="179">
        <f>IF(G74="","",G74*$X74/INDEX('EBs NPVs'!$F$121:$F$145,MATCH($A74,'EBs NPVs'!$A$121:$A$145,0)))</f>
        <v>0</v>
      </c>
      <c r="R74" s="179">
        <f>IF(H74="","",H74*$X74/INDEX('EBs NPVs'!$F$121:$F$145,MATCH($A74,'EBs NPVs'!$A$121:$A$145,0)))</f>
        <v>0</v>
      </c>
      <c r="S74" s="182">
        <f>IF(I74="","",I74*$X74/INDEX('EBs NPVs'!$F$121:$F$145,MATCH($A74,'EBs NPVs'!$A$121:$A$145,0)))</f>
        <v>0</v>
      </c>
      <c r="T74" s="182">
        <f>IF(J74="","",J74*$X74/INDEX('EBs NPVs'!$F$121:$F$145,MATCH($A74,'EBs NPVs'!$A$121:$A$145,0)))</f>
        <v>0</v>
      </c>
      <c r="U74" s="182">
        <f>IF(K74="","",K74*$X74/INDEX('EBs NPVs'!$F$121:$F$145,MATCH($A74,'EBs NPVs'!$A$121:$A$145,0)))</f>
        <v>0</v>
      </c>
      <c r="V74" s="182">
        <f>IF(L74="","",L74*$X74/INDEX('EBs NPVs'!$F$121:$F$145,MATCH($A74,'EBs NPVs'!$A$121:$A$145,0)))</f>
        <v>0</v>
      </c>
      <c r="W74" s="183">
        <f>IF(M74="","",M74*$X74/INDEX('EBs NPVs'!$F$121:$F$145,MATCH($A74,'EBs NPVs'!$A$121:$A$145,0)))</f>
        <v>0</v>
      </c>
      <c r="X74" s="6">
        <f>INDEX('EBs List'!$P$2:$P$26,MATCH('Exchange Results'!A74,'EBs List'!$A$2:$A$26,0))</f>
        <v>100</v>
      </c>
      <c r="Y74" s="84"/>
      <c r="Z74" s="84"/>
      <c r="AA74" s="84"/>
    </row>
    <row r="75" spans="1:27" x14ac:dyDescent="0.2">
      <c r="A75" t="str">
        <f t="shared" si="76"/>
        <v>USD 2026</v>
      </c>
      <c r="B75" s="7">
        <v>2016</v>
      </c>
      <c r="C75" t="s">
        <v>120</v>
      </c>
      <c r="D75" s="178">
        <f>IF(D44=0,0,D44+INDEX('Exchange Offer'!$N$38:$N$62,MATCH('Exchange Results'!$A75,offer_adj_oldbonds,0))/100*'NBs List'!$M$13)</f>
        <v>50.841027499999996</v>
      </c>
      <c r="E75" s="179">
        <f>IF(E44=0,0,E44+INDEX('Exchange Offer'!$N$38:$N$62,MATCH('Exchange Results'!$A75,offer_adj_oldbonds,0))/100*'NBs List'!$M$13)</f>
        <v>45.332882500000004</v>
      </c>
      <c r="F75" s="179">
        <f>IF(F44=0,0,F44+INDEX('Exchange Offer'!$N$38:$N$62,MATCH('Exchange Results'!$A75,offer_adj_oldbonds,0))/100*'NBs List'!$M$13)</f>
        <v>48.321452499999992</v>
      </c>
      <c r="G75" s="179">
        <f>IF(G44=0,0,G44+INDEX('Exchange Offer'!$N$38:$N$62,MATCH('Exchange Results'!$A75,offer_adj_oldbonds,0))/100*'NBs List'!$M$13)</f>
        <v>0</v>
      </c>
      <c r="H75" s="179">
        <f>IF(H44=0,0,H44+INDEX('Exchange Offer'!$N$38:$N$62,MATCH('Exchange Results'!$A75,offer_adj_oldbonds,0))/100*'NBs List'!$M$13)</f>
        <v>0</v>
      </c>
      <c r="I75" s="182">
        <f>IF(I44=0,0,I44+INDEX('Exchange Offer'!$N$38:$N$62,MATCH('Exchange Results'!$A75,offer_adj_oldbonds,0))/100*'NBs List'!$M$13)</f>
        <v>0</v>
      </c>
      <c r="J75" s="182">
        <f>IF(J44=0,0,J44+INDEX('Exchange Offer'!$N$38:$N$62,MATCH('Exchange Results'!$A75,offer_adj_oldbonds,0))/100*'NBs List'!$M$13)</f>
        <v>0</v>
      </c>
      <c r="K75" s="182">
        <f>IF(K44=0,0,K44+INDEX('Exchange Offer'!$N$38:$N$62,MATCH('Exchange Results'!$A75,offer_adj_oldbonds,0))/100*'NBs List'!$M$13)</f>
        <v>0</v>
      </c>
      <c r="L75" s="182">
        <f>IF(L44=0,0,L44+INDEX('Exchange Offer'!$N$38:$N$62,MATCH('Exchange Results'!$A75,offer_adj_oldbonds,0))/100*'NBs List'!$M$13)</f>
        <v>0</v>
      </c>
      <c r="M75" s="183">
        <f>IF(M44=0,0,M44+INDEX('Exchange Offer'!$N$38:$N$62,MATCH('Exchange Results'!$A75,offer_adj_oldbonds,0))/100*'NBs List'!$M$13)</f>
        <v>0</v>
      </c>
      <c r="N75" s="178">
        <f>IF(D75="","",D75*$X75/INDEX('EBs NPVs'!$F$121:$F$145,MATCH($A75,'EBs NPVs'!$A$121:$A$145,0)))</f>
        <v>59.874239229702397</v>
      </c>
      <c r="O75" s="179">
        <f>IF(E75="","",E75*$X75/INDEX('EBs NPVs'!$F$121:$F$145,MATCH($A75,'EBs NPVs'!$A$121:$A$145,0)))</f>
        <v>53.387431081659187</v>
      </c>
      <c r="P75" s="179">
        <f>IF(F75="","",F75*$X75/INDEX('EBs NPVs'!$F$121:$F$145,MATCH($A75,'EBs NPVs'!$A$121:$A$145,0)))</f>
        <v>56.906997147366866</v>
      </c>
      <c r="Q75" s="179">
        <f>IF(G75="","",G75*$X75/INDEX('EBs NPVs'!$F$121:$F$145,MATCH($A75,'EBs NPVs'!$A$121:$A$145,0)))</f>
        <v>0</v>
      </c>
      <c r="R75" s="179">
        <f>IF(H75="","",H75*$X75/INDEX('EBs NPVs'!$F$121:$F$145,MATCH($A75,'EBs NPVs'!$A$121:$A$145,0)))</f>
        <v>0</v>
      </c>
      <c r="S75" s="182">
        <f>IF(I75="","",I75*$X75/INDEX('EBs NPVs'!$F$121:$F$145,MATCH($A75,'EBs NPVs'!$A$121:$A$145,0)))</f>
        <v>0</v>
      </c>
      <c r="T75" s="182">
        <f>IF(J75="","",J75*$X75/INDEX('EBs NPVs'!$F$121:$F$145,MATCH($A75,'EBs NPVs'!$A$121:$A$145,0)))</f>
        <v>0</v>
      </c>
      <c r="U75" s="182">
        <f>IF(K75="","",K75*$X75/INDEX('EBs NPVs'!$F$121:$F$145,MATCH($A75,'EBs NPVs'!$A$121:$A$145,0)))</f>
        <v>0</v>
      </c>
      <c r="V75" s="182">
        <f>IF(L75="","",L75*$X75/INDEX('EBs NPVs'!$F$121:$F$145,MATCH($A75,'EBs NPVs'!$A$121:$A$145,0)))</f>
        <v>0</v>
      </c>
      <c r="W75" s="183">
        <f>IF(M75="","",M75*$X75/INDEX('EBs NPVs'!$F$121:$F$145,MATCH($A75,'EBs NPVs'!$A$121:$A$145,0)))</f>
        <v>0</v>
      </c>
      <c r="X75" s="6">
        <f>INDEX('EBs List'!$P$2:$P$26,MATCH('Exchange Results'!A75,'EBs List'!$A$2:$A$26,0))</f>
        <v>100</v>
      </c>
      <c r="Y75" s="84"/>
      <c r="Z75" s="84"/>
      <c r="AA75" s="84"/>
    </row>
    <row r="76" spans="1:27" x14ac:dyDescent="0.2">
      <c r="A76" t="str">
        <f t="shared" si="76"/>
        <v>USD 2027</v>
      </c>
      <c r="B76" s="7">
        <v>2016</v>
      </c>
      <c r="C76" t="s">
        <v>121</v>
      </c>
      <c r="D76" s="178">
        <f>IF(D45=0,0,D45+INDEX('Exchange Offer'!$N$38:$N$62,MATCH('Exchange Results'!$A76,offer_adj_oldbonds,0))/100*'NBs List'!$M$13)</f>
        <v>49.614938345149994</v>
      </c>
      <c r="E76" s="179">
        <f>IF(E45=0,0,E45+INDEX('Exchange Offer'!$N$38:$N$62,MATCH('Exchange Results'!$A76,offer_adj_oldbonds,0))/100*'NBs List'!$M$13)</f>
        <v>44.106793345150002</v>
      </c>
      <c r="F76" s="179">
        <f>IF(F45=0,0,F45+INDEX('Exchange Offer'!$N$38:$N$62,MATCH('Exchange Results'!$A76,offer_adj_oldbonds,0))/100*'NBs List'!$M$13)</f>
        <v>47.095363345149991</v>
      </c>
      <c r="G76" s="179">
        <f>IF(G45=0,0,G45+INDEX('Exchange Offer'!$N$38:$N$62,MATCH('Exchange Results'!$A76,offer_adj_oldbonds,0))/100*'NBs List'!$M$13)</f>
        <v>0</v>
      </c>
      <c r="H76" s="179">
        <f>IF(H45=0,0,H45+INDEX('Exchange Offer'!$N$38:$N$62,MATCH('Exchange Results'!$A76,offer_adj_oldbonds,0))/100*'NBs List'!$M$13)</f>
        <v>0</v>
      </c>
      <c r="I76" s="182">
        <f>IF(I45=0,0,I45+INDEX('Exchange Offer'!$N$38:$N$62,MATCH('Exchange Results'!$A76,offer_adj_oldbonds,0))/100*'NBs List'!$M$13)</f>
        <v>0</v>
      </c>
      <c r="J76" s="182">
        <f>IF(J45=0,0,J45+INDEX('Exchange Offer'!$N$38:$N$62,MATCH('Exchange Results'!$A76,offer_adj_oldbonds,0))/100*'NBs List'!$M$13)</f>
        <v>0</v>
      </c>
      <c r="K76" s="182">
        <f>IF(K45=0,0,K45+INDEX('Exchange Offer'!$N$38:$N$62,MATCH('Exchange Results'!$A76,offer_adj_oldbonds,0))/100*'NBs List'!$M$13)</f>
        <v>0</v>
      </c>
      <c r="L76" s="182">
        <f>IF(L45=0,0,L45+INDEX('Exchange Offer'!$N$38:$N$62,MATCH('Exchange Results'!$A76,offer_adj_oldbonds,0))/100*'NBs List'!$M$13)</f>
        <v>0</v>
      </c>
      <c r="M76" s="183">
        <f>IF(M45=0,0,M45+INDEX('Exchange Offer'!$N$38:$N$62,MATCH('Exchange Results'!$A76,offer_adj_oldbonds,0))/100*'NBs List'!$M$13)</f>
        <v>0</v>
      </c>
      <c r="N76" s="178">
        <f>IF(D76="","",D76*$X76/INDEX('EBs NPVs'!$F$121:$F$145,MATCH($A76,'EBs NPVs'!$A$121:$A$145,0)))</f>
        <v>61.489268141286921</v>
      </c>
      <c r="O76" s="179">
        <f>IF(E76="","",E76*$X76/INDEX('EBs NPVs'!$F$121:$F$145,MATCH($A76,'EBs NPVs'!$A$121:$A$145,0)))</f>
        <v>54.662860285855281</v>
      </c>
      <c r="P76" s="179">
        <f>IF(F76="","",F76*$X76/INDEX('EBs NPVs'!$F$121:$F$145,MATCH($A76,'EBs NPVs'!$A$121:$A$145,0)))</f>
        <v>58.366683936922435</v>
      </c>
      <c r="Q76" s="179">
        <f>IF(G76="","",G76*$X76/INDEX('EBs NPVs'!$F$121:$F$145,MATCH($A76,'EBs NPVs'!$A$121:$A$145,0)))</f>
        <v>0</v>
      </c>
      <c r="R76" s="179">
        <f>IF(H76="","",H76*$X76/INDEX('EBs NPVs'!$F$121:$F$145,MATCH($A76,'EBs NPVs'!$A$121:$A$145,0)))</f>
        <v>0</v>
      </c>
      <c r="S76" s="182">
        <f>IF(I76="","",I76*$X76/INDEX('EBs NPVs'!$F$121:$F$145,MATCH($A76,'EBs NPVs'!$A$121:$A$145,0)))</f>
        <v>0</v>
      </c>
      <c r="T76" s="182">
        <f>IF(J76="","",J76*$X76/INDEX('EBs NPVs'!$F$121:$F$145,MATCH($A76,'EBs NPVs'!$A$121:$A$145,0)))</f>
        <v>0</v>
      </c>
      <c r="U76" s="182">
        <f>IF(K76="","",K76*$X76/INDEX('EBs NPVs'!$F$121:$F$145,MATCH($A76,'EBs NPVs'!$A$121:$A$145,0)))</f>
        <v>0</v>
      </c>
      <c r="V76" s="182">
        <f>IF(L76="","",L76*$X76/INDEX('EBs NPVs'!$F$121:$F$145,MATCH($A76,'EBs NPVs'!$A$121:$A$145,0)))</f>
        <v>0</v>
      </c>
      <c r="W76" s="183">
        <f>IF(M76="","",M76*$X76/INDEX('EBs NPVs'!$F$121:$F$145,MATCH($A76,'EBs NPVs'!$A$121:$A$145,0)))</f>
        <v>0</v>
      </c>
      <c r="X76" s="6">
        <f>INDEX('EBs List'!$P$2:$P$26,MATCH('Exchange Results'!A76,'EBs List'!$A$2:$A$26,0))</f>
        <v>100</v>
      </c>
      <c r="Y76" s="84"/>
      <c r="Z76" s="84"/>
      <c r="AA76" s="84"/>
    </row>
    <row r="77" spans="1:27" x14ac:dyDescent="0.2">
      <c r="A77" t="str">
        <f t="shared" si="76"/>
        <v>USD 5.875% 2028</v>
      </c>
      <c r="B77" s="7">
        <v>2016</v>
      </c>
      <c r="C77" t="s">
        <v>122</v>
      </c>
      <c r="D77" s="178">
        <f>IF(D46=0,0,D46+INDEX('Exchange Offer'!$N$38:$N$62,MATCH('Exchange Results'!$A77,offer_adj_oldbonds,0))/100*'NBs List'!$M$13)</f>
        <v>49.425652984549998</v>
      </c>
      <c r="E77" s="179">
        <f>IF(E46=0,0,E46+INDEX('Exchange Offer'!$N$38:$N$62,MATCH('Exchange Results'!$A77,offer_adj_oldbonds,0))/100*'NBs List'!$M$13)</f>
        <v>43.917507984550006</v>
      </c>
      <c r="F77" s="179">
        <f>IF(F46=0,0,F46+INDEX('Exchange Offer'!$N$38:$N$62,MATCH('Exchange Results'!$A77,offer_adj_oldbonds,0))/100*'NBs List'!$M$13)</f>
        <v>46.906077984549995</v>
      </c>
      <c r="G77" s="179">
        <f>IF(G46=0,0,G46+INDEX('Exchange Offer'!$N$38:$N$62,MATCH('Exchange Results'!$A77,offer_adj_oldbonds,0))/100*'NBs List'!$M$13)</f>
        <v>0</v>
      </c>
      <c r="H77" s="179">
        <f>IF(H46=0,0,H46+INDEX('Exchange Offer'!$N$38:$N$62,MATCH('Exchange Results'!$A77,offer_adj_oldbonds,0))/100*'NBs List'!$M$13)</f>
        <v>0</v>
      </c>
      <c r="I77" s="182">
        <f>IF(I46=0,0,I46+INDEX('Exchange Offer'!$N$38:$N$62,MATCH('Exchange Results'!$A77,offer_adj_oldbonds,0))/100*'NBs List'!$M$13)</f>
        <v>0</v>
      </c>
      <c r="J77" s="182">
        <f>IF(J46=0,0,J46+INDEX('Exchange Offer'!$N$38:$N$62,MATCH('Exchange Results'!$A77,offer_adj_oldbonds,0))/100*'NBs List'!$M$13)</f>
        <v>0</v>
      </c>
      <c r="K77" s="182">
        <f>IF(K46=0,0,K46+INDEX('Exchange Offer'!$N$38:$N$62,MATCH('Exchange Results'!$A77,offer_adj_oldbonds,0))/100*'NBs List'!$M$13)</f>
        <v>0</v>
      </c>
      <c r="L77" s="182">
        <f>IF(L46=0,0,L46+INDEX('Exchange Offer'!$N$38:$N$62,MATCH('Exchange Results'!$A77,offer_adj_oldbonds,0))/100*'NBs List'!$M$13)</f>
        <v>0</v>
      </c>
      <c r="M77" s="183">
        <f>IF(M46=0,0,M46+INDEX('Exchange Offer'!$N$38:$N$62,MATCH('Exchange Results'!$A77,offer_adj_oldbonds,0))/100*'NBs List'!$M$13)</f>
        <v>0</v>
      </c>
      <c r="N77" s="178">
        <f>IF(D77="","",D77*$X77/INDEX('EBs NPVs'!$F$121:$F$145,MATCH($A77,'EBs NPVs'!$A$121:$A$145,0)))</f>
        <v>66.913033754099459</v>
      </c>
      <c r="O77" s="179">
        <f>IF(E77="","",E77*$X77/INDEX('EBs NPVs'!$F$121:$F$145,MATCH($A77,'EBs NPVs'!$A$121:$A$145,0)))</f>
        <v>59.456041887493583</v>
      </c>
      <c r="P77" s="179">
        <f>IF(F77="","",F77*$X77/INDEX('EBs NPVs'!$F$121:$F$145,MATCH($A77,'EBs NPVs'!$A$121:$A$145,0)))</f>
        <v>63.502003310582893</v>
      </c>
      <c r="Q77" s="179">
        <f>IF(G77="","",G77*$X77/INDEX('EBs NPVs'!$F$121:$F$145,MATCH($A77,'EBs NPVs'!$A$121:$A$145,0)))</f>
        <v>0</v>
      </c>
      <c r="R77" s="179">
        <f>IF(H77="","",H77*$X77/INDEX('EBs NPVs'!$F$121:$F$145,MATCH($A77,'EBs NPVs'!$A$121:$A$145,0)))</f>
        <v>0</v>
      </c>
      <c r="S77" s="182">
        <f>IF(I77="","",I77*$X77/INDEX('EBs NPVs'!$F$121:$F$145,MATCH($A77,'EBs NPVs'!$A$121:$A$145,0)))</f>
        <v>0</v>
      </c>
      <c r="T77" s="182">
        <f>IF(J77="","",J77*$X77/INDEX('EBs NPVs'!$F$121:$F$145,MATCH($A77,'EBs NPVs'!$A$121:$A$145,0)))</f>
        <v>0</v>
      </c>
      <c r="U77" s="182">
        <f>IF(K77="","",K77*$X77/INDEX('EBs NPVs'!$F$121:$F$145,MATCH($A77,'EBs NPVs'!$A$121:$A$145,0)))</f>
        <v>0</v>
      </c>
      <c r="V77" s="182">
        <f>IF(L77="","",L77*$X77/INDEX('EBs NPVs'!$F$121:$F$145,MATCH($A77,'EBs NPVs'!$A$121:$A$145,0)))</f>
        <v>0</v>
      </c>
      <c r="W77" s="183">
        <f>IF(M77="","",M77*$X77/INDEX('EBs NPVs'!$F$121:$F$145,MATCH($A77,'EBs NPVs'!$A$121:$A$145,0)))</f>
        <v>0</v>
      </c>
      <c r="X77" s="6">
        <f>INDEX('EBs List'!$P$2:$P$26,MATCH('Exchange Results'!A77,'EBs List'!$A$2:$A$26,0))</f>
        <v>100</v>
      </c>
      <c r="Y77" s="84"/>
      <c r="Z77" s="84"/>
      <c r="AA77" s="84"/>
    </row>
    <row r="78" spans="1:27" x14ac:dyDescent="0.2">
      <c r="A78" t="str">
        <f t="shared" si="76"/>
        <v>USD 6.625% 2028</v>
      </c>
      <c r="B78" s="7">
        <v>2016</v>
      </c>
      <c r="C78" t="s">
        <v>123</v>
      </c>
      <c r="D78" s="178">
        <f>IF(D47=0,0,D47+INDEX('Exchange Offer'!$N$38:$N$62,MATCH('Exchange Results'!$A78,offer_adj_oldbonds,0))/100*'NBs List'!$M$13)</f>
        <v>49.728621844099997</v>
      </c>
      <c r="E78" s="179">
        <f>IF(E47=0,0,E47+INDEX('Exchange Offer'!$N$38:$N$62,MATCH('Exchange Results'!$A78,offer_adj_oldbonds,0))/100*'NBs List'!$M$13)</f>
        <v>44.220476844100006</v>
      </c>
      <c r="F78" s="179">
        <f>IF(F47=0,0,F47+INDEX('Exchange Offer'!$N$38:$N$62,MATCH('Exchange Results'!$A78,offer_adj_oldbonds,0))/100*'NBs List'!$M$13)</f>
        <v>47.209046844099994</v>
      </c>
      <c r="G78" s="179">
        <f>IF(G47=0,0,G47+INDEX('Exchange Offer'!$N$38:$N$62,MATCH('Exchange Results'!$A78,offer_adj_oldbonds,0))/100*'NBs List'!$M$13)</f>
        <v>0</v>
      </c>
      <c r="H78" s="179">
        <f>IF(H47=0,0,H47+INDEX('Exchange Offer'!$N$38:$N$62,MATCH('Exchange Results'!$A78,offer_adj_oldbonds,0))/100*'NBs List'!$M$13)</f>
        <v>0</v>
      </c>
      <c r="I78" s="182">
        <f>IF(I47=0,0,I47+INDEX('Exchange Offer'!$N$38:$N$62,MATCH('Exchange Results'!$A78,offer_adj_oldbonds,0))/100*'NBs List'!$M$13)</f>
        <v>0</v>
      </c>
      <c r="J78" s="182">
        <f>IF(J47=0,0,J47+INDEX('Exchange Offer'!$N$38:$N$62,MATCH('Exchange Results'!$A78,offer_adj_oldbonds,0))/100*'NBs List'!$M$13)</f>
        <v>0</v>
      </c>
      <c r="K78" s="182">
        <f>IF(K47=0,0,K47+INDEX('Exchange Offer'!$N$38:$N$62,MATCH('Exchange Results'!$A78,offer_adj_oldbonds,0))/100*'NBs List'!$M$13)</f>
        <v>0</v>
      </c>
      <c r="L78" s="182">
        <f>IF(L47=0,0,L47+INDEX('Exchange Offer'!$N$38:$N$62,MATCH('Exchange Results'!$A78,offer_adj_oldbonds,0))/100*'NBs List'!$M$13)</f>
        <v>0</v>
      </c>
      <c r="M78" s="183">
        <f>IF(M47=0,0,M47+INDEX('Exchange Offer'!$N$38:$N$62,MATCH('Exchange Results'!$A78,offer_adj_oldbonds,0))/100*'NBs List'!$M$13)</f>
        <v>0</v>
      </c>
      <c r="N78" s="178">
        <f>IF(D78="","",D78*$X78/INDEX('EBs NPVs'!$F$121:$F$145,MATCH($A78,'EBs NPVs'!$A$121:$A$145,0)))</f>
        <v>64.913074309911337</v>
      </c>
      <c r="O78" s="179">
        <f>IF(E78="","",E78*$X78/INDEX('EBs NPVs'!$F$121:$F$145,MATCH($A78,'EBs NPVs'!$A$121:$A$145,0)))</f>
        <v>57.723037416958761</v>
      </c>
      <c r="P78" s="179">
        <f>IF(F78="","",F78*$X78/INDEX('EBs NPVs'!$F$121:$F$145,MATCH($A78,'EBs NPVs'!$A$121:$A$145,0)))</f>
        <v>61.624156315820578</v>
      </c>
      <c r="Q78" s="179">
        <f>IF(G78="","",G78*$X78/INDEX('EBs NPVs'!$F$121:$F$145,MATCH($A78,'EBs NPVs'!$A$121:$A$145,0)))</f>
        <v>0</v>
      </c>
      <c r="R78" s="179">
        <f>IF(H78="","",H78*$X78/INDEX('EBs NPVs'!$F$121:$F$145,MATCH($A78,'EBs NPVs'!$A$121:$A$145,0)))</f>
        <v>0</v>
      </c>
      <c r="S78" s="182">
        <f>IF(I78="","",I78*$X78/INDEX('EBs NPVs'!$F$121:$F$145,MATCH($A78,'EBs NPVs'!$A$121:$A$145,0)))</f>
        <v>0</v>
      </c>
      <c r="T78" s="182">
        <f>IF(J78="","",J78*$X78/INDEX('EBs NPVs'!$F$121:$F$145,MATCH($A78,'EBs NPVs'!$A$121:$A$145,0)))</f>
        <v>0</v>
      </c>
      <c r="U78" s="182">
        <f>IF(K78="","",K78*$X78/INDEX('EBs NPVs'!$F$121:$F$145,MATCH($A78,'EBs NPVs'!$A$121:$A$145,0)))</f>
        <v>0</v>
      </c>
      <c r="V78" s="182">
        <f>IF(L78="","",L78*$X78/INDEX('EBs NPVs'!$F$121:$F$145,MATCH($A78,'EBs NPVs'!$A$121:$A$145,0)))</f>
        <v>0</v>
      </c>
      <c r="W78" s="183">
        <f>IF(M78="","",M78*$X78/INDEX('EBs NPVs'!$F$121:$F$145,MATCH($A78,'EBs NPVs'!$A$121:$A$145,0)))</f>
        <v>0</v>
      </c>
      <c r="X78" s="6">
        <f>INDEX('EBs List'!$P$2:$P$26,MATCH('Exchange Results'!A78,'EBs List'!$A$2:$A$26,0))</f>
        <v>100</v>
      </c>
      <c r="Y78" s="84"/>
      <c r="Z78" s="84"/>
      <c r="AA78" s="84"/>
    </row>
    <row r="79" spans="1:27" x14ac:dyDescent="0.2">
      <c r="A79" t="str">
        <f t="shared" si="76"/>
        <v>USD 2036</v>
      </c>
      <c r="B79" s="7">
        <v>2016</v>
      </c>
      <c r="C79" t="s">
        <v>124</v>
      </c>
      <c r="D79" s="178">
        <f>IF(D48=0,0,D48+INDEX('Exchange Offer'!$N$38:$N$62,MATCH('Exchange Results'!$A79,offer_adj_oldbonds,0))/100*'NBs List'!$M$13)</f>
        <v>49.902061717700001</v>
      </c>
      <c r="E79" s="179">
        <f>IF(E48=0,0,E48+INDEX('Exchange Offer'!$N$38:$N$62,MATCH('Exchange Results'!$A79,offer_adj_oldbonds,0))/100*'NBs List'!$M$13)</f>
        <v>44.393916717700009</v>
      </c>
      <c r="F79" s="179">
        <f>IF(F48=0,0,F48+INDEX('Exchange Offer'!$N$38:$N$62,MATCH('Exchange Results'!$A79,offer_adj_oldbonds,0))/100*'NBs List'!$M$13)</f>
        <v>47.382486717699997</v>
      </c>
      <c r="G79" s="179">
        <f>IF(G48=0,0,G48+INDEX('Exchange Offer'!$N$38:$N$62,MATCH('Exchange Results'!$A79,offer_adj_oldbonds,0))/100*'NBs List'!$M$13)</f>
        <v>0</v>
      </c>
      <c r="H79" s="179">
        <f>IF(H48=0,0,H48+INDEX('Exchange Offer'!$N$38:$N$62,MATCH('Exchange Results'!$A79,offer_adj_oldbonds,0))/100*'NBs List'!$M$13)</f>
        <v>0</v>
      </c>
      <c r="I79" s="182">
        <f>IF(I48=0,0,I48+INDEX('Exchange Offer'!$N$38:$N$62,MATCH('Exchange Results'!$A79,offer_adj_oldbonds,0))/100*'NBs List'!$M$13)</f>
        <v>0</v>
      </c>
      <c r="J79" s="182">
        <f>IF(J48=0,0,J48+INDEX('Exchange Offer'!$N$38:$N$62,MATCH('Exchange Results'!$A79,offer_adj_oldbonds,0))/100*'NBs List'!$M$13)</f>
        <v>0</v>
      </c>
      <c r="K79" s="182">
        <f>IF(K48=0,0,K48+INDEX('Exchange Offer'!$N$38:$N$62,MATCH('Exchange Results'!$A79,offer_adj_oldbonds,0))/100*'NBs List'!$M$13)</f>
        <v>0</v>
      </c>
      <c r="L79" s="182">
        <f>IF(L48=0,0,L48+INDEX('Exchange Offer'!$N$38:$N$62,MATCH('Exchange Results'!$A79,offer_adj_oldbonds,0))/100*'NBs List'!$M$13)</f>
        <v>0</v>
      </c>
      <c r="M79" s="183">
        <f>IF(M48=0,0,M48+INDEX('Exchange Offer'!$N$38:$N$62,MATCH('Exchange Results'!$A79,offer_adj_oldbonds,0))/100*'NBs List'!$M$13)</f>
        <v>0</v>
      </c>
      <c r="N79" s="178">
        <f>IF(D79="","",D79*$X79/INDEX('EBs NPVs'!$F$121:$F$145,MATCH($A79,'EBs NPVs'!$A$121:$A$145,0)))</f>
        <v>71.172490115978007</v>
      </c>
      <c r="O79" s="179">
        <f>IF(E79="","",E79*$X79/INDEX('EBs NPVs'!$F$121:$F$145,MATCH($A79,'EBs NPVs'!$A$121:$A$145,0)))</f>
        <v>63.316534228070829</v>
      </c>
      <c r="P79" s="179">
        <f>IF(F79="","",F79*$X79/INDEX('EBs NPVs'!$F$121:$F$145,MATCH($A79,'EBs NPVs'!$A$121:$A$145,0)))</f>
        <v>67.578962702252724</v>
      </c>
      <c r="Q79" s="179">
        <f>IF(G79="","",G79*$X79/INDEX('EBs NPVs'!$F$121:$F$145,MATCH($A79,'EBs NPVs'!$A$121:$A$145,0)))</f>
        <v>0</v>
      </c>
      <c r="R79" s="179">
        <f>IF(H79="","",H79*$X79/INDEX('EBs NPVs'!$F$121:$F$145,MATCH($A79,'EBs NPVs'!$A$121:$A$145,0)))</f>
        <v>0</v>
      </c>
      <c r="S79" s="182">
        <f>IF(I79="","",I79*$X79/INDEX('EBs NPVs'!$F$121:$F$145,MATCH($A79,'EBs NPVs'!$A$121:$A$145,0)))</f>
        <v>0</v>
      </c>
      <c r="T79" s="182">
        <f>IF(J79="","",J79*$X79/INDEX('EBs NPVs'!$F$121:$F$145,MATCH($A79,'EBs NPVs'!$A$121:$A$145,0)))</f>
        <v>0</v>
      </c>
      <c r="U79" s="182">
        <f>IF(K79="","",K79*$X79/INDEX('EBs NPVs'!$F$121:$F$145,MATCH($A79,'EBs NPVs'!$A$121:$A$145,0)))</f>
        <v>0</v>
      </c>
      <c r="V79" s="182">
        <f>IF(L79="","",L79*$X79/INDEX('EBs NPVs'!$F$121:$F$145,MATCH($A79,'EBs NPVs'!$A$121:$A$145,0)))</f>
        <v>0</v>
      </c>
      <c r="W79" s="183">
        <f>IF(M79="","",M79*$X79/INDEX('EBs NPVs'!$F$121:$F$145,MATCH($A79,'EBs NPVs'!$A$121:$A$145,0)))</f>
        <v>0</v>
      </c>
      <c r="X79" s="6">
        <f>INDEX('EBs List'!$P$2:$P$26,MATCH('Exchange Results'!A79,'EBs List'!$A$2:$A$26,0))</f>
        <v>100</v>
      </c>
      <c r="Y79" s="84"/>
      <c r="Z79" s="84"/>
      <c r="AA79" s="84"/>
    </row>
    <row r="80" spans="1:27" x14ac:dyDescent="0.2">
      <c r="A80" t="str">
        <f t="shared" si="76"/>
        <v>USD 2046</v>
      </c>
      <c r="B80" s="7">
        <v>2016</v>
      </c>
      <c r="C80" t="s">
        <v>125</v>
      </c>
      <c r="D80" s="178">
        <f>IF(D49=0,0,D49+INDEX('Exchange Offer'!$N$38:$N$62,MATCH('Exchange Results'!$A80,offer_adj_oldbonds,0))/100*'NBs List'!$M$13)</f>
        <v>0</v>
      </c>
      <c r="E80" s="179">
        <f>IF(E49=0,0,E49+INDEX('Exchange Offer'!$N$38:$N$62,MATCH('Exchange Results'!$A80,offer_adj_oldbonds,0))/100*'NBs List'!$M$13)</f>
        <v>45.389721626050004</v>
      </c>
      <c r="F80" s="179">
        <f>IF(F49=0,0,F49+INDEX('Exchange Offer'!$N$38:$N$62,MATCH('Exchange Results'!$A80,offer_adj_oldbonds,0))/100*'NBs List'!$M$13)</f>
        <v>48.378291626049993</v>
      </c>
      <c r="G80" s="179">
        <f>IF(G49=0,0,G49+INDEX('Exchange Offer'!$N$38:$N$62,MATCH('Exchange Results'!$A80,offer_adj_oldbonds,0))/100*'NBs List'!$M$13)</f>
        <v>0</v>
      </c>
      <c r="H80" s="179">
        <f>IF(H49=0,0,H49+INDEX('Exchange Offer'!$N$38:$N$62,MATCH('Exchange Results'!$A80,offer_adj_oldbonds,0))/100*'NBs List'!$M$13)</f>
        <v>0</v>
      </c>
      <c r="I80" s="182">
        <f>IF(I49=0,0,I49+INDEX('Exchange Offer'!$N$38:$N$62,MATCH('Exchange Results'!$A80,offer_adj_oldbonds,0))/100*'NBs List'!$M$13)</f>
        <v>0</v>
      </c>
      <c r="J80" s="182">
        <f>IF(J49=0,0,J49+INDEX('Exchange Offer'!$N$38:$N$62,MATCH('Exchange Results'!$A80,offer_adj_oldbonds,0))/100*'NBs List'!$M$13)</f>
        <v>0</v>
      </c>
      <c r="K80" s="182">
        <f>IF(K49=0,0,K49+INDEX('Exchange Offer'!$N$38:$N$62,MATCH('Exchange Results'!$A80,offer_adj_oldbonds,0))/100*'NBs List'!$M$13)</f>
        <v>0</v>
      </c>
      <c r="L80" s="182">
        <f>IF(L49=0,0,L49+INDEX('Exchange Offer'!$N$38:$N$62,MATCH('Exchange Results'!$A80,offer_adj_oldbonds,0))/100*'NBs List'!$M$13)</f>
        <v>0</v>
      </c>
      <c r="M80" s="183">
        <f>IF(M49=0,0,M49+INDEX('Exchange Offer'!$N$38:$N$62,MATCH('Exchange Results'!$A80,offer_adj_oldbonds,0))/100*'NBs List'!$M$13)</f>
        <v>0</v>
      </c>
      <c r="N80" s="178">
        <f>IF(D80="","",D80*$X80/INDEX('EBs NPVs'!$F$121:$F$145,MATCH($A80,'EBs NPVs'!$A$121:$A$145,0)))</f>
        <v>0</v>
      </c>
      <c r="O80" s="179">
        <f>IF(E80="","",E80*$X80/INDEX('EBs NPVs'!$F$121:$F$145,MATCH($A80,'EBs NPVs'!$A$121:$A$145,0)))</f>
        <v>64.823745008920966</v>
      </c>
      <c r="P80" s="179">
        <f>IF(F80="","",F80*$X80/INDEX('EBs NPVs'!$F$121:$F$145,MATCH($A80,'EBs NPVs'!$A$121:$A$145,0)))</f>
        <v>69.091898517712806</v>
      </c>
      <c r="Q80" s="179">
        <f>IF(G80="","",G80*$X80/INDEX('EBs NPVs'!$F$121:$F$145,MATCH($A80,'EBs NPVs'!$A$121:$A$145,0)))</f>
        <v>0</v>
      </c>
      <c r="R80" s="179">
        <f>IF(H80="","",H80*$X80/INDEX('EBs NPVs'!$F$121:$F$145,MATCH($A80,'EBs NPVs'!$A$121:$A$145,0)))</f>
        <v>0</v>
      </c>
      <c r="S80" s="182">
        <f>IF(I80="","",I80*$X80/INDEX('EBs NPVs'!$F$121:$F$145,MATCH($A80,'EBs NPVs'!$A$121:$A$145,0)))</f>
        <v>0</v>
      </c>
      <c r="T80" s="182">
        <f>IF(J80="","",J80*$X80/INDEX('EBs NPVs'!$F$121:$F$145,MATCH($A80,'EBs NPVs'!$A$121:$A$145,0)))</f>
        <v>0</v>
      </c>
      <c r="U80" s="182">
        <f>IF(K80="","",K80*$X80/INDEX('EBs NPVs'!$F$121:$F$145,MATCH($A80,'EBs NPVs'!$A$121:$A$145,0)))</f>
        <v>0</v>
      </c>
      <c r="V80" s="182">
        <f>IF(L80="","",L80*$X80/INDEX('EBs NPVs'!$F$121:$F$145,MATCH($A80,'EBs NPVs'!$A$121:$A$145,0)))</f>
        <v>0</v>
      </c>
      <c r="W80" s="183">
        <f>IF(M80="","",M80*$X80/INDEX('EBs NPVs'!$F$121:$F$145,MATCH($A80,'EBs NPVs'!$A$121:$A$145,0)))</f>
        <v>0</v>
      </c>
      <c r="X80" s="6">
        <f>INDEX('EBs List'!$P$2:$P$26,MATCH('Exchange Results'!A80,'EBs List'!$A$2:$A$26,0))</f>
        <v>100</v>
      </c>
      <c r="Y80" s="84"/>
      <c r="Z80" s="84"/>
      <c r="AA80" s="84"/>
    </row>
    <row r="81" spans="1:27" x14ac:dyDescent="0.2">
      <c r="A81" t="str">
        <f t="shared" si="76"/>
        <v>USD 2048</v>
      </c>
      <c r="B81" s="7">
        <v>2016</v>
      </c>
      <c r="C81" t="s">
        <v>126</v>
      </c>
      <c r="D81" s="178">
        <f>IF(D50=0,0,D50+INDEX('Exchange Offer'!$N$38:$N$62,MATCH('Exchange Results'!$A81,offer_adj_oldbonds,0))/100*'NBs List'!$M$13)</f>
        <v>0</v>
      </c>
      <c r="E81" s="179">
        <f>IF(E50=0,0,E50+INDEX('Exchange Offer'!$N$38:$N$62,MATCH('Exchange Results'!$A81,offer_adj_oldbonds,0))/100*'NBs List'!$M$13)</f>
        <v>44.257094610250007</v>
      </c>
      <c r="F81" s="179">
        <f>IF(F50=0,0,F50+INDEX('Exchange Offer'!$N$38:$N$62,MATCH('Exchange Results'!$A81,offer_adj_oldbonds,0))/100*'NBs List'!$M$13)</f>
        <v>47.245664610249996</v>
      </c>
      <c r="G81" s="179">
        <f>IF(G50=0,0,G50+INDEX('Exchange Offer'!$N$38:$N$62,MATCH('Exchange Results'!$A81,offer_adj_oldbonds,0))/100*'NBs List'!$M$13)</f>
        <v>0</v>
      </c>
      <c r="H81" s="179">
        <f>IF(H50=0,0,H50+INDEX('Exchange Offer'!$N$38:$N$62,MATCH('Exchange Results'!$A81,offer_adj_oldbonds,0))/100*'NBs List'!$M$13)</f>
        <v>0</v>
      </c>
      <c r="I81" s="182">
        <f>IF(I50=0,0,I50+INDEX('Exchange Offer'!$N$38:$N$62,MATCH('Exchange Results'!$A81,offer_adj_oldbonds,0))/100*'NBs List'!$M$13)</f>
        <v>0</v>
      </c>
      <c r="J81" s="182">
        <f>IF(J50=0,0,J50+INDEX('Exchange Offer'!$N$38:$N$62,MATCH('Exchange Results'!$A81,offer_adj_oldbonds,0))/100*'NBs List'!$M$13)</f>
        <v>0</v>
      </c>
      <c r="K81" s="182">
        <f>IF(K50=0,0,K50+INDEX('Exchange Offer'!$N$38:$N$62,MATCH('Exchange Results'!$A81,offer_adj_oldbonds,0))/100*'NBs List'!$M$13)</f>
        <v>0</v>
      </c>
      <c r="L81" s="182">
        <f>IF(L50=0,0,L50+INDEX('Exchange Offer'!$N$38:$N$62,MATCH('Exchange Results'!$A81,offer_adj_oldbonds,0))/100*'NBs List'!$M$13)</f>
        <v>0</v>
      </c>
      <c r="M81" s="183">
        <f>IF(M50=0,0,M50+INDEX('Exchange Offer'!$N$38:$N$62,MATCH('Exchange Results'!$A81,offer_adj_oldbonds,0))/100*'NBs List'!$M$13)</f>
        <v>0</v>
      </c>
      <c r="N81" s="178">
        <f>IF(D81="","",D81*$X81/INDEX('EBs NPVs'!$F$121:$F$145,MATCH($A81,'EBs NPVs'!$A$121:$A$145,0)))</f>
        <v>0</v>
      </c>
      <c r="O81" s="179">
        <f>IF(E81="","",E81*$X81/INDEX('EBs NPVs'!$F$121:$F$145,MATCH($A81,'EBs NPVs'!$A$121:$A$145,0)))</f>
        <v>69.866446225471577</v>
      </c>
      <c r="P81" s="179">
        <f>IF(F81="","",F81*$X81/INDEX('EBs NPVs'!$F$121:$F$145,MATCH($A81,'EBs NPVs'!$A$121:$A$145,0)))</f>
        <v>74.584351163309464</v>
      </c>
      <c r="Q81" s="179">
        <f>IF(G81="","",G81*$X81/INDEX('EBs NPVs'!$F$121:$F$145,MATCH($A81,'EBs NPVs'!$A$121:$A$145,0)))</f>
        <v>0</v>
      </c>
      <c r="R81" s="179">
        <f>IF(H81="","",H81*$X81/INDEX('EBs NPVs'!$F$121:$F$145,MATCH($A81,'EBs NPVs'!$A$121:$A$145,0)))</f>
        <v>0</v>
      </c>
      <c r="S81" s="182">
        <f>IF(I81="","",I81*$X81/INDEX('EBs NPVs'!$F$121:$F$145,MATCH($A81,'EBs NPVs'!$A$121:$A$145,0)))</f>
        <v>0</v>
      </c>
      <c r="T81" s="182">
        <f>IF(J81="","",J81*$X81/INDEX('EBs NPVs'!$F$121:$F$145,MATCH($A81,'EBs NPVs'!$A$121:$A$145,0)))</f>
        <v>0</v>
      </c>
      <c r="U81" s="182">
        <f>IF(K81="","",K81*$X81/INDEX('EBs NPVs'!$F$121:$F$145,MATCH($A81,'EBs NPVs'!$A$121:$A$145,0)))</f>
        <v>0</v>
      </c>
      <c r="V81" s="182">
        <f>IF(L81="","",L81*$X81/INDEX('EBs NPVs'!$F$121:$F$145,MATCH($A81,'EBs NPVs'!$A$121:$A$145,0)))</f>
        <v>0</v>
      </c>
      <c r="W81" s="183">
        <f>IF(M81="","",M81*$X81/INDEX('EBs NPVs'!$F$121:$F$145,MATCH($A81,'EBs NPVs'!$A$121:$A$145,0)))</f>
        <v>0</v>
      </c>
      <c r="X81" s="6">
        <f>INDEX('EBs List'!$P$2:$P$26,MATCH('Exchange Results'!A81,'EBs List'!$A$2:$A$26,0))</f>
        <v>100</v>
      </c>
      <c r="Y81" s="84"/>
      <c r="Z81" s="84"/>
      <c r="AA81" s="84"/>
    </row>
    <row r="82" spans="1:27" x14ac:dyDescent="0.2">
      <c r="A82" t="str">
        <f t="shared" si="76"/>
        <v>USD 2117</v>
      </c>
      <c r="B82" s="7">
        <v>2016</v>
      </c>
      <c r="C82" t="s">
        <v>127</v>
      </c>
      <c r="D82" s="178">
        <f>IF(D51=0,0,D51+INDEX('Exchange Offer'!$N$38:$N$62,MATCH('Exchange Results'!$A82,offer_adj_oldbonds,0))/100*'NBs List'!$M$13)</f>
        <v>0</v>
      </c>
      <c r="E82" s="179">
        <f>IF(E51=0,0,E51+INDEX('Exchange Offer'!$N$38:$N$62,MATCH('Exchange Results'!$A82,offer_adj_oldbonds,0))/100*'NBs List'!$M$13)</f>
        <v>44.476990093750004</v>
      </c>
      <c r="F82" s="179">
        <f>IF(F51=0,0,F51+INDEX('Exchange Offer'!$N$38:$N$62,MATCH('Exchange Results'!$A82,offer_adj_oldbonds,0))/100*'NBs List'!$M$13)</f>
        <v>47.465560093749993</v>
      </c>
      <c r="G82" s="179">
        <f>IF(G51=0,0,G51+INDEX('Exchange Offer'!$N$38:$N$62,MATCH('Exchange Results'!$A82,offer_adj_oldbonds,0))/100*'NBs List'!$M$13)</f>
        <v>0</v>
      </c>
      <c r="H82" s="179">
        <f>IF(H51=0,0,H51+INDEX('Exchange Offer'!$N$38:$N$62,MATCH('Exchange Results'!$A82,offer_adj_oldbonds,0))/100*'NBs List'!$M$13)</f>
        <v>0</v>
      </c>
      <c r="I82" s="182">
        <f>IF(I51=0,0,I51+INDEX('Exchange Offer'!$N$38:$N$62,MATCH('Exchange Results'!$A82,offer_adj_oldbonds,0))/100*'NBs List'!$M$13)</f>
        <v>0</v>
      </c>
      <c r="J82" s="182">
        <f>IF(J51=0,0,J51+INDEX('Exchange Offer'!$N$38:$N$62,MATCH('Exchange Results'!$A82,offer_adj_oldbonds,0))/100*'NBs List'!$M$13)</f>
        <v>0</v>
      </c>
      <c r="K82" s="182">
        <f>IF(K51=0,0,K51+INDEX('Exchange Offer'!$N$38:$N$62,MATCH('Exchange Results'!$A82,offer_adj_oldbonds,0))/100*'NBs List'!$M$13)</f>
        <v>0</v>
      </c>
      <c r="L82" s="182">
        <f>IF(L51=0,0,L51+INDEX('Exchange Offer'!$N$38:$N$62,MATCH('Exchange Results'!$A82,offer_adj_oldbonds,0))/100*'NBs List'!$M$13)</f>
        <v>0</v>
      </c>
      <c r="M82" s="183">
        <f>IF(M51=0,0,M51+INDEX('Exchange Offer'!$N$38:$N$62,MATCH('Exchange Results'!$A82,offer_adj_oldbonds,0))/100*'NBs List'!$M$13)</f>
        <v>0</v>
      </c>
      <c r="N82" s="178">
        <f>IF(D82="","",D82*$X82/INDEX('EBs NPVs'!$F$121:$F$145,MATCH($A82,'EBs NPVs'!$A$121:$A$145,0)))</f>
        <v>0</v>
      </c>
      <c r="O82" s="179">
        <f>IF(E82="","",E82*$X82/INDEX('EBs NPVs'!$F$121:$F$145,MATCH($A82,'EBs NPVs'!$A$121:$A$145,0)))</f>
        <v>69.925947134914125</v>
      </c>
      <c r="P82" s="179">
        <f>IF(F82="","",F82*$X82/INDEX('EBs NPVs'!$F$121:$F$145,MATCH($A82,'EBs NPVs'!$A$121:$A$145,0)))</f>
        <v>74.624524700268651</v>
      </c>
      <c r="Q82" s="179">
        <f>IF(G82="","",G82*$X82/INDEX('EBs NPVs'!$F$121:$F$145,MATCH($A82,'EBs NPVs'!$A$121:$A$145,0)))</f>
        <v>0</v>
      </c>
      <c r="R82" s="179">
        <f>IF(H82="","",H82*$X82/INDEX('EBs NPVs'!$F$121:$F$145,MATCH($A82,'EBs NPVs'!$A$121:$A$145,0)))</f>
        <v>0</v>
      </c>
      <c r="S82" s="182">
        <f>IF(I82="","",I82*$X82/INDEX('EBs NPVs'!$F$121:$F$145,MATCH($A82,'EBs NPVs'!$A$121:$A$145,0)))</f>
        <v>0</v>
      </c>
      <c r="T82" s="182">
        <f>IF(J82="","",J82*$X82/INDEX('EBs NPVs'!$F$121:$F$145,MATCH($A82,'EBs NPVs'!$A$121:$A$145,0)))</f>
        <v>0</v>
      </c>
      <c r="U82" s="182">
        <f>IF(K82="","",K82*$X82/INDEX('EBs NPVs'!$F$121:$F$145,MATCH($A82,'EBs NPVs'!$A$121:$A$145,0)))</f>
        <v>0</v>
      </c>
      <c r="V82" s="182">
        <f>IF(L82="","",L82*$X82/INDEX('EBs NPVs'!$F$121:$F$145,MATCH($A82,'EBs NPVs'!$A$121:$A$145,0)))</f>
        <v>0</v>
      </c>
      <c r="W82" s="183">
        <f>IF(M82="","",M82*$X82/INDEX('EBs NPVs'!$F$121:$F$145,MATCH($A82,'EBs NPVs'!$A$121:$A$145,0)))</f>
        <v>0</v>
      </c>
      <c r="X82" s="6">
        <f>INDEX('EBs List'!$P$2:$P$26,MATCH('Exchange Results'!A82,'EBs List'!$A$2:$A$26,0))</f>
        <v>100</v>
      </c>
      <c r="Y82" s="84"/>
      <c r="Z82" s="84"/>
      <c r="AA82" s="84"/>
    </row>
    <row r="83" spans="1:27" x14ac:dyDescent="0.2">
      <c r="A83" s="68" t="str">
        <f t="shared" si="76"/>
        <v>Euro 2022</v>
      </c>
      <c r="B83" s="8">
        <v>2016</v>
      </c>
      <c r="C83" s="68" t="s">
        <v>128</v>
      </c>
      <c r="D83" s="180">
        <f>IF(D52=0,0,D52+INDEX('Exchange Offer'!$N$38:$N$62,MATCH('Exchange Results'!$A83,offer_adj_oldbonds,0))/100*'NBs List'!$M$13)</f>
        <v>48.776971439268053</v>
      </c>
      <c r="E83" s="181">
        <f>IF(E52=0,0,E52+INDEX('Exchange Offer'!$N$38:$N$62,MATCH('Exchange Results'!$A83,offer_adj_oldbonds,0))/100*'NBs List'!$M$13)</f>
        <v>0</v>
      </c>
      <c r="F83" s="181">
        <f>IF(F52=0,0,F52+INDEX('Exchange Offer'!$N$38:$N$62,MATCH('Exchange Results'!$A83,offer_adj_oldbonds,0))/100*'NBs List'!$M$13)</f>
        <v>0</v>
      </c>
      <c r="G83" s="181">
        <f>IF(G52=0,0,G52+INDEX('Exchange Offer'!$N$38:$N$62,MATCH('Exchange Results'!$A83,offer_adj_oldbonds,0))/100*'NBs List'!$M$13)</f>
        <v>0</v>
      </c>
      <c r="H83" s="181">
        <f>IF(H52=0,0,H52+INDEX('Exchange Offer'!$N$38:$N$62,MATCH('Exchange Results'!$A83,offer_adj_oldbonds,0))/100*'NBs List'!$M$13)</f>
        <v>0</v>
      </c>
      <c r="I83" s="182">
        <f>IF(I52=0,0,I52+INDEX('Exchange Offer'!$N$38:$N$62,MATCH('Exchange Results'!$A83,offer_adj_oldbonds,0))/100*'NBs List'!$M$13)</f>
        <v>56.996023945345634</v>
      </c>
      <c r="J83" s="182">
        <f>IF(J52=0,0,J52+INDEX('Exchange Offer'!$N$38:$N$62,MATCH('Exchange Results'!$A83,offer_adj_oldbonds,0))/100*'NBs List'!$M$13)</f>
        <v>52.216340443024038</v>
      </c>
      <c r="K83" s="182">
        <f>IF(K52=0,0,K52+INDEX('Exchange Offer'!$N$38:$N$62,MATCH('Exchange Results'!$A83,offer_adj_oldbonds,0))/100*'NBs List'!$M$13)</f>
        <v>0</v>
      </c>
      <c r="L83" s="182">
        <f>IF(L52=0,0,L52+INDEX('Exchange Offer'!$N$38:$N$62,MATCH('Exchange Results'!$A83,offer_adj_oldbonds,0))/100*'NBs List'!$M$13)</f>
        <v>0</v>
      </c>
      <c r="M83" s="183">
        <f>IF(M52=0,0,M52+INDEX('Exchange Offer'!$N$38:$N$62,MATCH('Exchange Results'!$A83,offer_adj_oldbonds,0))/100*'NBs List'!$M$13)</f>
        <v>49.964374177507089</v>
      </c>
      <c r="N83" s="180">
        <f>IF(D83="","",D83*$X83/INDEX('EBs NPVs'!$F$121:$F$145,MATCH($A83,'EBs NPVs'!$A$121:$A$145,0)))</f>
        <v>55.240733620175334</v>
      </c>
      <c r="O83" s="181">
        <f>IF(E83="","",E83*$X83/INDEX('EBs NPVs'!$F$121:$F$145,MATCH($A83,'EBs NPVs'!$A$121:$A$145,0)))</f>
        <v>0</v>
      </c>
      <c r="P83" s="181">
        <f>IF(F83="","",F83*$X83/INDEX('EBs NPVs'!$F$121:$F$145,MATCH($A83,'EBs NPVs'!$A$121:$A$145,0)))</f>
        <v>0</v>
      </c>
      <c r="Q83" s="181">
        <f>IF(G83="","",G83*$X83/INDEX('EBs NPVs'!$F$121:$F$145,MATCH($A83,'EBs NPVs'!$A$121:$A$145,0)))</f>
        <v>0</v>
      </c>
      <c r="R83" s="181">
        <f>IF(H83="","",H83*$X83/INDEX('EBs NPVs'!$F$121:$F$145,MATCH($A83,'EBs NPVs'!$A$121:$A$145,0)))</f>
        <v>0</v>
      </c>
      <c r="S83" s="182">
        <f>IF(I83="","",I83*$X83/INDEX('EBs NPVs'!$F$121:$F$145,MATCH($A83,'EBs NPVs'!$A$121:$A$145,0)))</f>
        <v>64.548947654410156</v>
      </c>
      <c r="T83" s="182">
        <f>IF(J83="","",J83*$X83/INDEX('EBs NPVs'!$F$121:$F$145,MATCH($A83,'EBs NPVs'!$A$121:$A$145,0)))</f>
        <v>59.135876376107433</v>
      </c>
      <c r="U83" s="182">
        <f>IF(K83="","",K83*$X83/INDEX('EBs NPVs'!$F$121:$F$145,MATCH($A83,'EBs NPVs'!$A$121:$A$145,0)))</f>
        <v>0</v>
      </c>
      <c r="V83" s="182">
        <f>IF(L83="","",L83*$X83/INDEX('EBs NPVs'!$F$121:$F$145,MATCH($A83,'EBs NPVs'!$A$121:$A$145,0)))</f>
        <v>0</v>
      </c>
      <c r="W83" s="183">
        <f>IF(M83="","",M83*$X83/INDEX('EBs NPVs'!$F$121:$F$145,MATCH($A83,'EBs NPVs'!$A$121:$A$145,0)))</f>
        <v>56.585487023830147</v>
      </c>
      <c r="X83" s="6">
        <f>INDEX('EBs List'!$P$2:$P$26,MATCH('Exchange Results'!A83,'EBs List'!$A$2:$A$26,0))</f>
        <v>100</v>
      </c>
      <c r="Y83" s="84"/>
      <c r="Z83" s="84"/>
      <c r="AA83" s="84"/>
    </row>
    <row r="84" spans="1:27" x14ac:dyDescent="0.2">
      <c r="A84" s="68" t="str">
        <f t="shared" si="76"/>
        <v>Euro 2023</v>
      </c>
      <c r="B84" s="8">
        <v>2016</v>
      </c>
      <c r="C84" s="68" t="s">
        <v>129</v>
      </c>
      <c r="D84" s="180">
        <f>IF(D53=0,0,D53+INDEX('Exchange Offer'!$N$38:$N$62,MATCH('Exchange Results'!$A84,offer_adj_oldbonds,0))/100*'NBs List'!$M$13)</f>
        <v>48.609966261790198</v>
      </c>
      <c r="E84" s="181">
        <f>IF(E53=0,0,E53+INDEX('Exchange Offer'!$N$38:$N$62,MATCH('Exchange Results'!$A84,offer_adj_oldbonds,0))/100*'NBs List'!$M$13)</f>
        <v>0</v>
      </c>
      <c r="F84" s="181">
        <f>IF(F53=0,0,F53+INDEX('Exchange Offer'!$N$38:$N$62,MATCH('Exchange Results'!$A84,offer_adj_oldbonds,0))/100*'NBs List'!$M$13)</f>
        <v>0</v>
      </c>
      <c r="G84" s="181">
        <f>IF(G53=0,0,G53+INDEX('Exchange Offer'!$N$38:$N$62,MATCH('Exchange Results'!$A84,offer_adj_oldbonds,0))/100*'NBs List'!$M$13)</f>
        <v>0</v>
      </c>
      <c r="H84" s="181">
        <f>IF(H53=0,0,H53+INDEX('Exchange Offer'!$N$38:$N$62,MATCH('Exchange Results'!$A84,offer_adj_oldbonds,0))/100*'NBs List'!$M$13)</f>
        <v>0</v>
      </c>
      <c r="I84" s="182">
        <f>IF(I53=0,0,I53+INDEX('Exchange Offer'!$N$38:$N$62,MATCH('Exchange Results'!$A84,offer_adj_oldbonds,0))/100*'NBs List'!$M$13)</f>
        <v>56.82901876786778</v>
      </c>
      <c r="J84" s="182">
        <f>IF(J53=0,0,J53+INDEX('Exchange Offer'!$N$38:$N$62,MATCH('Exchange Results'!$A84,offer_adj_oldbonds,0))/100*'NBs List'!$M$13)</f>
        <v>52.049335265546183</v>
      </c>
      <c r="K84" s="182">
        <f>IF(K53=0,0,K53+INDEX('Exchange Offer'!$N$38:$N$62,MATCH('Exchange Results'!$A84,offer_adj_oldbonds,0))/100*'NBs List'!$M$13)</f>
        <v>0</v>
      </c>
      <c r="L84" s="182">
        <f>IF(L53=0,0,L53+INDEX('Exchange Offer'!$N$38:$N$62,MATCH('Exchange Results'!$A84,offer_adj_oldbonds,0))/100*'NBs List'!$M$13)</f>
        <v>0</v>
      </c>
      <c r="M84" s="183">
        <f>IF(M53=0,0,M53+INDEX('Exchange Offer'!$N$38:$N$62,MATCH('Exchange Results'!$A84,offer_adj_oldbonds,0))/100*'NBs List'!$M$13)</f>
        <v>49.797369000029235</v>
      </c>
      <c r="N84" s="180">
        <f>IF(D84="","",D84*$X84/INDEX('EBs NPVs'!$F$121:$F$145,MATCH($A84,'EBs NPVs'!$A$121:$A$145,0)))</f>
        <v>60.908777537262502</v>
      </c>
      <c r="O84" s="181">
        <f>IF(E84="","",E84*$X84/INDEX('EBs NPVs'!$F$121:$F$145,MATCH($A84,'EBs NPVs'!$A$121:$A$145,0)))</f>
        <v>0</v>
      </c>
      <c r="P84" s="181">
        <f>IF(F84="","",F84*$X84/INDEX('EBs NPVs'!$F$121:$F$145,MATCH($A84,'EBs NPVs'!$A$121:$A$145,0)))</f>
        <v>0</v>
      </c>
      <c r="Q84" s="181">
        <f>IF(G84="","",G84*$X84/INDEX('EBs NPVs'!$F$121:$F$145,MATCH($A84,'EBs NPVs'!$A$121:$A$145,0)))</f>
        <v>0</v>
      </c>
      <c r="R84" s="181">
        <f>IF(H84="","",H84*$X84/INDEX('EBs NPVs'!$F$121:$F$145,MATCH($A84,'EBs NPVs'!$A$121:$A$145,0)))</f>
        <v>0</v>
      </c>
      <c r="S84" s="182">
        <f>IF(I84="","",I84*$X84/INDEX('EBs NPVs'!$F$121:$F$145,MATCH($A84,'EBs NPVs'!$A$121:$A$145,0)))</f>
        <v>71.207333145462243</v>
      </c>
      <c r="T84" s="182">
        <f>IF(J84="","",J84*$X84/INDEX('EBs NPVs'!$F$121:$F$145,MATCH($A84,'EBs NPVs'!$A$121:$A$145,0)))</f>
        <v>65.218341555269191</v>
      </c>
      <c r="U84" s="182">
        <f>IF(K84="","",K84*$X84/INDEX('EBs NPVs'!$F$121:$F$145,MATCH($A84,'EBs NPVs'!$A$121:$A$145,0)))</f>
        <v>0</v>
      </c>
      <c r="V84" s="182">
        <f>IF(L84="","",L84*$X84/INDEX('EBs NPVs'!$F$121:$F$145,MATCH($A84,'EBs NPVs'!$A$121:$A$145,0)))</f>
        <v>0</v>
      </c>
      <c r="W84" s="183">
        <f>IF(M84="","",M84*$X84/INDEX('EBs NPVs'!$F$121:$F$145,MATCH($A84,'EBs NPVs'!$A$121:$A$145,0)))</f>
        <v>62.396605132966634</v>
      </c>
      <c r="X84" s="6">
        <f>INDEX('EBs List'!$P$2:$P$26,MATCH('Exchange Results'!A84,'EBs List'!$A$2:$A$26,0))</f>
        <v>100</v>
      </c>
      <c r="Y84" s="84"/>
      <c r="Z84" s="84"/>
      <c r="AA84" s="84"/>
    </row>
    <row r="85" spans="1:27" x14ac:dyDescent="0.2">
      <c r="A85" s="68" t="str">
        <f t="shared" si="76"/>
        <v>Euro 2027</v>
      </c>
      <c r="B85" s="8">
        <v>2016</v>
      </c>
      <c r="C85" s="68" t="s">
        <v>131</v>
      </c>
      <c r="D85" s="180">
        <f>IF(D54=0,0,D54+INDEX('Exchange Offer'!$N$38:$N$62,MATCH('Exchange Results'!$A85,offer_adj_oldbonds,0))/100*'NBs List'!$M$13)</f>
        <v>0</v>
      </c>
      <c r="E85" s="181">
        <f>IF(E54=0,0,E54+INDEX('Exchange Offer'!$N$38:$N$62,MATCH('Exchange Results'!$A85,offer_adj_oldbonds,0))/100*'NBs List'!$M$13)</f>
        <v>43.638556806155613</v>
      </c>
      <c r="F85" s="181">
        <f>IF(F54=0,0,F54+INDEX('Exchange Offer'!$N$38:$N$62,MATCH('Exchange Results'!$A85,offer_adj_oldbonds,0))/100*'NBs List'!$M$13)</f>
        <v>0</v>
      </c>
      <c r="G85" s="181">
        <f>IF(G54=0,0,G54+INDEX('Exchange Offer'!$N$38:$N$62,MATCH('Exchange Results'!$A85,offer_adj_oldbonds,0))/100*'NBs List'!$M$13)</f>
        <v>0</v>
      </c>
      <c r="H85" s="181">
        <f>IF(H54=0,0,H54+INDEX('Exchange Offer'!$N$38:$N$62,MATCH('Exchange Results'!$A85,offer_adj_oldbonds,0))/100*'NBs List'!$M$13)</f>
        <v>0</v>
      </c>
      <c r="I85" s="182">
        <f>IF(I54=0,0,I54+INDEX('Exchange Offer'!$N$38:$N$62,MATCH('Exchange Results'!$A85,offer_adj_oldbonds,0))/100*'NBs List'!$M$13)</f>
        <v>57.371801085160058</v>
      </c>
      <c r="J85" s="182">
        <f>IF(J54=0,0,J54+INDEX('Exchange Offer'!$N$38:$N$62,MATCH('Exchange Results'!$A85,offer_adj_oldbonds,0))/100*'NBs List'!$M$13)</f>
        <v>52.592117582838462</v>
      </c>
      <c r="K85" s="182">
        <f>IF(K54=0,0,K54+INDEX('Exchange Offer'!$N$38:$N$62,MATCH('Exchange Results'!$A85,offer_adj_oldbonds,0))/100*'NBs List'!$M$13)</f>
        <v>0</v>
      </c>
      <c r="L85" s="182">
        <f>IF(L54=0,0,L54+INDEX('Exchange Offer'!$N$38:$N$62,MATCH('Exchange Results'!$A85,offer_adj_oldbonds,0))/100*'NBs List'!$M$13)</f>
        <v>0</v>
      </c>
      <c r="M85" s="183">
        <f>IF(M54=0,0,M54+INDEX('Exchange Offer'!$N$38:$N$62,MATCH('Exchange Results'!$A85,offer_adj_oldbonds,0))/100*'NBs List'!$M$13)</f>
        <v>50.340151317321514</v>
      </c>
      <c r="N85" s="180">
        <f>IF(D85="","",D85*$X85/INDEX('EBs NPVs'!$F$121:$F$145,MATCH($A85,'EBs NPVs'!$A$121:$A$145,0)))</f>
        <v>0</v>
      </c>
      <c r="O85" s="181">
        <f>IF(E85="","",E85*$X85/INDEX('EBs NPVs'!$F$121:$F$145,MATCH($A85,'EBs NPVs'!$A$121:$A$145,0)))</f>
        <v>68.887756977902214</v>
      </c>
      <c r="P85" s="181">
        <f>IF(F85="","",F85*$X85/INDEX('EBs NPVs'!$F$121:$F$145,MATCH($A85,'EBs NPVs'!$A$121:$A$145,0)))</f>
        <v>0</v>
      </c>
      <c r="Q85" s="181">
        <f>IF(G85="","",G85*$X85/INDEX('EBs NPVs'!$F$121:$F$145,MATCH($A85,'EBs NPVs'!$A$121:$A$145,0)))</f>
        <v>0</v>
      </c>
      <c r="R85" s="181">
        <f>IF(H85="","",H85*$X85/INDEX('EBs NPVs'!$F$121:$F$145,MATCH($A85,'EBs NPVs'!$A$121:$A$145,0)))</f>
        <v>0</v>
      </c>
      <c r="S85" s="182">
        <f>IF(I85="","",I85*$X85/INDEX('EBs NPVs'!$F$121:$F$145,MATCH($A85,'EBs NPVs'!$A$121:$A$145,0)))</f>
        <v>90.567034746244332</v>
      </c>
      <c r="T85" s="182">
        <f>IF(J85="","",J85*$X85/INDEX('EBs NPVs'!$F$121:$F$145,MATCH($A85,'EBs NPVs'!$A$121:$A$145,0)))</f>
        <v>83.021833904662586</v>
      </c>
      <c r="U85" s="182">
        <f>IF(K85="","",K85*$X85/INDEX('EBs NPVs'!$F$121:$F$145,MATCH($A85,'EBs NPVs'!$A$121:$A$145,0)))</f>
        <v>0</v>
      </c>
      <c r="V85" s="182">
        <f>IF(L85="","",L85*$X85/INDEX('EBs NPVs'!$F$121:$F$145,MATCH($A85,'EBs NPVs'!$A$121:$A$145,0)))</f>
        <v>0</v>
      </c>
      <c r="W85" s="183">
        <f>IF(M85="","",M85*$X85/INDEX('EBs NPVs'!$F$121:$F$145,MATCH($A85,'EBs NPVs'!$A$121:$A$145,0)))</f>
        <v>79.46688350814803</v>
      </c>
      <c r="X85" s="6">
        <f>INDEX('EBs List'!$P$2:$P$26,MATCH('Exchange Results'!A85,'EBs List'!$A$2:$A$26,0))</f>
        <v>100</v>
      </c>
      <c r="Y85" s="84"/>
      <c r="Z85" s="84"/>
      <c r="AA85" s="84"/>
    </row>
    <row r="86" spans="1:27" x14ac:dyDescent="0.2">
      <c r="A86" s="68" t="str">
        <f t="shared" si="76"/>
        <v>Euro 2028</v>
      </c>
      <c r="B86" s="8">
        <v>2016</v>
      </c>
      <c r="C86" s="68" t="s">
        <v>132</v>
      </c>
      <c r="D86" s="180">
        <f>IF(D55=0,0,D55+INDEX('Exchange Offer'!$N$38:$N$62,MATCH('Exchange Results'!$A86,offer_adj_oldbonds,0))/100*'NBs List'!$M$13)</f>
        <v>0</v>
      </c>
      <c r="E86" s="181">
        <f>IF(E55=0,0,E55+INDEX('Exchange Offer'!$N$38:$N$62,MATCH('Exchange Results'!$A86,offer_adj_oldbonds,0))/100*'NBs List'!$M$13)</f>
        <v>43.722063820748616</v>
      </c>
      <c r="F86" s="181">
        <f>IF(F55=0,0,F55+INDEX('Exchange Offer'!$N$38:$N$62,MATCH('Exchange Results'!$A86,offer_adj_oldbonds,0))/100*'NBs List'!$M$13)</f>
        <v>0</v>
      </c>
      <c r="G86" s="181">
        <f>IF(G55=0,0,G55+INDEX('Exchange Offer'!$N$38:$N$62,MATCH('Exchange Results'!$A86,offer_adj_oldbonds,0))/100*'NBs List'!$M$13)</f>
        <v>0</v>
      </c>
      <c r="H86" s="181">
        <f>IF(H55=0,0,H55+INDEX('Exchange Offer'!$N$38:$N$62,MATCH('Exchange Results'!$A86,offer_adj_oldbonds,0))/100*'NBs List'!$M$13)</f>
        <v>0</v>
      </c>
      <c r="I86" s="182">
        <f>IF(I55=0,0,I55+INDEX('Exchange Offer'!$N$38:$N$62,MATCH('Exchange Results'!$A86,offer_adj_oldbonds,0))/100*'NBs List'!$M$13)</f>
        <v>57.455308099753061</v>
      </c>
      <c r="J86" s="182">
        <f>IF(J55=0,0,J55+INDEX('Exchange Offer'!$N$38:$N$62,MATCH('Exchange Results'!$A86,offer_adj_oldbonds,0))/100*'NBs List'!$M$13)</f>
        <v>52.675624597431465</v>
      </c>
      <c r="K86" s="182">
        <f>IF(K55=0,0,K55+INDEX('Exchange Offer'!$N$38:$N$62,MATCH('Exchange Results'!$A86,offer_adj_oldbonds,0))/100*'NBs List'!$M$13)</f>
        <v>0</v>
      </c>
      <c r="L86" s="182">
        <f>IF(L55=0,0,L55+INDEX('Exchange Offer'!$N$38:$N$62,MATCH('Exchange Results'!$A86,offer_adj_oldbonds,0))/100*'NBs List'!$M$13)</f>
        <v>0</v>
      </c>
      <c r="M86" s="183">
        <f>IF(M55=0,0,M55+INDEX('Exchange Offer'!$N$38:$N$62,MATCH('Exchange Results'!$A86,offer_adj_oldbonds,0))/100*'NBs List'!$M$13)</f>
        <v>50.423658331914517</v>
      </c>
      <c r="N86" s="180">
        <f>IF(D86="","",D86*$X86/INDEX('EBs NPVs'!$F$121:$F$145,MATCH($A86,'EBs NPVs'!$A$121:$A$145,0)))</f>
        <v>0</v>
      </c>
      <c r="O86" s="181">
        <f>IF(E86="","",E86*$X86/INDEX('EBs NPVs'!$F$121:$F$145,MATCH($A86,'EBs NPVs'!$A$121:$A$145,0)))</f>
        <v>71.695817547589016</v>
      </c>
      <c r="P86" s="181">
        <f>IF(F86="","",F86*$X86/INDEX('EBs NPVs'!$F$121:$F$145,MATCH($A86,'EBs NPVs'!$A$121:$A$145,0)))</f>
        <v>0</v>
      </c>
      <c r="Q86" s="181">
        <f>IF(G86="","",G86*$X86/INDEX('EBs NPVs'!$F$121:$F$145,MATCH($A86,'EBs NPVs'!$A$121:$A$145,0)))</f>
        <v>0</v>
      </c>
      <c r="R86" s="181">
        <f>IF(H86="","",H86*$X86/INDEX('EBs NPVs'!$F$121:$F$145,MATCH($A86,'EBs NPVs'!$A$121:$A$145,0)))</f>
        <v>0</v>
      </c>
      <c r="S86" s="182">
        <f>IF(I86="","",I86*$X86/INDEX('EBs NPVs'!$F$121:$F$145,MATCH($A86,'EBs NPVs'!$A$121:$A$145,0)))</f>
        <v>94.215710025691038</v>
      </c>
      <c r="T86" s="182">
        <f>IF(J86="","",J86*$X86/INDEX('EBs NPVs'!$F$121:$F$145,MATCH($A86,'EBs NPVs'!$A$121:$A$145,0)))</f>
        <v>86.377943772876421</v>
      </c>
      <c r="U86" s="182">
        <f>IF(K86="","",K86*$X86/INDEX('EBs NPVs'!$F$121:$F$145,MATCH($A86,'EBs NPVs'!$A$121:$A$145,0)))</f>
        <v>0</v>
      </c>
      <c r="V86" s="182">
        <f>IF(L86="","",L86*$X86/INDEX('EBs NPVs'!$F$121:$F$145,MATCH($A86,'EBs NPVs'!$A$121:$A$145,0)))</f>
        <v>0</v>
      </c>
      <c r="W86" s="183">
        <f>IF(M86="","",M86*$X86/INDEX('EBs NPVs'!$F$121:$F$145,MATCH($A86,'EBs NPVs'!$A$121:$A$145,0)))</f>
        <v>82.685150057607927</v>
      </c>
      <c r="X86" s="6">
        <f>INDEX('EBs List'!$P$2:$P$26,MATCH('Exchange Results'!A86,'EBs List'!$A$2:$A$26,0))</f>
        <v>100</v>
      </c>
      <c r="Y86" s="84"/>
      <c r="Z86" s="84"/>
      <c r="AA86" s="84"/>
    </row>
    <row r="87" spans="1:27" x14ac:dyDescent="0.2">
      <c r="A87" s="68" t="str">
        <f t="shared" si="76"/>
        <v>Euro 2047</v>
      </c>
      <c r="B87" s="8">
        <v>2016</v>
      </c>
      <c r="C87" s="68" t="s">
        <v>133</v>
      </c>
      <c r="D87" s="180">
        <f>IF(D56=0,0,D56+INDEX('Exchange Offer'!$N$38:$N$62,MATCH('Exchange Results'!$A87,offer_adj_oldbonds,0))/100*'NBs List'!$M$13)</f>
        <v>0</v>
      </c>
      <c r="E87" s="181">
        <f>IF(E56=0,0,E56+INDEX('Exchange Offer'!$N$38:$N$62,MATCH('Exchange Results'!$A87,offer_adj_oldbonds,0))/100*'NBs List'!$M$13)</f>
        <v>0</v>
      </c>
      <c r="F87" s="181">
        <f>IF(F56=0,0,F56+INDEX('Exchange Offer'!$N$38:$N$62,MATCH('Exchange Results'!$A87,offer_adj_oldbonds,0))/100*'NBs List'!$M$13)</f>
        <v>47.648238984948819</v>
      </c>
      <c r="G87" s="181">
        <f>IF(G56=0,0,G56+INDEX('Exchange Offer'!$N$38:$N$62,MATCH('Exchange Results'!$A87,offer_adj_oldbonds,0))/100*'NBs List'!$M$13)</f>
        <v>0</v>
      </c>
      <c r="H87" s="181">
        <f>IF(H56=0,0,H56+INDEX('Exchange Offer'!$N$38:$N$62,MATCH('Exchange Results'!$A87,offer_adj_oldbonds,0))/100*'NBs List'!$M$13)</f>
        <v>0</v>
      </c>
      <c r="I87" s="182">
        <f>IF(I56=0,0,I56+INDEX('Exchange Offer'!$N$38:$N$62,MATCH('Exchange Results'!$A87,offer_adj_oldbonds,0))/100*'NBs List'!$M$13)</f>
        <v>0</v>
      </c>
      <c r="J87" s="182">
        <f>IF(J56=0,0,J56+INDEX('Exchange Offer'!$N$38:$N$62,MATCH('Exchange Results'!$A87,offer_adj_oldbonds,0))/100*'NBs List'!$M$13)</f>
        <v>53.60994894673555</v>
      </c>
      <c r="K87" s="182">
        <f>IF(K56=0,0,K56+INDEX('Exchange Offer'!$N$38:$N$62,MATCH('Exchange Results'!$A87,offer_adj_oldbonds,0))/100*'NBs List'!$M$13)</f>
        <v>0</v>
      </c>
      <c r="L87" s="182">
        <f>IF(L56=0,0,L56+INDEX('Exchange Offer'!$N$38:$N$62,MATCH('Exchange Results'!$A87,offer_adj_oldbonds,0))/100*'NBs List'!$M$13)</f>
        <v>0</v>
      </c>
      <c r="M87" s="183">
        <f>IF(M56=0,0,M56+INDEX('Exchange Offer'!$N$38:$N$62,MATCH('Exchange Results'!$A87,offer_adj_oldbonds,0))/100*'NBs List'!$M$13)</f>
        <v>51.357982681218601</v>
      </c>
      <c r="N87" s="180">
        <f>IF(D87="","",D87*$X87/INDEX('EBs NPVs'!$F$121:$F$145,MATCH($A87,'EBs NPVs'!$A$121:$A$145,0)))</f>
        <v>0</v>
      </c>
      <c r="O87" s="181">
        <f>IF(E87="","",E87*$X87/INDEX('EBs NPVs'!$F$121:$F$145,MATCH($A87,'EBs NPVs'!$A$121:$A$145,0)))</f>
        <v>0</v>
      </c>
      <c r="P87" s="181">
        <f>IF(F87="","",F87*$X87/INDEX('EBs NPVs'!$F$121:$F$145,MATCH($A87,'EBs NPVs'!$A$121:$A$145,0)))</f>
        <v>104.20770345872431</v>
      </c>
      <c r="Q87" s="181">
        <f>IF(G87="","",G87*$X87/INDEX('EBs NPVs'!$F$121:$F$145,MATCH($A87,'EBs NPVs'!$A$121:$A$145,0)))</f>
        <v>0</v>
      </c>
      <c r="R87" s="181">
        <f>IF(H87="","",H87*$X87/INDEX('EBs NPVs'!$F$121:$F$145,MATCH($A87,'EBs NPVs'!$A$121:$A$145,0)))</f>
        <v>0</v>
      </c>
      <c r="S87" s="182">
        <f>IF(I87="","",I87*$X87/INDEX('EBs NPVs'!$F$121:$F$145,MATCH($A87,'EBs NPVs'!$A$121:$A$145,0)))</f>
        <v>0</v>
      </c>
      <c r="T87" s="182">
        <f>IF(J87="","",J87*$X87/INDEX('EBs NPVs'!$F$121:$F$145,MATCH($A87,'EBs NPVs'!$A$121:$A$145,0)))</f>
        <v>117.24608886476287</v>
      </c>
      <c r="U87" s="182">
        <f>IF(K87="","",K87*$X87/INDEX('EBs NPVs'!$F$121:$F$145,MATCH($A87,'EBs NPVs'!$A$121:$A$145,0)))</f>
        <v>0</v>
      </c>
      <c r="V87" s="182">
        <f>IF(L87="","",L87*$X87/INDEX('EBs NPVs'!$F$121:$F$145,MATCH($A87,'EBs NPVs'!$A$121:$A$145,0)))</f>
        <v>0</v>
      </c>
      <c r="W87" s="183">
        <f>IF(M87="","",M87*$X87/INDEX('EBs NPVs'!$F$121:$F$145,MATCH($A87,'EBs NPVs'!$A$121:$A$145,0)))</f>
        <v>112.3209911529635</v>
      </c>
      <c r="X87" s="6">
        <f>INDEX('EBs List'!$P$2:$P$26,MATCH('Exchange Results'!A87,'EBs List'!$A$2:$A$26,0))</f>
        <v>100</v>
      </c>
      <c r="Y87" s="84"/>
      <c r="Z87" s="84"/>
      <c r="AA87" s="84"/>
    </row>
    <row r="88" spans="1:27" x14ac:dyDescent="0.2">
      <c r="A88" s="129" t="str">
        <f t="shared" si="76"/>
        <v>CHF 2020</v>
      </c>
      <c r="B88" s="11">
        <v>2016</v>
      </c>
      <c r="C88" s="129" t="s">
        <v>130</v>
      </c>
      <c r="D88" s="188">
        <f>IF(D57=0,0,D57+INDEX('Exchange Offer'!$N$38:$N$62,MATCH('Exchange Results'!$A88,offer_adj_oldbonds,0))/100*'NBs List'!$M$13)</f>
        <v>48.915392703473763</v>
      </c>
      <c r="E88" s="189">
        <f>IF(E57=0,0,E57+INDEX('Exchange Offer'!$N$38:$N$62,MATCH('Exchange Results'!$A88,offer_adj_oldbonds,0))/100*'NBs List'!$M$13)</f>
        <v>0</v>
      </c>
      <c r="F88" s="189">
        <f>IF(F57=0,0,F57+INDEX('Exchange Offer'!$N$38:$N$62,MATCH('Exchange Results'!$A88,offer_adj_oldbonds,0))/100*'NBs List'!$M$13)</f>
        <v>0</v>
      </c>
      <c r="G88" s="189">
        <f>IF(G57=0,0,G57+INDEX('Exchange Offer'!$N$38:$N$62,MATCH('Exchange Results'!$A88,offer_adj_oldbonds,0))/100*'NBs List'!$M$13)</f>
        <v>0</v>
      </c>
      <c r="H88" s="189">
        <f>IF(H57=0,0,H57+INDEX('Exchange Offer'!$N$38:$N$62,MATCH('Exchange Results'!$A88,offer_adj_oldbonds,0))/100*'NBs List'!$M$13)</f>
        <v>0</v>
      </c>
      <c r="I88" s="189">
        <f>IF(I57=0,0,I57+INDEX('Exchange Offer'!$N$38:$N$62,MATCH('Exchange Results'!$A88,offer_adj_oldbonds,0))/100*'NBs List'!$M$13)</f>
        <v>57.139335683184157</v>
      </c>
      <c r="J88" s="189">
        <f>IF(J57=0,0,J57+INDEX('Exchange Offer'!$N$38:$N$62,MATCH('Exchange Results'!$A88,offer_adj_oldbonds,0))/100*'NBs List'!$M$13)</f>
        <v>52.397344486512139</v>
      </c>
      <c r="K88" s="189">
        <f>IF(K57=0,0,K57+INDEX('Exchange Offer'!$N$38:$N$62,MATCH('Exchange Results'!$A88,offer_adj_oldbonds,0))/100*'NBs List'!$M$13)</f>
        <v>0</v>
      </c>
      <c r="L88" s="189">
        <f>IF(L57=0,0,L57+INDEX('Exchange Offer'!$N$38:$N$62,MATCH('Exchange Results'!$A88,offer_adj_oldbonds,0))/100*'NBs List'!$M$13)</f>
        <v>0</v>
      </c>
      <c r="M88" s="190">
        <f>IF(M57=0,0,M57+INDEX('Exchange Offer'!$N$38:$N$62,MATCH('Exchange Results'!$A88,offer_adj_oldbonds,0))/100*'NBs List'!$M$13)</f>
        <v>50.150179153488651</v>
      </c>
      <c r="N88" s="188">
        <f>IF(D88="","",D88*$X88/INDEX('EBs NPVs'!$F$121:$F$145,MATCH($A88,'EBs NPVs'!$A$121:$A$145,0)))</f>
        <v>47.783947613505646</v>
      </c>
      <c r="O88" s="189">
        <f>IF(E88="","",E88*$X88/INDEX('EBs NPVs'!$F$121:$F$145,MATCH($A88,'EBs NPVs'!$A$121:$A$145,0)))</f>
        <v>0</v>
      </c>
      <c r="P88" s="189">
        <f>IF(F88="","",F88*$X88/INDEX('EBs NPVs'!$F$121:$F$145,MATCH($A88,'EBs NPVs'!$A$121:$A$145,0)))</f>
        <v>0</v>
      </c>
      <c r="Q88" s="189">
        <f>IF(G88="","",G88*$X88/INDEX('EBs NPVs'!$F$121:$F$145,MATCH($A88,'EBs NPVs'!$A$121:$A$145,0)))</f>
        <v>0</v>
      </c>
      <c r="R88" s="189">
        <f>IF(H88="","",H88*$X88/INDEX('EBs NPVs'!$F$121:$F$145,MATCH($A88,'EBs NPVs'!$A$121:$A$145,0)))</f>
        <v>0</v>
      </c>
      <c r="S88" s="189">
        <f>IF(I88="","",I88*$X88/INDEX('EBs NPVs'!$F$121:$F$145,MATCH($A88,'EBs NPVs'!$A$121:$A$145,0)))</f>
        <v>55.817665402528561</v>
      </c>
      <c r="T88" s="189">
        <f>IF(J88="","",J88*$X88/INDEX('EBs NPVs'!$F$121:$F$145,MATCH($A88,'EBs NPVs'!$A$121:$A$145,0)))</f>
        <v>51.185359569902815</v>
      </c>
      <c r="U88" s="189">
        <f>IF(K88="","",K88*$X88/INDEX('EBs NPVs'!$F$121:$F$145,MATCH($A88,'EBs NPVs'!$A$121:$A$145,0)))</f>
        <v>0</v>
      </c>
      <c r="V88" s="189">
        <f>IF(L88="","",L88*$X88/INDEX('EBs NPVs'!$F$121:$F$145,MATCH($A88,'EBs NPVs'!$A$121:$A$145,0)))</f>
        <v>0</v>
      </c>
      <c r="W88" s="190">
        <f>IF(M88="","",M88*$X88/INDEX('EBs NPVs'!$F$121:$F$145,MATCH($A88,'EBs NPVs'!$A$121:$A$145,0)))</f>
        <v>48.990172643713528</v>
      </c>
      <c r="X88" s="6">
        <f>INDEX('EBs List'!$P$2:$P$26,MATCH('Exchange Results'!A88,'EBs List'!$A$2:$A$26,0))</f>
        <v>100</v>
      </c>
      <c r="Y88" s="84"/>
      <c r="Z88" s="84"/>
      <c r="AA88" s="84"/>
    </row>
    <row r="89" spans="1:27" x14ac:dyDescent="0.2">
      <c r="A89" s="32"/>
      <c r="D89" s="158" t="s">
        <v>271</v>
      </c>
      <c r="E89" s="15"/>
      <c r="F89" s="15"/>
      <c r="G89" s="15"/>
      <c r="H89" s="135"/>
      <c r="P89" s="58"/>
    </row>
    <row r="90" spans="1:27" x14ac:dyDescent="0.2">
      <c r="D90" s="58"/>
      <c r="T90" s="67"/>
      <c r="V90" s="67"/>
    </row>
    <row r="91" spans="1:27" x14ac:dyDescent="0.2">
      <c r="A91" s="16"/>
    </row>
  </sheetData>
  <mergeCells count="18">
    <mergeCell ref="AM2:AV2"/>
    <mergeCell ref="AW2:BF2"/>
    <mergeCell ref="D2:D3"/>
    <mergeCell ref="E2:E3"/>
    <mergeCell ref="F2:F3"/>
    <mergeCell ref="G2:G3"/>
    <mergeCell ref="H2:H3"/>
    <mergeCell ref="A62:C62"/>
    <mergeCell ref="A31:C31"/>
    <mergeCell ref="D62:M62"/>
    <mergeCell ref="N62:W62"/>
    <mergeCell ref="I2:R2"/>
    <mergeCell ref="S2:AB2"/>
    <mergeCell ref="D31:M31"/>
    <mergeCell ref="R31:AA31"/>
    <mergeCell ref="N31:Q31"/>
    <mergeCell ref="AB31:AE31"/>
    <mergeCell ref="AC2:A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89EFE-B874-421F-AE08-C61511403D85}">
  <sheetPr codeName="Sheet6"/>
  <dimension ref="A1:P33"/>
  <sheetViews>
    <sheetView showGridLines="0" zoomScaleNormal="100" workbookViewId="0"/>
  </sheetViews>
  <sheetFormatPr baseColWidth="10" defaultColWidth="8.83203125" defaultRowHeight="15" x14ac:dyDescent="0.2"/>
  <cols>
    <col min="2" max="2" width="15" bestFit="1" customWidth="1"/>
    <col min="3" max="3" width="36" bestFit="1" customWidth="1"/>
    <col min="4" max="4" width="17" bestFit="1" customWidth="1"/>
    <col min="5" max="5" width="18.33203125" bestFit="1" customWidth="1"/>
    <col min="6" max="6" width="14.5" customWidth="1"/>
    <col min="7" max="7" width="19" bestFit="1" customWidth="1"/>
    <col min="8" max="8" width="13.6640625" bestFit="1" customWidth="1"/>
    <col min="9" max="9" width="104.5" bestFit="1" customWidth="1"/>
    <col min="10" max="11" width="16.5" customWidth="1"/>
    <col min="12" max="12" width="16" bestFit="1" customWidth="1"/>
    <col min="13" max="13" width="15" bestFit="1" customWidth="1"/>
    <col min="14" max="14" width="13.6640625" bestFit="1" customWidth="1"/>
    <col min="15" max="15" width="19.1640625" customWidth="1"/>
    <col min="16" max="16" width="11.83203125" bestFit="1" customWidth="1"/>
    <col min="17" max="17" width="15.6640625" bestFit="1" customWidth="1"/>
    <col min="18" max="18" width="17.5" bestFit="1" customWidth="1"/>
    <col min="19" max="19" width="16.1640625" bestFit="1" customWidth="1"/>
    <col min="20" max="20" width="23.83203125" bestFit="1" customWidth="1"/>
    <col min="21" max="21" width="18.5" bestFit="1" customWidth="1"/>
    <col min="22" max="22" width="25" bestFit="1" customWidth="1"/>
    <col min="23" max="23" width="23.33203125" bestFit="1" customWidth="1"/>
    <col min="24" max="24" width="7" bestFit="1" customWidth="1"/>
    <col min="25" max="25" width="10.5" bestFit="1" customWidth="1"/>
    <col min="26" max="26" width="11.33203125" bestFit="1" customWidth="1"/>
    <col min="27" max="27" width="11.5" bestFit="1" customWidth="1"/>
    <col min="28" max="28" width="9.6640625" bestFit="1" customWidth="1"/>
    <col min="29" max="29" width="11.6640625" bestFit="1" customWidth="1"/>
    <col min="30" max="30" width="31" bestFit="1" customWidth="1"/>
    <col min="31" max="31" width="13.83203125" bestFit="1" customWidth="1"/>
    <col min="32" max="32" width="14.6640625" bestFit="1" customWidth="1"/>
    <col min="33" max="33" width="13.5" bestFit="1" customWidth="1"/>
    <col min="34" max="34" width="10" bestFit="1" customWidth="1"/>
    <col min="35" max="35" width="12.5" bestFit="1" customWidth="1"/>
    <col min="36" max="36" width="12.83203125" bestFit="1" customWidth="1"/>
    <col min="37" max="37" width="39.1640625" bestFit="1" customWidth="1"/>
    <col min="38" max="38" width="10.33203125" bestFit="1" customWidth="1"/>
  </cols>
  <sheetData>
    <row r="1" spans="1:16" x14ac:dyDescent="0.2">
      <c r="M1" s="244">
        <v>44089</v>
      </c>
    </row>
    <row r="2" spans="1:16" ht="48" x14ac:dyDescent="0.2">
      <c r="A2" s="156" t="s">
        <v>203</v>
      </c>
      <c r="B2" s="116" t="s">
        <v>8</v>
      </c>
      <c r="C2" s="116" t="s">
        <v>9</v>
      </c>
      <c r="D2" s="116" t="s">
        <v>176</v>
      </c>
      <c r="E2" s="116" t="s">
        <v>273</v>
      </c>
      <c r="F2" s="116" t="s">
        <v>274</v>
      </c>
      <c r="G2" s="116" t="s">
        <v>298</v>
      </c>
      <c r="H2" s="116" t="s">
        <v>153</v>
      </c>
      <c r="I2" s="116" t="s">
        <v>278</v>
      </c>
      <c r="J2" s="116" t="s">
        <v>141</v>
      </c>
      <c r="K2" s="116" t="s">
        <v>151</v>
      </c>
      <c r="L2" s="116" t="s">
        <v>276</v>
      </c>
      <c r="M2" s="116" t="str">
        <f>"Exit Price on "&amp;TEXT(M1,"dd-mmm-aa")</f>
        <v>Exit Price on 15-Sep-20</v>
      </c>
      <c r="N2" s="157" t="str">
        <f>"Exit Yield on "&amp;TEXT(M1,"dd-mmm-aa")</f>
        <v>Exit Yield on 15-Sep-20</v>
      </c>
      <c r="O2" s="175" t="s">
        <v>277</v>
      </c>
      <c r="P2" s="247">
        <v>44089</v>
      </c>
    </row>
    <row r="3" spans="1:16" x14ac:dyDescent="0.2">
      <c r="A3" s="34" t="s">
        <v>111</v>
      </c>
      <c r="B3" s="35" t="s">
        <v>63</v>
      </c>
      <c r="C3" s="35" t="s">
        <v>205</v>
      </c>
      <c r="D3" s="246">
        <v>50414</v>
      </c>
      <c r="E3" s="168">
        <v>11405065289</v>
      </c>
      <c r="F3" s="35"/>
      <c r="G3" s="59" t="s">
        <v>275</v>
      </c>
      <c r="H3" s="155" t="s">
        <v>178</v>
      </c>
      <c r="I3" s="171" t="s">
        <v>287</v>
      </c>
      <c r="J3" t="s">
        <v>286</v>
      </c>
      <c r="K3" s="17">
        <f>'NBs NPVs'!C80</f>
        <v>6.1990267907982091</v>
      </c>
      <c r="L3" s="155">
        <v>2005</v>
      </c>
      <c r="M3" s="164">
        <f>VLOOKUP($B3,'NBs Prices'!$G$2:$CV$19,MATCH('NBs List'!$M$1,'NBs Prices'!$G$2:$CV$2,0),FALSE)</f>
        <v>49.948999999999998</v>
      </c>
      <c r="N3" s="165">
        <f>VLOOKUP($B3,'NBs Prices'!$G$23:$CV$40,MATCH('NBs List'!$M$1,'NBs Prices'!$G$23:$CV$23,0),FALSE)</f>
        <v>11.4871</v>
      </c>
      <c r="O3" s="126" t="s">
        <v>245</v>
      </c>
      <c r="P3" s="163">
        <v>1.1841999999999999</v>
      </c>
    </row>
    <row r="4" spans="1:16" x14ac:dyDescent="0.2">
      <c r="A4" s="28" t="s">
        <v>113</v>
      </c>
      <c r="B4" t="s">
        <v>65</v>
      </c>
      <c r="C4" t="s">
        <v>206</v>
      </c>
      <c r="D4" s="162">
        <v>51691</v>
      </c>
      <c r="E4" s="169">
        <v>10482111279</v>
      </c>
      <c r="G4" s="60" t="s">
        <v>275</v>
      </c>
      <c r="H4" s="7" t="s">
        <v>178</v>
      </c>
      <c r="I4" s="172" t="s">
        <v>289</v>
      </c>
      <c r="J4" t="s">
        <v>291</v>
      </c>
      <c r="K4" s="17">
        <f>'NBs NPVs'!C81</f>
        <v>8.7912199172535512</v>
      </c>
      <c r="L4" s="7">
        <v>2005</v>
      </c>
      <c r="M4" s="17">
        <f>VLOOKUP($B4,'NBs Prices'!$G$2:$CV$19,MATCH('NBs List'!$M$1,'NBs Prices'!$G$2:$CV$2,0),FALSE)</f>
        <v>44.445</v>
      </c>
      <c r="N4" s="166">
        <f>VLOOKUP($B4,'NBs Prices'!$G$23:$CV$40,MATCH('NBs List'!$M$1,'NBs Prices'!$G$23:$CV$23,0),FALSE)</f>
        <v>11.1838</v>
      </c>
      <c r="O4" s="128" t="s">
        <v>246</v>
      </c>
      <c r="P4" s="163">
        <v>1.1011</v>
      </c>
    </row>
    <row r="5" spans="1:16" x14ac:dyDescent="0.2">
      <c r="A5" s="28" t="s">
        <v>112</v>
      </c>
      <c r="B5" t="s">
        <v>64</v>
      </c>
      <c r="C5" t="s">
        <v>207</v>
      </c>
      <c r="D5" s="162">
        <v>50414</v>
      </c>
      <c r="E5" s="169">
        <v>809336807</v>
      </c>
      <c r="G5" s="60" t="s">
        <v>275</v>
      </c>
      <c r="H5" s="7" t="s">
        <v>179</v>
      </c>
      <c r="I5" s="172" t="s">
        <v>288</v>
      </c>
      <c r="J5" s="172" t="s">
        <v>286</v>
      </c>
      <c r="K5" s="17">
        <f>'NBs NPVs'!C82</f>
        <v>6.0215594037615823</v>
      </c>
      <c r="L5" s="7">
        <v>2005</v>
      </c>
      <c r="M5" s="17">
        <f>VLOOKUP($B5,'NBs Prices'!$G$2:$CV$19,MATCH('NBs List'!$M$1,'NBs Prices'!$G$2:$CV$2,0),FALSE)</f>
        <v>56.855870368615598</v>
      </c>
      <c r="N5" s="166">
        <f>VLOOKUP($B5,'NBs Prices'!$G$23:$CV$40,MATCH('NBs List'!$M$1,'NBs Prices'!$G$23:$CV$23,0),FALSE)</f>
        <v>13.9178432673174</v>
      </c>
      <c r="O5" s="128" t="s">
        <v>247</v>
      </c>
      <c r="P5" s="163">
        <v>0.92930000000000001</v>
      </c>
    </row>
    <row r="6" spans="1:16" x14ac:dyDescent="0.2">
      <c r="A6" s="36" t="s">
        <v>114</v>
      </c>
      <c r="B6" s="9" t="s">
        <v>66</v>
      </c>
      <c r="C6" s="9" t="s">
        <v>208</v>
      </c>
      <c r="D6" s="237">
        <v>51691</v>
      </c>
      <c r="E6" s="170">
        <v>1572601941</v>
      </c>
      <c r="F6" s="9"/>
      <c r="G6" s="61" t="s">
        <v>275</v>
      </c>
      <c r="H6" s="10" t="s">
        <v>179</v>
      </c>
      <c r="I6" s="173" t="s">
        <v>290</v>
      </c>
      <c r="J6" s="9" t="s">
        <v>291</v>
      </c>
      <c r="K6" s="136">
        <f>'NBs NPVs'!C83</f>
        <v>8.6107192079540873</v>
      </c>
      <c r="L6" s="10">
        <v>2005</v>
      </c>
      <c r="M6" s="136">
        <f>VLOOKUP($B6,'NBs Prices'!$G$2:$CV$19,MATCH('NBs List'!$M$1,'NBs Prices'!$G$2:$CV$2,0),FALSE)</f>
        <v>52.414005496067503</v>
      </c>
      <c r="N6" s="167">
        <f>VLOOKUP($B6,'NBs Prices'!$G$23:$CV$40,MATCH('NBs List'!$M$1,'NBs Prices'!$G$23:$CV$23,0),FALSE)</f>
        <v>13.124230076755399</v>
      </c>
      <c r="O6" s="127"/>
      <c r="P6" s="127"/>
    </row>
    <row r="7" spans="1:16" x14ac:dyDescent="0.2">
      <c r="A7" s="28" t="s">
        <v>107</v>
      </c>
      <c r="B7" t="s">
        <v>59</v>
      </c>
      <c r="C7" t="s">
        <v>209</v>
      </c>
      <c r="D7" s="162">
        <v>47673</v>
      </c>
      <c r="E7" s="169">
        <v>16090612138</v>
      </c>
      <c r="G7" s="60">
        <v>13800000000</v>
      </c>
      <c r="H7" s="137" t="s">
        <v>178</v>
      </c>
      <c r="I7" s="172" t="s">
        <v>282</v>
      </c>
      <c r="J7" s="172" t="s">
        <v>292</v>
      </c>
      <c r="K7" s="17">
        <f>'NBs NPVs'!C84</f>
        <v>4.5000706819173608</v>
      </c>
      <c r="L7" s="7">
        <v>2016</v>
      </c>
      <c r="M7" s="17">
        <f>VLOOKUP($B7,'NBs Prices'!$G$2:$CV$19,MATCH('NBs List'!$M$1,'NBs Prices'!$G$2:$CV$2,0),FALSE)</f>
        <v>48.897500000000001</v>
      </c>
      <c r="N7" s="166">
        <f>VLOOKUP($B7,'NBs Prices'!$G$23:$CV$40,MATCH('NBs List'!$M$1,'NBs Prices'!$G$23:$CV$23,0),FALSE)</f>
        <v>11.16855</v>
      </c>
      <c r="O7" s="127"/>
      <c r="P7" s="127"/>
    </row>
    <row r="8" spans="1:16" x14ac:dyDescent="0.2">
      <c r="A8" s="28" t="s">
        <v>109</v>
      </c>
      <c r="B8" t="s">
        <v>61</v>
      </c>
      <c r="C8" t="s">
        <v>210</v>
      </c>
      <c r="D8" s="162">
        <v>49499</v>
      </c>
      <c r="E8" s="169">
        <v>20501717804</v>
      </c>
      <c r="G8" s="60">
        <v>23000000000</v>
      </c>
      <c r="H8" s="7" t="s">
        <v>178</v>
      </c>
      <c r="I8" s="172" t="s">
        <v>284</v>
      </c>
      <c r="J8" s="172" t="s">
        <v>293</v>
      </c>
      <c r="K8" s="17">
        <f>'NBs NPVs'!C85</f>
        <v>6.8176849051502177</v>
      </c>
      <c r="L8" s="7">
        <v>2016</v>
      </c>
      <c r="M8" s="17">
        <f>VLOOKUP($B8,'NBs Prices'!$G$2:$CV$19,MATCH('NBs List'!$M$1,'NBs Prices'!$G$2:$CV$2,0),FALSE)</f>
        <v>43.219000000000001</v>
      </c>
      <c r="N8" s="166">
        <f>VLOOKUP($B8,'NBs Prices'!$G$23:$CV$40,MATCH('NBs List'!$M$1,'NBs Prices'!$G$23:$CV$23,0),FALSE)</f>
        <v>11.9398</v>
      </c>
      <c r="O8" s="23"/>
      <c r="P8" s="23"/>
    </row>
    <row r="9" spans="1:16" x14ac:dyDescent="0.2">
      <c r="A9" s="28" t="s">
        <v>115</v>
      </c>
      <c r="B9" t="s">
        <v>67</v>
      </c>
      <c r="C9" t="s">
        <v>211</v>
      </c>
      <c r="D9" s="162">
        <v>53517</v>
      </c>
      <c r="E9" s="169">
        <v>2091997126</v>
      </c>
      <c r="G9" s="60" t="s">
        <v>275</v>
      </c>
      <c r="H9" s="7" t="s">
        <v>178</v>
      </c>
      <c r="I9" s="172" t="s">
        <v>295</v>
      </c>
      <c r="J9" s="172" t="s">
        <v>297</v>
      </c>
      <c r="K9" s="17">
        <f>'NBs NPVs'!C86</f>
        <v>11.682475985840785</v>
      </c>
      <c r="L9" s="7">
        <v>2016</v>
      </c>
      <c r="M9" s="17">
        <f>VLOOKUP($B9,'NBs Prices'!$G$2:$CV$19,MATCH('NBs List'!$M$1,'NBs Prices'!$G$2:$CV$2,0),FALSE)</f>
        <v>46.3</v>
      </c>
      <c r="N9" s="166">
        <f>VLOOKUP($B9,'NBs Prices'!$G$23:$CV$40,MATCH('NBs List'!$M$1,'NBs Prices'!$G$23:$CV$23,0),FALSE)</f>
        <v>10.64865</v>
      </c>
      <c r="O9" s="23"/>
      <c r="P9" s="23"/>
    </row>
    <row r="10" spans="1:16" x14ac:dyDescent="0.2">
      <c r="A10" s="28" t="s">
        <v>108</v>
      </c>
      <c r="B10" t="s">
        <v>60</v>
      </c>
      <c r="C10" t="s">
        <v>212</v>
      </c>
      <c r="D10" s="162">
        <v>47673</v>
      </c>
      <c r="E10" s="169">
        <v>1165590836</v>
      </c>
      <c r="G10" s="60">
        <v>3100000000</v>
      </c>
      <c r="H10" s="137" t="s">
        <v>179</v>
      </c>
      <c r="I10" s="172" t="s">
        <v>283</v>
      </c>
      <c r="J10" s="172" t="s">
        <v>292</v>
      </c>
      <c r="K10" s="17">
        <f>'NBs NPVs'!C87</f>
        <v>3.08017701558432</v>
      </c>
      <c r="L10" s="7">
        <v>2016</v>
      </c>
      <c r="M10" s="17">
        <f>VLOOKUP($B10,'NBs Prices'!$G$2:$CV$19,MATCH('NBs List'!$M$1,'NBs Prices'!$G$2:$CV$2,0),FALSE)</f>
        <v>57.424429072301699</v>
      </c>
      <c r="N10" s="166">
        <f>VLOOKUP($B10,'NBs Prices'!$G$23:$CV$40,MATCH('NBs List'!$M$1,'NBs Prices'!$G$23:$CV$23,0),FALSE)</f>
        <v>14.912820998768099</v>
      </c>
      <c r="O10" s="23"/>
      <c r="P10" s="23"/>
    </row>
    <row r="11" spans="1:16" x14ac:dyDescent="0.2">
      <c r="A11" s="28" t="s">
        <v>110</v>
      </c>
      <c r="B11" t="s">
        <v>62</v>
      </c>
      <c r="C11" t="s">
        <v>213</v>
      </c>
      <c r="D11" s="162">
        <v>49499</v>
      </c>
      <c r="E11" s="169">
        <v>298795262</v>
      </c>
      <c r="G11" s="60">
        <v>2800000000</v>
      </c>
      <c r="H11" s="7" t="s">
        <v>179</v>
      </c>
      <c r="I11" s="172" t="s">
        <v>285</v>
      </c>
      <c r="J11" s="172" t="s">
        <v>293</v>
      </c>
      <c r="K11" s="17">
        <f>'NBs NPVs'!C88</f>
        <v>6.8512765713772996</v>
      </c>
      <c r="L11" s="7">
        <v>2016</v>
      </c>
      <c r="M11" s="17">
        <f>VLOOKUP($B11,'NBs Prices'!$G$2:$CV$19,MATCH('NBs List'!$M$1,'NBs Prices'!$G$2:$CV$2,0),FALSE)</f>
        <v>52.496920307021703</v>
      </c>
      <c r="N11" s="166">
        <f>VLOOKUP($B11,'NBs Prices'!$G$23:$CV$40,MATCH('NBs List'!$M$1,'NBs Prices'!$G$23:$CV$23,0),FALSE)</f>
        <v>12.4372216431347</v>
      </c>
      <c r="O11" s="23"/>
      <c r="P11" s="23"/>
    </row>
    <row r="12" spans="1:16" x14ac:dyDescent="0.2">
      <c r="A12" s="36" t="s">
        <v>116</v>
      </c>
      <c r="B12" s="9" t="s">
        <v>68</v>
      </c>
      <c r="C12" s="9" t="s">
        <v>214</v>
      </c>
      <c r="D12" s="237">
        <v>53517</v>
      </c>
      <c r="E12" s="170">
        <v>248126086</v>
      </c>
      <c r="F12" s="9"/>
      <c r="G12" s="61" t="s">
        <v>275</v>
      </c>
      <c r="H12" s="10" t="s">
        <v>179</v>
      </c>
      <c r="I12" s="173" t="s">
        <v>296</v>
      </c>
      <c r="J12" s="173" t="s">
        <v>297</v>
      </c>
      <c r="K12" s="136">
        <f>'NBs NPVs'!C89</f>
        <v>10.391701431752061</v>
      </c>
      <c r="L12" s="10">
        <v>2016</v>
      </c>
      <c r="M12" s="136">
        <f>VLOOKUP($B12,'NBs Prices'!$G$2:$CV$19,MATCH('NBs List'!$M$1,'NBs Prices'!$G$2:$CV$2,0),FALSE)</f>
        <v>50.175305600303197</v>
      </c>
      <c r="N12" s="167">
        <f>VLOOKUP($B12,'NBs Prices'!$G$23:$CV$40,MATCH('NBs List'!$M$1,'NBs Prices'!$G$23:$CV$23,0),FALSE)</f>
        <v>13.6809438074481</v>
      </c>
      <c r="O12" s="23"/>
      <c r="P12" s="23"/>
    </row>
    <row r="13" spans="1:16" x14ac:dyDescent="0.2">
      <c r="A13" s="28" t="s">
        <v>105</v>
      </c>
      <c r="B13" t="s">
        <v>57</v>
      </c>
      <c r="C13" t="s">
        <v>215</v>
      </c>
      <c r="D13" s="162">
        <v>47308</v>
      </c>
      <c r="E13" s="169">
        <v>2635028874</v>
      </c>
      <c r="F13" s="25">
        <v>27826578</v>
      </c>
      <c r="G13" s="7" t="s">
        <v>275</v>
      </c>
      <c r="H13" s="7" t="s">
        <v>178</v>
      </c>
      <c r="I13" s="172" t="s">
        <v>280</v>
      </c>
      <c r="J13" s="172" t="s">
        <v>294</v>
      </c>
      <c r="K13" s="17">
        <f>'NBs NPVs'!C90</f>
        <v>3.1165851160340798</v>
      </c>
      <c r="L13" s="7">
        <v>2016</v>
      </c>
      <c r="M13" s="17">
        <f>VLOOKUP($B13,'NBs Prices'!$G$2:$CV$19,MATCH('NBs List'!$M$1,'NBs Prices'!$G$2:$CV$2,0),FALSE)</f>
        <v>52.468499999999999</v>
      </c>
      <c r="N13" s="166">
        <f>VLOOKUP($B13,'NBs Prices'!$G$23:$CV$40,MATCH('NBs List'!$M$1,'NBs Prices'!$G$23:$CV$23,0),FALSE)</f>
        <v>10.9955</v>
      </c>
      <c r="O13" s="23"/>
      <c r="P13" s="23"/>
    </row>
    <row r="14" spans="1:16" x14ac:dyDescent="0.2">
      <c r="A14" s="36" t="s">
        <v>106</v>
      </c>
      <c r="B14" s="9" t="s">
        <v>58</v>
      </c>
      <c r="C14" s="9" t="s">
        <v>216</v>
      </c>
      <c r="D14" s="237">
        <v>47308</v>
      </c>
      <c r="E14" s="170">
        <v>90389736</v>
      </c>
      <c r="F14" s="24">
        <v>956071</v>
      </c>
      <c r="G14" s="10" t="s">
        <v>275</v>
      </c>
      <c r="H14" s="10" t="s">
        <v>179</v>
      </c>
      <c r="I14" s="173" t="s">
        <v>281</v>
      </c>
      <c r="J14" s="173" t="s">
        <v>294</v>
      </c>
      <c r="K14" s="136">
        <f>'NBs NPVs'!C91</f>
        <v>3.1051266702188816</v>
      </c>
      <c r="L14" s="10">
        <v>2016</v>
      </c>
      <c r="M14" s="136">
        <f>VLOOKUP($B14,'NBs Prices'!$G$2:$CV$19,MATCH('NBs List'!$M$1,'NBs Prices'!$G$2:$CV$2,0),FALSE)</f>
        <v>59.165640102340603</v>
      </c>
      <c r="N14" s="167">
        <f>VLOOKUP($B14,'NBs Prices'!$G$23:$CV$40,MATCH('NBs List'!$M$1,'NBs Prices'!$G$23:$CV$23,0),FALSE)</f>
        <v>11.2882592627689</v>
      </c>
      <c r="O14" s="23"/>
      <c r="P14" s="23"/>
    </row>
    <row r="15" spans="1:16" x14ac:dyDescent="0.2">
      <c r="F15" s="45"/>
      <c r="N15" s="23"/>
    </row>
    <row r="21" spans="1:8" x14ac:dyDescent="0.2">
      <c r="A21" s="45"/>
      <c r="B21" s="160"/>
      <c r="G21" s="65"/>
    </row>
    <row r="22" spans="1:8" x14ac:dyDescent="0.2">
      <c r="B22" s="162"/>
      <c r="G22" s="174"/>
      <c r="H22" s="7"/>
    </row>
    <row r="23" spans="1:8" x14ac:dyDescent="0.2">
      <c r="B23" s="162"/>
      <c r="G23" s="174"/>
      <c r="H23" s="7"/>
    </row>
    <row r="24" spans="1:8" x14ac:dyDescent="0.2">
      <c r="B24" s="162"/>
      <c r="G24" s="174"/>
      <c r="H24" s="7"/>
    </row>
    <row r="25" spans="1:8" x14ac:dyDescent="0.2">
      <c r="B25" s="162"/>
      <c r="G25" s="174"/>
      <c r="H25" s="7"/>
    </row>
    <row r="26" spans="1:8" x14ac:dyDescent="0.2">
      <c r="B26" s="162"/>
      <c r="G26" s="174"/>
      <c r="H26" s="137"/>
    </row>
    <row r="27" spans="1:8" x14ac:dyDescent="0.2">
      <c r="B27" s="162"/>
      <c r="G27" s="174"/>
      <c r="H27" s="7"/>
    </row>
    <row r="28" spans="1:8" x14ac:dyDescent="0.2">
      <c r="B28" s="162"/>
      <c r="G28" s="174"/>
      <c r="H28" s="7"/>
    </row>
    <row r="29" spans="1:8" x14ac:dyDescent="0.2">
      <c r="B29" s="162"/>
      <c r="G29" s="174"/>
      <c r="H29" s="137"/>
    </row>
    <row r="30" spans="1:8" x14ac:dyDescent="0.2">
      <c r="B30" s="162"/>
      <c r="G30" s="174"/>
      <c r="H30" s="7"/>
    </row>
    <row r="31" spans="1:8" x14ac:dyDescent="0.2">
      <c r="B31" s="162"/>
      <c r="G31" s="174"/>
      <c r="H31" s="7"/>
    </row>
    <row r="32" spans="1:8" x14ac:dyDescent="0.2">
      <c r="B32" s="162"/>
      <c r="G32" s="7"/>
      <c r="H32" s="7"/>
    </row>
    <row r="33" spans="2:8" x14ac:dyDescent="0.2">
      <c r="B33" s="162"/>
      <c r="G33" s="7"/>
      <c r="H33" s="7"/>
    </row>
  </sheetData>
  <pageMargins left="0.7" right="0.7" top="0.75" bottom="0.75" header="0.3" footer="0.3"/>
  <pageSetup orientation="portrait" r:id="rId1"/>
  <ignoredErrors>
    <ignoredError sqref="I13:I14 I1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10EE-85AD-FB42-BD9A-8C883B400EFB}">
  <dimension ref="A1:BB91"/>
  <sheetViews>
    <sheetView showGridLines="0" workbookViewId="0"/>
  </sheetViews>
  <sheetFormatPr baseColWidth="10" defaultColWidth="11.5" defaultRowHeight="15" x14ac:dyDescent="0.2"/>
  <cols>
    <col min="1" max="1" width="15.83203125" customWidth="1"/>
    <col min="2" max="2" width="17.33203125" bestFit="1" customWidth="1"/>
    <col min="4" max="24" width="14.33203125" bestFit="1" customWidth="1"/>
    <col min="25" max="25" width="14.5" bestFit="1" customWidth="1"/>
    <col min="26" max="39" width="14.33203125" bestFit="1" customWidth="1"/>
    <col min="40" max="40" width="14.5" bestFit="1" customWidth="1"/>
    <col min="41" max="56" width="14.33203125" bestFit="1" customWidth="1"/>
    <col min="57" max="57" width="14" bestFit="1" customWidth="1"/>
  </cols>
  <sheetData>
    <row r="1" spans="1:5" x14ac:dyDescent="0.2">
      <c r="C1" s="271" t="s">
        <v>299</v>
      </c>
      <c r="D1" s="271"/>
      <c r="E1" s="271"/>
    </row>
    <row r="2" spans="1:5" ht="32" x14ac:dyDescent="0.2">
      <c r="A2" s="230" t="s">
        <v>203</v>
      </c>
      <c r="B2" s="139" t="s">
        <v>176</v>
      </c>
      <c r="C2" s="2" t="s">
        <v>306</v>
      </c>
      <c r="D2" s="139" t="s">
        <v>248</v>
      </c>
      <c r="E2" s="2" t="s">
        <v>363</v>
      </c>
    </row>
    <row r="3" spans="1:5" x14ac:dyDescent="0.2">
      <c r="A3" t="s">
        <v>111</v>
      </c>
      <c r="B3" s="162">
        <v>50414</v>
      </c>
      <c r="C3">
        <v>22</v>
      </c>
      <c r="D3" s="162">
        <f>EDATE(B3,-(C3-1)*6)</f>
        <v>46577</v>
      </c>
      <c r="E3" s="17">
        <f>100/C3</f>
        <v>4.5454545454545459</v>
      </c>
    </row>
    <row r="4" spans="1:5" x14ac:dyDescent="0.2">
      <c r="A4" t="s">
        <v>113</v>
      </c>
      <c r="B4" s="162">
        <v>51691</v>
      </c>
      <c r="C4">
        <v>28</v>
      </c>
      <c r="D4" s="162">
        <f t="shared" ref="D4:D14" si="0">EDATE(B4,-(C4-1)*6)</f>
        <v>46761</v>
      </c>
      <c r="E4" s="17">
        <f t="shared" ref="E4:E14" si="1">100/C4</f>
        <v>3.5714285714285716</v>
      </c>
    </row>
    <row r="5" spans="1:5" x14ac:dyDescent="0.2">
      <c r="A5" t="s">
        <v>112</v>
      </c>
      <c r="B5" s="162">
        <v>50414</v>
      </c>
      <c r="C5">
        <v>22</v>
      </c>
      <c r="D5" s="162">
        <f t="shared" si="0"/>
        <v>46577</v>
      </c>
      <c r="E5" s="17">
        <f t="shared" si="1"/>
        <v>4.5454545454545459</v>
      </c>
    </row>
    <row r="6" spans="1:5" x14ac:dyDescent="0.2">
      <c r="A6" t="s">
        <v>114</v>
      </c>
      <c r="B6" s="162">
        <v>51691</v>
      </c>
      <c r="C6">
        <v>28</v>
      </c>
      <c r="D6" s="162">
        <f t="shared" si="0"/>
        <v>46761</v>
      </c>
      <c r="E6" s="17">
        <f t="shared" si="1"/>
        <v>3.5714285714285716</v>
      </c>
    </row>
    <row r="7" spans="1:5" x14ac:dyDescent="0.2">
      <c r="A7" t="s">
        <v>107</v>
      </c>
      <c r="B7" s="162">
        <v>47673</v>
      </c>
      <c r="C7">
        <v>13</v>
      </c>
      <c r="D7" s="162">
        <f t="shared" si="0"/>
        <v>45482</v>
      </c>
      <c r="E7" s="17">
        <f t="shared" si="1"/>
        <v>7.6923076923076925</v>
      </c>
    </row>
    <row r="8" spans="1:5" x14ac:dyDescent="0.2">
      <c r="A8" t="s">
        <v>109</v>
      </c>
      <c r="B8" s="162">
        <v>49499</v>
      </c>
      <c r="C8">
        <v>10</v>
      </c>
      <c r="D8" s="162">
        <f t="shared" si="0"/>
        <v>47857</v>
      </c>
      <c r="E8" s="17">
        <f t="shared" si="1"/>
        <v>10</v>
      </c>
    </row>
    <row r="9" spans="1:5" x14ac:dyDescent="0.2">
      <c r="A9" t="s">
        <v>115</v>
      </c>
      <c r="B9" s="162">
        <v>53517</v>
      </c>
      <c r="C9">
        <v>44</v>
      </c>
      <c r="D9" s="162">
        <f t="shared" si="0"/>
        <v>45666</v>
      </c>
      <c r="E9" s="17">
        <f t="shared" si="1"/>
        <v>2.2727272727272729</v>
      </c>
    </row>
    <row r="10" spans="1:5" x14ac:dyDescent="0.2">
      <c r="A10" t="s">
        <v>108</v>
      </c>
      <c r="B10" s="162">
        <v>47673</v>
      </c>
      <c r="C10">
        <v>13</v>
      </c>
      <c r="D10" s="162">
        <f t="shared" si="0"/>
        <v>45482</v>
      </c>
      <c r="E10" s="17">
        <f t="shared" si="1"/>
        <v>7.6923076923076925</v>
      </c>
    </row>
    <row r="11" spans="1:5" x14ac:dyDescent="0.2">
      <c r="A11" t="s">
        <v>110</v>
      </c>
      <c r="B11" s="162">
        <v>49499</v>
      </c>
      <c r="C11">
        <v>10</v>
      </c>
      <c r="D11" s="162">
        <f t="shared" si="0"/>
        <v>47857</v>
      </c>
      <c r="E11" s="17">
        <f t="shared" si="1"/>
        <v>10</v>
      </c>
    </row>
    <row r="12" spans="1:5" x14ac:dyDescent="0.2">
      <c r="A12" t="s">
        <v>116</v>
      </c>
      <c r="B12" s="162">
        <v>53517</v>
      </c>
      <c r="C12">
        <v>44</v>
      </c>
      <c r="D12" s="162">
        <f t="shared" si="0"/>
        <v>45666</v>
      </c>
      <c r="E12" s="17">
        <f t="shared" si="1"/>
        <v>2.2727272727272729</v>
      </c>
    </row>
    <row r="13" spans="1:5" x14ac:dyDescent="0.2">
      <c r="A13" t="s">
        <v>105</v>
      </c>
      <c r="B13" s="162">
        <v>47308</v>
      </c>
      <c r="C13">
        <v>10</v>
      </c>
      <c r="D13" s="162">
        <f t="shared" si="0"/>
        <v>45666</v>
      </c>
      <c r="E13" s="17">
        <f t="shared" si="1"/>
        <v>10</v>
      </c>
    </row>
    <row r="14" spans="1:5" x14ac:dyDescent="0.2">
      <c r="A14" t="s">
        <v>106</v>
      </c>
      <c r="B14" s="162">
        <v>47308</v>
      </c>
      <c r="C14">
        <v>10</v>
      </c>
      <c r="D14" s="162">
        <f t="shared" si="0"/>
        <v>45666</v>
      </c>
      <c r="E14" s="17">
        <f t="shared" si="1"/>
        <v>10</v>
      </c>
    </row>
    <row r="16" spans="1:5" x14ac:dyDescent="0.2">
      <c r="B16" t="s">
        <v>300</v>
      </c>
    </row>
    <row r="17" spans="1:53" x14ac:dyDescent="0.2">
      <c r="A17" t="s">
        <v>203</v>
      </c>
      <c r="B17" s="162">
        <v>44205</v>
      </c>
      <c r="C17" s="162">
        <f t="shared" ref="C17:AH17" si="2">EDATE(B17,6)</f>
        <v>44386</v>
      </c>
      <c r="D17" s="162">
        <f t="shared" si="2"/>
        <v>44570</v>
      </c>
      <c r="E17" s="162">
        <f t="shared" si="2"/>
        <v>44751</v>
      </c>
      <c r="F17" s="162">
        <f t="shared" si="2"/>
        <v>44935</v>
      </c>
      <c r="G17" s="162">
        <f t="shared" si="2"/>
        <v>45116</v>
      </c>
      <c r="H17" s="162">
        <f t="shared" si="2"/>
        <v>45300</v>
      </c>
      <c r="I17" s="162">
        <f t="shared" si="2"/>
        <v>45482</v>
      </c>
      <c r="J17" s="162">
        <f t="shared" si="2"/>
        <v>45666</v>
      </c>
      <c r="K17" s="162">
        <f t="shared" si="2"/>
        <v>45847</v>
      </c>
      <c r="L17" s="162">
        <f t="shared" si="2"/>
        <v>46031</v>
      </c>
      <c r="M17" s="162">
        <f t="shared" si="2"/>
        <v>46212</v>
      </c>
      <c r="N17" s="162">
        <f t="shared" si="2"/>
        <v>46396</v>
      </c>
      <c r="O17" s="162">
        <f t="shared" si="2"/>
        <v>46577</v>
      </c>
      <c r="P17" s="162">
        <f t="shared" si="2"/>
        <v>46761</v>
      </c>
      <c r="Q17" s="162">
        <f t="shared" si="2"/>
        <v>46943</v>
      </c>
      <c r="R17" s="162">
        <f t="shared" si="2"/>
        <v>47127</v>
      </c>
      <c r="S17" s="162">
        <f t="shared" si="2"/>
        <v>47308</v>
      </c>
      <c r="T17" s="162">
        <f t="shared" si="2"/>
        <v>47492</v>
      </c>
      <c r="U17" s="162">
        <f t="shared" si="2"/>
        <v>47673</v>
      </c>
      <c r="V17" s="162">
        <f t="shared" si="2"/>
        <v>47857</v>
      </c>
      <c r="W17" s="162">
        <f t="shared" si="2"/>
        <v>48038</v>
      </c>
      <c r="X17" s="162">
        <f t="shared" si="2"/>
        <v>48222</v>
      </c>
      <c r="Y17" s="162">
        <f t="shared" si="2"/>
        <v>48404</v>
      </c>
      <c r="Z17" s="162">
        <f t="shared" si="2"/>
        <v>48588</v>
      </c>
      <c r="AA17" s="162">
        <f t="shared" si="2"/>
        <v>48769</v>
      </c>
      <c r="AB17" s="162">
        <f t="shared" si="2"/>
        <v>48953</v>
      </c>
      <c r="AC17" s="162">
        <f t="shared" si="2"/>
        <v>49134</v>
      </c>
      <c r="AD17" s="162">
        <f t="shared" si="2"/>
        <v>49318</v>
      </c>
      <c r="AE17" s="162">
        <f t="shared" si="2"/>
        <v>49499</v>
      </c>
      <c r="AF17" s="162">
        <f t="shared" si="2"/>
        <v>49683</v>
      </c>
      <c r="AG17" s="162">
        <f t="shared" si="2"/>
        <v>49865</v>
      </c>
      <c r="AH17" s="162">
        <f t="shared" si="2"/>
        <v>50049</v>
      </c>
      <c r="AI17" s="162">
        <f t="shared" ref="AI17:BA17" si="3">EDATE(AH17,6)</f>
        <v>50230</v>
      </c>
      <c r="AJ17" s="162">
        <f t="shared" si="3"/>
        <v>50414</v>
      </c>
      <c r="AK17" s="162">
        <f t="shared" si="3"/>
        <v>50595</v>
      </c>
      <c r="AL17" s="162">
        <f t="shared" si="3"/>
        <v>50779</v>
      </c>
      <c r="AM17" s="162">
        <f t="shared" si="3"/>
        <v>50960</v>
      </c>
      <c r="AN17" s="162">
        <f t="shared" si="3"/>
        <v>51144</v>
      </c>
      <c r="AO17" s="162">
        <f t="shared" si="3"/>
        <v>51326</v>
      </c>
      <c r="AP17" s="162">
        <f t="shared" si="3"/>
        <v>51510</v>
      </c>
      <c r="AQ17" s="162">
        <f t="shared" si="3"/>
        <v>51691</v>
      </c>
      <c r="AR17" s="162">
        <f t="shared" si="3"/>
        <v>51875</v>
      </c>
      <c r="AS17" s="162">
        <f t="shared" si="3"/>
        <v>52056</v>
      </c>
      <c r="AT17" s="162">
        <f t="shared" si="3"/>
        <v>52240</v>
      </c>
      <c r="AU17" s="162">
        <f t="shared" si="3"/>
        <v>52421</v>
      </c>
      <c r="AV17" s="162">
        <f t="shared" si="3"/>
        <v>52605</v>
      </c>
      <c r="AW17" s="162">
        <f t="shared" si="3"/>
        <v>52787</v>
      </c>
      <c r="AX17" s="162">
        <f t="shared" si="3"/>
        <v>52971</v>
      </c>
      <c r="AY17" s="162">
        <f t="shared" si="3"/>
        <v>53152</v>
      </c>
      <c r="AZ17" s="162">
        <f t="shared" si="3"/>
        <v>53336</v>
      </c>
      <c r="BA17" s="162">
        <f t="shared" si="3"/>
        <v>53517</v>
      </c>
    </row>
    <row r="18" spans="1:53" x14ac:dyDescent="0.2">
      <c r="A18" t="s">
        <v>111</v>
      </c>
      <c r="B18" s="6">
        <f>IF(AND(B$17&gt;=$D3,B$17&lt;=$B3),100-$E3,IF(B$17&lt;$D3,100,""))</f>
        <v>100</v>
      </c>
      <c r="C18" s="6">
        <f t="shared" ref="C18:AH18" si="4">IF(AND(C$17&gt;=$D3,C$17&lt;=$B3),B18-$E3,IF(C$17&lt;$D3,100,""))</f>
        <v>100</v>
      </c>
      <c r="D18" s="6">
        <f t="shared" si="4"/>
        <v>100</v>
      </c>
      <c r="E18" s="6">
        <f t="shared" si="4"/>
        <v>100</v>
      </c>
      <c r="F18" s="6">
        <f t="shared" si="4"/>
        <v>100</v>
      </c>
      <c r="G18" s="6">
        <f t="shared" si="4"/>
        <v>100</v>
      </c>
      <c r="H18" s="6">
        <f t="shared" si="4"/>
        <v>100</v>
      </c>
      <c r="I18" s="6">
        <f t="shared" si="4"/>
        <v>100</v>
      </c>
      <c r="J18" s="6">
        <f t="shared" si="4"/>
        <v>100</v>
      </c>
      <c r="K18" s="6">
        <f t="shared" si="4"/>
        <v>100</v>
      </c>
      <c r="L18" s="6">
        <f t="shared" si="4"/>
        <v>100</v>
      </c>
      <c r="M18" s="6">
        <f t="shared" si="4"/>
        <v>100</v>
      </c>
      <c r="N18" s="6">
        <f t="shared" si="4"/>
        <v>100</v>
      </c>
      <c r="O18" s="6">
        <f t="shared" si="4"/>
        <v>95.454545454545453</v>
      </c>
      <c r="P18" s="6">
        <f t="shared" si="4"/>
        <v>90.909090909090907</v>
      </c>
      <c r="Q18" s="6">
        <f t="shared" si="4"/>
        <v>86.36363636363636</v>
      </c>
      <c r="R18" s="6">
        <f t="shared" si="4"/>
        <v>81.818181818181813</v>
      </c>
      <c r="S18" s="6">
        <f t="shared" si="4"/>
        <v>77.272727272727266</v>
      </c>
      <c r="T18" s="6">
        <f t="shared" si="4"/>
        <v>72.72727272727272</v>
      </c>
      <c r="U18" s="6">
        <f t="shared" si="4"/>
        <v>68.181818181818173</v>
      </c>
      <c r="V18" s="6">
        <f t="shared" si="4"/>
        <v>63.636363636363626</v>
      </c>
      <c r="W18" s="6">
        <f t="shared" si="4"/>
        <v>59.090909090909079</v>
      </c>
      <c r="X18" s="6">
        <f t="shared" si="4"/>
        <v>54.545454545454533</v>
      </c>
      <c r="Y18" s="6">
        <f t="shared" si="4"/>
        <v>49.999999999999986</v>
      </c>
      <c r="Z18" s="6">
        <f t="shared" si="4"/>
        <v>45.454545454545439</v>
      </c>
      <c r="AA18" s="6">
        <f t="shared" si="4"/>
        <v>40.909090909090892</v>
      </c>
      <c r="AB18" s="6">
        <f t="shared" si="4"/>
        <v>36.363636363636346</v>
      </c>
      <c r="AC18" s="6">
        <f t="shared" si="4"/>
        <v>31.818181818181799</v>
      </c>
      <c r="AD18" s="6">
        <f t="shared" si="4"/>
        <v>27.272727272727252</v>
      </c>
      <c r="AE18" s="6">
        <f t="shared" si="4"/>
        <v>22.727272727272705</v>
      </c>
      <c r="AF18" s="6">
        <f t="shared" si="4"/>
        <v>18.181818181818159</v>
      </c>
      <c r="AG18" s="6">
        <f t="shared" si="4"/>
        <v>13.636363636363612</v>
      </c>
      <c r="AH18" s="6">
        <f t="shared" si="4"/>
        <v>9.0909090909090651</v>
      </c>
      <c r="AI18" s="6">
        <f t="shared" ref="AI18:BA18" si="5">IF(AND(AI$17&gt;=$D3,AI$17&lt;=$B3),AH18-$E3,IF(AI$17&lt;$D3,100,""))</f>
        <v>4.5454545454545192</v>
      </c>
      <c r="AJ18" s="6">
        <f t="shared" si="5"/>
        <v>-2.6645352591003757E-14</v>
      </c>
      <c r="AK18" s="6" t="str">
        <f t="shared" si="5"/>
        <v/>
      </c>
      <c r="AL18" s="6" t="str">
        <f t="shared" si="5"/>
        <v/>
      </c>
      <c r="AM18" s="6" t="str">
        <f t="shared" si="5"/>
        <v/>
      </c>
      <c r="AN18" s="6" t="str">
        <f t="shared" si="5"/>
        <v/>
      </c>
      <c r="AO18" s="6" t="str">
        <f t="shared" si="5"/>
        <v/>
      </c>
      <c r="AP18" s="6" t="str">
        <f t="shared" si="5"/>
        <v/>
      </c>
      <c r="AQ18" s="6" t="str">
        <f t="shared" si="5"/>
        <v/>
      </c>
      <c r="AR18" s="6" t="str">
        <f t="shared" si="5"/>
        <v/>
      </c>
      <c r="AS18" s="6" t="str">
        <f t="shared" si="5"/>
        <v/>
      </c>
      <c r="AT18" s="6" t="str">
        <f t="shared" si="5"/>
        <v/>
      </c>
      <c r="AU18" s="6" t="str">
        <f t="shared" si="5"/>
        <v/>
      </c>
      <c r="AV18" s="6" t="str">
        <f t="shared" si="5"/>
        <v/>
      </c>
      <c r="AW18" s="6" t="str">
        <f t="shared" si="5"/>
        <v/>
      </c>
      <c r="AX18" s="6" t="str">
        <f t="shared" si="5"/>
        <v/>
      </c>
      <c r="AY18" s="6" t="str">
        <f t="shared" si="5"/>
        <v/>
      </c>
      <c r="AZ18" s="6" t="str">
        <f t="shared" si="5"/>
        <v/>
      </c>
      <c r="BA18" s="6" t="str">
        <f t="shared" si="5"/>
        <v/>
      </c>
    </row>
    <row r="19" spans="1:53" x14ac:dyDescent="0.2">
      <c r="A19" t="s">
        <v>113</v>
      </c>
      <c r="B19" s="6">
        <f t="shared" ref="B19:B29" si="6">IF(AND(B$17&gt;=$D4,B$17&lt;=$B4),100-$E4,IF(B$17&lt;$D4,100,""))</f>
        <v>100</v>
      </c>
      <c r="C19" s="6">
        <f t="shared" ref="C19:AH19" si="7">IF(AND(C$17&gt;=$D4,C$17&lt;=$B4),B19-$E4,IF(C$17&lt;$D4,100,""))</f>
        <v>100</v>
      </c>
      <c r="D19" s="6">
        <f t="shared" si="7"/>
        <v>100</v>
      </c>
      <c r="E19" s="6">
        <f t="shared" si="7"/>
        <v>100</v>
      </c>
      <c r="F19" s="6">
        <f t="shared" si="7"/>
        <v>100</v>
      </c>
      <c r="G19" s="6">
        <f t="shared" si="7"/>
        <v>100</v>
      </c>
      <c r="H19" s="6">
        <f t="shared" si="7"/>
        <v>100</v>
      </c>
      <c r="I19" s="6">
        <f t="shared" si="7"/>
        <v>100</v>
      </c>
      <c r="J19" s="6">
        <f t="shared" si="7"/>
        <v>100</v>
      </c>
      <c r="K19" s="6">
        <f t="shared" si="7"/>
        <v>100</v>
      </c>
      <c r="L19" s="6">
        <f t="shared" si="7"/>
        <v>100</v>
      </c>
      <c r="M19" s="6">
        <f t="shared" si="7"/>
        <v>100</v>
      </c>
      <c r="N19" s="6">
        <f t="shared" si="7"/>
        <v>100</v>
      </c>
      <c r="O19" s="6">
        <f t="shared" si="7"/>
        <v>100</v>
      </c>
      <c r="P19" s="6">
        <f t="shared" si="7"/>
        <v>96.428571428571431</v>
      </c>
      <c r="Q19" s="6">
        <f t="shared" si="7"/>
        <v>92.857142857142861</v>
      </c>
      <c r="R19" s="6">
        <f t="shared" si="7"/>
        <v>89.285714285714292</v>
      </c>
      <c r="S19" s="6">
        <f t="shared" si="7"/>
        <v>85.714285714285722</v>
      </c>
      <c r="T19" s="6">
        <f t="shared" si="7"/>
        <v>82.142857142857153</v>
      </c>
      <c r="U19" s="6">
        <f t="shared" si="7"/>
        <v>78.571428571428584</v>
      </c>
      <c r="V19" s="6">
        <f t="shared" si="7"/>
        <v>75.000000000000014</v>
      </c>
      <c r="W19" s="6">
        <f t="shared" si="7"/>
        <v>71.428571428571445</v>
      </c>
      <c r="X19" s="6">
        <f t="shared" si="7"/>
        <v>67.857142857142875</v>
      </c>
      <c r="Y19" s="6">
        <f t="shared" si="7"/>
        <v>64.285714285714306</v>
      </c>
      <c r="Z19" s="6">
        <f t="shared" si="7"/>
        <v>60.714285714285737</v>
      </c>
      <c r="AA19" s="6">
        <f t="shared" si="7"/>
        <v>57.142857142857167</v>
      </c>
      <c r="AB19" s="6">
        <f t="shared" si="7"/>
        <v>53.571428571428598</v>
      </c>
      <c r="AC19" s="6">
        <f t="shared" si="7"/>
        <v>50.000000000000028</v>
      </c>
      <c r="AD19" s="6">
        <f t="shared" si="7"/>
        <v>46.428571428571459</v>
      </c>
      <c r="AE19" s="6">
        <f t="shared" si="7"/>
        <v>42.85714285714289</v>
      </c>
      <c r="AF19" s="6">
        <f t="shared" si="7"/>
        <v>39.28571428571432</v>
      </c>
      <c r="AG19" s="6">
        <f t="shared" si="7"/>
        <v>35.714285714285751</v>
      </c>
      <c r="AH19" s="6">
        <f t="shared" si="7"/>
        <v>32.142857142857181</v>
      </c>
      <c r="AI19" s="6">
        <f t="shared" ref="AI19:BA19" si="8">IF(AND(AI$17&gt;=$D4,AI$17&lt;=$B4),AH19-$E4,IF(AI$17&lt;$D4,100,""))</f>
        <v>28.571428571428608</v>
      </c>
      <c r="AJ19" s="6">
        <f t="shared" si="8"/>
        <v>25.000000000000036</v>
      </c>
      <c r="AK19" s="6">
        <f t="shared" si="8"/>
        <v>21.428571428571463</v>
      </c>
      <c r="AL19" s="6">
        <f t="shared" si="8"/>
        <v>17.85714285714289</v>
      </c>
      <c r="AM19" s="6">
        <f t="shared" si="8"/>
        <v>14.285714285714318</v>
      </c>
      <c r="AN19" s="6">
        <f t="shared" si="8"/>
        <v>10.714285714285747</v>
      </c>
      <c r="AO19" s="6">
        <f t="shared" si="8"/>
        <v>7.1428571428571761</v>
      </c>
      <c r="AP19" s="6">
        <f t="shared" si="8"/>
        <v>3.5714285714286045</v>
      </c>
      <c r="AQ19" s="6">
        <f t="shared" si="8"/>
        <v>3.2862601528904634E-14</v>
      </c>
      <c r="AR19" s="6" t="str">
        <f t="shared" si="8"/>
        <v/>
      </c>
      <c r="AS19" s="6" t="str">
        <f t="shared" si="8"/>
        <v/>
      </c>
      <c r="AT19" s="6" t="str">
        <f t="shared" si="8"/>
        <v/>
      </c>
      <c r="AU19" s="6" t="str">
        <f t="shared" si="8"/>
        <v/>
      </c>
      <c r="AV19" s="6" t="str">
        <f t="shared" si="8"/>
        <v/>
      </c>
      <c r="AW19" s="6" t="str">
        <f t="shared" si="8"/>
        <v/>
      </c>
      <c r="AX19" s="6" t="str">
        <f t="shared" si="8"/>
        <v/>
      </c>
      <c r="AY19" s="6" t="str">
        <f t="shared" si="8"/>
        <v/>
      </c>
      <c r="AZ19" s="6" t="str">
        <f t="shared" si="8"/>
        <v/>
      </c>
      <c r="BA19" s="6" t="str">
        <f t="shared" si="8"/>
        <v/>
      </c>
    </row>
    <row r="20" spans="1:53" x14ac:dyDescent="0.2">
      <c r="A20" t="s">
        <v>112</v>
      </c>
      <c r="B20" s="6">
        <f t="shared" si="6"/>
        <v>100</v>
      </c>
      <c r="C20" s="6">
        <f t="shared" ref="C20:AH20" si="9">IF(AND(C$17&gt;=$D5,C$17&lt;=$B5),B20-$E5,IF(C$17&lt;$D5,100,""))</f>
        <v>100</v>
      </c>
      <c r="D20" s="6">
        <f t="shared" si="9"/>
        <v>100</v>
      </c>
      <c r="E20" s="6">
        <f t="shared" si="9"/>
        <v>100</v>
      </c>
      <c r="F20" s="6">
        <f t="shared" si="9"/>
        <v>100</v>
      </c>
      <c r="G20" s="6">
        <f t="shared" si="9"/>
        <v>100</v>
      </c>
      <c r="H20" s="6">
        <f t="shared" si="9"/>
        <v>100</v>
      </c>
      <c r="I20" s="6">
        <f t="shared" si="9"/>
        <v>100</v>
      </c>
      <c r="J20" s="6">
        <f t="shared" si="9"/>
        <v>100</v>
      </c>
      <c r="K20" s="6">
        <f t="shared" si="9"/>
        <v>100</v>
      </c>
      <c r="L20" s="6">
        <f t="shared" si="9"/>
        <v>100</v>
      </c>
      <c r="M20" s="6">
        <f t="shared" si="9"/>
        <v>100</v>
      </c>
      <c r="N20" s="6">
        <f t="shared" si="9"/>
        <v>100</v>
      </c>
      <c r="O20" s="6">
        <f t="shared" si="9"/>
        <v>95.454545454545453</v>
      </c>
      <c r="P20" s="6">
        <f t="shared" si="9"/>
        <v>90.909090909090907</v>
      </c>
      <c r="Q20" s="6">
        <f t="shared" si="9"/>
        <v>86.36363636363636</v>
      </c>
      <c r="R20" s="6">
        <f t="shared" si="9"/>
        <v>81.818181818181813</v>
      </c>
      <c r="S20" s="6">
        <f t="shared" si="9"/>
        <v>77.272727272727266</v>
      </c>
      <c r="T20" s="6">
        <f t="shared" si="9"/>
        <v>72.72727272727272</v>
      </c>
      <c r="U20" s="6">
        <f t="shared" si="9"/>
        <v>68.181818181818173</v>
      </c>
      <c r="V20" s="6">
        <f t="shared" si="9"/>
        <v>63.636363636363626</v>
      </c>
      <c r="W20" s="6">
        <f t="shared" si="9"/>
        <v>59.090909090909079</v>
      </c>
      <c r="X20" s="6">
        <f t="shared" si="9"/>
        <v>54.545454545454533</v>
      </c>
      <c r="Y20" s="6">
        <f t="shared" si="9"/>
        <v>49.999999999999986</v>
      </c>
      <c r="Z20" s="6">
        <f t="shared" si="9"/>
        <v>45.454545454545439</v>
      </c>
      <c r="AA20" s="6">
        <f t="shared" si="9"/>
        <v>40.909090909090892</v>
      </c>
      <c r="AB20" s="6">
        <f t="shared" si="9"/>
        <v>36.363636363636346</v>
      </c>
      <c r="AC20" s="6">
        <f t="shared" si="9"/>
        <v>31.818181818181799</v>
      </c>
      <c r="AD20" s="6">
        <f t="shared" si="9"/>
        <v>27.272727272727252</v>
      </c>
      <c r="AE20" s="6">
        <f t="shared" si="9"/>
        <v>22.727272727272705</v>
      </c>
      <c r="AF20" s="6">
        <f t="shared" si="9"/>
        <v>18.181818181818159</v>
      </c>
      <c r="AG20" s="6">
        <f t="shared" si="9"/>
        <v>13.636363636363612</v>
      </c>
      <c r="AH20" s="6">
        <f t="shared" si="9"/>
        <v>9.0909090909090651</v>
      </c>
      <c r="AI20" s="6">
        <f t="shared" ref="AI20:BA20" si="10">IF(AND(AI$17&gt;=$D5,AI$17&lt;=$B5),AH20-$E5,IF(AI$17&lt;$D5,100,""))</f>
        <v>4.5454545454545192</v>
      </c>
      <c r="AJ20" s="6">
        <f t="shared" si="10"/>
        <v>-2.6645352591003757E-14</v>
      </c>
      <c r="AK20" s="6" t="str">
        <f t="shared" si="10"/>
        <v/>
      </c>
      <c r="AL20" s="6" t="str">
        <f t="shared" si="10"/>
        <v/>
      </c>
      <c r="AM20" s="6" t="str">
        <f t="shared" si="10"/>
        <v/>
      </c>
      <c r="AN20" s="6" t="str">
        <f t="shared" si="10"/>
        <v/>
      </c>
      <c r="AO20" s="6" t="str">
        <f t="shared" si="10"/>
        <v/>
      </c>
      <c r="AP20" s="6" t="str">
        <f t="shared" si="10"/>
        <v/>
      </c>
      <c r="AQ20" s="6" t="str">
        <f t="shared" si="10"/>
        <v/>
      </c>
      <c r="AR20" s="6" t="str">
        <f t="shared" si="10"/>
        <v/>
      </c>
      <c r="AS20" s="6" t="str">
        <f t="shared" si="10"/>
        <v/>
      </c>
      <c r="AT20" s="6" t="str">
        <f t="shared" si="10"/>
        <v/>
      </c>
      <c r="AU20" s="6" t="str">
        <f t="shared" si="10"/>
        <v/>
      </c>
      <c r="AV20" s="6" t="str">
        <f t="shared" si="10"/>
        <v/>
      </c>
      <c r="AW20" s="6" t="str">
        <f t="shared" si="10"/>
        <v/>
      </c>
      <c r="AX20" s="6" t="str">
        <f t="shared" si="10"/>
        <v/>
      </c>
      <c r="AY20" s="6" t="str">
        <f t="shared" si="10"/>
        <v/>
      </c>
      <c r="AZ20" s="6" t="str">
        <f t="shared" si="10"/>
        <v/>
      </c>
      <c r="BA20" s="6" t="str">
        <f t="shared" si="10"/>
        <v/>
      </c>
    </row>
    <row r="21" spans="1:53" x14ac:dyDescent="0.2">
      <c r="A21" t="s">
        <v>114</v>
      </c>
      <c r="B21" s="6">
        <f t="shared" si="6"/>
        <v>100</v>
      </c>
      <c r="C21" s="6">
        <f t="shared" ref="C21:AH21" si="11">IF(AND(C$17&gt;=$D6,C$17&lt;=$B6),B21-$E6,IF(C$17&lt;$D6,100,""))</f>
        <v>100</v>
      </c>
      <c r="D21" s="6">
        <f t="shared" si="11"/>
        <v>100</v>
      </c>
      <c r="E21" s="6">
        <f t="shared" si="11"/>
        <v>100</v>
      </c>
      <c r="F21" s="6">
        <f t="shared" si="11"/>
        <v>100</v>
      </c>
      <c r="G21" s="6">
        <f t="shared" si="11"/>
        <v>100</v>
      </c>
      <c r="H21" s="6">
        <f t="shared" si="11"/>
        <v>100</v>
      </c>
      <c r="I21" s="6">
        <f t="shared" si="11"/>
        <v>100</v>
      </c>
      <c r="J21" s="6">
        <f t="shared" si="11"/>
        <v>100</v>
      </c>
      <c r="K21" s="6">
        <f t="shared" si="11"/>
        <v>100</v>
      </c>
      <c r="L21" s="6">
        <f t="shared" si="11"/>
        <v>100</v>
      </c>
      <c r="M21" s="6">
        <f t="shared" si="11"/>
        <v>100</v>
      </c>
      <c r="N21" s="6">
        <f t="shared" si="11"/>
        <v>100</v>
      </c>
      <c r="O21" s="6">
        <f t="shared" si="11"/>
        <v>100</v>
      </c>
      <c r="P21" s="6">
        <f t="shared" si="11"/>
        <v>96.428571428571431</v>
      </c>
      <c r="Q21" s="6">
        <f t="shared" si="11"/>
        <v>92.857142857142861</v>
      </c>
      <c r="R21" s="6">
        <f t="shared" si="11"/>
        <v>89.285714285714292</v>
      </c>
      <c r="S21" s="6">
        <f t="shared" si="11"/>
        <v>85.714285714285722</v>
      </c>
      <c r="T21" s="6">
        <f t="shared" si="11"/>
        <v>82.142857142857153</v>
      </c>
      <c r="U21" s="6">
        <f t="shared" si="11"/>
        <v>78.571428571428584</v>
      </c>
      <c r="V21" s="6">
        <f t="shared" si="11"/>
        <v>75.000000000000014</v>
      </c>
      <c r="W21" s="6">
        <f t="shared" si="11"/>
        <v>71.428571428571445</v>
      </c>
      <c r="X21" s="6">
        <f t="shared" si="11"/>
        <v>67.857142857142875</v>
      </c>
      <c r="Y21" s="6">
        <f t="shared" si="11"/>
        <v>64.285714285714306</v>
      </c>
      <c r="Z21" s="6">
        <f t="shared" si="11"/>
        <v>60.714285714285737</v>
      </c>
      <c r="AA21" s="6">
        <f t="shared" si="11"/>
        <v>57.142857142857167</v>
      </c>
      <c r="AB21" s="6">
        <f t="shared" si="11"/>
        <v>53.571428571428598</v>
      </c>
      <c r="AC21" s="6">
        <f t="shared" si="11"/>
        <v>50.000000000000028</v>
      </c>
      <c r="AD21" s="6">
        <f t="shared" si="11"/>
        <v>46.428571428571459</v>
      </c>
      <c r="AE21" s="6">
        <f t="shared" si="11"/>
        <v>42.85714285714289</v>
      </c>
      <c r="AF21" s="6">
        <f t="shared" si="11"/>
        <v>39.28571428571432</v>
      </c>
      <c r="AG21" s="6">
        <f t="shared" si="11"/>
        <v>35.714285714285751</v>
      </c>
      <c r="AH21" s="6">
        <f t="shared" si="11"/>
        <v>32.142857142857181</v>
      </c>
      <c r="AI21" s="6">
        <f t="shared" ref="AI21:BA21" si="12">IF(AND(AI$17&gt;=$D6,AI$17&lt;=$B6),AH21-$E6,IF(AI$17&lt;$D6,100,""))</f>
        <v>28.571428571428608</v>
      </c>
      <c r="AJ21" s="6">
        <f t="shared" si="12"/>
        <v>25.000000000000036</v>
      </c>
      <c r="AK21" s="6">
        <f t="shared" si="12"/>
        <v>21.428571428571463</v>
      </c>
      <c r="AL21" s="6">
        <f t="shared" si="12"/>
        <v>17.85714285714289</v>
      </c>
      <c r="AM21" s="6">
        <f t="shared" si="12"/>
        <v>14.285714285714318</v>
      </c>
      <c r="AN21" s="6">
        <f t="shared" si="12"/>
        <v>10.714285714285747</v>
      </c>
      <c r="AO21" s="6">
        <f t="shared" si="12"/>
        <v>7.1428571428571761</v>
      </c>
      <c r="AP21" s="6">
        <f t="shared" si="12"/>
        <v>3.5714285714286045</v>
      </c>
      <c r="AQ21" s="6">
        <f t="shared" si="12"/>
        <v>3.2862601528904634E-14</v>
      </c>
      <c r="AR21" s="6" t="str">
        <f t="shared" si="12"/>
        <v/>
      </c>
      <c r="AS21" s="6" t="str">
        <f t="shared" si="12"/>
        <v/>
      </c>
      <c r="AT21" s="6" t="str">
        <f t="shared" si="12"/>
        <v/>
      </c>
      <c r="AU21" s="6" t="str">
        <f t="shared" si="12"/>
        <v/>
      </c>
      <c r="AV21" s="6" t="str">
        <f t="shared" si="12"/>
        <v/>
      </c>
      <c r="AW21" s="6" t="str">
        <f t="shared" si="12"/>
        <v/>
      </c>
      <c r="AX21" s="6" t="str">
        <f t="shared" si="12"/>
        <v/>
      </c>
      <c r="AY21" s="6" t="str">
        <f t="shared" si="12"/>
        <v/>
      </c>
      <c r="AZ21" s="6" t="str">
        <f t="shared" si="12"/>
        <v/>
      </c>
      <c r="BA21" s="6" t="str">
        <f t="shared" si="12"/>
        <v/>
      </c>
    </row>
    <row r="22" spans="1:53" x14ac:dyDescent="0.2">
      <c r="A22" t="s">
        <v>107</v>
      </c>
      <c r="B22" s="6">
        <f t="shared" si="6"/>
        <v>100</v>
      </c>
      <c r="C22" s="6">
        <f t="shared" ref="C22:AH22" si="13">IF(AND(C$17&gt;=$D7,C$17&lt;=$B7),B22-$E7,IF(C$17&lt;$D7,100,""))</f>
        <v>100</v>
      </c>
      <c r="D22" s="6">
        <f t="shared" si="13"/>
        <v>100</v>
      </c>
      <c r="E22" s="6">
        <f t="shared" si="13"/>
        <v>100</v>
      </c>
      <c r="F22" s="6">
        <f t="shared" si="13"/>
        <v>100</v>
      </c>
      <c r="G22" s="6">
        <f t="shared" si="13"/>
        <v>100</v>
      </c>
      <c r="H22" s="6">
        <f t="shared" si="13"/>
        <v>100</v>
      </c>
      <c r="I22" s="6">
        <f t="shared" si="13"/>
        <v>92.307692307692307</v>
      </c>
      <c r="J22" s="6">
        <f t="shared" si="13"/>
        <v>84.615384615384613</v>
      </c>
      <c r="K22" s="6">
        <f t="shared" si="13"/>
        <v>76.92307692307692</v>
      </c>
      <c r="L22" s="6">
        <f t="shared" si="13"/>
        <v>69.230769230769226</v>
      </c>
      <c r="M22" s="6">
        <f t="shared" si="13"/>
        <v>61.538461538461533</v>
      </c>
      <c r="N22" s="6">
        <f t="shared" si="13"/>
        <v>53.84615384615384</v>
      </c>
      <c r="O22" s="6">
        <f t="shared" si="13"/>
        <v>46.153846153846146</v>
      </c>
      <c r="P22" s="6">
        <f t="shared" si="13"/>
        <v>38.461538461538453</v>
      </c>
      <c r="Q22" s="6">
        <f t="shared" si="13"/>
        <v>30.769230769230759</v>
      </c>
      <c r="R22" s="6">
        <f t="shared" si="13"/>
        <v>23.076923076923066</v>
      </c>
      <c r="S22" s="6">
        <f t="shared" si="13"/>
        <v>15.384615384615373</v>
      </c>
      <c r="T22" s="6">
        <f t="shared" si="13"/>
        <v>7.6923076923076801</v>
      </c>
      <c r="U22" s="6">
        <f t="shared" si="13"/>
        <v>-1.2434497875801753E-14</v>
      </c>
      <c r="V22" s="6" t="str">
        <f t="shared" si="13"/>
        <v/>
      </c>
      <c r="W22" s="6" t="str">
        <f t="shared" si="13"/>
        <v/>
      </c>
      <c r="X22" s="6" t="str">
        <f t="shared" si="13"/>
        <v/>
      </c>
      <c r="Y22" s="6" t="str">
        <f t="shared" si="13"/>
        <v/>
      </c>
      <c r="Z22" s="6" t="str">
        <f t="shared" si="13"/>
        <v/>
      </c>
      <c r="AA22" s="6" t="str">
        <f t="shared" si="13"/>
        <v/>
      </c>
      <c r="AB22" s="6" t="str">
        <f t="shared" si="13"/>
        <v/>
      </c>
      <c r="AC22" s="6" t="str">
        <f t="shared" si="13"/>
        <v/>
      </c>
      <c r="AD22" s="6" t="str">
        <f t="shared" si="13"/>
        <v/>
      </c>
      <c r="AE22" s="6" t="str">
        <f t="shared" si="13"/>
        <v/>
      </c>
      <c r="AF22" s="6" t="str">
        <f t="shared" si="13"/>
        <v/>
      </c>
      <c r="AG22" s="6" t="str">
        <f t="shared" si="13"/>
        <v/>
      </c>
      <c r="AH22" s="6" t="str">
        <f t="shared" si="13"/>
        <v/>
      </c>
      <c r="AI22" s="6" t="str">
        <f t="shared" ref="AI22:BA22" si="14">IF(AND(AI$17&gt;=$D7,AI$17&lt;=$B7),AH22-$E7,IF(AI$17&lt;$D7,100,""))</f>
        <v/>
      </c>
      <c r="AJ22" s="6" t="str">
        <f t="shared" si="14"/>
        <v/>
      </c>
      <c r="AK22" s="6" t="str">
        <f t="shared" si="14"/>
        <v/>
      </c>
      <c r="AL22" s="6" t="str">
        <f t="shared" si="14"/>
        <v/>
      </c>
      <c r="AM22" s="6" t="str">
        <f t="shared" si="14"/>
        <v/>
      </c>
      <c r="AN22" s="6" t="str">
        <f t="shared" si="14"/>
        <v/>
      </c>
      <c r="AO22" s="6" t="str">
        <f t="shared" si="14"/>
        <v/>
      </c>
      <c r="AP22" s="6" t="str">
        <f t="shared" si="14"/>
        <v/>
      </c>
      <c r="AQ22" s="6" t="str">
        <f t="shared" si="14"/>
        <v/>
      </c>
      <c r="AR22" s="6" t="str">
        <f t="shared" si="14"/>
        <v/>
      </c>
      <c r="AS22" s="6" t="str">
        <f t="shared" si="14"/>
        <v/>
      </c>
      <c r="AT22" s="6" t="str">
        <f t="shared" si="14"/>
        <v/>
      </c>
      <c r="AU22" s="6" t="str">
        <f t="shared" si="14"/>
        <v/>
      </c>
      <c r="AV22" s="6" t="str">
        <f t="shared" si="14"/>
        <v/>
      </c>
      <c r="AW22" s="6" t="str">
        <f t="shared" si="14"/>
        <v/>
      </c>
      <c r="AX22" s="6" t="str">
        <f t="shared" si="14"/>
        <v/>
      </c>
      <c r="AY22" s="6" t="str">
        <f t="shared" si="14"/>
        <v/>
      </c>
      <c r="AZ22" s="6" t="str">
        <f t="shared" si="14"/>
        <v/>
      </c>
      <c r="BA22" s="6" t="str">
        <f t="shared" si="14"/>
        <v/>
      </c>
    </row>
    <row r="23" spans="1:53" x14ac:dyDescent="0.2">
      <c r="A23" t="s">
        <v>109</v>
      </c>
      <c r="B23" s="6">
        <f t="shared" si="6"/>
        <v>100</v>
      </c>
      <c r="C23" s="6">
        <f t="shared" ref="C23:AH23" si="15">IF(AND(C$17&gt;=$D8,C$17&lt;=$B8),B23-$E8,IF(C$17&lt;$D8,100,""))</f>
        <v>100</v>
      </c>
      <c r="D23" s="6">
        <f t="shared" si="15"/>
        <v>100</v>
      </c>
      <c r="E23" s="6">
        <f t="shared" si="15"/>
        <v>100</v>
      </c>
      <c r="F23" s="6">
        <f t="shared" si="15"/>
        <v>100</v>
      </c>
      <c r="G23" s="6">
        <f t="shared" si="15"/>
        <v>100</v>
      </c>
      <c r="H23" s="6">
        <f t="shared" si="15"/>
        <v>100</v>
      </c>
      <c r="I23" s="6">
        <f t="shared" si="15"/>
        <v>100</v>
      </c>
      <c r="J23" s="6">
        <f t="shared" si="15"/>
        <v>100</v>
      </c>
      <c r="K23" s="6">
        <f t="shared" si="15"/>
        <v>100</v>
      </c>
      <c r="L23" s="6">
        <f t="shared" si="15"/>
        <v>100</v>
      </c>
      <c r="M23" s="6">
        <f t="shared" si="15"/>
        <v>100</v>
      </c>
      <c r="N23" s="6">
        <f t="shared" si="15"/>
        <v>100</v>
      </c>
      <c r="O23" s="6">
        <f t="shared" si="15"/>
        <v>100</v>
      </c>
      <c r="P23" s="6">
        <f t="shared" si="15"/>
        <v>100</v>
      </c>
      <c r="Q23" s="6">
        <f t="shared" si="15"/>
        <v>100</v>
      </c>
      <c r="R23" s="6">
        <f t="shared" si="15"/>
        <v>100</v>
      </c>
      <c r="S23" s="6">
        <f t="shared" si="15"/>
        <v>100</v>
      </c>
      <c r="T23" s="6">
        <f t="shared" si="15"/>
        <v>100</v>
      </c>
      <c r="U23" s="6">
        <f t="shared" si="15"/>
        <v>100</v>
      </c>
      <c r="V23" s="6">
        <f t="shared" si="15"/>
        <v>90</v>
      </c>
      <c r="W23" s="6">
        <f t="shared" si="15"/>
        <v>80</v>
      </c>
      <c r="X23" s="6">
        <f t="shared" si="15"/>
        <v>70</v>
      </c>
      <c r="Y23" s="6">
        <f t="shared" si="15"/>
        <v>60</v>
      </c>
      <c r="Z23" s="6">
        <f t="shared" si="15"/>
        <v>50</v>
      </c>
      <c r="AA23" s="6">
        <f t="shared" si="15"/>
        <v>40</v>
      </c>
      <c r="AB23" s="6">
        <f t="shared" si="15"/>
        <v>30</v>
      </c>
      <c r="AC23" s="6">
        <f t="shared" si="15"/>
        <v>20</v>
      </c>
      <c r="AD23" s="6">
        <f t="shared" si="15"/>
        <v>10</v>
      </c>
      <c r="AE23" s="6">
        <f t="shared" si="15"/>
        <v>0</v>
      </c>
      <c r="AF23" s="6" t="str">
        <f t="shared" si="15"/>
        <v/>
      </c>
      <c r="AG23" s="6" t="str">
        <f t="shared" si="15"/>
        <v/>
      </c>
      <c r="AH23" s="6" t="str">
        <f t="shared" si="15"/>
        <v/>
      </c>
      <c r="AI23" s="6" t="str">
        <f t="shared" ref="AI23:BA23" si="16">IF(AND(AI$17&gt;=$D8,AI$17&lt;=$B8),AH23-$E8,IF(AI$17&lt;$D8,100,""))</f>
        <v/>
      </c>
      <c r="AJ23" s="6" t="str">
        <f t="shared" si="16"/>
        <v/>
      </c>
      <c r="AK23" s="6" t="str">
        <f t="shared" si="16"/>
        <v/>
      </c>
      <c r="AL23" s="6" t="str">
        <f t="shared" si="16"/>
        <v/>
      </c>
      <c r="AM23" s="6" t="str">
        <f t="shared" si="16"/>
        <v/>
      </c>
      <c r="AN23" s="6" t="str">
        <f t="shared" si="16"/>
        <v/>
      </c>
      <c r="AO23" s="6" t="str">
        <f t="shared" si="16"/>
        <v/>
      </c>
      <c r="AP23" s="6" t="str">
        <f t="shared" si="16"/>
        <v/>
      </c>
      <c r="AQ23" s="6" t="str">
        <f t="shared" si="16"/>
        <v/>
      </c>
      <c r="AR23" s="6" t="str">
        <f t="shared" si="16"/>
        <v/>
      </c>
      <c r="AS23" s="6" t="str">
        <f t="shared" si="16"/>
        <v/>
      </c>
      <c r="AT23" s="6" t="str">
        <f t="shared" si="16"/>
        <v/>
      </c>
      <c r="AU23" s="6" t="str">
        <f t="shared" si="16"/>
        <v/>
      </c>
      <c r="AV23" s="6" t="str">
        <f t="shared" si="16"/>
        <v/>
      </c>
      <c r="AW23" s="6" t="str">
        <f t="shared" si="16"/>
        <v/>
      </c>
      <c r="AX23" s="6" t="str">
        <f t="shared" si="16"/>
        <v/>
      </c>
      <c r="AY23" s="6" t="str">
        <f t="shared" si="16"/>
        <v/>
      </c>
      <c r="AZ23" s="6" t="str">
        <f t="shared" si="16"/>
        <v/>
      </c>
      <c r="BA23" s="6" t="str">
        <f t="shared" si="16"/>
        <v/>
      </c>
    </row>
    <row r="24" spans="1:53" x14ac:dyDescent="0.2">
      <c r="A24" t="s">
        <v>115</v>
      </c>
      <c r="B24" s="6">
        <f t="shared" si="6"/>
        <v>100</v>
      </c>
      <c r="C24" s="6">
        <f t="shared" ref="C24:AH24" si="17">IF(AND(C$17&gt;=$D9,C$17&lt;=$B9),B24-$E9,IF(C$17&lt;$D9,100,""))</f>
        <v>100</v>
      </c>
      <c r="D24" s="6">
        <f t="shared" si="17"/>
        <v>100</v>
      </c>
      <c r="E24" s="6">
        <f t="shared" si="17"/>
        <v>100</v>
      </c>
      <c r="F24" s="6">
        <f t="shared" si="17"/>
        <v>100</v>
      </c>
      <c r="G24" s="6">
        <f t="shared" si="17"/>
        <v>100</v>
      </c>
      <c r="H24" s="6">
        <f t="shared" si="17"/>
        <v>100</v>
      </c>
      <c r="I24" s="6">
        <f t="shared" si="17"/>
        <v>100</v>
      </c>
      <c r="J24" s="6">
        <f t="shared" si="17"/>
        <v>97.727272727272734</v>
      </c>
      <c r="K24" s="6">
        <f t="shared" si="17"/>
        <v>95.454545454545467</v>
      </c>
      <c r="L24" s="6">
        <f t="shared" si="17"/>
        <v>93.181818181818201</v>
      </c>
      <c r="M24" s="6">
        <f t="shared" si="17"/>
        <v>90.909090909090935</v>
      </c>
      <c r="N24" s="6">
        <f t="shared" si="17"/>
        <v>88.636363636363669</v>
      </c>
      <c r="O24" s="6">
        <f t="shared" si="17"/>
        <v>86.363636363636402</v>
      </c>
      <c r="P24" s="6">
        <f t="shared" si="17"/>
        <v>84.090909090909136</v>
      </c>
      <c r="Q24" s="6">
        <f t="shared" si="17"/>
        <v>81.81818181818187</v>
      </c>
      <c r="R24" s="6">
        <f t="shared" si="17"/>
        <v>79.545454545454604</v>
      </c>
      <c r="S24" s="6">
        <f t="shared" si="17"/>
        <v>77.272727272727337</v>
      </c>
      <c r="T24" s="6">
        <f t="shared" si="17"/>
        <v>75.000000000000071</v>
      </c>
      <c r="U24" s="6">
        <f t="shared" si="17"/>
        <v>72.727272727272805</v>
      </c>
      <c r="V24" s="6">
        <f t="shared" si="17"/>
        <v>70.454545454545539</v>
      </c>
      <c r="W24" s="6">
        <f t="shared" si="17"/>
        <v>68.181818181818272</v>
      </c>
      <c r="X24" s="6">
        <f t="shared" si="17"/>
        <v>65.909090909091006</v>
      </c>
      <c r="Y24" s="6">
        <f t="shared" si="17"/>
        <v>63.636363636363733</v>
      </c>
      <c r="Z24" s="6">
        <f t="shared" si="17"/>
        <v>61.363636363636459</v>
      </c>
      <c r="AA24" s="6">
        <f t="shared" si="17"/>
        <v>59.090909090909186</v>
      </c>
      <c r="AB24" s="6">
        <f t="shared" si="17"/>
        <v>56.818181818181912</v>
      </c>
      <c r="AC24" s="6">
        <f t="shared" si="17"/>
        <v>54.545454545454639</v>
      </c>
      <c r="AD24" s="6">
        <f t="shared" si="17"/>
        <v>52.272727272727366</v>
      </c>
      <c r="AE24" s="6">
        <f t="shared" si="17"/>
        <v>50.000000000000092</v>
      </c>
      <c r="AF24" s="6">
        <f t="shared" si="17"/>
        <v>47.727272727272819</v>
      </c>
      <c r="AG24" s="6">
        <f t="shared" si="17"/>
        <v>45.454545454545546</v>
      </c>
      <c r="AH24" s="6">
        <f t="shared" si="17"/>
        <v>43.181818181818272</v>
      </c>
      <c r="AI24" s="6">
        <f t="shared" ref="AI24:BA24" si="18">IF(AND(AI$17&gt;=$D9,AI$17&lt;=$B9),AH24-$E9,IF(AI$17&lt;$D9,100,""))</f>
        <v>40.909090909090999</v>
      </c>
      <c r="AJ24" s="6">
        <f t="shared" si="18"/>
        <v>38.636363636363726</v>
      </c>
      <c r="AK24" s="6">
        <f t="shared" si="18"/>
        <v>36.363636363636452</v>
      </c>
      <c r="AL24" s="6">
        <f t="shared" si="18"/>
        <v>34.090909090909179</v>
      </c>
      <c r="AM24" s="6">
        <f t="shared" si="18"/>
        <v>31.818181818181905</v>
      </c>
      <c r="AN24" s="6">
        <f t="shared" si="18"/>
        <v>29.545454545454632</v>
      </c>
      <c r="AO24" s="6">
        <f t="shared" si="18"/>
        <v>27.272727272727359</v>
      </c>
      <c r="AP24" s="6">
        <f t="shared" si="18"/>
        <v>25.000000000000085</v>
      </c>
      <c r="AQ24" s="6">
        <f t="shared" si="18"/>
        <v>22.727272727272812</v>
      </c>
      <c r="AR24" s="6">
        <f t="shared" si="18"/>
        <v>20.454545454545539</v>
      </c>
      <c r="AS24" s="6">
        <f t="shared" si="18"/>
        <v>18.181818181818265</v>
      </c>
      <c r="AT24" s="6">
        <f t="shared" si="18"/>
        <v>15.909090909090992</v>
      </c>
      <c r="AU24" s="6">
        <f t="shared" si="18"/>
        <v>13.636363636363718</v>
      </c>
      <c r="AV24" s="6">
        <f t="shared" si="18"/>
        <v>11.363636363636445</v>
      </c>
      <c r="AW24" s="6">
        <f t="shared" si="18"/>
        <v>9.0909090909091717</v>
      </c>
      <c r="AX24" s="6">
        <f t="shared" si="18"/>
        <v>6.8181818181818983</v>
      </c>
      <c r="AY24" s="6">
        <f t="shared" si="18"/>
        <v>4.5454545454546249</v>
      </c>
      <c r="AZ24" s="6">
        <f t="shared" si="18"/>
        <v>2.272727272727352</v>
      </c>
      <c r="BA24" s="6">
        <f t="shared" si="18"/>
        <v>7.9047879353311146E-14</v>
      </c>
    </row>
    <row r="25" spans="1:53" x14ac:dyDescent="0.2">
      <c r="A25" t="s">
        <v>108</v>
      </c>
      <c r="B25" s="6">
        <f t="shared" si="6"/>
        <v>100</v>
      </c>
      <c r="C25" s="6">
        <f t="shared" ref="C25:AH25" si="19">IF(AND(C$17&gt;=$D10,C$17&lt;=$B10),B25-$E10,IF(C$17&lt;$D10,100,""))</f>
        <v>100</v>
      </c>
      <c r="D25" s="6">
        <f t="shared" si="19"/>
        <v>100</v>
      </c>
      <c r="E25" s="6">
        <f t="shared" si="19"/>
        <v>100</v>
      </c>
      <c r="F25" s="6">
        <f t="shared" si="19"/>
        <v>100</v>
      </c>
      <c r="G25" s="6">
        <f t="shared" si="19"/>
        <v>100</v>
      </c>
      <c r="H25" s="6">
        <f t="shared" si="19"/>
        <v>100</v>
      </c>
      <c r="I25" s="6">
        <f t="shared" si="19"/>
        <v>92.307692307692307</v>
      </c>
      <c r="J25" s="6">
        <f t="shared" si="19"/>
        <v>84.615384615384613</v>
      </c>
      <c r="K25" s="6">
        <f t="shared" si="19"/>
        <v>76.92307692307692</v>
      </c>
      <c r="L25" s="6">
        <f t="shared" si="19"/>
        <v>69.230769230769226</v>
      </c>
      <c r="M25" s="6">
        <f t="shared" si="19"/>
        <v>61.538461538461533</v>
      </c>
      <c r="N25" s="6">
        <f t="shared" si="19"/>
        <v>53.84615384615384</v>
      </c>
      <c r="O25" s="6">
        <f t="shared" si="19"/>
        <v>46.153846153846146</v>
      </c>
      <c r="P25" s="6">
        <f t="shared" si="19"/>
        <v>38.461538461538453</v>
      </c>
      <c r="Q25" s="6">
        <f t="shared" si="19"/>
        <v>30.769230769230759</v>
      </c>
      <c r="R25" s="6">
        <f t="shared" si="19"/>
        <v>23.076923076923066</v>
      </c>
      <c r="S25" s="6">
        <f t="shared" si="19"/>
        <v>15.384615384615373</v>
      </c>
      <c r="T25" s="6">
        <f t="shared" si="19"/>
        <v>7.6923076923076801</v>
      </c>
      <c r="U25" s="6">
        <f t="shared" si="19"/>
        <v>-1.2434497875801753E-14</v>
      </c>
      <c r="V25" s="6" t="str">
        <f t="shared" si="19"/>
        <v/>
      </c>
      <c r="W25" s="6" t="str">
        <f t="shared" si="19"/>
        <v/>
      </c>
      <c r="X25" s="6" t="str">
        <f t="shared" si="19"/>
        <v/>
      </c>
      <c r="Y25" s="6" t="str">
        <f t="shared" si="19"/>
        <v/>
      </c>
      <c r="Z25" s="6" t="str">
        <f t="shared" si="19"/>
        <v/>
      </c>
      <c r="AA25" s="6" t="str">
        <f t="shared" si="19"/>
        <v/>
      </c>
      <c r="AB25" s="6" t="str">
        <f t="shared" si="19"/>
        <v/>
      </c>
      <c r="AC25" s="6" t="str">
        <f t="shared" si="19"/>
        <v/>
      </c>
      <c r="AD25" s="6" t="str">
        <f t="shared" si="19"/>
        <v/>
      </c>
      <c r="AE25" s="6" t="str">
        <f t="shared" si="19"/>
        <v/>
      </c>
      <c r="AF25" s="6" t="str">
        <f t="shared" si="19"/>
        <v/>
      </c>
      <c r="AG25" s="6" t="str">
        <f t="shared" si="19"/>
        <v/>
      </c>
      <c r="AH25" s="6" t="str">
        <f t="shared" si="19"/>
        <v/>
      </c>
      <c r="AI25" s="6" t="str">
        <f t="shared" ref="AI25:BA25" si="20">IF(AND(AI$17&gt;=$D10,AI$17&lt;=$B10),AH25-$E10,IF(AI$17&lt;$D10,100,""))</f>
        <v/>
      </c>
      <c r="AJ25" s="6" t="str">
        <f t="shared" si="20"/>
        <v/>
      </c>
      <c r="AK25" s="6" t="str">
        <f t="shared" si="20"/>
        <v/>
      </c>
      <c r="AL25" s="6" t="str">
        <f t="shared" si="20"/>
        <v/>
      </c>
      <c r="AM25" s="6" t="str">
        <f t="shared" si="20"/>
        <v/>
      </c>
      <c r="AN25" s="6" t="str">
        <f t="shared" si="20"/>
        <v/>
      </c>
      <c r="AO25" s="6" t="str">
        <f t="shared" si="20"/>
        <v/>
      </c>
      <c r="AP25" s="6" t="str">
        <f t="shared" si="20"/>
        <v/>
      </c>
      <c r="AQ25" s="6" t="str">
        <f t="shared" si="20"/>
        <v/>
      </c>
      <c r="AR25" s="6" t="str">
        <f t="shared" si="20"/>
        <v/>
      </c>
      <c r="AS25" s="6" t="str">
        <f t="shared" si="20"/>
        <v/>
      </c>
      <c r="AT25" s="6" t="str">
        <f t="shared" si="20"/>
        <v/>
      </c>
      <c r="AU25" s="6" t="str">
        <f t="shared" si="20"/>
        <v/>
      </c>
      <c r="AV25" s="6" t="str">
        <f t="shared" si="20"/>
        <v/>
      </c>
      <c r="AW25" s="6" t="str">
        <f t="shared" si="20"/>
        <v/>
      </c>
      <c r="AX25" s="6" t="str">
        <f t="shared" si="20"/>
        <v/>
      </c>
      <c r="AY25" s="6" t="str">
        <f t="shared" si="20"/>
        <v/>
      </c>
      <c r="AZ25" s="6" t="str">
        <f t="shared" si="20"/>
        <v/>
      </c>
      <c r="BA25" s="6" t="str">
        <f t="shared" si="20"/>
        <v/>
      </c>
    </row>
    <row r="26" spans="1:53" x14ac:dyDescent="0.2">
      <c r="A26" t="s">
        <v>110</v>
      </c>
      <c r="B26" s="6">
        <f t="shared" si="6"/>
        <v>100</v>
      </c>
      <c r="C26" s="6">
        <f t="shared" ref="C26:AH26" si="21">IF(AND(C$17&gt;=$D11,C$17&lt;=$B11),B26-$E11,IF(C$17&lt;$D11,100,""))</f>
        <v>100</v>
      </c>
      <c r="D26" s="6">
        <f t="shared" si="21"/>
        <v>100</v>
      </c>
      <c r="E26" s="6">
        <f t="shared" si="21"/>
        <v>100</v>
      </c>
      <c r="F26" s="6">
        <f t="shared" si="21"/>
        <v>100</v>
      </c>
      <c r="G26" s="6">
        <f t="shared" si="21"/>
        <v>100</v>
      </c>
      <c r="H26" s="6">
        <f t="shared" si="21"/>
        <v>100</v>
      </c>
      <c r="I26" s="6">
        <f t="shared" si="21"/>
        <v>100</v>
      </c>
      <c r="J26" s="6">
        <f t="shared" si="21"/>
        <v>100</v>
      </c>
      <c r="K26" s="6">
        <f t="shared" si="21"/>
        <v>100</v>
      </c>
      <c r="L26" s="6">
        <f t="shared" si="21"/>
        <v>100</v>
      </c>
      <c r="M26" s="6">
        <f t="shared" si="21"/>
        <v>100</v>
      </c>
      <c r="N26" s="6">
        <f t="shared" si="21"/>
        <v>100</v>
      </c>
      <c r="O26" s="6">
        <f t="shared" si="21"/>
        <v>100</v>
      </c>
      <c r="P26" s="6">
        <f t="shared" si="21"/>
        <v>100</v>
      </c>
      <c r="Q26" s="6">
        <f t="shared" si="21"/>
        <v>100</v>
      </c>
      <c r="R26" s="6">
        <f t="shared" si="21"/>
        <v>100</v>
      </c>
      <c r="S26" s="6">
        <f t="shared" si="21"/>
        <v>100</v>
      </c>
      <c r="T26" s="6">
        <f t="shared" si="21"/>
        <v>100</v>
      </c>
      <c r="U26" s="6">
        <f t="shared" si="21"/>
        <v>100</v>
      </c>
      <c r="V26" s="6">
        <f t="shared" si="21"/>
        <v>90</v>
      </c>
      <c r="W26" s="6">
        <f t="shared" si="21"/>
        <v>80</v>
      </c>
      <c r="X26" s="6">
        <f t="shared" si="21"/>
        <v>70</v>
      </c>
      <c r="Y26" s="6">
        <f t="shared" si="21"/>
        <v>60</v>
      </c>
      <c r="Z26" s="6">
        <f t="shared" si="21"/>
        <v>50</v>
      </c>
      <c r="AA26" s="6">
        <f t="shared" si="21"/>
        <v>40</v>
      </c>
      <c r="AB26" s="6">
        <f t="shared" si="21"/>
        <v>30</v>
      </c>
      <c r="AC26" s="6">
        <f t="shared" si="21"/>
        <v>20</v>
      </c>
      <c r="AD26" s="6">
        <f t="shared" si="21"/>
        <v>10</v>
      </c>
      <c r="AE26" s="6">
        <f t="shared" si="21"/>
        <v>0</v>
      </c>
      <c r="AF26" s="6" t="str">
        <f t="shared" si="21"/>
        <v/>
      </c>
      <c r="AG26" s="6" t="str">
        <f t="shared" si="21"/>
        <v/>
      </c>
      <c r="AH26" s="6" t="str">
        <f t="shared" si="21"/>
        <v/>
      </c>
      <c r="AI26" s="6" t="str">
        <f t="shared" ref="AI26:BA26" si="22">IF(AND(AI$17&gt;=$D11,AI$17&lt;=$B11),AH26-$E11,IF(AI$17&lt;$D11,100,""))</f>
        <v/>
      </c>
      <c r="AJ26" s="6" t="str">
        <f t="shared" si="22"/>
        <v/>
      </c>
      <c r="AK26" s="6" t="str">
        <f t="shared" si="22"/>
        <v/>
      </c>
      <c r="AL26" s="6" t="str">
        <f t="shared" si="22"/>
        <v/>
      </c>
      <c r="AM26" s="6" t="str">
        <f t="shared" si="22"/>
        <v/>
      </c>
      <c r="AN26" s="6" t="str">
        <f t="shared" si="22"/>
        <v/>
      </c>
      <c r="AO26" s="6" t="str">
        <f t="shared" si="22"/>
        <v/>
      </c>
      <c r="AP26" s="6" t="str">
        <f t="shared" si="22"/>
        <v/>
      </c>
      <c r="AQ26" s="6" t="str">
        <f t="shared" si="22"/>
        <v/>
      </c>
      <c r="AR26" s="6" t="str">
        <f t="shared" si="22"/>
        <v/>
      </c>
      <c r="AS26" s="6" t="str">
        <f t="shared" si="22"/>
        <v/>
      </c>
      <c r="AT26" s="6" t="str">
        <f t="shared" si="22"/>
        <v/>
      </c>
      <c r="AU26" s="6" t="str">
        <f t="shared" si="22"/>
        <v/>
      </c>
      <c r="AV26" s="6" t="str">
        <f t="shared" si="22"/>
        <v/>
      </c>
      <c r="AW26" s="6" t="str">
        <f t="shared" si="22"/>
        <v/>
      </c>
      <c r="AX26" s="6" t="str">
        <f t="shared" si="22"/>
        <v/>
      </c>
      <c r="AY26" s="6" t="str">
        <f t="shared" si="22"/>
        <v/>
      </c>
      <c r="AZ26" s="6" t="str">
        <f t="shared" si="22"/>
        <v/>
      </c>
      <c r="BA26" s="6" t="str">
        <f t="shared" si="22"/>
        <v/>
      </c>
    </row>
    <row r="27" spans="1:53" x14ac:dyDescent="0.2">
      <c r="A27" t="s">
        <v>116</v>
      </c>
      <c r="B27" s="6">
        <f t="shared" si="6"/>
        <v>100</v>
      </c>
      <c r="C27" s="6">
        <f t="shared" ref="C27:AH27" si="23">IF(AND(C$17&gt;=$D12,C$17&lt;=$B12),B27-$E12,IF(C$17&lt;$D12,100,""))</f>
        <v>100</v>
      </c>
      <c r="D27" s="6">
        <f t="shared" si="23"/>
        <v>100</v>
      </c>
      <c r="E27" s="6">
        <f t="shared" si="23"/>
        <v>100</v>
      </c>
      <c r="F27" s="6">
        <f t="shared" si="23"/>
        <v>100</v>
      </c>
      <c r="G27" s="6">
        <f t="shared" si="23"/>
        <v>100</v>
      </c>
      <c r="H27" s="6">
        <f t="shared" si="23"/>
        <v>100</v>
      </c>
      <c r="I27" s="6">
        <f t="shared" si="23"/>
        <v>100</v>
      </c>
      <c r="J27" s="6">
        <f t="shared" si="23"/>
        <v>97.727272727272734</v>
      </c>
      <c r="K27" s="6">
        <f t="shared" si="23"/>
        <v>95.454545454545467</v>
      </c>
      <c r="L27" s="6">
        <f t="shared" si="23"/>
        <v>93.181818181818201</v>
      </c>
      <c r="M27" s="6">
        <f t="shared" si="23"/>
        <v>90.909090909090935</v>
      </c>
      <c r="N27" s="6">
        <f t="shared" si="23"/>
        <v>88.636363636363669</v>
      </c>
      <c r="O27" s="6">
        <f t="shared" si="23"/>
        <v>86.363636363636402</v>
      </c>
      <c r="P27" s="6">
        <f t="shared" si="23"/>
        <v>84.090909090909136</v>
      </c>
      <c r="Q27" s="6">
        <f t="shared" si="23"/>
        <v>81.81818181818187</v>
      </c>
      <c r="R27" s="6">
        <f t="shared" si="23"/>
        <v>79.545454545454604</v>
      </c>
      <c r="S27" s="6">
        <f t="shared" si="23"/>
        <v>77.272727272727337</v>
      </c>
      <c r="T27" s="6">
        <f t="shared" si="23"/>
        <v>75.000000000000071</v>
      </c>
      <c r="U27" s="6">
        <f t="shared" si="23"/>
        <v>72.727272727272805</v>
      </c>
      <c r="V27" s="6">
        <f t="shared" si="23"/>
        <v>70.454545454545539</v>
      </c>
      <c r="W27" s="6">
        <f t="shared" si="23"/>
        <v>68.181818181818272</v>
      </c>
      <c r="X27" s="6">
        <f t="shared" si="23"/>
        <v>65.909090909091006</v>
      </c>
      <c r="Y27" s="6">
        <f t="shared" si="23"/>
        <v>63.636363636363733</v>
      </c>
      <c r="Z27" s="6">
        <f t="shared" si="23"/>
        <v>61.363636363636459</v>
      </c>
      <c r="AA27" s="6">
        <f t="shared" si="23"/>
        <v>59.090909090909186</v>
      </c>
      <c r="AB27" s="6">
        <f t="shared" si="23"/>
        <v>56.818181818181912</v>
      </c>
      <c r="AC27" s="6">
        <f t="shared" si="23"/>
        <v>54.545454545454639</v>
      </c>
      <c r="AD27" s="6">
        <f t="shared" si="23"/>
        <v>52.272727272727366</v>
      </c>
      <c r="AE27" s="6">
        <f t="shared" si="23"/>
        <v>50.000000000000092</v>
      </c>
      <c r="AF27" s="6">
        <f t="shared" si="23"/>
        <v>47.727272727272819</v>
      </c>
      <c r="AG27" s="6">
        <f t="shared" si="23"/>
        <v>45.454545454545546</v>
      </c>
      <c r="AH27" s="6">
        <f t="shared" si="23"/>
        <v>43.181818181818272</v>
      </c>
      <c r="AI27" s="6">
        <f t="shared" ref="AI27:BA27" si="24">IF(AND(AI$17&gt;=$D12,AI$17&lt;=$B12),AH27-$E12,IF(AI$17&lt;$D12,100,""))</f>
        <v>40.909090909090999</v>
      </c>
      <c r="AJ27" s="6">
        <f t="shared" si="24"/>
        <v>38.636363636363726</v>
      </c>
      <c r="AK27" s="6">
        <f t="shared" si="24"/>
        <v>36.363636363636452</v>
      </c>
      <c r="AL27" s="6">
        <f t="shared" si="24"/>
        <v>34.090909090909179</v>
      </c>
      <c r="AM27" s="6">
        <f t="shared" si="24"/>
        <v>31.818181818181905</v>
      </c>
      <c r="AN27" s="6">
        <f t="shared" si="24"/>
        <v>29.545454545454632</v>
      </c>
      <c r="AO27" s="6">
        <f t="shared" si="24"/>
        <v>27.272727272727359</v>
      </c>
      <c r="AP27" s="6">
        <f t="shared" si="24"/>
        <v>25.000000000000085</v>
      </c>
      <c r="AQ27" s="6">
        <f t="shared" si="24"/>
        <v>22.727272727272812</v>
      </c>
      <c r="AR27" s="6">
        <f t="shared" si="24"/>
        <v>20.454545454545539</v>
      </c>
      <c r="AS27" s="6">
        <f t="shared" si="24"/>
        <v>18.181818181818265</v>
      </c>
      <c r="AT27" s="6">
        <f t="shared" si="24"/>
        <v>15.909090909090992</v>
      </c>
      <c r="AU27" s="6">
        <f t="shared" si="24"/>
        <v>13.636363636363718</v>
      </c>
      <c r="AV27" s="6">
        <f t="shared" si="24"/>
        <v>11.363636363636445</v>
      </c>
      <c r="AW27" s="6">
        <f t="shared" si="24"/>
        <v>9.0909090909091717</v>
      </c>
      <c r="AX27" s="6">
        <f t="shared" si="24"/>
        <v>6.8181818181818983</v>
      </c>
      <c r="AY27" s="6">
        <f t="shared" si="24"/>
        <v>4.5454545454546249</v>
      </c>
      <c r="AZ27" s="6">
        <f t="shared" si="24"/>
        <v>2.272727272727352</v>
      </c>
      <c r="BA27" s="6">
        <f t="shared" si="24"/>
        <v>7.9047879353311146E-14</v>
      </c>
    </row>
    <row r="28" spans="1:53" x14ac:dyDescent="0.2">
      <c r="A28" t="s">
        <v>105</v>
      </c>
      <c r="B28" s="6">
        <f t="shared" si="6"/>
        <v>100</v>
      </c>
      <c r="C28" s="6">
        <f t="shared" ref="C28:AH28" si="25">IF(AND(C$17&gt;=$D13,C$17&lt;=$B13),B28-$E13,IF(C$17&lt;$D13,100,""))</f>
        <v>100</v>
      </c>
      <c r="D28" s="6">
        <f t="shared" si="25"/>
        <v>100</v>
      </c>
      <c r="E28" s="6">
        <f t="shared" si="25"/>
        <v>100</v>
      </c>
      <c r="F28" s="6">
        <f t="shared" si="25"/>
        <v>100</v>
      </c>
      <c r="G28" s="6">
        <f t="shared" si="25"/>
        <v>100</v>
      </c>
      <c r="H28" s="6">
        <f t="shared" si="25"/>
        <v>100</v>
      </c>
      <c r="I28" s="6">
        <f t="shared" si="25"/>
        <v>100</v>
      </c>
      <c r="J28" s="6">
        <f t="shared" si="25"/>
        <v>90</v>
      </c>
      <c r="K28" s="6">
        <f t="shared" si="25"/>
        <v>80</v>
      </c>
      <c r="L28" s="6">
        <f t="shared" si="25"/>
        <v>70</v>
      </c>
      <c r="M28" s="6">
        <f t="shared" si="25"/>
        <v>60</v>
      </c>
      <c r="N28" s="6">
        <f t="shared" si="25"/>
        <v>50</v>
      </c>
      <c r="O28" s="6">
        <f t="shared" si="25"/>
        <v>40</v>
      </c>
      <c r="P28" s="6">
        <f t="shared" si="25"/>
        <v>30</v>
      </c>
      <c r="Q28" s="6">
        <f t="shared" si="25"/>
        <v>20</v>
      </c>
      <c r="R28" s="6">
        <f t="shared" si="25"/>
        <v>10</v>
      </c>
      <c r="S28" s="6">
        <f t="shared" si="25"/>
        <v>0</v>
      </c>
      <c r="T28" s="6" t="str">
        <f t="shared" si="25"/>
        <v/>
      </c>
      <c r="U28" s="6" t="str">
        <f t="shared" si="25"/>
        <v/>
      </c>
      <c r="V28" s="6" t="str">
        <f t="shared" si="25"/>
        <v/>
      </c>
      <c r="W28" s="6" t="str">
        <f t="shared" si="25"/>
        <v/>
      </c>
      <c r="X28" s="6" t="str">
        <f t="shared" si="25"/>
        <v/>
      </c>
      <c r="Y28" s="6" t="str">
        <f t="shared" si="25"/>
        <v/>
      </c>
      <c r="Z28" s="6" t="str">
        <f t="shared" si="25"/>
        <v/>
      </c>
      <c r="AA28" s="6" t="str">
        <f t="shared" si="25"/>
        <v/>
      </c>
      <c r="AB28" s="6" t="str">
        <f t="shared" si="25"/>
        <v/>
      </c>
      <c r="AC28" s="6" t="str">
        <f t="shared" si="25"/>
        <v/>
      </c>
      <c r="AD28" s="6" t="str">
        <f t="shared" si="25"/>
        <v/>
      </c>
      <c r="AE28" s="6" t="str">
        <f t="shared" si="25"/>
        <v/>
      </c>
      <c r="AF28" s="6" t="str">
        <f t="shared" si="25"/>
        <v/>
      </c>
      <c r="AG28" s="6" t="str">
        <f t="shared" si="25"/>
        <v/>
      </c>
      <c r="AH28" s="6" t="str">
        <f t="shared" si="25"/>
        <v/>
      </c>
      <c r="AI28" s="6" t="str">
        <f t="shared" ref="AI28:BA28" si="26">IF(AND(AI$17&gt;=$D13,AI$17&lt;=$B13),AH28-$E13,IF(AI$17&lt;$D13,100,""))</f>
        <v/>
      </c>
      <c r="AJ28" s="6" t="str">
        <f t="shared" si="26"/>
        <v/>
      </c>
      <c r="AK28" s="6" t="str">
        <f t="shared" si="26"/>
        <v/>
      </c>
      <c r="AL28" s="6" t="str">
        <f t="shared" si="26"/>
        <v/>
      </c>
      <c r="AM28" s="6" t="str">
        <f t="shared" si="26"/>
        <v/>
      </c>
      <c r="AN28" s="6" t="str">
        <f t="shared" si="26"/>
        <v/>
      </c>
      <c r="AO28" s="6" t="str">
        <f t="shared" si="26"/>
        <v/>
      </c>
      <c r="AP28" s="6" t="str">
        <f t="shared" si="26"/>
        <v/>
      </c>
      <c r="AQ28" s="6" t="str">
        <f t="shared" si="26"/>
        <v/>
      </c>
      <c r="AR28" s="6" t="str">
        <f t="shared" si="26"/>
        <v/>
      </c>
      <c r="AS28" s="6" t="str">
        <f t="shared" si="26"/>
        <v/>
      </c>
      <c r="AT28" s="6" t="str">
        <f t="shared" si="26"/>
        <v/>
      </c>
      <c r="AU28" s="6" t="str">
        <f t="shared" si="26"/>
        <v/>
      </c>
      <c r="AV28" s="6" t="str">
        <f t="shared" si="26"/>
        <v/>
      </c>
      <c r="AW28" s="6" t="str">
        <f t="shared" si="26"/>
        <v/>
      </c>
      <c r="AX28" s="6" t="str">
        <f t="shared" si="26"/>
        <v/>
      </c>
      <c r="AY28" s="6" t="str">
        <f t="shared" si="26"/>
        <v/>
      </c>
      <c r="AZ28" s="6" t="str">
        <f t="shared" si="26"/>
        <v/>
      </c>
      <c r="BA28" s="6" t="str">
        <f t="shared" si="26"/>
        <v/>
      </c>
    </row>
    <row r="29" spans="1:53" x14ac:dyDescent="0.2">
      <c r="A29" t="s">
        <v>106</v>
      </c>
      <c r="B29" s="6">
        <f t="shared" si="6"/>
        <v>100</v>
      </c>
      <c r="C29" s="6">
        <f t="shared" ref="C29:AH29" si="27">IF(AND(C$17&gt;=$D14,C$17&lt;=$B14),B29-$E14,IF(C$17&lt;$D14,100,""))</f>
        <v>100</v>
      </c>
      <c r="D29" s="6">
        <f t="shared" si="27"/>
        <v>100</v>
      </c>
      <c r="E29" s="6">
        <f t="shared" si="27"/>
        <v>100</v>
      </c>
      <c r="F29" s="6">
        <f t="shared" si="27"/>
        <v>100</v>
      </c>
      <c r="G29" s="6">
        <f t="shared" si="27"/>
        <v>100</v>
      </c>
      <c r="H29" s="6">
        <f t="shared" si="27"/>
        <v>100</v>
      </c>
      <c r="I29" s="6">
        <f t="shared" si="27"/>
        <v>100</v>
      </c>
      <c r="J29" s="6">
        <f t="shared" si="27"/>
        <v>90</v>
      </c>
      <c r="K29" s="6">
        <f t="shared" si="27"/>
        <v>80</v>
      </c>
      <c r="L29" s="6">
        <f t="shared" si="27"/>
        <v>70</v>
      </c>
      <c r="M29" s="6">
        <f t="shared" si="27"/>
        <v>60</v>
      </c>
      <c r="N29" s="6">
        <f t="shared" si="27"/>
        <v>50</v>
      </c>
      <c r="O29" s="6">
        <f t="shared" si="27"/>
        <v>40</v>
      </c>
      <c r="P29" s="6">
        <f t="shared" si="27"/>
        <v>30</v>
      </c>
      <c r="Q29" s="6">
        <f t="shared" si="27"/>
        <v>20</v>
      </c>
      <c r="R29" s="6">
        <f t="shared" si="27"/>
        <v>10</v>
      </c>
      <c r="S29" s="6">
        <f t="shared" si="27"/>
        <v>0</v>
      </c>
      <c r="T29" s="6" t="str">
        <f t="shared" si="27"/>
        <v/>
      </c>
      <c r="U29" s="6" t="str">
        <f t="shared" si="27"/>
        <v/>
      </c>
      <c r="V29" s="6" t="str">
        <f t="shared" si="27"/>
        <v/>
      </c>
      <c r="W29" s="6" t="str">
        <f t="shared" si="27"/>
        <v/>
      </c>
      <c r="X29" s="6" t="str">
        <f t="shared" si="27"/>
        <v/>
      </c>
      <c r="Y29" s="6" t="str">
        <f t="shared" si="27"/>
        <v/>
      </c>
      <c r="Z29" s="6" t="str">
        <f t="shared" si="27"/>
        <v/>
      </c>
      <c r="AA29" s="6" t="str">
        <f t="shared" si="27"/>
        <v/>
      </c>
      <c r="AB29" s="6" t="str">
        <f t="shared" si="27"/>
        <v/>
      </c>
      <c r="AC29" s="6" t="str">
        <f t="shared" si="27"/>
        <v/>
      </c>
      <c r="AD29" s="6" t="str">
        <f t="shared" si="27"/>
        <v/>
      </c>
      <c r="AE29" s="6" t="str">
        <f t="shared" si="27"/>
        <v/>
      </c>
      <c r="AF29" s="6" t="str">
        <f t="shared" si="27"/>
        <v/>
      </c>
      <c r="AG29" s="6" t="str">
        <f t="shared" si="27"/>
        <v/>
      </c>
      <c r="AH29" s="6" t="str">
        <f t="shared" si="27"/>
        <v/>
      </c>
      <c r="AI29" s="6" t="str">
        <f t="shared" ref="AI29:BA29" si="28">IF(AND(AI$17&gt;=$D14,AI$17&lt;=$B14),AH29-$E14,IF(AI$17&lt;$D14,100,""))</f>
        <v/>
      </c>
      <c r="AJ29" s="6" t="str">
        <f t="shared" si="28"/>
        <v/>
      </c>
      <c r="AK29" s="6" t="str">
        <f t="shared" si="28"/>
        <v/>
      </c>
      <c r="AL29" s="6" t="str">
        <f t="shared" si="28"/>
        <v/>
      </c>
      <c r="AM29" s="6" t="str">
        <f t="shared" si="28"/>
        <v/>
      </c>
      <c r="AN29" s="6" t="str">
        <f t="shared" si="28"/>
        <v/>
      </c>
      <c r="AO29" s="6" t="str">
        <f t="shared" si="28"/>
        <v/>
      </c>
      <c r="AP29" s="6" t="str">
        <f t="shared" si="28"/>
        <v/>
      </c>
      <c r="AQ29" s="6" t="str">
        <f t="shared" si="28"/>
        <v/>
      </c>
      <c r="AR29" s="6" t="str">
        <f t="shared" si="28"/>
        <v/>
      </c>
      <c r="AS29" s="6" t="str">
        <f t="shared" si="28"/>
        <v/>
      </c>
      <c r="AT29" s="6" t="str">
        <f t="shared" si="28"/>
        <v/>
      </c>
      <c r="AU29" s="6" t="str">
        <f t="shared" si="28"/>
        <v/>
      </c>
      <c r="AV29" s="6" t="str">
        <f t="shared" si="28"/>
        <v/>
      </c>
      <c r="AW29" s="6" t="str">
        <f t="shared" si="28"/>
        <v/>
      </c>
      <c r="AX29" s="6" t="str">
        <f t="shared" si="28"/>
        <v/>
      </c>
      <c r="AY29" s="6" t="str">
        <f t="shared" si="28"/>
        <v/>
      </c>
      <c r="AZ29" s="6" t="str">
        <f t="shared" si="28"/>
        <v/>
      </c>
      <c r="BA29" s="6" t="str">
        <f t="shared" si="28"/>
        <v/>
      </c>
    </row>
    <row r="31" spans="1:53" x14ac:dyDescent="0.2">
      <c r="B31" t="s">
        <v>301</v>
      </c>
    </row>
    <row r="32" spans="1:53" x14ac:dyDescent="0.2">
      <c r="A32" t="s">
        <v>203</v>
      </c>
      <c r="B32" s="162">
        <v>44205</v>
      </c>
      <c r="C32" s="162">
        <v>44386</v>
      </c>
      <c r="D32" s="162">
        <v>44570</v>
      </c>
      <c r="E32" s="162">
        <v>44751</v>
      </c>
      <c r="F32" s="162">
        <v>44935</v>
      </c>
      <c r="G32" s="162">
        <v>45116</v>
      </c>
      <c r="H32" s="162">
        <v>45300</v>
      </c>
      <c r="I32" s="162">
        <v>45482</v>
      </c>
      <c r="J32" s="162">
        <v>45666</v>
      </c>
      <c r="K32" s="162">
        <v>45847</v>
      </c>
      <c r="L32" s="162">
        <v>46031</v>
      </c>
      <c r="M32" s="162">
        <v>46212</v>
      </c>
      <c r="N32" s="162">
        <v>46396</v>
      </c>
      <c r="O32" s="162">
        <v>46577</v>
      </c>
      <c r="P32" s="162">
        <v>46761</v>
      </c>
      <c r="Q32" s="162">
        <v>46943</v>
      </c>
      <c r="R32" s="162">
        <v>47127</v>
      </c>
      <c r="S32" s="162">
        <v>47308</v>
      </c>
      <c r="T32" s="162">
        <v>47492</v>
      </c>
      <c r="U32" s="162">
        <v>47673</v>
      </c>
      <c r="V32" s="162">
        <v>47857</v>
      </c>
      <c r="W32" s="162">
        <v>48038</v>
      </c>
      <c r="X32" s="162">
        <v>48222</v>
      </c>
      <c r="Y32" s="162">
        <v>48404</v>
      </c>
      <c r="Z32" s="162">
        <v>48588</v>
      </c>
      <c r="AA32" s="162">
        <v>48769</v>
      </c>
      <c r="AB32" s="162">
        <v>48953</v>
      </c>
      <c r="AC32" s="162">
        <v>49134</v>
      </c>
      <c r="AD32" s="162">
        <v>49318</v>
      </c>
      <c r="AE32" s="162">
        <v>49499</v>
      </c>
      <c r="AF32" s="162">
        <v>49683</v>
      </c>
      <c r="AG32" s="162">
        <v>49865</v>
      </c>
      <c r="AH32" s="162">
        <v>50049</v>
      </c>
      <c r="AI32" s="162">
        <v>50230</v>
      </c>
      <c r="AJ32" s="162">
        <v>50414</v>
      </c>
      <c r="AK32" s="162">
        <v>50595</v>
      </c>
      <c r="AL32" s="162">
        <v>50779</v>
      </c>
      <c r="AM32" s="162">
        <v>50960</v>
      </c>
      <c r="AN32" s="162">
        <v>51144</v>
      </c>
      <c r="AO32" s="162">
        <v>51326</v>
      </c>
      <c r="AP32" s="162">
        <v>51510</v>
      </c>
      <c r="AQ32" s="162">
        <v>51691</v>
      </c>
      <c r="AR32" s="162">
        <v>51875</v>
      </c>
      <c r="AS32" s="162">
        <v>52056</v>
      </c>
      <c r="AT32" s="162">
        <v>52240</v>
      </c>
      <c r="AU32" s="162">
        <v>52421</v>
      </c>
      <c r="AV32" s="162">
        <v>52605</v>
      </c>
      <c r="AW32" s="162">
        <v>52787</v>
      </c>
      <c r="AX32" s="162">
        <v>52971</v>
      </c>
      <c r="AY32" s="162">
        <v>53152</v>
      </c>
      <c r="AZ32" s="162">
        <v>53336</v>
      </c>
      <c r="BA32" s="162">
        <v>53517</v>
      </c>
    </row>
    <row r="33" spans="1:53" x14ac:dyDescent="0.2">
      <c r="A33" t="s">
        <v>111</v>
      </c>
      <c r="B33">
        <v>0.125</v>
      </c>
      <c r="C33">
        <v>0.125</v>
      </c>
      <c r="D33">
        <v>2</v>
      </c>
      <c r="E33">
        <v>2</v>
      </c>
      <c r="F33">
        <v>3.875</v>
      </c>
      <c r="G33">
        <v>3.875</v>
      </c>
      <c r="H33">
        <v>4.25</v>
      </c>
      <c r="I33">
        <v>4.25</v>
      </c>
      <c r="J33">
        <v>5</v>
      </c>
      <c r="K33">
        <v>5</v>
      </c>
      <c r="L33">
        <v>5</v>
      </c>
      <c r="M33">
        <v>5</v>
      </c>
      <c r="N33">
        <v>5</v>
      </c>
      <c r="O33">
        <v>5</v>
      </c>
      <c r="P33">
        <v>5</v>
      </c>
      <c r="Q33">
        <v>5</v>
      </c>
      <c r="R33">
        <v>5</v>
      </c>
      <c r="S33">
        <v>5</v>
      </c>
      <c r="T33">
        <v>5</v>
      </c>
      <c r="U33">
        <v>5</v>
      </c>
      <c r="V33">
        <v>5</v>
      </c>
      <c r="W33">
        <v>5</v>
      </c>
      <c r="X33">
        <v>5</v>
      </c>
      <c r="Y33">
        <v>5</v>
      </c>
      <c r="Z33">
        <v>5</v>
      </c>
      <c r="AA33">
        <v>5</v>
      </c>
      <c r="AB33">
        <v>5</v>
      </c>
      <c r="AC33">
        <v>5</v>
      </c>
      <c r="AD33">
        <v>5</v>
      </c>
      <c r="AE33">
        <v>5</v>
      </c>
      <c r="AF33">
        <v>5</v>
      </c>
      <c r="AG33">
        <v>5</v>
      </c>
      <c r="AH33">
        <v>5</v>
      </c>
      <c r="AI33">
        <v>5</v>
      </c>
      <c r="AJ33">
        <v>5</v>
      </c>
    </row>
    <row r="34" spans="1:53" x14ac:dyDescent="0.2">
      <c r="A34" t="s">
        <v>113</v>
      </c>
      <c r="B34">
        <v>0.125</v>
      </c>
      <c r="C34">
        <v>0.125</v>
      </c>
      <c r="D34">
        <v>2.5</v>
      </c>
      <c r="E34">
        <v>2.5</v>
      </c>
      <c r="F34">
        <v>3.5</v>
      </c>
      <c r="G34">
        <v>3.5</v>
      </c>
      <c r="H34">
        <v>3.5</v>
      </c>
      <c r="I34">
        <v>3.5</v>
      </c>
      <c r="J34">
        <v>3.5</v>
      </c>
      <c r="K34">
        <v>3.5</v>
      </c>
      <c r="L34">
        <v>3.5</v>
      </c>
      <c r="M34">
        <v>3.5</v>
      </c>
      <c r="N34">
        <v>3.5</v>
      </c>
      <c r="O34">
        <v>3.5</v>
      </c>
      <c r="P34">
        <v>3.5</v>
      </c>
      <c r="Q34">
        <v>3.5</v>
      </c>
      <c r="R34">
        <v>3.5</v>
      </c>
      <c r="S34">
        <v>3.5</v>
      </c>
      <c r="T34">
        <v>4.875</v>
      </c>
      <c r="U34">
        <v>4.875</v>
      </c>
      <c r="V34">
        <v>4.875</v>
      </c>
      <c r="W34">
        <v>4.875</v>
      </c>
      <c r="X34">
        <v>4.875</v>
      </c>
      <c r="Y34">
        <v>4.875</v>
      </c>
      <c r="Z34">
        <v>4.875</v>
      </c>
      <c r="AA34">
        <v>4.875</v>
      </c>
      <c r="AB34">
        <v>4.875</v>
      </c>
      <c r="AC34">
        <v>4.875</v>
      </c>
      <c r="AD34">
        <v>4.875</v>
      </c>
      <c r="AE34">
        <v>4.875</v>
      </c>
      <c r="AF34">
        <v>4.875</v>
      </c>
      <c r="AG34">
        <v>4.875</v>
      </c>
      <c r="AH34">
        <v>4.875</v>
      </c>
      <c r="AI34">
        <v>4.875</v>
      </c>
      <c r="AJ34">
        <v>4.875</v>
      </c>
      <c r="AK34">
        <v>4.875</v>
      </c>
      <c r="AL34">
        <v>4.875</v>
      </c>
      <c r="AM34">
        <v>4.875</v>
      </c>
      <c r="AN34">
        <v>4.875</v>
      </c>
      <c r="AO34">
        <v>4.875</v>
      </c>
      <c r="AP34">
        <v>4.875</v>
      </c>
      <c r="AQ34">
        <v>4.875</v>
      </c>
    </row>
    <row r="35" spans="1:53" x14ac:dyDescent="0.2">
      <c r="A35" t="s">
        <v>112</v>
      </c>
      <c r="B35">
        <v>0.125</v>
      </c>
      <c r="C35">
        <v>0.125</v>
      </c>
      <c r="D35">
        <v>1.5</v>
      </c>
      <c r="E35">
        <v>1.5</v>
      </c>
      <c r="F35">
        <v>3</v>
      </c>
      <c r="G35">
        <v>3</v>
      </c>
      <c r="H35">
        <v>3.75</v>
      </c>
      <c r="I35">
        <v>3.75</v>
      </c>
      <c r="J35">
        <v>4.25</v>
      </c>
      <c r="K35">
        <v>4.25</v>
      </c>
      <c r="L35">
        <v>4.25</v>
      </c>
      <c r="M35">
        <v>4.25</v>
      </c>
      <c r="N35">
        <v>4.25</v>
      </c>
      <c r="O35">
        <v>4.25</v>
      </c>
      <c r="P35">
        <v>4.25</v>
      </c>
      <c r="Q35">
        <v>4.25</v>
      </c>
      <c r="R35">
        <v>4.25</v>
      </c>
      <c r="S35">
        <v>4.25</v>
      </c>
      <c r="T35">
        <v>4.25</v>
      </c>
      <c r="U35">
        <v>4.25</v>
      </c>
      <c r="V35">
        <v>4.25</v>
      </c>
      <c r="W35">
        <v>4.25</v>
      </c>
      <c r="X35">
        <v>4.25</v>
      </c>
      <c r="Y35">
        <v>4.25</v>
      </c>
      <c r="Z35">
        <v>4.25</v>
      </c>
      <c r="AA35">
        <v>4.25</v>
      </c>
      <c r="AB35">
        <v>4.25</v>
      </c>
      <c r="AC35">
        <v>4.25</v>
      </c>
      <c r="AD35">
        <v>4.25</v>
      </c>
      <c r="AE35">
        <v>4.25</v>
      </c>
      <c r="AF35">
        <v>4.25</v>
      </c>
      <c r="AG35">
        <v>4.25</v>
      </c>
      <c r="AH35">
        <v>4.25</v>
      </c>
      <c r="AI35">
        <v>4.25</v>
      </c>
      <c r="AJ35">
        <v>4.25</v>
      </c>
    </row>
    <row r="36" spans="1:53" x14ac:dyDescent="0.2">
      <c r="A36" t="s">
        <v>114</v>
      </c>
      <c r="B36">
        <v>0.125</v>
      </c>
      <c r="C36">
        <v>0.125</v>
      </c>
      <c r="D36">
        <v>1.5</v>
      </c>
      <c r="E36">
        <v>1.5</v>
      </c>
      <c r="F36">
        <v>2.75</v>
      </c>
      <c r="G36">
        <v>2.75</v>
      </c>
      <c r="H36">
        <v>3</v>
      </c>
      <c r="I36">
        <v>3</v>
      </c>
      <c r="J36">
        <v>3</v>
      </c>
      <c r="K36">
        <v>3</v>
      </c>
      <c r="L36">
        <v>3</v>
      </c>
      <c r="M36">
        <v>3</v>
      </c>
      <c r="N36">
        <v>3</v>
      </c>
      <c r="O36">
        <v>3</v>
      </c>
      <c r="P36">
        <v>3</v>
      </c>
      <c r="Q36">
        <v>3</v>
      </c>
      <c r="R36">
        <v>3</v>
      </c>
      <c r="S36">
        <v>3</v>
      </c>
      <c r="T36">
        <v>4.5</v>
      </c>
      <c r="U36">
        <v>4.5</v>
      </c>
      <c r="V36">
        <v>4.5</v>
      </c>
      <c r="W36">
        <v>4.5</v>
      </c>
      <c r="X36">
        <v>4.5</v>
      </c>
      <c r="Y36">
        <v>4.5</v>
      </c>
      <c r="Z36">
        <v>4.5</v>
      </c>
      <c r="AA36">
        <v>4.5</v>
      </c>
      <c r="AB36">
        <v>4.5</v>
      </c>
      <c r="AC36">
        <v>4.5</v>
      </c>
      <c r="AD36">
        <v>4.5</v>
      </c>
      <c r="AE36">
        <v>4.5</v>
      </c>
      <c r="AF36">
        <v>4.5</v>
      </c>
      <c r="AG36">
        <v>4.5</v>
      </c>
      <c r="AH36">
        <v>4.5</v>
      </c>
      <c r="AI36">
        <v>4.5</v>
      </c>
      <c r="AJ36">
        <v>4.5</v>
      </c>
      <c r="AK36">
        <v>4.5</v>
      </c>
      <c r="AL36">
        <v>4.5</v>
      </c>
      <c r="AM36">
        <v>4.5</v>
      </c>
      <c r="AN36">
        <v>4.5</v>
      </c>
      <c r="AO36">
        <v>4.5</v>
      </c>
      <c r="AP36">
        <v>4.5</v>
      </c>
      <c r="AQ36">
        <v>4.5</v>
      </c>
    </row>
    <row r="37" spans="1:53" x14ac:dyDescent="0.2">
      <c r="A37" t="s">
        <v>107</v>
      </c>
      <c r="B37">
        <v>0.125</v>
      </c>
      <c r="C37">
        <v>0.125</v>
      </c>
      <c r="D37">
        <v>0.5</v>
      </c>
      <c r="E37">
        <v>0.5</v>
      </c>
      <c r="F37">
        <v>0.5</v>
      </c>
      <c r="G37">
        <v>0.5</v>
      </c>
      <c r="H37">
        <v>0.75</v>
      </c>
      <c r="I37">
        <v>0.75</v>
      </c>
      <c r="J37">
        <v>0.75</v>
      </c>
      <c r="K37">
        <v>0.75</v>
      </c>
      <c r="L37">
        <v>0.75</v>
      </c>
      <c r="M37">
        <v>0.75</v>
      </c>
      <c r="N37">
        <v>0.75</v>
      </c>
      <c r="O37">
        <v>0.75</v>
      </c>
      <c r="P37">
        <v>1.75</v>
      </c>
      <c r="Q37">
        <v>1.75</v>
      </c>
      <c r="R37">
        <v>1.75</v>
      </c>
      <c r="S37">
        <v>1.75</v>
      </c>
      <c r="T37">
        <v>1.75</v>
      </c>
      <c r="U37">
        <v>1.75</v>
      </c>
    </row>
    <row r="38" spans="1:53" x14ac:dyDescent="0.2">
      <c r="A38" t="s">
        <v>109</v>
      </c>
      <c r="B38">
        <v>0.125</v>
      </c>
      <c r="C38">
        <v>0.125</v>
      </c>
      <c r="D38">
        <v>1.125</v>
      </c>
      <c r="E38">
        <v>1.125</v>
      </c>
      <c r="F38">
        <v>1.5</v>
      </c>
      <c r="G38">
        <v>1.5</v>
      </c>
      <c r="H38">
        <v>3.625</v>
      </c>
      <c r="I38">
        <v>3.625</v>
      </c>
      <c r="J38">
        <v>4.125</v>
      </c>
      <c r="K38">
        <v>4.125</v>
      </c>
      <c r="L38">
        <v>4.125</v>
      </c>
      <c r="M38">
        <v>4.125</v>
      </c>
      <c r="N38">
        <v>4.125</v>
      </c>
      <c r="O38">
        <v>4.125</v>
      </c>
      <c r="P38">
        <v>4.75</v>
      </c>
      <c r="Q38">
        <v>4.75</v>
      </c>
      <c r="R38">
        <v>5</v>
      </c>
      <c r="S38">
        <v>5</v>
      </c>
      <c r="T38">
        <v>5</v>
      </c>
      <c r="U38">
        <v>5</v>
      </c>
      <c r="V38">
        <v>5</v>
      </c>
      <c r="W38">
        <v>5</v>
      </c>
      <c r="X38">
        <v>5</v>
      </c>
      <c r="Y38">
        <v>5</v>
      </c>
      <c r="Z38">
        <v>5</v>
      </c>
      <c r="AA38">
        <v>5</v>
      </c>
      <c r="AB38">
        <v>5</v>
      </c>
      <c r="AC38">
        <v>5</v>
      </c>
      <c r="AD38">
        <v>5</v>
      </c>
      <c r="AE38">
        <v>5</v>
      </c>
    </row>
    <row r="39" spans="1:53" x14ac:dyDescent="0.2">
      <c r="A39" t="s">
        <v>115</v>
      </c>
      <c r="B39">
        <v>0.125</v>
      </c>
      <c r="C39">
        <v>0.125</v>
      </c>
      <c r="D39">
        <v>1.125</v>
      </c>
      <c r="E39">
        <v>1.125</v>
      </c>
      <c r="F39">
        <v>1.5</v>
      </c>
      <c r="G39">
        <v>1.5</v>
      </c>
      <c r="H39">
        <v>3.625</v>
      </c>
      <c r="I39">
        <v>3.625</v>
      </c>
      <c r="J39">
        <v>4.125</v>
      </c>
      <c r="K39">
        <v>4.125</v>
      </c>
      <c r="L39">
        <v>4.125</v>
      </c>
      <c r="M39">
        <v>4.125</v>
      </c>
      <c r="N39">
        <v>4.125</v>
      </c>
      <c r="O39">
        <v>4.125</v>
      </c>
      <c r="P39">
        <v>4.375</v>
      </c>
      <c r="Q39">
        <v>4.375</v>
      </c>
      <c r="R39">
        <v>5</v>
      </c>
      <c r="S39">
        <v>5</v>
      </c>
      <c r="T39">
        <v>5</v>
      </c>
      <c r="U39">
        <v>5</v>
      </c>
      <c r="V39">
        <v>5</v>
      </c>
      <c r="W39">
        <v>5</v>
      </c>
      <c r="X39">
        <v>5</v>
      </c>
      <c r="Y39">
        <v>5</v>
      </c>
      <c r="Z39">
        <v>5</v>
      </c>
      <c r="AA39">
        <v>5</v>
      </c>
      <c r="AB39">
        <v>5</v>
      </c>
      <c r="AC39">
        <v>5</v>
      </c>
      <c r="AD39">
        <v>5</v>
      </c>
      <c r="AE39">
        <v>5</v>
      </c>
      <c r="AF39">
        <v>5</v>
      </c>
      <c r="AG39">
        <v>5</v>
      </c>
      <c r="AH39">
        <v>5</v>
      </c>
      <c r="AI39">
        <v>5</v>
      </c>
      <c r="AJ39">
        <v>5</v>
      </c>
      <c r="AK39">
        <v>5</v>
      </c>
      <c r="AL39">
        <v>5</v>
      </c>
      <c r="AM39">
        <v>5</v>
      </c>
      <c r="AN39">
        <v>5</v>
      </c>
      <c r="AO39">
        <v>5</v>
      </c>
      <c r="AP39">
        <v>5</v>
      </c>
      <c r="AQ39">
        <v>5</v>
      </c>
      <c r="AR39">
        <v>5</v>
      </c>
      <c r="AS39">
        <v>5</v>
      </c>
      <c r="AT39">
        <v>5</v>
      </c>
      <c r="AU39">
        <v>5</v>
      </c>
      <c r="AV39">
        <v>5</v>
      </c>
      <c r="AW39">
        <v>5</v>
      </c>
      <c r="AX39">
        <v>5</v>
      </c>
      <c r="AY39">
        <v>5</v>
      </c>
      <c r="AZ39">
        <v>5</v>
      </c>
      <c r="BA39">
        <v>5</v>
      </c>
    </row>
    <row r="40" spans="1:53" x14ac:dyDescent="0.2">
      <c r="A40" t="s">
        <v>108</v>
      </c>
      <c r="B40">
        <v>0.125</v>
      </c>
      <c r="C40">
        <v>0.125</v>
      </c>
      <c r="D40">
        <v>0.125</v>
      </c>
      <c r="E40">
        <v>0.125</v>
      </c>
      <c r="F40">
        <v>0.125</v>
      </c>
      <c r="G40">
        <v>0.125</v>
      </c>
      <c r="H40">
        <v>0.125</v>
      </c>
      <c r="I40">
        <v>0.125</v>
      </c>
      <c r="J40">
        <v>0.125</v>
      </c>
      <c r="K40">
        <v>0.125</v>
      </c>
      <c r="L40">
        <v>0.125</v>
      </c>
      <c r="M40">
        <v>0.125</v>
      </c>
      <c r="N40">
        <v>0.125</v>
      </c>
      <c r="O40">
        <v>0.125</v>
      </c>
      <c r="P40">
        <v>0.125</v>
      </c>
      <c r="Q40">
        <v>0.125</v>
      </c>
      <c r="R40">
        <v>0.125</v>
      </c>
      <c r="S40">
        <v>0.125</v>
      </c>
      <c r="T40">
        <v>0.125</v>
      </c>
      <c r="U40">
        <v>0.125</v>
      </c>
    </row>
    <row r="41" spans="1:53" x14ac:dyDescent="0.2">
      <c r="A41" t="s">
        <v>110</v>
      </c>
      <c r="B41">
        <v>0.125</v>
      </c>
      <c r="C41">
        <v>0.125</v>
      </c>
      <c r="D41">
        <v>0.75</v>
      </c>
      <c r="E41">
        <v>0.75</v>
      </c>
      <c r="F41">
        <v>0.875</v>
      </c>
      <c r="G41">
        <v>0.875</v>
      </c>
      <c r="H41">
        <v>2.5</v>
      </c>
      <c r="I41">
        <v>2.5</v>
      </c>
      <c r="J41">
        <v>3.875</v>
      </c>
      <c r="K41">
        <v>3.875</v>
      </c>
      <c r="L41">
        <v>3.875</v>
      </c>
      <c r="M41">
        <v>3.875</v>
      </c>
      <c r="N41">
        <v>3.875</v>
      </c>
      <c r="O41">
        <v>3.875</v>
      </c>
      <c r="P41">
        <v>4</v>
      </c>
      <c r="Q41">
        <v>4</v>
      </c>
      <c r="R41">
        <v>4</v>
      </c>
      <c r="S41">
        <v>4</v>
      </c>
      <c r="T41">
        <v>4</v>
      </c>
      <c r="U41">
        <v>4</v>
      </c>
      <c r="V41">
        <v>4</v>
      </c>
      <c r="W41">
        <v>4</v>
      </c>
      <c r="X41">
        <v>4</v>
      </c>
      <c r="Y41">
        <v>4</v>
      </c>
      <c r="Z41">
        <v>4</v>
      </c>
      <c r="AA41">
        <v>4</v>
      </c>
      <c r="AB41">
        <v>4</v>
      </c>
      <c r="AC41">
        <v>4</v>
      </c>
      <c r="AD41">
        <v>4</v>
      </c>
      <c r="AE41">
        <v>4</v>
      </c>
    </row>
    <row r="42" spans="1:53" x14ac:dyDescent="0.2">
      <c r="A42" t="s">
        <v>116</v>
      </c>
      <c r="B42">
        <v>0.125</v>
      </c>
      <c r="C42">
        <v>0.125</v>
      </c>
      <c r="D42">
        <v>0.75</v>
      </c>
      <c r="E42">
        <v>0.75</v>
      </c>
      <c r="F42">
        <v>0.875</v>
      </c>
      <c r="G42">
        <v>0.875</v>
      </c>
      <c r="H42">
        <v>2.5</v>
      </c>
      <c r="I42">
        <v>2.5</v>
      </c>
      <c r="J42">
        <v>3.75</v>
      </c>
      <c r="K42">
        <v>3.75</v>
      </c>
      <c r="L42">
        <v>4</v>
      </c>
      <c r="M42">
        <v>4</v>
      </c>
      <c r="N42">
        <v>4.125</v>
      </c>
      <c r="O42">
        <v>4.125</v>
      </c>
      <c r="P42">
        <v>4.125</v>
      </c>
      <c r="Q42">
        <v>4.125</v>
      </c>
      <c r="R42">
        <v>4.125</v>
      </c>
      <c r="S42">
        <v>4.125</v>
      </c>
      <c r="T42">
        <v>4.125</v>
      </c>
      <c r="U42">
        <v>4.125</v>
      </c>
      <c r="V42">
        <v>4.125</v>
      </c>
      <c r="W42">
        <v>4.125</v>
      </c>
      <c r="X42">
        <v>4.125</v>
      </c>
      <c r="Y42">
        <v>4.125</v>
      </c>
      <c r="Z42">
        <v>4.125</v>
      </c>
      <c r="AA42">
        <v>4.125</v>
      </c>
      <c r="AB42">
        <v>4.125</v>
      </c>
      <c r="AC42">
        <v>4.125</v>
      </c>
      <c r="AD42">
        <v>4.125</v>
      </c>
      <c r="AE42">
        <v>4.125</v>
      </c>
      <c r="AF42">
        <v>4.125</v>
      </c>
      <c r="AG42">
        <v>4.125</v>
      </c>
      <c r="AH42">
        <v>4.125</v>
      </c>
      <c r="AI42">
        <v>4.125</v>
      </c>
      <c r="AJ42">
        <v>4.125</v>
      </c>
      <c r="AK42">
        <v>4.125</v>
      </c>
      <c r="AL42">
        <v>4.125</v>
      </c>
      <c r="AM42">
        <v>4.125</v>
      </c>
      <c r="AN42">
        <v>4.125</v>
      </c>
      <c r="AO42">
        <v>4.125</v>
      </c>
      <c r="AP42">
        <v>4.125</v>
      </c>
      <c r="AQ42">
        <v>4.125</v>
      </c>
      <c r="AR42">
        <v>4.125</v>
      </c>
      <c r="AS42">
        <v>4.125</v>
      </c>
      <c r="AT42">
        <v>4.125</v>
      </c>
      <c r="AU42">
        <v>4.125</v>
      </c>
      <c r="AV42">
        <v>4.125</v>
      </c>
      <c r="AW42">
        <v>4.125</v>
      </c>
      <c r="AX42">
        <v>4.125</v>
      </c>
      <c r="AY42">
        <v>4.125</v>
      </c>
      <c r="AZ42">
        <v>4.125</v>
      </c>
      <c r="BA42">
        <v>4.125</v>
      </c>
    </row>
    <row r="43" spans="1:53" x14ac:dyDescent="0.2">
      <c r="A43" t="s">
        <v>105</v>
      </c>
      <c r="B43">
        <v>1</v>
      </c>
      <c r="C43">
        <v>1</v>
      </c>
      <c r="D43">
        <v>1</v>
      </c>
      <c r="E43">
        <v>1</v>
      </c>
      <c r="F43">
        <v>1</v>
      </c>
      <c r="G43">
        <v>1</v>
      </c>
      <c r="H43">
        <v>1</v>
      </c>
      <c r="I43">
        <v>1</v>
      </c>
      <c r="J43">
        <v>1</v>
      </c>
      <c r="K43">
        <v>1</v>
      </c>
      <c r="L43">
        <v>1</v>
      </c>
      <c r="M43">
        <v>1</v>
      </c>
      <c r="N43">
        <v>1</v>
      </c>
      <c r="O43">
        <v>1</v>
      </c>
      <c r="P43">
        <v>1</v>
      </c>
      <c r="Q43">
        <v>1</v>
      </c>
      <c r="R43">
        <v>1</v>
      </c>
      <c r="S43">
        <v>1</v>
      </c>
    </row>
    <row r="44" spans="1:53" x14ac:dyDescent="0.2">
      <c r="A44" t="s">
        <v>106</v>
      </c>
      <c r="B44">
        <v>0.5</v>
      </c>
      <c r="C44">
        <v>0.5</v>
      </c>
      <c r="D44">
        <v>0.5</v>
      </c>
      <c r="E44">
        <v>0.5</v>
      </c>
      <c r="F44">
        <v>0.5</v>
      </c>
      <c r="G44">
        <v>0.5</v>
      </c>
      <c r="H44">
        <v>0.5</v>
      </c>
      <c r="I44">
        <v>0.5</v>
      </c>
      <c r="J44">
        <v>0.5</v>
      </c>
      <c r="K44">
        <v>0.5</v>
      </c>
      <c r="L44">
        <v>0.5</v>
      </c>
      <c r="M44">
        <v>0.5</v>
      </c>
      <c r="N44">
        <v>0.5</v>
      </c>
      <c r="O44">
        <v>0.5</v>
      </c>
      <c r="P44">
        <v>0.5</v>
      </c>
      <c r="Q44">
        <v>0.5</v>
      </c>
      <c r="R44">
        <v>0.5</v>
      </c>
      <c r="S44">
        <v>0.5</v>
      </c>
    </row>
    <row r="46" spans="1:53" x14ac:dyDescent="0.2">
      <c r="B46" t="s">
        <v>302</v>
      </c>
    </row>
    <row r="47" spans="1:53" x14ac:dyDescent="0.2">
      <c r="A47" t="s">
        <v>203</v>
      </c>
      <c r="B47" s="162">
        <v>44205</v>
      </c>
      <c r="C47" s="162">
        <v>44386</v>
      </c>
      <c r="D47" s="162">
        <v>44570</v>
      </c>
      <c r="E47" s="162">
        <v>44751</v>
      </c>
      <c r="F47" s="162">
        <v>44935</v>
      </c>
      <c r="G47" s="162">
        <v>45116</v>
      </c>
      <c r="H47" s="162">
        <v>45300</v>
      </c>
      <c r="I47" s="162">
        <v>45482</v>
      </c>
      <c r="J47" s="162">
        <v>45666</v>
      </c>
      <c r="K47" s="162">
        <v>45847</v>
      </c>
      <c r="L47" s="162">
        <v>46031</v>
      </c>
      <c r="M47" s="162">
        <v>46212</v>
      </c>
      <c r="N47" s="162">
        <v>46396</v>
      </c>
      <c r="O47" s="162">
        <v>46577</v>
      </c>
      <c r="P47" s="162">
        <v>46761</v>
      </c>
      <c r="Q47" s="162">
        <v>46943</v>
      </c>
      <c r="R47" s="162">
        <v>47127</v>
      </c>
      <c r="S47" s="162">
        <v>47308</v>
      </c>
      <c r="T47" s="162">
        <v>47492</v>
      </c>
      <c r="U47" s="162">
        <v>47673</v>
      </c>
      <c r="V47" s="162">
        <v>47857</v>
      </c>
      <c r="W47" s="162">
        <v>48038</v>
      </c>
      <c r="X47" s="162">
        <v>48222</v>
      </c>
      <c r="Y47" s="162">
        <v>48404</v>
      </c>
      <c r="Z47" s="162">
        <v>48588</v>
      </c>
      <c r="AA47" s="162">
        <v>48769</v>
      </c>
      <c r="AB47" s="162">
        <v>48953</v>
      </c>
      <c r="AC47" s="162">
        <v>49134</v>
      </c>
      <c r="AD47" s="162">
        <v>49318</v>
      </c>
      <c r="AE47" s="162">
        <v>49499</v>
      </c>
      <c r="AF47" s="162">
        <v>49683</v>
      </c>
      <c r="AG47" s="162">
        <v>49865</v>
      </c>
      <c r="AH47" s="162">
        <v>50049</v>
      </c>
      <c r="AI47" s="162">
        <v>50230</v>
      </c>
      <c r="AJ47" s="162">
        <v>50414</v>
      </c>
      <c r="AK47" s="162">
        <v>50595</v>
      </c>
      <c r="AL47" s="162">
        <v>50779</v>
      </c>
      <c r="AM47" s="162">
        <v>50960</v>
      </c>
      <c r="AN47" s="162">
        <v>51144</v>
      </c>
      <c r="AO47" s="162">
        <v>51326</v>
      </c>
      <c r="AP47" s="162">
        <v>51510</v>
      </c>
      <c r="AQ47" s="162">
        <v>51691</v>
      </c>
      <c r="AR47" s="162">
        <v>51875</v>
      </c>
      <c r="AS47" s="162">
        <v>52056</v>
      </c>
      <c r="AT47" s="162">
        <v>52240</v>
      </c>
      <c r="AU47" s="162">
        <v>52421</v>
      </c>
      <c r="AV47" s="162">
        <v>52605</v>
      </c>
      <c r="AW47" s="162">
        <v>52787</v>
      </c>
      <c r="AX47" s="162">
        <v>52971</v>
      </c>
      <c r="AY47" s="162">
        <v>53152</v>
      </c>
      <c r="AZ47" s="162">
        <v>53336</v>
      </c>
      <c r="BA47" s="162">
        <v>53517</v>
      </c>
    </row>
    <row r="48" spans="1:53" x14ac:dyDescent="0.2">
      <c r="A48" t="s">
        <v>111</v>
      </c>
      <c r="B48" s="22">
        <f>IF(B18="","",B33/100/2*B18)</f>
        <v>6.25E-2</v>
      </c>
      <c r="C48" s="22">
        <f t="shared" ref="C48:AJ48" si="29">IF(C18="","",C33/100/2*B18)</f>
        <v>6.25E-2</v>
      </c>
      <c r="D48" s="22">
        <f t="shared" si="29"/>
        <v>1</v>
      </c>
      <c r="E48" s="22">
        <f t="shared" si="29"/>
        <v>1</v>
      </c>
      <c r="F48" s="22">
        <f t="shared" si="29"/>
        <v>1.9375</v>
      </c>
      <c r="G48" s="22">
        <f t="shared" si="29"/>
        <v>1.9375</v>
      </c>
      <c r="H48" s="22">
        <f t="shared" si="29"/>
        <v>2.125</v>
      </c>
      <c r="I48" s="22">
        <f t="shared" si="29"/>
        <v>2.125</v>
      </c>
      <c r="J48" s="22">
        <f t="shared" si="29"/>
        <v>2.5</v>
      </c>
      <c r="K48" s="22">
        <f t="shared" si="29"/>
        <v>2.5</v>
      </c>
      <c r="L48" s="22">
        <f t="shared" si="29"/>
        <v>2.5</v>
      </c>
      <c r="M48" s="22">
        <f t="shared" si="29"/>
        <v>2.5</v>
      </c>
      <c r="N48" s="22">
        <f t="shared" si="29"/>
        <v>2.5</v>
      </c>
      <c r="O48" s="22">
        <f t="shared" si="29"/>
        <v>2.5</v>
      </c>
      <c r="P48" s="22">
        <f t="shared" si="29"/>
        <v>2.3863636363636362</v>
      </c>
      <c r="Q48" s="22">
        <f t="shared" si="29"/>
        <v>2.2727272727272729</v>
      </c>
      <c r="R48" s="22">
        <f t="shared" si="29"/>
        <v>2.1590909090909092</v>
      </c>
      <c r="S48" s="22">
        <f t="shared" si="29"/>
        <v>2.0454545454545454</v>
      </c>
      <c r="T48" s="22">
        <f t="shared" si="29"/>
        <v>1.9318181818181817</v>
      </c>
      <c r="U48" s="22">
        <f t="shared" si="29"/>
        <v>1.8181818181818181</v>
      </c>
      <c r="V48" s="22">
        <f t="shared" si="29"/>
        <v>1.7045454545454544</v>
      </c>
      <c r="W48" s="22">
        <f t="shared" si="29"/>
        <v>1.5909090909090908</v>
      </c>
      <c r="X48" s="22">
        <f t="shared" si="29"/>
        <v>1.4772727272727271</v>
      </c>
      <c r="Y48" s="22">
        <f t="shared" si="29"/>
        <v>1.3636363636363633</v>
      </c>
      <c r="Z48" s="22">
        <f t="shared" si="29"/>
        <v>1.2499999999999998</v>
      </c>
      <c r="AA48" s="22">
        <f t="shared" si="29"/>
        <v>1.136363636363636</v>
      </c>
      <c r="AB48" s="22">
        <f t="shared" si="29"/>
        <v>1.0227272727272723</v>
      </c>
      <c r="AC48" s="22">
        <f t="shared" si="29"/>
        <v>0.90909090909090873</v>
      </c>
      <c r="AD48" s="22">
        <f t="shared" si="29"/>
        <v>0.79545454545454497</v>
      </c>
      <c r="AE48" s="22">
        <f t="shared" si="29"/>
        <v>0.68181818181818132</v>
      </c>
      <c r="AF48" s="22">
        <f t="shared" si="29"/>
        <v>0.56818181818181768</v>
      </c>
      <c r="AG48" s="22">
        <f t="shared" si="29"/>
        <v>0.45454545454545398</v>
      </c>
      <c r="AH48" s="22">
        <f t="shared" si="29"/>
        <v>0.34090909090909033</v>
      </c>
      <c r="AI48" s="22">
        <f t="shared" si="29"/>
        <v>0.22727272727272663</v>
      </c>
      <c r="AJ48" s="22">
        <f t="shared" si="29"/>
        <v>0.11363636363636298</v>
      </c>
    </row>
    <row r="49" spans="1:54" x14ac:dyDescent="0.2">
      <c r="A49" t="s">
        <v>113</v>
      </c>
      <c r="B49" s="22">
        <f t="shared" ref="B49:B59" si="30">IF(B19="","",B34/100/2*B19)</f>
        <v>6.25E-2</v>
      </c>
      <c r="C49" s="22">
        <f t="shared" ref="C49:AJ49" si="31">IF(C19="","",C34/100/2*B19)</f>
        <v>6.25E-2</v>
      </c>
      <c r="D49" s="22">
        <f t="shared" si="31"/>
        <v>1.25</v>
      </c>
      <c r="E49" s="22">
        <f t="shared" si="31"/>
        <v>1.25</v>
      </c>
      <c r="F49" s="22">
        <f t="shared" si="31"/>
        <v>1.7500000000000002</v>
      </c>
      <c r="G49" s="22">
        <f t="shared" si="31"/>
        <v>1.7500000000000002</v>
      </c>
      <c r="H49" s="22">
        <f t="shared" si="31"/>
        <v>1.7500000000000002</v>
      </c>
      <c r="I49" s="22">
        <f t="shared" si="31"/>
        <v>1.7500000000000002</v>
      </c>
      <c r="J49" s="22">
        <f t="shared" si="31"/>
        <v>1.7500000000000002</v>
      </c>
      <c r="K49" s="22">
        <f t="shared" si="31"/>
        <v>1.7500000000000002</v>
      </c>
      <c r="L49" s="22">
        <f t="shared" si="31"/>
        <v>1.7500000000000002</v>
      </c>
      <c r="M49" s="22">
        <f t="shared" si="31"/>
        <v>1.7500000000000002</v>
      </c>
      <c r="N49" s="22">
        <f t="shared" si="31"/>
        <v>1.7500000000000002</v>
      </c>
      <c r="O49" s="22">
        <f t="shared" si="31"/>
        <v>1.7500000000000002</v>
      </c>
      <c r="P49" s="22">
        <f t="shared" si="31"/>
        <v>1.7500000000000002</v>
      </c>
      <c r="Q49" s="22">
        <f t="shared" si="31"/>
        <v>1.6875000000000002</v>
      </c>
      <c r="R49" s="22">
        <f t="shared" si="31"/>
        <v>1.6250000000000002</v>
      </c>
      <c r="S49" s="22">
        <f t="shared" si="31"/>
        <v>1.5625000000000002</v>
      </c>
      <c r="T49" s="22">
        <f t="shared" si="31"/>
        <v>2.0892857142857144</v>
      </c>
      <c r="U49" s="22">
        <f t="shared" si="31"/>
        <v>2.0022321428571432</v>
      </c>
      <c r="V49" s="22">
        <f t="shared" si="31"/>
        <v>1.9151785714285718</v>
      </c>
      <c r="W49" s="22">
        <f t="shared" si="31"/>
        <v>1.8281250000000004</v>
      </c>
      <c r="X49" s="22">
        <f t="shared" si="31"/>
        <v>1.741071428571429</v>
      </c>
      <c r="Y49" s="22">
        <f t="shared" si="31"/>
        <v>1.6540178571428577</v>
      </c>
      <c r="Z49" s="22">
        <f t="shared" si="31"/>
        <v>1.5669642857142863</v>
      </c>
      <c r="AA49" s="22">
        <f t="shared" si="31"/>
        <v>1.4799107142857149</v>
      </c>
      <c r="AB49" s="22">
        <f t="shared" si="31"/>
        <v>1.3928571428571435</v>
      </c>
      <c r="AC49" s="22">
        <f t="shared" si="31"/>
        <v>1.3058035714285721</v>
      </c>
      <c r="AD49" s="22">
        <f t="shared" si="31"/>
        <v>1.2187500000000007</v>
      </c>
      <c r="AE49" s="22">
        <f t="shared" si="31"/>
        <v>1.1316964285714293</v>
      </c>
      <c r="AF49" s="22">
        <f t="shared" si="31"/>
        <v>1.0446428571428579</v>
      </c>
      <c r="AG49" s="22">
        <f t="shared" si="31"/>
        <v>0.95758928571428659</v>
      </c>
      <c r="AH49" s="22">
        <f t="shared" si="31"/>
        <v>0.87053571428571519</v>
      </c>
      <c r="AI49" s="22">
        <f t="shared" si="31"/>
        <v>0.78348214285714379</v>
      </c>
      <c r="AJ49" s="22">
        <f t="shared" si="31"/>
        <v>0.6964285714285724</v>
      </c>
      <c r="AK49">
        <v>4.875</v>
      </c>
      <c r="AL49">
        <v>4.875</v>
      </c>
      <c r="AM49">
        <v>4.875</v>
      </c>
      <c r="AN49">
        <v>4.875</v>
      </c>
      <c r="AO49">
        <v>4.875</v>
      </c>
      <c r="AP49">
        <v>4.875</v>
      </c>
      <c r="AQ49">
        <v>4.875</v>
      </c>
    </row>
    <row r="50" spans="1:54" x14ac:dyDescent="0.2">
      <c r="A50" t="s">
        <v>112</v>
      </c>
      <c r="B50" s="22">
        <f t="shared" si="30"/>
        <v>6.25E-2</v>
      </c>
      <c r="C50" s="22">
        <f t="shared" ref="C50:AJ50" si="32">IF(C20="","",C35/100/2*B20)</f>
        <v>6.25E-2</v>
      </c>
      <c r="D50" s="22">
        <f t="shared" si="32"/>
        <v>0.75</v>
      </c>
      <c r="E50" s="22">
        <f t="shared" si="32"/>
        <v>0.75</v>
      </c>
      <c r="F50" s="22">
        <f t="shared" si="32"/>
        <v>1.5</v>
      </c>
      <c r="G50" s="22">
        <f t="shared" si="32"/>
        <v>1.5</v>
      </c>
      <c r="H50" s="22">
        <f t="shared" si="32"/>
        <v>1.875</v>
      </c>
      <c r="I50" s="22">
        <f t="shared" si="32"/>
        <v>1.875</v>
      </c>
      <c r="J50" s="22">
        <f t="shared" si="32"/>
        <v>2.125</v>
      </c>
      <c r="K50" s="22">
        <f t="shared" si="32"/>
        <v>2.125</v>
      </c>
      <c r="L50" s="22">
        <f t="shared" si="32"/>
        <v>2.125</v>
      </c>
      <c r="M50" s="22">
        <f t="shared" si="32"/>
        <v>2.125</v>
      </c>
      <c r="N50" s="22">
        <f t="shared" si="32"/>
        <v>2.125</v>
      </c>
      <c r="O50" s="22">
        <f t="shared" si="32"/>
        <v>2.125</v>
      </c>
      <c r="P50" s="22">
        <f t="shared" si="32"/>
        <v>2.0284090909090908</v>
      </c>
      <c r="Q50" s="22">
        <f t="shared" si="32"/>
        <v>1.9318181818181819</v>
      </c>
      <c r="R50" s="22">
        <f t="shared" si="32"/>
        <v>1.8352272727272727</v>
      </c>
      <c r="S50" s="22">
        <f t="shared" si="32"/>
        <v>1.7386363636363638</v>
      </c>
      <c r="T50" s="22">
        <f t="shared" si="32"/>
        <v>1.6420454545454546</v>
      </c>
      <c r="U50" s="22">
        <f t="shared" si="32"/>
        <v>1.5454545454545454</v>
      </c>
      <c r="V50" s="22">
        <f t="shared" si="32"/>
        <v>1.4488636363636362</v>
      </c>
      <c r="W50" s="22">
        <f t="shared" si="32"/>
        <v>1.3522727272727271</v>
      </c>
      <c r="X50" s="22">
        <f t="shared" si="32"/>
        <v>1.2556818181818181</v>
      </c>
      <c r="Y50" s="22">
        <f t="shared" si="32"/>
        <v>1.1590909090909089</v>
      </c>
      <c r="Z50" s="22">
        <f t="shared" si="32"/>
        <v>1.0624999999999998</v>
      </c>
      <c r="AA50" s="22">
        <f t="shared" si="32"/>
        <v>0.96590909090909061</v>
      </c>
      <c r="AB50" s="22">
        <f t="shared" si="32"/>
        <v>0.86931818181818155</v>
      </c>
      <c r="AC50" s="22">
        <f t="shared" si="32"/>
        <v>0.77272727272727237</v>
      </c>
      <c r="AD50" s="22">
        <f t="shared" si="32"/>
        <v>0.67613636363636331</v>
      </c>
      <c r="AE50" s="22">
        <f t="shared" si="32"/>
        <v>0.57954545454545414</v>
      </c>
      <c r="AF50" s="22">
        <f t="shared" si="32"/>
        <v>0.48295454545454503</v>
      </c>
      <c r="AG50" s="22">
        <f t="shared" si="32"/>
        <v>0.38636363636363591</v>
      </c>
      <c r="AH50" s="22">
        <f t="shared" si="32"/>
        <v>0.28977272727272679</v>
      </c>
      <c r="AI50" s="22">
        <f t="shared" si="32"/>
        <v>0.19318181818181765</v>
      </c>
      <c r="AJ50" s="22">
        <f t="shared" si="32"/>
        <v>9.6590909090908533E-2</v>
      </c>
    </row>
    <row r="51" spans="1:54" x14ac:dyDescent="0.2">
      <c r="A51" t="s">
        <v>114</v>
      </c>
      <c r="B51" s="22">
        <f t="shared" si="30"/>
        <v>6.25E-2</v>
      </c>
      <c r="C51" s="22">
        <f t="shared" ref="C51:AJ51" si="33">IF(C21="","",C36/100/2*B21)</f>
        <v>6.25E-2</v>
      </c>
      <c r="D51" s="22">
        <f t="shared" si="33"/>
        <v>0.75</v>
      </c>
      <c r="E51" s="22">
        <f t="shared" si="33"/>
        <v>0.75</v>
      </c>
      <c r="F51" s="22">
        <f t="shared" si="33"/>
        <v>1.375</v>
      </c>
      <c r="G51" s="22">
        <f t="shared" si="33"/>
        <v>1.375</v>
      </c>
      <c r="H51" s="22">
        <f t="shared" si="33"/>
        <v>1.5</v>
      </c>
      <c r="I51" s="22">
        <f t="shared" si="33"/>
        <v>1.5</v>
      </c>
      <c r="J51" s="22">
        <f t="shared" si="33"/>
        <v>1.5</v>
      </c>
      <c r="K51" s="22">
        <f t="shared" si="33"/>
        <v>1.5</v>
      </c>
      <c r="L51" s="22">
        <f t="shared" si="33"/>
        <v>1.5</v>
      </c>
      <c r="M51" s="22">
        <f t="shared" si="33"/>
        <v>1.5</v>
      </c>
      <c r="N51" s="22">
        <f t="shared" si="33"/>
        <v>1.5</v>
      </c>
      <c r="O51" s="22">
        <f t="shared" si="33"/>
        <v>1.5</v>
      </c>
      <c r="P51" s="22">
        <f t="shared" si="33"/>
        <v>1.5</v>
      </c>
      <c r="Q51" s="22">
        <f t="shared" si="33"/>
        <v>1.4464285714285714</v>
      </c>
      <c r="R51" s="22">
        <f t="shared" si="33"/>
        <v>1.3928571428571428</v>
      </c>
      <c r="S51" s="22">
        <f t="shared" si="33"/>
        <v>1.3392857142857144</v>
      </c>
      <c r="T51" s="22">
        <f t="shared" si="33"/>
        <v>1.9285714285714286</v>
      </c>
      <c r="U51" s="22">
        <f t="shared" si="33"/>
        <v>1.8482142857142858</v>
      </c>
      <c r="V51" s="22">
        <f t="shared" si="33"/>
        <v>1.767857142857143</v>
      </c>
      <c r="W51" s="22">
        <f t="shared" si="33"/>
        <v>1.6875000000000002</v>
      </c>
      <c r="X51" s="22">
        <f t="shared" si="33"/>
        <v>1.6071428571428574</v>
      </c>
      <c r="Y51" s="22">
        <f t="shared" si="33"/>
        <v>1.5267857142857146</v>
      </c>
      <c r="Z51" s="22">
        <f t="shared" si="33"/>
        <v>1.4464285714285718</v>
      </c>
      <c r="AA51" s="22">
        <f t="shared" si="33"/>
        <v>1.366071428571429</v>
      </c>
      <c r="AB51" s="22">
        <f t="shared" si="33"/>
        <v>1.2857142857142863</v>
      </c>
      <c r="AC51" s="22">
        <f t="shared" si="33"/>
        <v>1.2053571428571435</v>
      </c>
      <c r="AD51" s="22">
        <f t="shared" si="33"/>
        <v>1.1250000000000007</v>
      </c>
      <c r="AE51" s="22">
        <f t="shared" si="33"/>
        <v>1.0446428571428579</v>
      </c>
      <c r="AF51" s="22">
        <f t="shared" si="33"/>
        <v>0.96428571428571497</v>
      </c>
      <c r="AG51" s="22">
        <f t="shared" si="33"/>
        <v>0.88392857142857217</v>
      </c>
      <c r="AH51" s="22">
        <f t="shared" si="33"/>
        <v>0.80357142857142938</v>
      </c>
      <c r="AI51" s="22">
        <f t="shared" si="33"/>
        <v>0.72321428571428659</v>
      </c>
      <c r="AJ51" s="22">
        <f t="shared" si="33"/>
        <v>0.64285714285714368</v>
      </c>
      <c r="AK51">
        <v>4.5</v>
      </c>
      <c r="AL51">
        <v>4.5</v>
      </c>
      <c r="AM51">
        <v>4.5</v>
      </c>
      <c r="AN51">
        <v>4.5</v>
      </c>
      <c r="AO51">
        <v>4.5</v>
      </c>
      <c r="AP51">
        <v>4.5</v>
      </c>
      <c r="AQ51">
        <v>4.5</v>
      </c>
    </row>
    <row r="52" spans="1:54" x14ac:dyDescent="0.2">
      <c r="A52" t="s">
        <v>107</v>
      </c>
      <c r="B52" s="22">
        <f t="shared" si="30"/>
        <v>6.25E-2</v>
      </c>
      <c r="C52" s="22">
        <f t="shared" ref="C52:AJ52" si="34">IF(C22="","",C37/100/2*B22)</f>
        <v>6.25E-2</v>
      </c>
      <c r="D52" s="22">
        <f t="shared" si="34"/>
        <v>0.25</v>
      </c>
      <c r="E52" s="22">
        <f t="shared" si="34"/>
        <v>0.25</v>
      </c>
      <c r="F52" s="22">
        <f t="shared" si="34"/>
        <v>0.25</v>
      </c>
      <c r="G52" s="22">
        <f t="shared" si="34"/>
        <v>0.25</v>
      </c>
      <c r="H52" s="22">
        <f t="shared" si="34"/>
        <v>0.375</v>
      </c>
      <c r="I52" s="22">
        <f t="shared" si="34"/>
        <v>0.375</v>
      </c>
      <c r="J52" s="22">
        <f t="shared" si="34"/>
        <v>0.34615384615384615</v>
      </c>
      <c r="K52" s="22">
        <f t="shared" si="34"/>
        <v>0.31730769230769229</v>
      </c>
      <c r="L52" s="22">
        <f t="shared" si="34"/>
        <v>0.28846153846153844</v>
      </c>
      <c r="M52" s="22">
        <f t="shared" si="34"/>
        <v>0.25961538461538458</v>
      </c>
      <c r="N52" s="22">
        <f t="shared" si="34"/>
        <v>0.23076923076923073</v>
      </c>
      <c r="O52" s="22">
        <f t="shared" si="34"/>
        <v>0.2019230769230769</v>
      </c>
      <c r="P52" s="22">
        <f t="shared" si="34"/>
        <v>0.4038461538461538</v>
      </c>
      <c r="Q52" s="22">
        <f t="shared" si="34"/>
        <v>0.33653846153846151</v>
      </c>
      <c r="R52" s="22">
        <f t="shared" si="34"/>
        <v>0.26923076923076916</v>
      </c>
      <c r="S52" s="22">
        <f t="shared" si="34"/>
        <v>0.20192307692307684</v>
      </c>
      <c r="T52" s="22">
        <f t="shared" si="34"/>
        <v>0.13461538461538453</v>
      </c>
      <c r="U52" s="22">
        <f t="shared" si="34"/>
        <v>6.7307692307692207E-2</v>
      </c>
      <c r="V52" s="22" t="str">
        <f t="shared" si="34"/>
        <v/>
      </c>
      <c r="W52" s="22" t="str">
        <f t="shared" si="34"/>
        <v/>
      </c>
      <c r="X52" s="22" t="str">
        <f t="shared" si="34"/>
        <v/>
      </c>
      <c r="Y52" s="22" t="str">
        <f t="shared" si="34"/>
        <v/>
      </c>
      <c r="Z52" s="22" t="str">
        <f t="shared" si="34"/>
        <v/>
      </c>
      <c r="AA52" s="22" t="str">
        <f t="shared" si="34"/>
        <v/>
      </c>
      <c r="AB52" s="22" t="str">
        <f t="shared" si="34"/>
        <v/>
      </c>
      <c r="AC52" s="22" t="str">
        <f t="shared" si="34"/>
        <v/>
      </c>
      <c r="AD52" s="22" t="str">
        <f t="shared" si="34"/>
        <v/>
      </c>
      <c r="AE52" s="22" t="str">
        <f t="shared" si="34"/>
        <v/>
      </c>
      <c r="AF52" s="22" t="str">
        <f t="shared" si="34"/>
        <v/>
      </c>
      <c r="AG52" s="22" t="str">
        <f t="shared" si="34"/>
        <v/>
      </c>
      <c r="AH52" s="22" t="str">
        <f t="shared" si="34"/>
        <v/>
      </c>
      <c r="AI52" s="22" t="str">
        <f t="shared" si="34"/>
        <v/>
      </c>
      <c r="AJ52" s="22" t="str">
        <f t="shared" si="34"/>
        <v/>
      </c>
    </row>
    <row r="53" spans="1:54" x14ac:dyDescent="0.2">
      <c r="A53" t="s">
        <v>109</v>
      </c>
      <c r="B53" s="22">
        <f t="shared" si="30"/>
        <v>6.25E-2</v>
      </c>
      <c r="C53" s="22">
        <f t="shared" ref="C53:AJ53" si="35">IF(C23="","",C38/100/2*B23)</f>
        <v>6.25E-2</v>
      </c>
      <c r="D53" s="22">
        <f t="shared" si="35"/>
        <v>0.5625</v>
      </c>
      <c r="E53" s="22">
        <f t="shared" si="35"/>
        <v>0.5625</v>
      </c>
      <c r="F53" s="22">
        <f t="shared" si="35"/>
        <v>0.75</v>
      </c>
      <c r="G53" s="22">
        <f t="shared" si="35"/>
        <v>0.75</v>
      </c>
      <c r="H53" s="22">
        <f t="shared" si="35"/>
        <v>1.8124999999999998</v>
      </c>
      <c r="I53" s="22">
        <f t="shared" si="35"/>
        <v>1.8124999999999998</v>
      </c>
      <c r="J53" s="22">
        <f t="shared" si="35"/>
        <v>2.0625</v>
      </c>
      <c r="K53" s="22">
        <f t="shared" si="35"/>
        <v>2.0625</v>
      </c>
      <c r="L53" s="22">
        <f t="shared" si="35"/>
        <v>2.0625</v>
      </c>
      <c r="M53" s="22">
        <f t="shared" si="35"/>
        <v>2.0625</v>
      </c>
      <c r="N53" s="22">
        <f t="shared" si="35"/>
        <v>2.0625</v>
      </c>
      <c r="O53" s="22">
        <f t="shared" si="35"/>
        <v>2.0625</v>
      </c>
      <c r="P53" s="22">
        <f t="shared" si="35"/>
        <v>2.375</v>
      </c>
      <c r="Q53" s="22">
        <f t="shared" si="35"/>
        <v>2.375</v>
      </c>
      <c r="R53" s="22">
        <f t="shared" si="35"/>
        <v>2.5</v>
      </c>
      <c r="S53" s="22">
        <f t="shared" si="35"/>
        <v>2.5</v>
      </c>
      <c r="T53" s="22">
        <f t="shared" si="35"/>
        <v>2.5</v>
      </c>
      <c r="U53" s="22">
        <f t="shared" si="35"/>
        <v>2.5</v>
      </c>
      <c r="V53" s="22">
        <f t="shared" si="35"/>
        <v>2.5</v>
      </c>
      <c r="W53" s="22">
        <f t="shared" si="35"/>
        <v>2.25</v>
      </c>
      <c r="X53" s="22">
        <f t="shared" si="35"/>
        <v>2</v>
      </c>
      <c r="Y53" s="22">
        <f t="shared" si="35"/>
        <v>1.75</v>
      </c>
      <c r="Z53" s="22">
        <f t="shared" si="35"/>
        <v>1.5</v>
      </c>
      <c r="AA53" s="22">
        <f t="shared" si="35"/>
        <v>1.25</v>
      </c>
      <c r="AB53" s="22">
        <f t="shared" si="35"/>
        <v>1</v>
      </c>
      <c r="AC53" s="22">
        <f t="shared" si="35"/>
        <v>0.75</v>
      </c>
      <c r="AD53" s="22">
        <f t="shared" si="35"/>
        <v>0.5</v>
      </c>
      <c r="AE53" s="22">
        <f t="shared" si="35"/>
        <v>0.25</v>
      </c>
      <c r="AF53" s="22" t="str">
        <f t="shared" si="35"/>
        <v/>
      </c>
      <c r="AG53" s="22" t="str">
        <f t="shared" si="35"/>
        <v/>
      </c>
      <c r="AH53" s="22" t="str">
        <f t="shared" si="35"/>
        <v/>
      </c>
      <c r="AI53" s="22" t="str">
        <f t="shared" si="35"/>
        <v/>
      </c>
      <c r="AJ53" s="22" t="str">
        <f t="shared" si="35"/>
        <v/>
      </c>
    </row>
    <row r="54" spans="1:54" x14ac:dyDescent="0.2">
      <c r="A54" t="s">
        <v>115</v>
      </c>
      <c r="B54" s="22">
        <f t="shared" si="30"/>
        <v>6.25E-2</v>
      </c>
      <c r="C54" s="22">
        <f t="shared" ref="C54:AJ54" si="36">IF(C24="","",C39/100/2*B24)</f>
        <v>6.25E-2</v>
      </c>
      <c r="D54" s="22">
        <f t="shared" si="36"/>
        <v>0.5625</v>
      </c>
      <c r="E54" s="22">
        <f t="shared" si="36"/>
        <v>0.5625</v>
      </c>
      <c r="F54" s="22">
        <f t="shared" si="36"/>
        <v>0.75</v>
      </c>
      <c r="G54" s="22">
        <f t="shared" si="36"/>
        <v>0.75</v>
      </c>
      <c r="H54" s="22">
        <f t="shared" si="36"/>
        <v>1.8124999999999998</v>
      </c>
      <c r="I54" s="22">
        <f t="shared" si="36"/>
        <v>1.8124999999999998</v>
      </c>
      <c r="J54" s="22">
        <f t="shared" si="36"/>
        <v>2.0625</v>
      </c>
      <c r="K54" s="22">
        <f t="shared" si="36"/>
        <v>2.0156250000000004</v>
      </c>
      <c r="L54" s="22">
        <f t="shared" si="36"/>
        <v>1.9687500000000004</v>
      </c>
      <c r="M54" s="22">
        <f t="shared" si="36"/>
        <v>1.9218750000000004</v>
      </c>
      <c r="N54" s="22">
        <f t="shared" si="36"/>
        <v>1.8750000000000007</v>
      </c>
      <c r="O54" s="22">
        <f t="shared" si="36"/>
        <v>1.8281250000000007</v>
      </c>
      <c r="P54" s="22">
        <f t="shared" si="36"/>
        <v>1.8892045454545461</v>
      </c>
      <c r="Q54" s="22">
        <f t="shared" si="36"/>
        <v>1.8394886363636371</v>
      </c>
      <c r="R54" s="22">
        <f t="shared" si="36"/>
        <v>2.0454545454545467</v>
      </c>
      <c r="S54" s="22">
        <f t="shared" si="36"/>
        <v>1.9886363636363651</v>
      </c>
      <c r="T54" s="22">
        <f t="shared" si="36"/>
        <v>1.9318181818181834</v>
      </c>
      <c r="U54" s="22">
        <f t="shared" si="36"/>
        <v>1.8750000000000018</v>
      </c>
      <c r="V54" s="22">
        <f t="shared" si="36"/>
        <v>1.8181818181818201</v>
      </c>
      <c r="W54" s="22">
        <f t="shared" si="36"/>
        <v>1.7613636363636385</v>
      </c>
      <c r="X54" s="22">
        <f t="shared" si="36"/>
        <v>1.7045454545454568</v>
      </c>
      <c r="Y54" s="22">
        <f t="shared" si="36"/>
        <v>1.6477272727272751</v>
      </c>
      <c r="Z54" s="22">
        <f t="shared" si="36"/>
        <v>1.5909090909090935</v>
      </c>
      <c r="AA54" s="22">
        <f t="shared" si="36"/>
        <v>1.5340909090909116</v>
      </c>
      <c r="AB54" s="22">
        <f t="shared" si="36"/>
        <v>1.4772727272727297</v>
      </c>
      <c r="AC54" s="22">
        <f t="shared" si="36"/>
        <v>1.4204545454545479</v>
      </c>
      <c r="AD54" s="22">
        <f t="shared" si="36"/>
        <v>1.363636363636366</v>
      </c>
      <c r="AE54" s="22">
        <f t="shared" si="36"/>
        <v>1.3068181818181843</v>
      </c>
      <c r="AF54" s="22">
        <f t="shared" si="36"/>
        <v>1.2500000000000024</v>
      </c>
      <c r="AG54" s="22">
        <f t="shared" si="36"/>
        <v>1.1931818181818206</v>
      </c>
      <c r="AH54" s="22">
        <f t="shared" si="36"/>
        <v>1.1363636363636387</v>
      </c>
      <c r="AI54" s="22">
        <f t="shared" si="36"/>
        <v>1.0795454545454568</v>
      </c>
      <c r="AJ54" s="22">
        <f t="shared" si="36"/>
        <v>1.0227272727272749</v>
      </c>
      <c r="AK54">
        <v>5</v>
      </c>
      <c r="AL54">
        <v>5</v>
      </c>
      <c r="AM54">
        <v>5</v>
      </c>
      <c r="AN54">
        <v>5</v>
      </c>
      <c r="AO54">
        <v>5</v>
      </c>
      <c r="AP54">
        <v>5</v>
      </c>
      <c r="AQ54">
        <v>5</v>
      </c>
      <c r="AR54">
        <v>5</v>
      </c>
      <c r="AS54">
        <v>5</v>
      </c>
      <c r="AT54">
        <v>5</v>
      </c>
      <c r="AU54">
        <v>5</v>
      </c>
      <c r="AV54">
        <v>5</v>
      </c>
      <c r="AW54">
        <v>5</v>
      </c>
      <c r="AX54">
        <v>5</v>
      </c>
      <c r="AY54">
        <v>5</v>
      </c>
      <c r="AZ54">
        <v>5</v>
      </c>
      <c r="BA54">
        <v>5</v>
      </c>
    </row>
    <row r="55" spans="1:54" x14ac:dyDescent="0.2">
      <c r="A55" t="s">
        <v>108</v>
      </c>
      <c r="B55" s="22">
        <f t="shared" si="30"/>
        <v>6.25E-2</v>
      </c>
      <c r="C55" s="22">
        <f t="shared" ref="C55:AJ55" si="37">IF(C25="","",C40/100/2*B25)</f>
        <v>6.25E-2</v>
      </c>
      <c r="D55" s="22">
        <f t="shared" si="37"/>
        <v>6.25E-2</v>
      </c>
      <c r="E55" s="22">
        <f t="shared" si="37"/>
        <v>6.25E-2</v>
      </c>
      <c r="F55" s="22">
        <f t="shared" si="37"/>
        <v>6.25E-2</v>
      </c>
      <c r="G55" s="22">
        <f t="shared" si="37"/>
        <v>6.25E-2</v>
      </c>
      <c r="H55" s="22">
        <f t="shared" si="37"/>
        <v>6.25E-2</v>
      </c>
      <c r="I55" s="22">
        <f t="shared" si="37"/>
        <v>6.25E-2</v>
      </c>
      <c r="J55" s="22">
        <f t="shared" si="37"/>
        <v>5.7692307692307696E-2</v>
      </c>
      <c r="K55" s="22">
        <f t="shared" si="37"/>
        <v>5.2884615384615384E-2</v>
      </c>
      <c r="L55" s="22">
        <f t="shared" si="37"/>
        <v>4.8076923076923073E-2</v>
      </c>
      <c r="M55" s="22">
        <f t="shared" si="37"/>
        <v>4.3269230769230768E-2</v>
      </c>
      <c r="N55" s="22">
        <f t="shared" si="37"/>
        <v>3.8461538461538457E-2</v>
      </c>
      <c r="O55" s="22">
        <f t="shared" si="37"/>
        <v>3.3653846153846152E-2</v>
      </c>
      <c r="P55" s="22">
        <f t="shared" si="37"/>
        <v>2.8846153846153841E-2</v>
      </c>
      <c r="Q55" s="22">
        <f t="shared" si="37"/>
        <v>2.4038461538461533E-2</v>
      </c>
      <c r="R55" s="22">
        <f t="shared" si="37"/>
        <v>1.9230769230769225E-2</v>
      </c>
      <c r="S55" s="22">
        <f t="shared" si="37"/>
        <v>1.4423076923076917E-2</v>
      </c>
      <c r="T55" s="22">
        <f t="shared" si="37"/>
        <v>9.6153846153846072E-3</v>
      </c>
      <c r="U55" s="22">
        <f t="shared" si="37"/>
        <v>4.8076923076923002E-3</v>
      </c>
      <c r="V55" s="22" t="str">
        <f t="shared" si="37"/>
        <v/>
      </c>
      <c r="W55" s="22" t="str">
        <f t="shared" si="37"/>
        <v/>
      </c>
      <c r="X55" s="22" t="str">
        <f t="shared" si="37"/>
        <v/>
      </c>
      <c r="Y55" s="22" t="str">
        <f t="shared" si="37"/>
        <v/>
      </c>
      <c r="Z55" s="22" t="str">
        <f t="shared" si="37"/>
        <v/>
      </c>
      <c r="AA55" s="22" t="str">
        <f t="shared" si="37"/>
        <v/>
      </c>
      <c r="AB55" s="22" t="str">
        <f t="shared" si="37"/>
        <v/>
      </c>
      <c r="AC55" s="22" t="str">
        <f t="shared" si="37"/>
        <v/>
      </c>
      <c r="AD55" s="22" t="str">
        <f t="shared" si="37"/>
        <v/>
      </c>
      <c r="AE55" s="22" t="str">
        <f t="shared" si="37"/>
        <v/>
      </c>
      <c r="AF55" s="22" t="str">
        <f t="shared" si="37"/>
        <v/>
      </c>
      <c r="AG55" s="22" t="str">
        <f t="shared" si="37"/>
        <v/>
      </c>
      <c r="AH55" s="22" t="str">
        <f t="shared" si="37"/>
        <v/>
      </c>
      <c r="AI55" s="22" t="str">
        <f t="shared" si="37"/>
        <v/>
      </c>
      <c r="AJ55" s="22" t="str">
        <f t="shared" si="37"/>
        <v/>
      </c>
    </row>
    <row r="56" spans="1:54" x14ac:dyDescent="0.2">
      <c r="A56" t="s">
        <v>110</v>
      </c>
      <c r="B56" s="22">
        <f t="shared" si="30"/>
        <v>6.25E-2</v>
      </c>
      <c r="C56" s="22">
        <f t="shared" ref="C56:AJ56" si="38">IF(C26="","",C41/100/2*B26)</f>
        <v>6.25E-2</v>
      </c>
      <c r="D56" s="22">
        <f t="shared" si="38"/>
        <v>0.375</v>
      </c>
      <c r="E56" s="22">
        <f t="shared" si="38"/>
        <v>0.375</v>
      </c>
      <c r="F56" s="22">
        <f t="shared" si="38"/>
        <v>0.43750000000000006</v>
      </c>
      <c r="G56" s="22">
        <f t="shared" si="38"/>
        <v>0.43750000000000006</v>
      </c>
      <c r="H56" s="22">
        <f t="shared" si="38"/>
        <v>1.25</v>
      </c>
      <c r="I56" s="22">
        <f t="shared" si="38"/>
        <v>1.25</v>
      </c>
      <c r="J56" s="22">
        <f t="shared" si="38"/>
        <v>1.9375</v>
      </c>
      <c r="K56" s="22">
        <f t="shared" si="38"/>
        <v>1.9375</v>
      </c>
      <c r="L56" s="22">
        <f t="shared" si="38"/>
        <v>1.9375</v>
      </c>
      <c r="M56" s="22">
        <f t="shared" si="38"/>
        <v>1.9375</v>
      </c>
      <c r="N56" s="22">
        <f t="shared" si="38"/>
        <v>1.9375</v>
      </c>
      <c r="O56" s="22">
        <f t="shared" si="38"/>
        <v>1.9375</v>
      </c>
      <c r="P56" s="22">
        <f t="shared" si="38"/>
        <v>2</v>
      </c>
      <c r="Q56" s="22">
        <f t="shared" si="38"/>
        <v>2</v>
      </c>
      <c r="R56" s="22">
        <f t="shared" si="38"/>
        <v>2</v>
      </c>
      <c r="S56" s="22">
        <f t="shared" si="38"/>
        <v>2</v>
      </c>
      <c r="T56" s="22">
        <f t="shared" si="38"/>
        <v>2</v>
      </c>
      <c r="U56" s="22">
        <f t="shared" si="38"/>
        <v>2</v>
      </c>
      <c r="V56" s="22">
        <f t="shared" si="38"/>
        <v>2</v>
      </c>
      <c r="W56" s="22">
        <f t="shared" si="38"/>
        <v>1.8</v>
      </c>
      <c r="X56" s="22">
        <f t="shared" si="38"/>
        <v>1.6</v>
      </c>
      <c r="Y56" s="22">
        <f t="shared" si="38"/>
        <v>1.4000000000000001</v>
      </c>
      <c r="Z56" s="22">
        <f t="shared" si="38"/>
        <v>1.2</v>
      </c>
      <c r="AA56" s="22">
        <f t="shared" si="38"/>
        <v>1</v>
      </c>
      <c r="AB56" s="22">
        <f t="shared" si="38"/>
        <v>0.8</v>
      </c>
      <c r="AC56" s="22">
        <f t="shared" si="38"/>
        <v>0.6</v>
      </c>
      <c r="AD56" s="22">
        <f t="shared" si="38"/>
        <v>0.4</v>
      </c>
      <c r="AE56" s="22">
        <f t="shared" si="38"/>
        <v>0.2</v>
      </c>
      <c r="AF56" s="22" t="str">
        <f t="shared" si="38"/>
        <v/>
      </c>
      <c r="AG56" s="22" t="str">
        <f t="shared" si="38"/>
        <v/>
      </c>
      <c r="AH56" s="22" t="str">
        <f t="shared" si="38"/>
        <v/>
      </c>
      <c r="AI56" s="22" t="str">
        <f t="shared" si="38"/>
        <v/>
      </c>
      <c r="AJ56" s="22" t="str">
        <f t="shared" si="38"/>
        <v/>
      </c>
    </row>
    <row r="57" spans="1:54" x14ac:dyDescent="0.2">
      <c r="A57" t="s">
        <v>116</v>
      </c>
      <c r="B57" s="22">
        <f t="shared" si="30"/>
        <v>6.25E-2</v>
      </c>
      <c r="C57" s="22">
        <f t="shared" ref="C57:AJ57" si="39">IF(C27="","",C42/100/2*B27)</f>
        <v>6.25E-2</v>
      </c>
      <c r="D57" s="22">
        <f t="shared" si="39"/>
        <v>0.375</v>
      </c>
      <c r="E57" s="22">
        <f t="shared" si="39"/>
        <v>0.375</v>
      </c>
      <c r="F57" s="22">
        <f t="shared" si="39"/>
        <v>0.43750000000000006</v>
      </c>
      <c r="G57" s="22">
        <f t="shared" si="39"/>
        <v>0.43750000000000006</v>
      </c>
      <c r="H57" s="22">
        <f t="shared" si="39"/>
        <v>1.25</v>
      </c>
      <c r="I57" s="22">
        <f t="shared" si="39"/>
        <v>1.25</v>
      </c>
      <c r="J57" s="22">
        <f t="shared" si="39"/>
        <v>1.875</v>
      </c>
      <c r="K57" s="22">
        <f t="shared" si="39"/>
        <v>1.8323863636363638</v>
      </c>
      <c r="L57" s="22">
        <f t="shared" si="39"/>
        <v>1.9090909090909094</v>
      </c>
      <c r="M57" s="22">
        <f t="shared" si="39"/>
        <v>1.863636363636364</v>
      </c>
      <c r="N57" s="22">
        <f t="shared" si="39"/>
        <v>1.8750000000000007</v>
      </c>
      <c r="O57" s="22">
        <f t="shared" si="39"/>
        <v>1.8281250000000007</v>
      </c>
      <c r="P57" s="22">
        <f t="shared" si="39"/>
        <v>1.7812500000000009</v>
      </c>
      <c r="Q57" s="22">
        <f t="shared" si="39"/>
        <v>1.7343750000000011</v>
      </c>
      <c r="R57" s="22">
        <f t="shared" si="39"/>
        <v>1.6875000000000011</v>
      </c>
      <c r="S57" s="22">
        <f t="shared" si="39"/>
        <v>1.6406250000000013</v>
      </c>
      <c r="T57" s="22">
        <f t="shared" si="39"/>
        <v>1.5937500000000013</v>
      </c>
      <c r="U57" s="22">
        <f t="shared" si="39"/>
        <v>1.5468750000000016</v>
      </c>
      <c r="V57" s="22">
        <f t="shared" si="39"/>
        <v>1.5000000000000018</v>
      </c>
      <c r="W57" s="22">
        <f t="shared" si="39"/>
        <v>1.4531250000000018</v>
      </c>
      <c r="X57" s="22">
        <f t="shared" si="39"/>
        <v>1.406250000000002</v>
      </c>
      <c r="Y57" s="22">
        <f t="shared" si="39"/>
        <v>1.359375000000002</v>
      </c>
      <c r="Z57" s="22">
        <f t="shared" si="39"/>
        <v>1.312500000000002</v>
      </c>
      <c r="AA57" s="22">
        <f t="shared" si="39"/>
        <v>1.265625000000002</v>
      </c>
      <c r="AB57" s="22">
        <f t="shared" si="39"/>
        <v>1.218750000000002</v>
      </c>
      <c r="AC57" s="22">
        <f t="shared" si="39"/>
        <v>1.171875000000002</v>
      </c>
      <c r="AD57" s="22">
        <f t="shared" si="39"/>
        <v>1.125000000000002</v>
      </c>
      <c r="AE57" s="22">
        <f t="shared" si="39"/>
        <v>1.078125000000002</v>
      </c>
      <c r="AF57" s="22">
        <f t="shared" si="39"/>
        <v>1.031250000000002</v>
      </c>
      <c r="AG57" s="22">
        <f t="shared" si="39"/>
        <v>0.98437500000000189</v>
      </c>
      <c r="AH57" s="22">
        <f t="shared" si="39"/>
        <v>0.93750000000000189</v>
      </c>
      <c r="AI57" s="22">
        <f t="shared" si="39"/>
        <v>0.89062500000000189</v>
      </c>
      <c r="AJ57" s="22">
        <f t="shared" si="39"/>
        <v>0.84375000000000189</v>
      </c>
      <c r="AK57">
        <v>4.125</v>
      </c>
      <c r="AL57">
        <v>4.125</v>
      </c>
      <c r="AM57">
        <v>4.125</v>
      </c>
      <c r="AN57">
        <v>4.125</v>
      </c>
      <c r="AO57">
        <v>4.125</v>
      </c>
      <c r="AP57">
        <v>4.125</v>
      </c>
      <c r="AQ57">
        <v>4.125</v>
      </c>
      <c r="AR57">
        <v>4.125</v>
      </c>
      <c r="AS57">
        <v>4.125</v>
      </c>
      <c r="AT57">
        <v>4.125</v>
      </c>
      <c r="AU57">
        <v>4.125</v>
      </c>
      <c r="AV57">
        <v>4.125</v>
      </c>
      <c r="AW57">
        <v>4.125</v>
      </c>
      <c r="AX57">
        <v>4.125</v>
      </c>
      <c r="AY57">
        <v>4.125</v>
      </c>
      <c r="AZ57">
        <v>4.125</v>
      </c>
      <c r="BA57">
        <v>4.125</v>
      </c>
    </row>
    <row r="58" spans="1:54" x14ac:dyDescent="0.2">
      <c r="A58" t="s">
        <v>105</v>
      </c>
      <c r="B58" s="22">
        <f t="shared" si="30"/>
        <v>0.5</v>
      </c>
      <c r="C58" s="22">
        <f t="shared" ref="C58:AJ58" si="40">IF(C28="","",C43/100/2*B28)</f>
        <v>0.5</v>
      </c>
      <c r="D58" s="22">
        <f t="shared" si="40"/>
        <v>0.5</v>
      </c>
      <c r="E58" s="22">
        <f t="shared" si="40"/>
        <v>0.5</v>
      </c>
      <c r="F58" s="22">
        <f t="shared" si="40"/>
        <v>0.5</v>
      </c>
      <c r="G58" s="22">
        <f t="shared" si="40"/>
        <v>0.5</v>
      </c>
      <c r="H58" s="22">
        <f t="shared" si="40"/>
        <v>0.5</v>
      </c>
      <c r="I58" s="22">
        <f t="shared" si="40"/>
        <v>0.5</v>
      </c>
      <c r="J58" s="22">
        <f t="shared" si="40"/>
        <v>0.5</v>
      </c>
      <c r="K58" s="22">
        <f t="shared" si="40"/>
        <v>0.45</v>
      </c>
      <c r="L58" s="22">
        <f t="shared" si="40"/>
        <v>0.4</v>
      </c>
      <c r="M58" s="22">
        <f t="shared" si="40"/>
        <v>0.35000000000000003</v>
      </c>
      <c r="N58" s="22">
        <f t="shared" si="40"/>
        <v>0.3</v>
      </c>
      <c r="O58" s="22">
        <f t="shared" si="40"/>
        <v>0.25</v>
      </c>
      <c r="P58" s="22">
        <f t="shared" si="40"/>
        <v>0.2</v>
      </c>
      <c r="Q58" s="22">
        <f t="shared" si="40"/>
        <v>0.15</v>
      </c>
      <c r="R58" s="22">
        <f t="shared" si="40"/>
        <v>0.1</v>
      </c>
      <c r="S58" s="22">
        <f t="shared" si="40"/>
        <v>0.05</v>
      </c>
      <c r="T58" s="22" t="str">
        <f t="shared" si="40"/>
        <v/>
      </c>
      <c r="U58" s="22" t="str">
        <f t="shared" si="40"/>
        <v/>
      </c>
      <c r="V58" s="22" t="str">
        <f t="shared" si="40"/>
        <v/>
      </c>
      <c r="W58" s="22" t="str">
        <f t="shared" si="40"/>
        <v/>
      </c>
      <c r="X58" s="22" t="str">
        <f t="shared" si="40"/>
        <v/>
      </c>
      <c r="Y58" s="22" t="str">
        <f t="shared" si="40"/>
        <v/>
      </c>
      <c r="Z58" s="22" t="str">
        <f t="shared" si="40"/>
        <v/>
      </c>
      <c r="AA58" s="22" t="str">
        <f t="shared" si="40"/>
        <v/>
      </c>
      <c r="AB58" s="22" t="str">
        <f t="shared" si="40"/>
        <v/>
      </c>
      <c r="AC58" s="22" t="str">
        <f t="shared" si="40"/>
        <v/>
      </c>
      <c r="AD58" s="22" t="str">
        <f t="shared" si="40"/>
        <v/>
      </c>
      <c r="AE58" s="22" t="str">
        <f t="shared" si="40"/>
        <v/>
      </c>
      <c r="AF58" s="22" t="str">
        <f t="shared" si="40"/>
        <v/>
      </c>
      <c r="AG58" s="22" t="str">
        <f t="shared" si="40"/>
        <v/>
      </c>
      <c r="AH58" s="22" t="str">
        <f t="shared" si="40"/>
        <v/>
      </c>
      <c r="AI58" s="22" t="str">
        <f t="shared" si="40"/>
        <v/>
      </c>
      <c r="AJ58" s="22" t="str">
        <f t="shared" si="40"/>
        <v/>
      </c>
    </row>
    <row r="59" spans="1:54" x14ac:dyDescent="0.2">
      <c r="A59" t="s">
        <v>106</v>
      </c>
      <c r="B59" s="22">
        <f t="shared" si="30"/>
        <v>0.25</v>
      </c>
      <c r="C59" s="22">
        <f t="shared" ref="C59:AJ59" si="41">IF(C29="","",C44/100/2*B29)</f>
        <v>0.25</v>
      </c>
      <c r="D59" s="22">
        <f t="shared" si="41"/>
        <v>0.25</v>
      </c>
      <c r="E59" s="22">
        <f t="shared" si="41"/>
        <v>0.25</v>
      </c>
      <c r="F59" s="22">
        <f t="shared" si="41"/>
        <v>0.25</v>
      </c>
      <c r="G59" s="22">
        <f t="shared" si="41"/>
        <v>0.25</v>
      </c>
      <c r="H59" s="22">
        <f t="shared" si="41"/>
        <v>0.25</v>
      </c>
      <c r="I59" s="22">
        <f t="shared" si="41"/>
        <v>0.25</v>
      </c>
      <c r="J59" s="22">
        <f t="shared" si="41"/>
        <v>0.25</v>
      </c>
      <c r="K59" s="22">
        <f t="shared" si="41"/>
        <v>0.22500000000000001</v>
      </c>
      <c r="L59" s="22">
        <f t="shared" si="41"/>
        <v>0.2</v>
      </c>
      <c r="M59" s="22">
        <f t="shared" si="41"/>
        <v>0.17500000000000002</v>
      </c>
      <c r="N59" s="22">
        <f t="shared" si="41"/>
        <v>0.15</v>
      </c>
      <c r="O59" s="22">
        <f t="shared" si="41"/>
        <v>0.125</v>
      </c>
      <c r="P59" s="22">
        <f t="shared" si="41"/>
        <v>0.1</v>
      </c>
      <c r="Q59" s="22">
        <f t="shared" si="41"/>
        <v>7.4999999999999997E-2</v>
      </c>
      <c r="R59" s="22">
        <f t="shared" si="41"/>
        <v>0.05</v>
      </c>
      <c r="S59" s="22">
        <f t="shared" si="41"/>
        <v>2.5000000000000001E-2</v>
      </c>
      <c r="T59" s="22" t="str">
        <f t="shared" si="41"/>
        <v/>
      </c>
      <c r="U59" s="22" t="str">
        <f t="shared" si="41"/>
        <v/>
      </c>
      <c r="V59" s="22" t="str">
        <f t="shared" si="41"/>
        <v/>
      </c>
      <c r="W59" s="22" t="str">
        <f t="shared" si="41"/>
        <v/>
      </c>
      <c r="X59" s="22" t="str">
        <f t="shared" si="41"/>
        <v/>
      </c>
      <c r="Y59" s="22" t="str">
        <f t="shared" si="41"/>
        <v/>
      </c>
      <c r="Z59" s="22" t="str">
        <f t="shared" si="41"/>
        <v/>
      </c>
      <c r="AA59" s="22" t="str">
        <f t="shared" si="41"/>
        <v/>
      </c>
      <c r="AB59" s="22" t="str">
        <f t="shared" si="41"/>
        <v/>
      </c>
      <c r="AC59" s="22" t="str">
        <f t="shared" si="41"/>
        <v/>
      </c>
      <c r="AD59" s="22" t="str">
        <f t="shared" si="41"/>
        <v/>
      </c>
      <c r="AE59" s="22" t="str">
        <f t="shared" si="41"/>
        <v/>
      </c>
      <c r="AF59" s="22" t="str">
        <f t="shared" si="41"/>
        <v/>
      </c>
      <c r="AG59" s="22" t="str">
        <f t="shared" si="41"/>
        <v/>
      </c>
      <c r="AH59" s="22" t="str">
        <f t="shared" si="41"/>
        <v/>
      </c>
      <c r="AI59" s="22" t="str">
        <f t="shared" si="41"/>
        <v/>
      </c>
      <c r="AJ59" s="22" t="str">
        <f t="shared" si="41"/>
        <v/>
      </c>
    </row>
    <row r="60" spans="1:54" x14ac:dyDescent="0.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row>
    <row r="61" spans="1:54" x14ac:dyDescent="0.2">
      <c r="A61" t="s">
        <v>304</v>
      </c>
      <c r="B61" s="22"/>
      <c r="C61" s="138">
        <f t="shared" ref="C61:AH61" si="42">(B47-$A$78)/365</f>
        <v>0.31780821917808222</v>
      </c>
      <c r="D61" s="138">
        <f t="shared" si="42"/>
        <v>0.81369863013698629</v>
      </c>
      <c r="E61" s="138">
        <f t="shared" si="42"/>
        <v>1.3178082191780822</v>
      </c>
      <c r="F61" s="138">
        <f t="shared" si="42"/>
        <v>1.8136986301369864</v>
      </c>
      <c r="G61" s="138">
        <f t="shared" si="42"/>
        <v>2.3178082191780822</v>
      </c>
      <c r="H61" s="138">
        <f t="shared" si="42"/>
        <v>2.8136986301369862</v>
      </c>
      <c r="I61" s="138">
        <f t="shared" si="42"/>
        <v>3.3178082191780822</v>
      </c>
      <c r="J61" s="138">
        <f t="shared" si="42"/>
        <v>3.8164383561643835</v>
      </c>
      <c r="K61" s="138">
        <f t="shared" si="42"/>
        <v>4.3205479452054796</v>
      </c>
      <c r="L61" s="138">
        <f t="shared" si="42"/>
        <v>4.816438356164384</v>
      </c>
      <c r="M61" s="138">
        <f t="shared" si="42"/>
        <v>5.3205479452054796</v>
      </c>
      <c r="N61" s="138">
        <f t="shared" si="42"/>
        <v>5.816438356164384</v>
      </c>
      <c r="O61" s="138">
        <f t="shared" si="42"/>
        <v>6.3205479452054796</v>
      </c>
      <c r="P61" s="138">
        <f t="shared" si="42"/>
        <v>6.816438356164384</v>
      </c>
      <c r="Q61" s="138">
        <f t="shared" si="42"/>
        <v>7.3205479452054796</v>
      </c>
      <c r="R61" s="138">
        <f t="shared" si="42"/>
        <v>7.8191780821917805</v>
      </c>
      <c r="S61" s="138">
        <f t="shared" si="42"/>
        <v>8.3232876712328761</v>
      </c>
      <c r="T61" s="138">
        <f t="shared" si="42"/>
        <v>8.8191780821917813</v>
      </c>
      <c r="U61" s="138">
        <f t="shared" si="42"/>
        <v>9.3232876712328761</v>
      </c>
      <c r="V61" s="138">
        <f t="shared" si="42"/>
        <v>9.8191780821917813</v>
      </c>
      <c r="W61" s="138">
        <f t="shared" si="42"/>
        <v>10.323287671232876</v>
      </c>
      <c r="X61" s="138">
        <f t="shared" si="42"/>
        <v>10.819178082191781</v>
      </c>
      <c r="Y61" s="138">
        <f t="shared" si="42"/>
        <v>11.323287671232876</v>
      </c>
      <c r="Z61" s="138">
        <f t="shared" si="42"/>
        <v>11.821917808219178</v>
      </c>
      <c r="AA61" s="138">
        <f t="shared" si="42"/>
        <v>12.326027397260274</v>
      </c>
      <c r="AB61" s="138">
        <f t="shared" si="42"/>
        <v>12.821917808219178</v>
      </c>
      <c r="AC61" s="138">
        <f t="shared" si="42"/>
        <v>13.326027397260274</v>
      </c>
      <c r="AD61" s="138">
        <f t="shared" si="42"/>
        <v>13.821917808219178</v>
      </c>
      <c r="AE61" s="138">
        <f t="shared" si="42"/>
        <v>14.326027397260274</v>
      </c>
      <c r="AF61" s="138">
        <f t="shared" si="42"/>
        <v>14.821917808219178</v>
      </c>
      <c r="AG61" s="138">
        <f t="shared" si="42"/>
        <v>15.326027397260274</v>
      </c>
      <c r="AH61" s="138">
        <f t="shared" si="42"/>
        <v>15.824657534246576</v>
      </c>
      <c r="AI61" s="138">
        <f t="shared" ref="AI61:BB61" si="43">(AH47-$A$78)/365</f>
        <v>16.328767123287673</v>
      </c>
      <c r="AJ61" s="138">
        <f t="shared" si="43"/>
        <v>16.824657534246576</v>
      </c>
      <c r="AK61" s="138">
        <f t="shared" si="43"/>
        <v>17.328767123287673</v>
      </c>
      <c r="AL61" s="138">
        <f t="shared" si="43"/>
        <v>17.824657534246576</v>
      </c>
      <c r="AM61" s="138">
        <f t="shared" si="43"/>
        <v>18.328767123287673</v>
      </c>
      <c r="AN61" s="138">
        <f t="shared" si="43"/>
        <v>18.824657534246576</v>
      </c>
      <c r="AO61" s="138">
        <f t="shared" si="43"/>
        <v>19.328767123287673</v>
      </c>
      <c r="AP61" s="138">
        <f t="shared" si="43"/>
        <v>19.827397260273973</v>
      </c>
      <c r="AQ61" s="138">
        <f t="shared" si="43"/>
        <v>20.331506849315069</v>
      </c>
      <c r="AR61" s="138">
        <f t="shared" si="43"/>
        <v>20.827397260273973</v>
      </c>
      <c r="AS61" s="138">
        <f t="shared" si="43"/>
        <v>21.331506849315069</v>
      </c>
      <c r="AT61" s="138">
        <f t="shared" si="43"/>
        <v>21.827397260273973</v>
      </c>
      <c r="AU61" s="138">
        <f t="shared" si="43"/>
        <v>22.331506849315069</v>
      </c>
      <c r="AV61" s="138">
        <f t="shared" si="43"/>
        <v>22.827397260273973</v>
      </c>
      <c r="AW61" s="138">
        <f t="shared" si="43"/>
        <v>23.331506849315069</v>
      </c>
      <c r="AX61" s="138">
        <f t="shared" si="43"/>
        <v>23.830136986301369</v>
      </c>
      <c r="AY61" s="138">
        <f t="shared" si="43"/>
        <v>24.334246575342465</v>
      </c>
      <c r="AZ61" s="138">
        <f t="shared" si="43"/>
        <v>24.830136986301369</v>
      </c>
      <c r="BA61" s="138">
        <f t="shared" si="43"/>
        <v>25.334246575342465</v>
      </c>
      <c r="BB61" s="138">
        <f t="shared" si="43"/>
        <v>25.830136986301369</v>
      </c>
    </row>
    <row r="63" spans="1:54" x14ac:dyDescent="0.2">
      <c r="B63" t="s">
        <v>305</v>
      </c>
    </row>
    <row r="64" spans="1:54" x14ac:dyDescent="0.2">
      <c r="A64" t="s">
        <v>203</v>
      </c>
      <c r="B64" s="162">
        <v>44205</v>
      </c>
      <c r="C64" s="162">
        <v>44386</v>
      </c>
      <c r="D64" s="162">
        <v>44570</v>
      </c>
      <c r="E64" s="162">
        <v>44751</v>
      </c>
      <c r="F64" s="162">
        <v>44935</v>
      </c>
      <c r="G64" s="162">
        <v>45116</v>
      </c>
      <c r="H64" s="162">
        <v>45300</v>
      </c>
      <c r="I64" s="162">
        <v>45482</v>
      </c>
      <c r="J64" s="162">
        <v>45666</v>
      </c>
      <c r="K64" s="162">
        <v>45847</v>
      </c>
      <c r="L64" s="162">
        <v>46031</v>
      </c>
      <c r="M64" s="162">
        <v>46212</v>
      </c>
      <c r="N64" s="162">
        <v>46396</v>
      </c>
      <c r="O64" s="162">
        <v>46577</v>
      </c>
      <c r="P64" s="162">
        <v>46761</v>
      </c>
      <c r="Q64" s="162">
        <v>46943</v>
      </c>
      <c r="R64" s="162">
        <v>47127</v>
      </c>
      <c r="S64" s="162">
        <v>47308</v>
      </c>
      <c r="T64" s="162">
        <v>47492</v>
      </c>
      <c r="U64" s="162">
        <v>47673</v>
      </c>
      <c r="V64" s="162">
        <v>47857</v>
      </c>
      <c r="W64" s="162">
        <v>48038</v>
      </c>
      <c r="X64" s="162">
        <v>48222</v>
      </c>
      <c r="Y64" s="162">
        <v>48404</v>
      </c>
      <c r="Z64" s="162">
        <v>48588</v>
      </c>
      <c r="AA64" s="162">
        <v>48769</v>
      </c>
      <c r="AB64" s="162">
        <v>48953</v>
      </c>
      <c r="AC64" s="162">
        <v>49134</v>
      </c>
      <c r="AD64" s="162">
        <v>49318</v>
      </c>
      <c r="AE64" s="162">
        <v>49499</v>
      </c>
      <c r="AF64" s="162">
        <v>49683</v>
      </c>
      <c r="AG64" s="162">
        <v>49865</v>
      </c>
      <c r="AH64" s="162">
        <v>50049</v>
      </c>
      <c r="AI64" s="162">
        <v>50230</v>
      </c>
      <c r="AJ64" s="162">
        <v>50414</v>
      </c>
      <c r="AK64" s="162">
        <v>50595</v>
      </c>
      <c r="AL64" s="162">
        <v>50779</v>
      </c>
      <c r="AM64" s="162">
        <v>50960</v>
      </c>
      <c r="AN64" s="162">
        <v>51144</v>
      </c>
      <c r="AO64" s="162">
        <v>51326</v>
      </c>
      <c r="AP64" s="162">
        <v>51510</v>
      </c>
      <c r="AQ64" s="162">
        <v>51691</v>
      </c>
      <c r="AR64" s="162">
        <v>51875</v>
      </c>
      <c r="AS64" s="162">
        <v>52056</v>
      </c>
      <c r="AT64" s="162">
        <v>52240</v>
      </c>
      <c r="AU64" s="162">
        <v>52421</v>
      </c>
      <c r="AV64" s="162">
        <v>52605</v>
      </c>
      <c r="AW64" s="162">
        <v>52787</v>
      </c>
      <c r="AX64" s="162">
        <v>52971</v>
      </c>
      <c r="AY64" s="162">
        <v>53152</v>
      </c>
      <c r="AZ64" s="162">
        <v>53336</v>
      </c>
      <c r="BA64" s="162">
        <v>53517</v>
      </c>
    </row>
    <row r="65" spans="1:53" x14ac:dyDescent="0.2">
      <c r="A65" t="s">
        <v>111</v>
      </c>
      <c r="B65" s="248">
        <f t="shared" ref="B65:AG65" si="44">1/(1+$B80/100)^C$61</f>
        <v>0.96603225640418378</v>
      </c>
      <c r="C65" s="248">
        <f t="shared" si="44"/>
        <v>0.91532092838525658</v>
      </c>
      <c r="D65" s="248">
        <f t="shared" si="44"/>
        <v>0.86649689193115964</v>
      </c>
      <c r="E65" s="248">
        <f t="shared" si="44"/>
        <v>0.821010617717437</v>
      </c>
      <c r="F65" s="248">
        <f t="shared" si="44"/>
        <v>0.77721717753099662</v>
      </c>
      <c r="G65" s="248">
        <f t="shared" si="44"/>
        <v>0.73641759245458627</v>
      </c>
      <c r="H65" s="248">
        <f t="shared" si="44"/>
        <v>0.69713641984677743</v>
      </c>
      <c r="I65" s="248">
        <f t="shared" si="44"/>
        <v>0.66034387461182631</v>
      </c>
      <c r="J65" s="248">
        <f t="shared" si="44"/>
        <v>0.62512054211011658</v>
      </c>
      <c r="K65" s="248">
        <f t="shared" si="44"/>
        <v>0.59230518563298029</v>
      </c>
      <c r="L65" s="248">
        <f t="shared" si="44"/>
        <v>0.56071109761588267</v>
      </c>
      <c r="M65" s="248">
        <f t="shared" si="44"/>
        <v>0.5312768792380288</v>
      </c>
      <c r="N65" s="248">
        <f t="shared" si="44"/>
        <v>0.50293809563248359</v>
      </c>
      <c r="O65" s="248">
        <f t="shared" si="44"/>
        <v>0.47653663898157617</v>
      </c>
      <c r="P65" s="248">
        <f t="shared" si="44"/>
        <v>0.45111774871934396</v>
      </c>
      <c r="Q65" s="248">
        <f t="shared" si="44"/>
        <v>0.4273092519839507</v>
      </c>
      <c r="R65" s="248">
        <f t="shared" si="44"/>
        <v>0.40451619454469567</v>
      </c>
      <c r="S65" s="248">
        <f t="shared" si="44"/>
        <v>0.38328134105555767</v>
      </c>
      <c r="T65" s="248">
        <f t="shared" si="44"/>
        <v>0.36283677173834072</v>
      </c>
      <c r="U65" s="248">
        <f t="shared" si="44"/>
        <v>0.34378985645474469</v>
      </c>
      <c r="V65" s="248">
        <f t="shared" si="44"/>
        <v>0.32545179822449483</v>
      </c>
      <c r="W65" s="248">
        <f t="shared" si="44"/>
        <v>0.30836738641039607</v>
      </c>
      <c r="X65" s="248">
        <f t="shared" si="44"/>
        <v>0.2919187943936965</v>
      </c>
      <c r="Y65" s="248">
        <f t="shared" si="44"/>
        <v>0.27651228981024201</v>
      </c>
      <c r="Z65" s="248">
        <f t="shared" si="44"/>
        <v>0.26176287711898227</v>
      </c>
      <c r="AA65" s="248">
        <f t="shared" si="44"/>
        <v>0.24802177992811905</v>
      </c>
      <c r="AB65" s="248">
        <f t="shared" si="44"/>
        <v>0.23479207649941769</v>
      </c>
      <c r="AC65" s="248">
        <f t="shared" si="44"/>
        <v>0.22246679654248702</v>
      </c>
      <c r="AD65" s="248">
        <f t="shared" si="44"/>
        <v>0.21060021876918289</v>
      </c>
      <c r="AE65" s="248">
        <f t="shared" si="44"/>
        <v>0.19954487697902898</v>
      </c>
      <c r="AF65" s="248">
        <f t="shared" si="44"/>
        <v>0.1889009748833568</v>
      </c>
      <c r="AG65" s="248">
        <f t="shared" si="44"/>
        <v>0.17893140871888957</v>
      </c>
      <c r="AH65" s="248">
        <f t="shared" ref="AH65:BA65" si="45">1/(1+$B80/100)^AI$61</f>
        <v>0.16938704744498564</v>
      </c>
      <c r="AI65" s="248">
        <f t="shared" si="45"/>
        <v>0.16049516824716903</v>
      </c>
      <c r="AJ65" s="248">
        <f t="shared" si="45"/>
        <v>0.15193421251874492</v>
      </c>
      <c r="AK65" s="248">
        <f t="shared" si="45"/>
        <v>0.14395851021971962</v>
      </c>
      <c r="AL65" s="248">
        <f t="shared" si="45"/>
        <v>0.13627963461130924</v>
      </c>
      <c r="AM65" s="248">
        <f t="shared" si="45"/>
        <v>0.12912571070529202</v>
      </c>
      <c r="AN65" s="248">
        <f t="shared" si="45"/>
        <v>0.12223802988086442</v>
      </c>
      <c r="AO65" s="248">
        <f t="shared" si="45"/>
        <v>0.11578671258372554</v>
      </c>
      <c r="AP65" s="248">
        <f t="shared" si="45"/>
        <v>0.10961054584179299</v>
      </c>
      <c r="AQ65" s="248">
        <f t="shared" si="45"/>
        <v>0.10385660097331938</v>
      </c>
      <c r="AR65" s="248">
        <f t="shared" si="45"/>
        <v>9.8316797048082688E-2</v>
      </c>
      <c r="AS65" s="248">
        <f t="shared" si="45"/>
        <v>9.3155711264639021E-2</v>
      </c>
      <c r="AT65" s="248">
        <f t="shared" si="45"/>
        <v>8.8186702361154515E-2</v>
      </c>
      <c r="AU65" s="248">
        <f t="shared" si="45"/>
        <v>8.355739028518909E-2</v>
      </c>
      <c r="AV65" s="248">
        <f t="shared" si="45"/>
        <v>7.9100364401939335E-2</v>
      </c>
      <c r="AW65" s="248">
        <f t="shared" si="45"/>
        <v>7.4925709840068785E-2</v>
      </c>
      <c r="AX65" s="248">
        <f t="shared" si="45"/>
        <v>7.0929105506948031E-2</v>
      </c>
      <c r="AY65" s="248">
        <f t="shared" si="45"/>
        <v>6.7205721415364461E-2</v>
      </c>
      <c r="AZ65" s="248">
        <f t="shared" si="45"/>
        <v>6.3620908165113288E-2</v>
      </c>
      <c r="BA65" s="248">
        <f t="shared" si="45"/>
        <v>6.0281163843497999E-2</v>
      </c>
    </row>
    <row r="66" spans="1:53" x14ac:dyDescent="0.2">
      <c r="A66" t="s">
        <v>113</v>
      </c>
      <c r="B66" s="248">
        <f t="shared" ref="B66:AG66" si="46">1/(1+$B81/100)^C$61</f>
        <v>0.96686898377698571</v>
      </c>
      <c r="C66" s="248">
        <f t="shared" si="46"/>
        <v>0.91735215146235816</v>
      </c>
      <c r="D66" s="248">
        <f t="shared" si="46"/>
        <v>0.86961318445401725</v>
      </c>
      <c r="E66" s="248">
        <f t="shared" si="46"/>
        <v>0.82507717083096466</v>
      </c>
      <c r="F66" s="248">
        <f t="shared" si="46"/>
        <v>0.78214018989638523</v>
      </c>
      <c r="G66" s="248">
        <f t="shared" si="46"/>
        <v>0.74208398240657769</v>
      </c>
      <c r="H66" s="248">
        <f t="shared" si="46"/>
        <v>0.70346596347344237</v>
      </c>
      <c r="I66" s="248">
        <f t="shared" si="46"/>
        <v>0.66724511565596334</v>
      </c>
      <c r="J66" s="248">
        <f t="shared" si="46"/>
        <v>0.63252170817062781</v>
      </c>
      <c r="K66" s="248">
        <f t="shared" si="46"/>
        <v>0.60012800035253622</v>
      </c>
      <c r="L66" s="248">
        <f t="shared" si="46"/>
        <v>0.56889736469757979</v>
      </c>
      <c r="M66" s="248">
        <f t="shared" si="46"/>
        <v>0.53976208795933955</v>
      </c>
      <c r="N66" s="248">
        <f t="shared" si="46"/>
        <v>0.51167289182199183</v>
      </c>
      <c r="O66" s="248">
        <f t="shared" si="46"/>
        <v>0.48546828581082813</v>
      </c>
      <c r="P66" s="248">
        <f t="shared" si="46"/>
        <v>0.4602045368317973</v>
      </c>
      <c r="Q66" s="248">
        <f t="shared" si="46"/>
        <v>0.43650900732644232</v>
      </c>
      <c r="R66" s="248">
        <f t="shared" si="46"/>
        <v>0.41379309712076845</v>
      </c>
      <c r="S66" s="248">
        <f t="shared" si="46"/>
        <v>0.39260126684502794</v>
      </c>
      <c r="T66" s="248">
        <f t="shared" si="46"/>
        <v>0.37217031358954128</v>
      </c>
      <c r="U66" s="248">
        <f t="shared" si="46"/>
        <v>0.35311013550987463</v>
      </c>
      <c r="V66" s="248">
        <f t="shared" si="46"/>
        <v>0.33473429905214719</v>
      </c>
      <c r="W66" s="248">
        <f t="shared" si="46"/>
        <v>0.31759135369529967</v>
      </c>
      <c r="X66" s="248">
        <f t="shared" si="46"/>
        <v>0.30106391313495956</v>
      </c>
      <c r="Y66" s="248">
        <f t="shared" si="46"/>
        <v>0.28556239529726279</v>
      </c>
      <c r="Z66" s="248">
        <f t="shared" si="46"/>
        <v>0.27070174037190264</v>
      </c>
      <c r="AA66" s="248">
        <f t="shared" si="46"/>
        <v>0.25683813226141111</v>
      </c>
      <c r="AB66" s="248">
        <f t="shared" si="46"/>
        <v>0.24347228676471089</v>
      </c>
      <c r="AC66" s="248">
        <f t="shared" si="46"/>
        <v>0.23100319674396008</v>
      </c>
      <c r="AD66" s="248">
        <f t="shared" si="46"/>
        <v>0.21898180019455249</v>
      </c>
      <c r="AE66" s="248">
        <f t="shared" si="46"/>
        <v>0.20776695592699659</v>
      </c>
      <c r="AF66" s="248">
        <f t="shared" si="46"/>
        <v>0.19695477236301734</v>
      </c>
      <c r="AG66" s="248">
        <f t="shared" si="46"/>
        <v>0.18681374322002542</v>
      </c>
      <c r="AH66" s="248">
        <f t="shared" ref="AH66:BA66" si="47">1/(1+$B81/100)^AI$61</f>
        <v>0.17709196395557528</v>
      </c>
      <c r="AI66" s="248">
        <f t="shared" si="47"/>
        <v>0.16802244861214077</v>
      </c>
      <c r="AJ66" s="248">
        <f t="shared" si="47"/>
        <v>0.15927856752114541</v>
      </c>
      <c r="AK66" s="248">
        <f t="shared" si="47"/>
        <v>0.15112134017018736</v>
      </c>
      <c r="AL66" s="248">
        <f t="shared" si="47"/>
        <v>0.14325699204483511</v>
      </c>
      <c r="AM66" s="248">
        <f t="shared" si="47"/>
        <v>0.1359202871013469</v>
      </c>
      <c r="AN66" s="248">
        <f t="shared" si="47"/>
        <v>0.1288470011322109</v>
      </c>
      <c r="AO66" s="248">
        <f t="shared" si="47"/>
        <v>0.12221278162185285</v>
      </c>
      <c r="AP66" s="248">
        <f t="shared" si="47"/>
        <v>0.11585283365580436</v>
      </c>
      <c r="AQ66" s="248">
        <f t="shared" si="47"/>
        <v>0.10991959406123267</v>
      </c>
      <c r="AR66" s="248">
        <f t="shared" si="47"/>
        <v>0.1041993830538301</v>
      </c>
      <c r="AS66" s="248">
        <f t="shared" si="47"/>
        <v>9.8862958507653684E-2</v>
      </c>
      <c r="AT66" s="248">
        <f t="shared" si="47"/>
        <v>9.3718134344958612E-2</v>
      </c>
      <c r="AU66" s="248">
        <f t="shared" si="47"/>
        <v>8.8918492179304615E-2</v>
      </c>
      <c r="AV66" s="248">
        <f t="shared" si="47"/>
        <v>8.4291177622062397E-2</v>
      </c>
      <c r="AW66" s="248">
        <f t="shared" si="47"/>
        <v>7.99510985343269E-2</v>
      </c>
      <c r="AX66" s="248">
        <f t="shared" si="47"/>
        <v>7.5790446761584543E-2</v>
      </c>
      <c r="AY66" s="248">
        <f t="shared" si="47"/>
        <v>7.1908945848520062E-2</v>
      </c>
      <c r="AZ66" s="248">
        <f t="shared" si="47"/>
        <v>6.8166807360051138E-2</v>
      </c>
      <c r="BA66" s="248">
        <f t="shared" si="47"/>
        <v>6.4675740394302114E-2</v>
      </c>
    </row>
    <row r="67" spans="1:53" x14ac:dyDescent="0.2">
      <c r="A67" t="s">
        <v>112</v>
      </c>
      <c r="B67" s="248">
        <f t="shared" ref="B67:AG67" si="48">1/(1+$B82/100)^C$61</f>
        <v>0.95943305149536584</v>
      </c>
      <c r="C67" s="248">
        <f t="shared" si="48"/>
        <v>0.89939686031891031</v>
      </c>
      <c r="D67" s="248">
        <f t="shared" si="48"/>
        <v>0.84221490152686507</v>
      </c>
      <c r="E67" s="248">
        <f t="shared" si="48"/>
        <v>0.78951359552024103</v>
      </c>
      <c r="F67" s="248">
        <f t="shared" si="48"/>
        <v>0.73931780779112899</v>
      </c>
      <c r="G67" s="248">
        <f t="shared" si="48"/>
        <v>0.69305525181650751</v>
      </c>
      <c r="H67" s="248">
        <f t="shared" si="48"/>
        <v>0.64899210394657847</v>
      </c>
      <c r="I67" s="248">
        <f t="shared" si="48"/>
        <v>0.60816449026653829</v>
      </c>
      <c r="J67" s="248">
        <f t="shared" si="48"/>
        <v>0.56949853716450571</v>
      </c>
      <c r="K67" s="248">
        <f t="shared" si="48"/>
        <v>0.53386236328178305</v>
      </c>
      <c r="L67" s="248">
        <f t="shared" si="48"/>
        <v>0.49992039950065725</v>
      </c>
      <c r="M67" s="248">
        <f t="shared" si="48"/>
        <v>0.46863805350407844</v>
      </c>
      <c r="N67" s="248">
        <f t="shared" si="48"/>
        <v>0.43884292851959439</v>
      </c>
      <c r="O67" s="248">
        <f t="shared" si="48"/>
        <v>0.41138248413321993</v>
      </c>
      <c r="P67" s="248">
        <f t="shared" si="48"/>
        <v>0.38522756043565021</v>
      </c>
      <c r="Q67" s="248">
        <f t="shared" si="48"/>
        <v>0.36099317927642161</v>
      </c>
      <c r="R67" s="248">
        <f t="shared" si="48"/>
        <v>0.33804191269731182</v>
      </c>
      <c r="S67" s="248">
        <f t="shared" si="48"/>
        <v>0.31688905699287334</v>
      </c>
      <c r="T67" s="248">
        <f t="shared" si="48"/>
        <v>0.29674184745937404</v>
      </c>
      <c r="U67" s="248">
        <f t="shared" si="48"/>
        <v>0.27817332904492198</v>
      </c>
      <c r="V67" s="248">
        <f t="shared" si="48"/>
        <v>0.26048759259165866</v>
      </c>
      <c r="W67" s="248">
        <f t="shared" si="48"/>
        <v>0.2441876716294267</v>
      </c>
      <c r="X67" s="248">
        <f t="shared" si="48"/>
        <v>0.22866267927878831</v>
      </c>
      <c r="Y67" s="248">
        <f t="shared" si="48"/>
        <v>0.21427767909794512</v>
      </c>
      <c r="Z67" s="248">
        <f t="shared" si="48"/>
        <v>0.20065430775118595</v>
      </c>
      <c r="AA67" s="248">
        <f t="shared" si="48"/>
        <v>0.18809843388197342</v>
      </c>
      <c r="AB67" s="248">
        <f t="shared" si="48"/>
        <v>0.17613948964986503</v>
      </c>
      <c r="AC67" s="248">
        <f t="shared" si="48"/>
        <v>0.16511762203975835</v>
      </c>
      <c r="AD67" s="248">
        <f t="shared" si="48"/>
        <v>0.15461975455112814</v>
      </c>
      <c r="AE67" s="248">
        <f t="shared" si="48"/>
        <v>0.14494447691771739</v>
      </c>
      <c r="AF67" s="248">
        <f t="shared" si="48"/>
        <v>0.13572918000940418</v>
      </c>
      <c r="AG67" s="248">
        <f t="shared" si="48"/>
        <v>0.12719055759345452</v>
      </c>
      <c r="AH67" s="248">
        <f t="shared" ref="AH67:BA67" si="49">1/(1+$B82/100)^AI$61</f>
        <v>0.11910402144469887</v>
      </c>
      <c r="AI67" s="248">
        <f t="shared" si="49"/>
        <v>0.11165112851986815</v>
      </c>
      <c r="AJ67" s="248">
        <f t="shared" si="49"/>
        <v>0.10455256001047328</v>
      </c>
      <c r="AK67" s="248">
        <f t="shared" si="49"/>
        <v>9.801021974921853E-2</v>
      </c>
      <c r="AL67" s="248">
        <f t="shared" si="49"/>
        <v>9.1778914533285419E-2</v>
      </c>
      <c r="AM67" s="248">
        <f t="shared" si="49"/>
        <v>8.6035880717325069E-2</v>
      </c>
      <c r="AN67" s="248">
        <f t="shared" si="49"/>
        <v>8.0565881429056546E-2</v>
      </c>
      <c r="AO67" s="248">
        <f t="shared" si="49"/>
        <v>7.5497541363322554E-2</v>
      </c>
      <c r="AP67" s="248">
        <f t="shared" si="49"/>
        <v>7.0697549847222013E-2</v>
      </c>
      <c r="AQ67" s="248">
        <f t="shared" si="49"/>
        <v>6.6273675131086784E-2</v>
      </c>
      <c r="AR67" s="248">
        <f t="shared" si="49"/>
        <v>6.2060119661258434E-2</v>
      </c>
      <c r="AS67" s="248">
        <f t="shared" si="49"/>
        <v>5.8176729149945594E-2</v>
      </c>
      <c r="AT67" s="248">
        <f t="shared" si="49"/>
        <v>5.447796225884418E-2</v>
      </c>
      <c r="AU67" s="248">
        <f t="shared" si="49"/>
        <v>5.106902262311025E-2</v>
      </c>
      <c r="AV67" s="248">
        <f t="shared" si="49"/>
        <v>4.7822150328993888E-2</v>
      </c>
      <c r="AW67" s="248">
        <f t="shared" si="49"/>
        <v>4.481369419045559E-2</v>
      </c>
      <c r="AX67" s="248">
        <f t="shared" si="49"/>
        <v>4.1964523899145796E-2</v>
      </c>
      <c r="AY67" s="248">
        <f t="shared" si="49"/>
        <v>3.9338608338376491E-2</v>
      </c>
      <c r="AZ67" s="248">
        <f t="shared" si="49"/>
        <v>3.6837533695816785E-2</v>
      </c>
      <c r="BA67" s="248">
        <f t="shared" si="49"/>
        <v>3.4532437772777438E-2</v>
      </c>
    </row>
    <row r="68" spans="1:53" x14ac:dyDescent="0.2">
      <c r="A68" t="s">
        <v>114</v>
      </c>
      <c r="B68" s="248">
        <f t="shared" ref="B68:AG68" si="50">1/(1+$B83/100)^C$61</f>
        <v>0.96156706242292589</v>
      </c>
      <c r="C68" s="248">
        <f t="shared" si="50"/>
        <v>0.90452766022249498</v>
      </c>
      <c r="D68" s="248">
        <f t="shared" si="50"/>
        <v>0.85000981820649513</v>
      </c>
      <c r="E68" s="248">
        <f t="shared" si="50"/>
        <v>0.79958790403149527</v>
      </c>
      <c r="F68" s="248">
        <f t="shared" si="50"/>
        <v>0.75139500850503815</v>
      </c>
      <c r="G68" s="248">
        <f t="shared" si="50"/>
        <v>0.70682284731482425</v>
      </c>
      <c r="H68" s="248">
        <f t="shared" si="50"/>
        <v>0.66422110276040114</v>
      </c>
      <c r="I68" s="248">
        <f t="shared" si="50"/>
        <v>0.62460896734988458</v>
      </c>
      <c r="J68" s="248">
        <f t="shared" si="50"/>
        <v>0.58696243148233396</v>
      </c>
      <c r="K68" s="248">
        <f t="shared" si="50"/>
        <v>0.55214428149131622</v>
      </c>
      <c r="L68" s="248">
        <f t="shared" si="50"/>
        <v>0.5188653492572517</v>
      </c>
      <c r="M68" s="248">
        <f t="shared" si="50"/>
        <v>0.48808666464884071</v>
      </c>
      <c r="N68" s="248">
        <f t="shared" si="50"/>
        <v>0.45866862378218953</v>
      </c>
      <c r="O68" s="248">
        <f t="shared" si="50"/>
        <v>0.43146076160489344</v>
      </c>
      <c r="P68" s="248">
        <f t="shared" si="50"/>
        <v>0.40545568661194897</v>
      </c>
      <c r="Q68" s="248">
        <f t="shared" si="50"/>
        <v>0.38127553711912265</v>
      </c>
      <c r="R68" s="248">
        <f t="shared" si="50"/>
        <v>0.358295234347494</v>
      </c>
      <c r="S68" s="248">
        <f t="shared" si="50"/>
        <v>0.33704144272224007</v>
      </c>
      <c r="T68" s="248">
        <f t="shared" si="50"/>
        <v>0.3167272246665358</v>
      </c>
      <c r="U68" s="248">
        <f t="shared" si="50"/>
        <v>0.29793921469658236</v>
      </c>
      <c r="V68" s="248">
        <f t="shared" si="50"/>
        <v>0.27998177265085888</v>
      </c>
      <c r="W68" s="248">
        <f t="shared" si="50"/>
        <v>0.26337347400678784</v>
      </c>
      <c r="X68" s="248">
        <f t="shared" si="50"/>
        <v>0.24749938404963259</v>
      </c>
      <c r="Y68" s="248">
        <f t="shared" si="50"/>
        <v>0.23273927017452439</v>
      </c>
      <c r="Z68" s="248">
        <f t="shared" si="50"/>
        <v>0.21871157006066302</v>
      </c>
      <c r="AA68" s="248">
        <f t="shared" si="50"/>
        <v>0.20573777166625537</v>
      </c>
      <c r="AB68" s="248">
        <f t="shared" si="50"/>
        <v>0.19333751037444946</v>
      </c>
      <c r="AC68" s="248">
        <f t="shared" si="50"/>
        <v>0.18186888125263809</v>
      </c>
      <c r="AD68" s="248">
        <f t="shared" si="50"/>
        <v>0.17090724970527438</v>
      </c>
      <c r="AE68" s="248">
        <f t="shared" si="50"/>
        <v>0.1607691660126562</v>
      </c>
      <c r="AF68" s="248">
        <f t="shared" si="50"/>
        <v>0.15107926002175917</v>
      </c>
      <c r="AG68" s="248">
        <f t="shared" si="50"/>
        <v>0.14206935039854543</v>
      </c>
      <c r="AH68" s="248">
        <f t="shared" ref="AH68:BA68" si="51">1/(1+$B83/100)^AI$61</f>
        <v>0.13350652281355102</v>
      </c>
      <c r="AI68" s="248">
        <f t="shared" si="51"/>
        <v>0.12558702083731366</v>
      </c>
      <c r="AJ68" s="248">
        <f t="shared" si="51"/>
        <v>0.11801761896895663</v>
      </c>
      <c r="AK68" s="248">
        <f t="shared" si="51"/>
        <v>0.11101690659207333</v>
      </c>
      <c r="AL68" s="248">
        <f t="shared" si="51"/>
        <v>0.10432567707986258</v>
      </c>
      <c r="AM68" s="248">
        <f t="shared" si="51"/>
        <v>9.8137159931826937E-2</v>
      </c>
      <c r="AN68" s="248">
        <f t="shared" si="51"/>
        <v>9.2222220658719212E-2</v>
      </c>
      <c r="AO68" s="248">
        <f t="shared" si="51"/>
        <v>8.6722366653163102E-2</v>
      </c>
      <c r="AP68" s="248">
        <f t="shared" si="51"/>
        <v>8.1495421704583182E-2</v>
      </c>
      <c r="AQ68" s="248">
        <f t="shared" si="51"/>
        <v>7.6661177357248297E-2</v>
      </c>
      <c r="AR68" s="248">
        <f t="shared" si="51"/>
        <v>7.2040642088161036E-2</v>
      </c>
      <c r="AS68" s="248">
        <f t="shared" si="51"/>
        <v>6.776724783473291E-2</v>
      </c>
      <c r="AT68" s="248">
        <f t="shared" si="51"/>
        <v>6.3682768969372042E-2</v>
      </c>
      <c r="AU68" s="248">
        <f t="shared" si="51"/>
        <v>5.990515717875159E-2</v>
      </c>
      <c r="AV68" s="248">
        <f t="shared" si="51"/>
        <v>5.6294543552838271E-2</v>
      </c>
      <c r="AW68" s="248">
        <f t="shared" si="51"/>
        <v>5.2937307426462715E-2</v>
      </c>
      <c r="AX68" s="248">
        <f t="shared" si="51"/>
        <v>4.9746661203086413E-2</v>
      </c>
      <c r="AY68" s="248">
        <f t="shared" si="51"/>
        <v>4.6795728369195932E-2</v>
      </c>
      <c r="AZ68" s="248">
        <f t="shared" si="51"/>
        <v>4.3975248423200781E-2</v>
      </c>
      <c r="BA68" s="248">
        <f t="shared" si="51"/>
        <v>4.1366671258177647E-2</v>
      </c>
    </row>
    <row r="69" spans="1:53" x14ac:dyDescent="0.2">
      <c r="A69" t="s">
        <v>107</v>
      </c>
      <c r="B69" s="248">
        <f t="shared" ref="B69:AG69" si="52">1/(1+$B84/100)^C$61</f>
        <v>0.96691113404456774</v>
      </c>
      <c r="C69" s="248">
        <f t="shared" si="52"/>
        <v>0.91745454723373543</v>
      </c>
      <c r="D69" s="248">
        <f t="shared" si="52"/>
        <v>0.86977039283553448</v>
      </c>
      <c r="E69" s="248">
        <f t="shared" si="52"/>
        <v>0.82528246274124772</v>
      </c>
      <c r="F69" s="248">
        <f t="shared" si="52"/>
        <v>0.78238889761136077</v>
      </c>
      <c r="G69" s="248">
        <f t="shared" si="52"/>
        <v>0.74237044806399621</v>
      </c>
      <c r="H69" s="248">
        <f t="shared" si="52"/>
        <v>0.70378618558158834</v>
      </c>
      <c r="I69" s="248">
        <f t="shared" si="52"/>
        <v>0.66759450966423417</v>
      </c>
      <c r="J69" s="248">
        <f t="shared" si="52"/>
        <v>0.63289668210405259</v>
      </c>
      <c r="K69" s="248">
        <f t="shared" si="52"/>
        <v>0.60052461749679564</v>
      </c>
      <c r="L69" s="248">
        <f t="shared" si="52"/>
        <v>0.56931270768940723</v>
      </c>
      <c r="M69" s="248">
        <f t="shared" si="52"/>
        <v>0.54019290302589684</v>
      </c>
      <c r="N69" s="248">
        <f t="shared" si="52"/>
        <v>0.5121166981933355</v>
      </c>
      <c r="O69" s="248">
        <f t="shared" si="52"/>
        <v>0.48592241513080531</v>
      </c>
      <c r="P69" s="248">
        <f t="shared" si="52"/>
        <v>0.46066688662696004</v>
      </c>
      <c r="Q69" s="248">
        <f t="shared" si="52"/>
        <v>0.43697743802989514</v>
      </c>
      <c r="R69" s="248">
        <f t="shared" si="52"/>
        <v>0.41426579559880777</v>
      </c>
      <c r="S69" s="248">
        <f t="shared" si="52"/>
        <v>0.39307649333367667</v>
      </c>
      <c r="T69" s="248">
        <f t="shared" si="52"/>
        <v>0.37264657639126142</v>
      </c>
      <c r="U69" s="248">
        <f t="shared" si="52"/>
        <v>0.35358605768778728</v>
      </c>
      <c r="V69" s="248">
        <f t="shared" si="52"/>
        <v>0.33520863264948708</v>
      </c>
      <c r="W69" s="248">
        <f t="shared" si="52"/>
        <v>0.31806302923604496</v>
      </c>
      <c r="X69" s="248">
        <f t="shared" si="52"/>
        <v>0.30153189247272461</v>
      </c>
      <c r="Y69" s="248">
        <f t="shared" si="52"/>
        <v>0.28602584140964327</v>
      </c>
      <c r="Z69" s="248">
        <f t="shared" si="52"/>
        <v>0.2711598184281494</v>
      </c>
      <c r="AA69" s="248">
        <f t="shared" si="52"/>
        <v>0.2572902510733866</v>
      </c>
      <c r="AB69" s="248">
        <f t="shared" si="52"/>
        <v>0.24391774330793145</v>
      </c>
      <c r="AC69" s="248">
        <f t="shared" si="52"/>
        <v>0.23144158224010886</v>
      </c>
      <c r="AD69" s="248">
        <f t="shared" si="52"/>
        <v>0.21941254366269186</v>
      </c>
      <c r="AE69" s="248">
        <f t="shared" si="52"/>
        <v>0.20818980029883344</v>
      </c>
      <c r="AF69" s="248">
        <f t="shared" si="52"/>
        <v>0.19736925925784926</v>
      </c>
      <c r="AG69" s="248">
        <f t="shared" si="52"/>
        <v>0.18721969336205743</v>
      </c>
      <c r="AH69" s="248">
        <f t="shared" ref="AH69:BA69" si="53">1/(1+$B84/100)^AI$61</f>
        <v>0.17748906115626839</v>
      </c>
      <c r="AI69" s="248">
        <f t="shared" si="53"/>
        <v>0.16841066413302808</v>
      </c>
      <c r="AJ69" s="248">
        <f t="shared" si="53"/>
        <v>0.159657620033965</v>
      </c>
      <c r="AK69" s="248">
        <f t="shared" si="53"/>
        <v>0.15149128430030623</v>
      </c>
      <c r="AL69" s="248">
        <f t="shared" si="53"/>
        <v>0.14361761490454356</v>
      </c>
      <c r="AM69" s="248">
        <f t="shared" si="53"/>
        <v>0.13627171020968271</v>
      </c>
      <c r="AN69" s="248">
        <f t="shared" si="53"/>
        <v>0.1291890691248051</v>
      </c>
      <c r="AO69" s="248">
        <f t="shared" si="53"/>
        <v>0.12254561829042161</v>
      </c>
      <c r="AP69" s="248">
        <f t="shared" si="53"/>
        <v>0.11617638266888324</v>
      </c>
      <c r="AQ69" s="248">
        <f t="shared" si="53"/>
        <v>0.11023407095839749</v>
      </c>
      <c r="AR69" s="248">
        <f t="shared" si="53"/>
        <v>0.10450472068663594</v>
      </c>
      <c r="AS69" s="248">
        <f t="shared" si="53"/>
        <v>9.9159403408965494E-2</v>
      </c>
      <c r="AT69" s="248">
        <f t="shared" si="53"/>
        <v>9.4005652395966269E-2</v>
      </c>
      <c r="AU69" s="248">
        <f t="shared" si="53"/>
        <v>8.9197352496695748E-2</v>
      </c>
      <c r="AV69" s="248">
        <f t="shared" si="53"/>
        <v>8.456137315451738E-2</v>
      </c>
      <c r="AW69" s="248">
        <f t="shared" si="53"/>
        <v>8.0212868061588227E-2</v>
      </c>
      <c r="AX69" s="248">
        <f t="shared" si="53"/>
        <v>7.604385195402856E-2</v>
      </c>
      <c r="AY69" s="248">
        <f t="shared" si="53"/>
        <v>7.2154281099814838E-2</v>
      </c>
      <c r="AZ69" s="248">
        <f t="shared" si="53"/>
        <v>6.8404105256413397E-2</v>
      </c>
      <c r="BA69" s="248">
        <f t="shared" si="53"/>
        <v>6.4905300194897583E-2</v>
      </c>
    </row>
    <row r="70" spans="1:53" x14ac:dyDescent="0.2">
      <c r="A70" t="s">
        <v>109</v>
      </c>
      <c r="B70" s="248">
        <f t="shared" ref="B70:AG70" si="54">1/(1+$B85/100)^C$61</f>
        <v>0.96478893688770762</v>
      </c>
      <c r="C70" s="248">
        <f t="shared" si="54"/>
        <v>0.91230773655422215</v>
      </c>
      <c r="D70" s="248">
        <f t="shared" si="54"/>
        <v>0.86188195520065936</v>
      </c>
      <c r="E70" s="248">
        <f t="shared" si="54"/>
        <v>0.81499854078194023</v>
      </c>
      <c r="F70" s="248">
        <f t="shared" si="54"/>
        <v>0.76995130882908447</v>
      </c>
      <c r="G70" s="248">
        <f t="shared" si="54"/>
        <v>0.72806860543072283</v>
      </c>
      <c r="H70" s="248">
        <f t="shared" si="54"/>
        <v>0.68782623234013696</v>
      </c>
      <c r="I70" s="248">
        <f t="shared" si="54"/>
        <v>0.65020989401491491</v>
      </c>
      <c r="J70" s="248">
        <f t="shared" si="54"/>
        <v>0.61427098805610236</v>
      </c>
      <c r="K70" s="248">
        <f t="shared" si="54"/>
        <v>0.58085675873542297</v>
      </c>
      <c r="L70" s="248">
        <f t="shared" si="54"/>
        <v>0.54875119310209819</v>
      </c>
      <c r="M70" s="248">
        <f t="shared" si="54"/>
        <v>0.51890101530949939</v>
      </c>
      <c r="N70" s="248">
        <f t="shared" si="54"/>
        <v>0.49021991561723194</v>
      </c>
      <c r="O70" s="248">
        <f t="shared" si="54"/>
        <v>0.46355363803535427</v>
      </c>
      <c r="P70" s="248">
        <f t="shared" si="54"/>
        <v>0.43793174154074954</v>
      </c>
      <c r="Q70" s="248">
        <f t="shared" si="54"/>
        <v>0.41398181381393928</v>
      </c>
      <c r="R70" s="248">
        <f t="shared" si="54"/>
        <v>0.39109988966564802</v>
      </c>
      <c r="S70" s="248">
        <f t="shared" si="54"/>
        <v>0.36982540062956992</v>
      </c>
      <c r="T70" s="248">
        <f t="shared" si="54"/>
        <v>0.34938412402527796</v>
      </c>
      <c r="U70" s="248">
        <f t="shared" si="54"/>
        <v>0.33037882918280181</v>
      </c>
      <c r="V70" s="248">
        <f t="shared" si="54"/>
        <v>0.3121178740941809</v>
      </c>
      <c r="W70" s="248">
        <f t="shared" si="54"/>
        <v>0.29513973509225655</v>
      </c>
      <c r="X70" s="248">
        <f t="shared" si="54"/>
        <v>0.27882654256500461</v>
      </c>
      <c r="Y70" s="248">
        <f t="shared" si="54"/>
        <v>0.26357787500038848</v>
      </c>
      <c r="Z70" s="248">
        <f t="shared" si="54"/>
        <v>0.2490091941026393</v>
      </c>
      <c r="AA70" s="248">
        <f t="shared" si="54"/>
        <v>0.23546395026647227</v>
      </c>
      <c r="AB70" s="248">
        <f t="shared" si="54"/>
        <v>0.22244920403881316</v>
      </c>
      <c r="AC70" s="248">
        <f t="shared" si="54"/>
        <v>0.21034873232440321</v>
      </c>
      <c r="AD70" s="248">
        <f t="shared" si="54"/>
        <v>0.19872217391742092</v>
      </c>
      <c r="AE70" s="248">
        <f t="shared" si="54"/>
        <v>0.18791237104622593</v>
      </c>
      <c r="AF70" s="248">
        <f t="shared" si="54"/>
        <v>0.17752593261504929</v>
      </c>
      <c r="AG70" s="248">
        <f t="shared" si="54"/>
        <v>0.16781726605252428</v>
      </c>
      <c r="AH70" s="248">
        <f t="shared" ref="AH70:BA70" si="55">1/(1+$B85/100)^AI$61</f>
        <v>0.15854153986250055</v>
      </c>
      <c r="AI70" s="248">
        <f t="shared" si="55"/>
        <v>0.14991742530585572</v>
      </c>
      <c r="AJ70" s="248">
        <f t="shared" si="55"/>
        <v>0.14163107300754563</v>
      </c>
      <c r="AK70" s="248">
        <f t="shared" si="55"/>
        <v>0.13392682969404604</v>
      </c>
      <c r="AL70" s="248">
        <f t="shared" si="55"/>
        <v>0.12652432200838812</v>
      </c>
      <c r="AM70" s="248">
        <f t="shared" si="55"/>
        <v>0.11964183399831518</v>
      </c>
      <c r="AN70" s="248">
        <f t="shared" si="55"/>
        <v>0.11302889768285104</v>
      </c>
      <c r="AO70" s="248">
        <f t="shared" si="55"/>
        <v>0.10684749160111487</v>
      </c>
      <c r="AP70" s="248">
        <f t="shared" si="55"/>
        <v>0.10094173410967411</v>
      </c>
      <c r="AQ70" s="248">
        <f t="shared" si="55"/>
        <v>9.5450850904785348E-2</v>
      </c>
      <c r="AR70" s="248">
        <f t="shared" si="55"/>
        <v>9.017501738405298E-2</v>
      </c>
      <c r="AS70" s="248">
        <f t="shared" si="55"/>
        <v>8.5269806543146698E-2</v>
      </c>
      <c r="AT70" s="248">
        <f t="shared" si="55"/>
        <v>8.0556707608958569E-2</v>
      </c>
      <c r="AU70" s="248">
        <f t="shared" si="55"/>
        <v>7.6174699743207258E-2</v>
      </c>
      <c r="AV70" s="248">
        <f t="shared" si="55"/>
        <v>7.1964312611741812E-2</v>
      </c>
      <c r="AW70" s="248">
        <f t="shared" si="55"/>
        <v>6.8028676250018044E-2</v>
      </c>
      <c r="AX70" s="248">
        <f t="shared" si="55"/>
        <v>6.4268542452060443E-2</v>
      </c>
      <c r="AY70" s="248">
        <f t="shared" si="55"/>
        <v>6.0772554757126653E-2</v>
      </c>
      <c r="AZ70" s="248">
        <f t="shared" si="55"/>
        <v>5.7413486938569173E-2</v>
      </c>
      <c r="BA70" s="248">
        <f t="shared" si="55"/>
        <v>5.4290390689572997E-2</v>
      </c>
    </row>
    <row r="71" spans="1:53" x14ac:dyDescent="0.2">
      <c r="A71" t="s">
        <v>115</v>
      </c>
      <c r="B71" s="248">
        <f t="shared" ref="B71:AG71" si="56">1/(1+$B86/100)^C$61</f>
        <v>0.96835268705039956</v>
      </c>
      <c r="C71" s="248">
        <f t="shared" si="56"/>
        <v>0.9209607099539443</v>
      </c>
      <c r="D71" s="248">
        <f t="shared" si="56"/>
        <v>0.87515996539532981</v>
      </c>
      <c r="E71" s="248">
        <f t="shared" si="56"/>
        <v>0.83232891675944032</v>
      </c>
      <c r="F71" s="248">
        <f t="shared" si="56"/>
        <v>0.79093596297408952</v>
      </c>
      <c r="G71" s="248">
        <f t="shared" si="56"/>
        <v>0.75222690630155942</v>
      </c>
      <c r="H71" s="248">
        <f t="shared" si="56"/>
        <v>0.71481754451960278</v>
      </c>
      <c r="I71" s="248">
        <f t="shared" si="56"/>
        <v>0.6796453403062569</v>
      </c>
      <c r="J71" s="248">
        <f t="shared" si="56"/>
        <v>0.64584556764996603</v>
      </c>
      <c r="K71" s="248">
        <f t="shared" si="56"/>
        <v>0.61423735427974668</v>
      </c>
      <c r="L71" s="248">
        <f t="shared" si="56"/>
        <v>0.58369041795807364</v>
      </c>
      <c r="M71" s="248">
        <f t="shared" si="56"/>
        <v>0.55512412874422479</v>
      </c>
      <c r="N71" s="248">
        <f t="shared" si="56"/>
        <v>0.52751698096458799</v>
      </c>
      <c r="O71" s="248">
        <f t="shared" si="56"/>
        <v>0.50169986596693661</v>
      </c>
      <c r="P71" s="248">
        <f t="shared" si="56"/>
        <v>0.47674958615815743</v>
      </c>
      <c r="Q71" s="248">
        <f t="shared" si="56"/>
        <v>0.45329138492688781</v>
      </c>
      <c r="R71" s="248">
        <f t="shared" si="56"/>
        <v>0.43074853081023906</v>
      </c>
      <c r="S71" s="248">
        <f t="shared" si="56"/>
        <v>0.40966734336739569</v>
      </c>
      <c r="T71" s="248">
        <f t="shared" si="56"/>
        <v>0.3892939776583258</v>
      </c>
      <c r="U71" s="248">
        <f t="shared" si="56"/>
        <v>0.37024161014833501</v>
      </c>
      <c r="V71" s="248">
        <f t="shared" si="56"/>
        <v>0.35182894473482129</v>
      </c>
      <c r="W71" s="248">
        <f t="shared" si="56"/>
        <v>0.33461014675582124</v>
      </c>
      <c r="X71" s="248">
        <f t="shared" si="56"/>
        <v>0.31796948696149602</v>
      </c>
      <c r="Y71" s="248">
        <f t="shared" si="56"/>
        <v>0.3023239732010039</v>
      </c>
      <c r="Z71" s="248">
        <f t="shared" si="56"/>
        <v>0.28728895279148281</v>
      </c>
      <c r="AA71" s="248">
        <f t="shared" si="56"/>
        <v>0.2732287951104726</v>
      </c>
      <c r="AB71" s="248">
        <f t="shared" si="56"/>
        <v>0.25964072113982661</v>
      </c>
      <c r="AC71" s="248">
        <f t="shared" si="56"/>
        <v>0.24693369066000587</v>
      </c>
      <c r="AD71" s="248">
        <f t="shared" si="56"/>
        <v>0.23465331130549419</v>
      </c>
      <c r="AE71" s="248">
        <f t="shared" si="56"/>
        <v>0.22316918521826154</v>
      </c>
      <c r="AF71" s="248">
        <f t="shared" si="56"/>
        <v>0.21207065003097114</v>
      </c>
      <c r="AG71" s="248">
        <f t="shared" si="56"/>
        <v>0.20163583030986429</v>
      </c>
      <c r="AH71" s="248">
        <f t="shared" ref="AH71:BA71" si="57">1/(1+$B86/100)^AI$61</f>
        <v>0.19160818085851244</v>
      </c>
      <c r="AI71" s="248">
        <f t="shared" si="57"/>
        <v>0.18223071886540351</v>
      </c>
      <c r="AJ71" s="248">
        <f t="shared" si="57"/>
        <v>0.17316811444017841</v>
      </c>
      <c r="AK71" s="248">
        <f t="shared" si="57"/>
        <v>0.16469312446686293</v>
      </c>
      <c r="AL71" s="248">
        <f t="shared" si="57"/>
        <v>0.15650269067013328</v>
      </c>
      <c r="AM71" s="248">
        <f t="shared" si="57"/>
        <v>0.14884332024553659</v>
      </c>
      <c r="AN71" s="248">
        <f t="shared" si="57"/>
        <v>0.14144112076390747</v>
      </c>
      <c r="AO71" s="248">
        <f t="shared" si="57"/>
        <v>0.13448158819253495</v>
      </c>
      <c r="AP71" s="248">
        <f t="shared" si="57"/>
        <v>0.12779361898595384</v>
      </c>
      <c r="AQ71" s="248">
        <f t="shared" si="57"/>
        <v>0.12153929414641299</v>
      </c>
      <c r="AR71" s="248">
        <f t="shared" si="57"/>
        <v>0.11549496445365925</v>
      </c>
      <c r="AS71" s="248">
        <f t="shared" si="57"/>
        <v>0.10984254588412329</v>
      </c>
      <c r="AT71" s="248">
        <f t="shared" si="57"/>
        <v>0.10437991286261446</v>
      </c>
      <c r="AU71" s="248">
        <f t="shared" si="57"/>
        <v>9.927147406147592E-2</v>
      </c>
      <c r="AV71" s="248">
        <f t="shared" si="57"/>
        <v>9.4334556149229518E-2</v>
      </c>
      <c r="AW71" s="248">
        <f t="shared" si="57"/>
        <v>8.969287618670721E-2</v>
      </c>
      <c r="AX71" s="248">
        <f t="shared" si="57"/>
        <v>8.5232316179581311E-2</v>
      </c>
      <c r="AY71" s="248">
        <f t="shared" si="57"/>
        <v>8.1060976511423508E-2</v>
      </c>
      <c r="AZ71" s="248">
        <f t="shared" si="57"/>
        <v>7.7029693701261934E-2</v>
      </c>
      <c r="BA71" s="248">
        <f t="shared" si="57"/>
        <v>7.3259797124884521E-2</v>
      </c>
    </row>
    <row r="72" spans="1:53" x14ac:dyDescent="0.2">
      <c r="A72" t="s">
        <v>108</v>
      </c>
      <c r="B72" s="248">
        <f t="shared" ref="B72:AG72" si="58">1/(1+$B87/100)^C$61</f>
        <v>0.95678508995900557</v>
      </c>
      <c r="C72" s="248">
        <f t="shared" si="58"/>
        <v>0.89305508035647463</v>
      </c>
      <c r="D72" s="248">
        <f t="shared" si="58"/>
        <v>0.8326182245315018</v>
      </c>
      <c r="E72" s="248">
        <f t="shared" si="58"/>
        <v>0.77715878227900126</v>
      </c>
      <c r="F72" s="248">
        <f t="shared" si="58"/>
        <v>0.72456512449592347</v>
      </c>
      <c r="G72" s="248">
        <f t="shared" si="58"/>
        <v>0.67630293602080538</v>
      </c>
      <c r="H72" s="248">
        <f t="shared" si="58"/>
        <v>0.63053462459484055</v>
      </c>
      <c r="I72" s="248">
        <f t="shared" si="58"/>
        <v>0.58831157530864819</v>
      </c>
      <c r="J72" s="248">
        <f t="shared" si="58"/>
        <v>0.54849801549675059</v>
      </c>
      <c r="K72" s="248">
        <f t="shared" si="58"/>
        <v>0.51196339119979917</v>
      </c>
      <c r="L72" s="248">
        <f t="shared" si="58"/>
        <v>0.4773166394571679</v>
      </c>
      <c r="M72" s="248">
        <f t="shared" si="58"/>
        <v>0.44552329909757205</v>
      </c>
      <c r="N72" s="248">
        <f t="shared" si="58"/>
        <v>0.41537283247296219</v>
      </c>
      <c r="O72" s="248">
        <f t="shared" si="58"/>
        <v>0.38770547552944351</v>
      </c>
      <c r="P72" s="248">
        <f t="shared" si="58"/>
        <v>0.3614677882439376</v>
      </c>
      <c r="Q72" s="248">
        <f t="shared" si="58"/>
        <v>0.33726250015495807</v>
      </c>
      <c r="R72" s="248">
        <f t="shared" si="58"/>
        <v>0.31443850469781459</v>
      </c>
      <c r="S72" s="248">
        <f t="shared" si="58"/>
        <v>0.29349423086443377</v>
      </c>
      <c r="T72" s="248">
        <f t="shared" si="58"/>
        <v>0.27363222133515064</v>
      </c>
      <c r="U72" s="248">
        <f t="shared" si="58"/>
        <v>0.25540599239799378</v>
      </c>
      <c r="V72" s="248">
        <f t="shared" si="58"/>
        <v>0.2381215768239508</v>
      </c>
      <c r="W72" s="248">
        <f t="shared" si="58"/>
        <v>0.22226065827827146</v>
      </c>
      <c r="X72" s="248">
        <f t="shared" si="58"/>
        <v>0.20721932918738764</v>
      </c>
      <c r="Y72" s="248">
        <f t="shared" si="58"/>
        <v>0.19334311746475166</v>
      </c>
      <c r="Z72" s="248">
        <f t="shared" si="58"/>
        <v>0.18025876200673918</v>
      </c>
      <c r="AA72" s="248">
        <f t="shared" si="58"/>
        <v>0.1682519981532995</v>
      </c>
      <c r="AB72" s="248">
        <f t="shared" si="58"/>
        <v>0.15686566602404761</v>
      </c>
      <c r="AC72" s="248">
        <f t="shared" si="58"/>
        <v>0.14641708095835818</v>
      </c>
      <c r="AD72" s="248">
        <f t="shared" si="58"/>
        <v>0.13650841103772857</v>
      </c>
      <c r="AE72" s="248">
        <f t="shared" si="58"/>
        <v>0.12741579197670888</v>
      </c>
      <c r="AF72" s="248">
        <f t="shared" si="58"/>
        <v>0.1187930205274414</v>
      </c>
      <c r="AG72" s="248">
        <f t="shared" si="58"/>
        <v>0.11083817813665467</v>
      </c>
      <c r="AH72" s="248">
        <f t="shared" ref="AH72:BA72" si="59">1/(1+$B87/100)^AI$61</f>
        <v>0.10333728469873395</v>
      </c>
      <c r="AI72" s="248">
        <f t="shared" si="59"/>
        <v>9.6454144257621943E-2</v>
      </c>
      <c r="AJ72" s="248">
        <f t="shared" si="59"/>
        <v>8.9926679895746139E-2</v>
      </c>
      <c r="AK72" s="248">
        <f t="shared" si="59"/>
        <v>8.3936799583621713E-2</v>
      </c>
      <c r="AL72" s="248">
        <f t="shared" si="59"/>
        <v>7.8256437457670774E-2</v>
      </c>
      <c r="AM72" s="248">
        <f t="shared" si="59"/>
        <v>7.3043894366253123E-2</v>
      </c>
      <c r="AN72" s="248">
        <f t="shared" si="59"/>
        <v>6.8100701712396142E-2</v>
      </c>
      <c r="AO72" s="248">
        <f t="shared" si="59"/>
        <v>6.3540414025301362E-2</v>
      </c>
      <c r="AP72" s="248">
        <f t="shared" si="59"/>
        <v>5.9240362521229113E-2</v>
      </c>
      <c r="AQ72" s="248">
        <f t="shared" si="59"/>
        <v>5.5294451457233426E-2</v>
      </c>
      <c r="AR72" s="248">
        <f t="shared" si="59"/>
        <v>5.1552439498342997E-2</v>
      </c>
      <c r="AS72" s="248">
        <f t="shared" si="59"/>
        <v>4.8118609374167391E-2</v>
      </c>
      <c r="AT72" s="248">
        <f t="shared" si="59"/>
        <v>4.4862217331602762E-2</v>
      </c>
      <c r="AU72" s="248">
        <f t="shared" si="59"/>
        <v>4.1874012800262934E-2</v>
      </c>
      <c r="AV72" s="248">
        <f t="shared" si="59"/>
        <v>3.904021930858672E-2</v>
      </c>
      <c r="AW72" s="248">
        <f t="shared" si="59"/>
        <v>3.642593447836124E-2</v>
      </c>
      <c r="AX72" s="248">
        <f t="shared" si="59"/>
        <v>3.3960835741696664E-2</v>
      </c>
      <c r="AY72" s="248">
        <f t="shared" si="59"/>
        <v>3.1698755771344032E-2</v>
      </c>
      <c r="AZ72" s="248">
        <f t="shared" si="59"/>
        <v>2.9553565430319333E-2</v>
      </c>
      <c r="BA72" s="248">
        <f t="shared" si="59"/>
        <v>2.7585047078153138E-2</v>
      </c>
    </row>
    <row r="73" spans="1:53" x14ac:dyDescent="0.2">
      <c r="A73" t="s">
        <v>110</v>
      </c>
      <c r="B73" s="248">
        <f t="shared" ref="B73:AG73" si="60">1/(1+$B88/100)^C$61</f>
        <v>0.96343040918425549</v>
      </c>
      <c r="C73" s="248">
        <f t="shared" si="60"/>
        <v>0.90902225703932804</v>
      </c>
      <c r="D73" s="248">
        <f t="shared" si="60"/>
        <v>0.85686073980206856</v>
      </c>
      <c r="E73" s="248">
        <f t="shared" si="60"/>
        <v>0.80847093494045974</v>
      </c>
      <c r="F73" s="248">
        <f t="shared" si="60"/>
        <v>0.76207925389837994</v>
      </c>
      <c r="G73" s="248">
        <f t="shared" si="60"/>
        <v>0.7190420779930613</v>
      </c>
      <c r="H73" s="248">
        <f t="shared" si="60"/>
        <v>0.67778200382534237</v>
      </c>
      <c r="I73" s="248">
        <f t="shared" si="60"/>
        <v>0.63930002374430661</v>
      </c>
      <c r="J73" s="248">
        <f t="shared" si="60"/>
        <v>0.60261570831628919</v>
      </c>
      <c r="K73" s="248">
        <f t="shared" si="60"/>
        <v>0.56858397459640675</v>
      </c>
      <c r="L73" s="248">
        <f t="shared" si="60"/>
        <v>0.53595748766270257</v>
      </c>
      <c r="M73" s="248">
        <f t="shared" si="60"/>
        <v>0.50569016762175034</v>
      </c>
      <c r="N73" s="248">
        <f t="shared" si="60"/>
        <v>0.47667265326404262</v>
      </c>
      <c r="O73" s="248">
        <f t="shared" si="60"/>
        <v>0.44975334700706487</v>
      </c>
      <c r="P73" s="248">
        <f t="shared" si="60"/>
        <v>0.42394559941809784</v>
      </c>
      <c r="Q73" s="248">
        <f t="shared" si="60"/>
        <v>0.39987552080849514</v>
      </c>
      <c r="R73" s="248">
        <f t="shared" si="60"/>
        <v>0.37692986275679352</v>
      </c>
      <c r="S73" s="248">
        <f t="shared" si="60"/>
        <v>0.35564336699608506</v>
      </c>
      <c r="T73" s="248">
        <f t="shared" si="60"/>
        <v>0.33523583849584432</v>
      </c>
      <c r="U73" s="248">
        <f t="shared" si="60"/>
        <v>0.31630394436894221</v>
      </c>
      <c r="V73" s="248">
        <f t="shared" si="60"/>
        <v>0.29815379070807324</v>
      </c>
      <c r="W73" s="248">
        <f t="shared" si="60"/>
        <v>0.28131604440819574</v>
      </c>
      <c r="X73" s="248">
        <f t="shared" si="60"/>
        <v>0.26517356650308005</v>
      </c>
      <c r="Y73" s="248">
        <f t="shared" si="60"/>
        <v>0.25011798248551098</v>
      </c>
      <c r="Z73" s="248">
        <f t="shared" si="60"/>
        <v>0.23576571184116077</v>
      </c>
      <c r="AA73" s="248">
        <f t="shared" si="60"/>
        <v>0.22245122996667621</v>
      </c>
      <c r="AB73" s="248">
        <f t="shared" si="60"/>
        <v>0.20968653297878453</v>
      </c>
      <c r="AC73" s="248">
        <f t="shared" si="60"/>
        <v>0.19784482995561356</v>
      </c>
      <c r="AD73" s="248">
        <f t="shared" si="60"/>
        <v>0.18649209746956408</v>
      </c>
      <c r="AE73" s="248">
        <f t="shared" si="60"/>
        <v>0.17596026214837884</v>
      </c>
      <c r="AF73" s="248">
        <f t="shared" si="60"/>
        <v>0.16586330998241194</v>
      </c>
      <c r="AG73" s="248">
        <f t="shared" si="60"/>
        <v>0.15644619864736001</v>
      </c>
      <c r="AH73" s="248">
        <f t="shared" ref="AH73:BA73" si="61">1/(1+$B88/100)^AI$61</f>
        <v>0.14746900251794229</v>
      </c>
      <c r="AI73" s="248">
        <f t="shared" si="61"/>
        <v>0.13914093247866413</v>
      </c>
      <c r="AJ73" s="248">
        <f t="shared" si="61"/>
        <v>0.13115674717220885</v>
      </c>
      <c r="AK73" s="248">
        <f t="shared" si="61"/>
        <v>0.12374988499830111</v>
      </c>
      <c r="AL73" s="248">
        <f t="shared" si="61"/>
        <v>0.11664886881364628</v>
      </c>
      <c r="AM73" s="248">
        <f t="shared" si="61"/>
        <v>0.11006131527428861</v>
      </c>
      <c r="AN73" s="248">
        <f t="shared" si="61"/>
        <v>0.1037457766289165</v>
      </c>
      <c r="AO73" s="248">
        <f t="shared" si="61"/>
        <v>9.7855471357910326E-2</v>
      </c>
      <c r="AP73" s="248">
        <f t="shared" si="61"/>
        <v>9.2240328476128314E-2</v>
      </c>
      <c r="AQ73" s="248">
        <f t="shared" si="61"/>
        <v>8.7031207217565812E-2</v>
      </c>
      <c r="AR73" s="248">
        <f t="shared" si="61"/>
        <v>8.2037182285498431E-2</v>
      </c>
      <c r="AS73" s="248">
        <f t="shared" si="61"/>
        <v>7.7404266972902244E-2</v>
      </c>
      <c r="AT73" s="248">
        <f t="shared" si="61"/>
        <v>7.296265514802279E-2</v>
      </c>
      <c r="AU73" s="248">
        <f t="shared" si="61"/>
        <v>6.8842208871521385E-2</v>
      </c>
      <c r="AV73" s="248">
        <f t="shared" si="61"/>
        <v>6.4891905084242932E-2</v>
      </c>
      <c r="AW73" s="248">
        <f t="shared" si="61"/>
        <v>6.1207580353313952E-2</v>
      </c>
      <c r="AX73" s="248">
        <f t="shared" si="61"/>
        <v>5.7695366837168777E-2</v>
      </c>
      <c r="AY73" s="248">
        <f t="shared" si="61"/>
        <v>5.4437115626692685E-2</v>
      </c>
      <c r="AZ73" s="248">
        <f t="shared" si="61"/>
        <v>5.1313404933010981E-2</v>
      </c>
      <c r="BA73" s="248">
        <f t="shared" si="61"/>
        <v>4.8415564553410111E-2</v>
      </c>
    </row>
    <row r="74" spans="1:53" x14ac:dyDescent="0.2">
      <c r="A74" t="s">
        <v>116</v>
      </c>
      <c r="B74" s="248">
        <f t="shared" ref="B74:AG74" si="62">1/(1+$B89/100)^C$61</f>
        <v>0.96006801351759286</v>
      </c>
      <c r="C74" s="248">
        <f t="shared" si="62"/>
        <v>0.90092164004736441</v>
      </c>
      <c r="D74" s="248">
        <f t="shared" si="62"/>
        <v>0.84452853870016131</v>
      </c>
      <c r="E74" s="248">
        <f t="shared" si="62"/>
        <v>0.79250014107319366</v>
      </c>
      <c r="F74" s="248">
        <f t="shared" si="62"/>
        <v>0.74289367277827756</v>
      </c>
      <c r="G74" s="248">
        <f t="shared" si="62"/>
        <v>0.69712663752644788</v>
      </c>
      <c r="H74" s="248">
        <f t="shared" si="62"/>
        <v>0.65349006429484358</v>
      </c>
      <c r="I74" s="248">
        <f t="shared" si="62"/>
        <v>0.61301547516218513</v>
      </c>
      <c r="J74" s="248">
        <f t="shared" si="62"/>
        <v>0.57464383185655032</v>
      </c>
      <c r="K74" s="248">
        <f t="shared" si="62"/>
        <v>0.53924207050964146</v>
      </c>
      <c r="L74" s="248">
        <f t="shared" si="62"/>
        <v>0.50548826620394494</v>
      </c>
      <c r="M74" s="248">
        <f t="shared" si="62"/>
        <v>0.47434693313507797</v>
      </c>
      <c r="N74" s="248">
        <f t="shared" si="62"/>
        <v>0.44465523356327602</v>
      </c>
      <c r="O74" s="248">
        <f t="shared" si="62"/>
        <v>0.41726160713313842</v>
      </c>
      <c r="P74" s="248">
        <f t="shared" si="62"/>
        <v>0.39114315792137466</v>
      </c>
      <c r="Q74" s="248">
        <f t="shared" si="62"/>
        <v>0.36691729822754576</v>
      </c>
      <c r="R74" s="248">
        <f t="shared" si="62"/>
        <v>0.34395014607444607</v>
      </c>
      <c r="S74" s="248">
        <f t="shared" si="62"/>
        <v>0.32276060167922899</v>
      </c>
      <c r="T74" s="248">
        <f t="shared" si="62"/>
        <v>0.30255743359856874</v>
      </c>
      <c r="U74" s="248">
        <f t="shared" si="62"/>
        <v>0.2839179469040285</v>
      </c>
      <c r="V74" s="248">
        <f t="shared" si="62"/>
        <v>0.26614613097428025</v>
      </c>
      <c r="W74" s="248">
        <f t="shared" si="62"/>
        <v>0.24974981504809329</v>
      </c>
      <c r="X74" s="248">
        <f t="shared" si="62"/>
        <v>0.23411674996741449</v>
      </c>
      <c r="Y74" s="248">
        <f t="shared" si="62"/>
        <v>0.21961648472737696</v>
      </c>
      <c r="Z74" s="248">
        <f t="shared" si="62"/>
        <v>0.20586961249096758</v>
      </c>
      <c r="AA74" s="248">
        <f t="shared" si="62"/>
        <v>0.19318671834688636</v>
      </c>
      <c r="AB74" s="248">
        <f t="shared" si="62"/>
        <v>0.18109421473458906</v>
      </c>
      <c r="AC74" s="248">
        <f t="shared" si="62"/>
        <v>0.16993764467165623</v>
      </c>
      <c r="AD74" s="248">
        <f t="shared" si="62"/>
        <v>0.15930041453678026</v>
      </c>
      <c r="AE74" s="248">
        <f t="shared" si="62"/>
        <v>0.1494864829407955</v>
      </c>
      <c r="AF74" s="248">
        <f t="shared" si="62"/>
        <v>0.1401293912606866</v>
      </c>
      <c r="AG74" s="248">
        <f t="shared" si="62"/>
        <v>0.13145033116999358</v>
      </c>
      <c r="AH74" s="248">
        <f t="shared" ref="AH74:BA74" si="63">1/(1+$B89/100)^AI$61</f>
        <v>0.12322221063400206</v>
      </c>
      <c r="AI74" s="248">
        <f t="shared" si="63"/>
        <v>0.11563092877962301</v>
      </c>
      <c r="AJ74" s="248">
        <f t="shared" si="63"/>
        <v>0.10839302217855866</v>
      </c>
      <c r="AK74" s="248">
        <f t="shared" si="63"/>
        <v>0.10171531384844738</v>
      </c>
      <c r="AL74" s="248">
        <f t="shared" si="63"/>
        <v>9.5348453793763305E-2</v>
      </c>
      <c r="AM74" s="248">
        <f t="shared" si="63"/>
        <v>8.9474374896756664E-2</v>
      </c>
      <c r="AN74" s="248">
        <f t="shared" si="63"/>
        <v>8.3873735210418174E-2</v>
      </c>
      <c r="AO74" s="248">
        <f t="shared" si="63"/>
        <v>7.8678927887178743E-2</v>
      </c>
      <c r="AP74" s="248">
        <f t="shared" si="63"/>
        <v>7.3754028143403344E-2</v>
      </c>
      <c r="AQ74" s="248">
        <f t="shared" si="63"/>
        <v>6.9210304957042321E-2</v>
      </c>
      <c r="AR74" s="248">
        <f t="shared" si="63"/>
        <v>6.4878092733226561E-2</v>
      </c>
      <c r="AS74" s="248">
        <f t="shared" si="63"/>
        <v>6.0881184338397294E-2</v>
      </c>
      <c r="AT74" s="248">
        <f t="shared" si="63"/>
        <v>5.7070332599557377E-2</v>
      </c>
      <c r="AU74" s="248">
        <f t="shared" si="63"/>
        <v>5.3554432519066136E-2</v>
      </c>
      <c r="AV74" s="248">
        <f t="shared" si="63"/>
        <v>5.0202198088909834E-2</v>
      </c>
      <c r="AW74" s="248">
        <f t="shared" si="63"/>
        <v>4.7092872557851453E-2</v>
      </c>
      <c r="AX74" s="248">
        <f t="shared" si="63"/>
        <v>4.4145098837213299E-2</v>
      </c>
      <c r="AY74" s="248">
        <f t="shared" si="63"/>
        <v>4.1425476408444475E-2</v>
      </c>
      <c r="AZ74" s="248">
        <f t="shared" si="63"/>
        <v>3.8832452791723759E-2</v>
      </c>
      <c r="BA74" s="248">
        <f t="shared" si="63"/>
        <v>3.6440123578328681E-2</v>
      </c>
    </row>
    <row r="75" spans="1:53" x14ac:dyDescent="0.2">
      <c r="A75" t="s">
        <v>105</v>
      </c>
      <c r="B75" s="248">
        <f t="shared" ref="B75:AG75" si="64">1/(1+$B90/100)^C$61</f>
        <v>0.96738997038527741</v>
      </c>
      <c r="C75" s="248">
        <f t="shared" si="64"/>
        <v>0.91861827483867897</v>
      </c>
      <c r="D75" s="248">
        <f t="shared" si="64"/>
        <v>0.8715578292681031</v>
      </c>
      <c r="E75" s="248">
        <f t="shared" si="64"/>
        <v>0.82761758345039127</v>
      </c>
      <c r="F75" s="248">
        <f t="shared" si="64"/>
        <v>0.78521906678027764</v>
      </c>
      <c r="G75" s="248">
        <f t="shared" si="64"/>
        <v>0.74563165484221539</v>
      </c>
      <c r="H75" s="248">
        <f t="shared" si="64"/>
        <v>0.70743324439304078</v>
      </c>
      <c r="I75" s="248">
        <f t="shared" si="64"/>
        <v>0.67157549514362125</v>
      </c>
      <c r="J75" s="248">
        <f t="shared" si="64"/>
        <v>0.63717095203643226</v>
      </c>
      <c r="K75" s="248">
        <f t="shared" si="64"/>
        <v>0.60504749755046039</v>
      </c>
      <c r="L75" s="248">
        <f t="shared" si="64"/>
        <v>0.57405115706171173</v>
      </c>
      <c r="M75" s="248">
        <f t="shared" si="64"/>
        <v>0.5451099346824515</v>
      </c>
      <c r="N75" s="248">
        <f t="shared" si="64"/>
        <v>0.51718417148597173</v>
      </c>
      <c r="O75" s="248">
        <f t="shared" si="64"/>
        <v>0.4911099411079291</v>
      </c>
      <c r="P75" s="248">
        <f t="shared" si="64"/>
        <v>0.46595057591161049</v>
      </c>
      <c r="Q75" s="248">
        <f t="shared" si="64"/>
        <v>0.44233288612097016</v>
      </c>
      <c r="R75" s="248">
        <f t="shared" si="64"/>
        <v>0.4196723498769821</v>
      </c>
      <c r="S75" s="248">
        <f t="shared" si="64"/>
        <v>0.39851425158765008</v>
      </c>
      <c r="T75" s="248">
        <f t="shared" si="64"/>
        <v>0.37809852640600927</v>
      </c>
      <c r="U75" s="248">
        <f t="shared" si="64"/>
        <v>0.35903640380704627</v>
      </c>
      <c r="V75" s="248">
        <f t="shared" si="64"/>
        <v>0.3406431129244063</v>
      </c>
      <c r="W75" s="248">
        <f t="shared" si="64"/>
        <v>0.32346933326760652</v>
      </c>
      <c r="X75" s="248">
        <f t="shared" si="64"/>
        <v>0.30689812913533088</v>
      </c>
      <c r="Y75" s="248">
        <f t="shared" si="64"/>
        <v>0.29134234878874515</v>
      </c>
      <c r="Z75" s="248">
        <f t="shared" si="64"/>
        <v>0.27641699717848645</v>
      </c>
      <c r="AA75" s="248">
        <f t="shared" si="64"/>
        <v>0.2624812256251336</v>
      </c>
      <c r="AB75" s="248">
        <f t="shared" si="64"/>
        <v>0.24903441777232996</v>
      </c>
      <c r="AC75" s="248">
        <f t="shared" si="64"/>
        <v>0.23647915962821339</v>
      </c>
      <c r="AD75" s="248">
        <f t="shared" si="64"/>
        <v>0.22436442718157934</v>
      </c>
      <c r="AE75" s="248">
        <f t="shared" si="64"/>
        <v>0.21305292523409813</v>
      </c>
      <c r="AF75" s="248">
        <f t="shared" si="64"/>
        <v>0.20213830937432545</v>
      </c>
      <c r="AG75" s="248">
        <f t="shared" si="64"/>
        <v>0.19189250191659854</v>
      </c>
      <c r="AH75" s="248">
        <f t="shared" ref="AH75:BA75" si="65">1/(1+$B90/100)^AI$61</f>
        <v>0.18206192605152161</v>
      </c>
      <c r="AI75" s="248">
        <f t="shared" si="65"/>
        <v>0.17288313662860075</v>
      </c>
      <c r="AJ75" s="248">
        <f t="shared" si="65"/>
        <v>0.16402640291860623</v>
      </c>
      <c r="AK75" s="248">
        <f t="shared" si="65"/>
        <v>0.1557568880077127</v>
      </c>
      <c r="AL75" s="248">
        <f t="shared" si="65"/>
        <v>0.14777752514165551</v>
      </c>
      <c r="AM75" s="248">
        <f t="shared" si="65"/>
        <v>0.14032720966860157</v>
      </c>
      <c r="AN75" s="248">
        <f t="shared" si="65"/>
        <v>0.13313830303179455</v>
      </c>
      <c r="AO75" s="248">
        <f t="shared" si="65"/>
        <v>0.12638990673653239</v>
      </c>
      <c r="AP75" s="248">
        <f t="shared" si="65"/>
        <v>0.11991500253577572</v>
      </c>
      <c r="AQ75" s="248">
        <f t="shared" si="65"/>
        <v>0.11386939717063514</v>
      </c>
      <c r="AR75" s="248">
        <f t="shared" si="65"/>
        <v>0.10803591365035137</v>
      </c>
      <c r="AS75" s="248">
        <f t="shared" si="65"/>
        <v>0.10258920151775086</v>
      </c>
      <c r="AT75" s="248">
        <f t="shared" si="65"/>
        <v>9.7333597893924872E-2</v>
      </c>
      <c r="AU75" s="248">
        <f t="shared" si="65"/>
        <v>9.2426451088333195E-2</v>
      </c>
      <c r="AV75" s="248">
        <f t="shared" si="65"/>
        <v>8.7691481090607121E-2</v>
      </c>
      <c r="AW75" s="248">
        <f t="shared" si="65"/>
        <v>8.3246653023536246E-2</v>
      </c>
      <c r="AX75" s="248">
        <f t="shared" si="65"/>
        <v>7.8981960396737896E-2</v>
      </c>
      <c r="AY75" s="248">
        <f t="shared" si="65"/>
        <v>7.5000025247452612E-2</v>
      </c>
      <c r="AZ75" s="248">
        <f t="shared" si="65"/>
        <v>7.1157804052180418E-2</v>
      </c>
      <c r="BA75" s="248">
        <f t="shared" si="65"/>
        <v>6.7570329650708916E-2</v>
      </c>
    </row>
    <row r="76" spans="1:53" x14ac:dyDescent="0.2">
      <c r="A76" t="s">
        <v>106</v>
      </c>
      <c r="B76" s="248">
        <f t="shared" ref="B76:AG76" si="66">1/(1+$B91/100)^C$61</f>
        <v>0.96658046807261733</v>
      </c>
      <c r="C76" s="248">
        <f t="shared" si="66"/>
        <v>0.91665144639115903</v>
      </c>
      <c r="D76" s="248">
        <f t="shared" si="66"/>
        <v>0.8685376826592015</v>
      </c>
      <c r="E76" s="248">
        <f t="shared" si="66"/>
        <v>0.8236730922592671</v>
      </c>
      <c r="F76" s="248">
        <f t="shared" si="66"/>
        <v>0.78043963344637179</v>
      </c>
      <c r="G76" s="248">
        <f t="shared" si="66"/>
        <v>0.74012577581472161</v>
      </c>
      <c r="H76" s="248">
        <f t="shared" si="66"/>
        <v>0.70127759982626048</v>
      </c>
      <c r="I76" s="248">
        <f t="shared" si="66"/>
        <v>0.66485803465578197</v>
      </c>
      <c r="J76" s="248">
        <f t="shared" si="66"/>
        <v>0.6299605580624037</v>
      </c>
      <c r="K76" s="248">
        <f t="shared" si="66"/>
        <v>0.59741974495795513</v>
      </c>
      <c r="L76" s="248">
        <f t="shared" si="66"/>
        <v>0.56606201070588114</v>
      </c>
      <c r="M76" s="248">
        <f t="shared" si="66"/>
        <v>0.53682189740011488</v>
      </c>
      <c r="N76" s="248">
        <f t="shared" si="66"/>
        <v>0.5086448601638387</v>
      </c>
      <c r="O76" s="248">
        <f t="shared" si="66"/>
        <v>0.48237064804167251</v>
      </c>
      <c r="P76" s="248">
        <f t="shared" si="66"/>
        <v>0.45705168140230223</v>
      </c>
      <c r="Q76" s="248">
        <f t="shared" si="66"/>
        <v>0.43331554110460591</v>
      </c>
      <c r="R76" s="248">
        <f t="shared" si="66"/>
        <v>0.41057140902673461</v>
      </c>
      <c r="S76" s="248">
        <f t="shared" si="66"/>
        <v>0.38936321223380843</v>
      </c>
      <c r="T76" s="248">
        <f t="shared" si="66"/>
        <v>0.36892607697035823</v>
      </c>
      <c r="U76" s="248">
        <f t="shared" si="66"/>
        <v>0.34986908305795428</v>
      </c>
      <c r="V76" s="248">
        <f t="shared" si="66"/>
        <v>0.33150493988702462</v>
      </c>
      <c r="W76" s="248">
        <f t="shared" si="66"/>
        <v>0.31438094671950878</v>
      </c>
      <c r="X76" s="248">
        <f t="shared" si="66"/>
        <v>0.29787952663028888</v>
      </c>
      <c r="Y76" s="248">
        <f t="shared" si="66"/>
        <v>0.28240970007978905</v>
      </c>
      <c r="Z76" s="248">
        <f t="shared" si="66"/>
        <v>0.26758640640720849</v>
      </c>
      <c r="AA76" s="248">
        <f t="shared" si="66"/>
        <v>0.25376414542793396</v>
      </c>
      <c r="AB76" s="248">
        <f t="shared" si="66"/>
        <v>0.24044441720972137</v>
      </c>
      <c r="AC76" s="248">
        <f t="shared" si="66"/>
        <v>0.22802418432007038</v>
      </c>
      <c r="AD76" s="248">
        <f t="shared" si="66"/>
        <v>0.21605551097892067</v>
      </c>
      <c r="AE76" s="248">
        <f t="shared" si="66"/>
        <v>0.20489509480211185</v>
      </c>
      <c r="AF76" s="248">
        <f t="shared" si="66"/>
        <v>0.19414043530753763</v>
      </c>
      <c r="AG76" s="248">
        <f t="shared" si="66"/>
        <v>0.18405810808411058</v>
      </c>
      <c r="AH76" s="248">
        <f t="shared" ref="AH76:BA76" si="67">1/(1+$B91/100)^AI$61</f>
        <v>0.17439715313752224</v>
      </c>
      <c r="AI76" s="248">
        <f t="shared" si="67"/>
        <v>0.16538861269230629</v>
      </c>
      <c r="AJ76" s="248">
        <f t="shared" si="67"/>
        <v>0.15670759367863182</v>
      </c>
      <c r="AK76" s="248">
        <f t="shared" si="67"/>
        <v>0.1486128130567646</v>
      </c>
      <c r="AL76" s="248">
        <f t="shared" si="67"/>
        <v>0.14081233251085437</v>
      </c>
      <c r="AM76" s="248">
        <f t="shared" si="67"/>
        <v>0.13353862666309357</v>
      </c>
      <c r="AN76" s="248">
        <f t="shared" si="67"/>
        <v>0.1265293692647079</v>
      </c>
      <c r="AO76" s="248">
        <f t="shared" si="67"/>
        <v>0.11995829867717281</v>
      </c>
      <c r="AP76" s="248">
        <f t="shared" si="67"/>
        <v>0.11366185386931923</v>
      </c>
      <c r="AQ76" s="248">
        <f t="shared" si="67"/>
        <v>0.10779061463611593</v>
      </c>
      <c r="AR76" s="248">
        <f t="shared" si="67"/>
        <v>0.102132834696377</v>
      </c>
      <c r="AS76" s="248">
        <f t="shared" si="67"/>
        <v>9.6857130617530388E-2</v>
      </c>
      <c r="AT76" s="248">
        <f t="shared" si="67"/>
        <v>9.1773234097610859E-2</v>
      </c>
      <c r="AU76" s="248">
        <f t="shared" si="67"/>
        <v>8.7032658484517772E-2</v>
      </c>
      <c r="AV76" s="248">
        <f t="shared" si="67"/>
        <v>8.2464434887888724E-2</v>
      </c>
      <c r="AW76" s="248">
        <f t="shared" si="67"/>
        <v>7.8181795799758425E-2</v>
      </c>
      <c r="AX76" s="248">
        <f t="shared" si="67"/>
        <v>7.4078141716127033E-2</v>
      </c>
      <c r="AY76" s="248">
        <f t="shared" si="67"/>
        <v>7.0251611731260016E-2</v>
      </c>
      <c r="AZ76" s="248">
        <f t="shared" si="67"/>
        <v>6.6564202016330412E-2</v>
      </c>
      <c r="BA76" s="248">
        <f t="shared" si="67"/>
        <v>6.3125806977881671E-2</v>
      </c>
    </row>
    <row r="78" spans="1:53" x14ac:dyDescent="0.2">
      <c r="A78" s="238">
        <f>'EBs NPVs'!C1</f>
        <v>44089</v>
      </c>
    </row>
    <row r="79" spans="1:53" x14ac:dyDescent="0.2">
      <c r="A79" t="s">
        <v>203</v>
      </c>
      <c r="B79" s="7" t="s">
        <v>303</v>
      </c>
      <c r="C79" s="7" t="s">
        <v>249</v>
      </c>
    </row>
    <row r="80" spans="1:53" x14ac:dyDescent="0.2">
      <c r="A80" t="s">
        <v>111</v>
      </c>
      <c r="B80" s="17">
        <f>'NBs List'!N3</f>
        <v>11.4871</v>
      </c>
      <c r="C80" s="17">
        <f t="shared" ref="C80:C91" si="68">SUMPRODUCT(B65:BA65,B48:BA48,$C$61:$BB$61)/SUMPRODUCT(B65:BA65,B48:BA48)</f>
        <v>6.1990267907982091</v>
      </c>
    </row>
    <row r="81" spans="1:3" x14ac:dyDescent="0.2">
      <c r="A81" t="s">
        <v>113</v>
      </c>
      <c r="B81" s="17">
        <f>'NBs List'!N4</f>
        <v>11.1838</v>
      </c>
      <c r="C81" s="17">
        <f t="shared" si="68"/>
        <v>8.7912199172535512</v>
      </c>
    </row>
    <row r="82" spans="1:3" x14ac:dyDescent="0.2">
      <c r="A82" t="s">
        <v>112</v>
      </c>
      <c r="B82" s="17">
        <f>'NBs List'!N5</f>
        <v>13.9178432673174</v>
      </c>
      <c r="C82" s="17">
        <f t="shared" si="68"/>
        <v>6.0215594037615823</v>
      </c>
    </row>
    <row r="83" spans="1:3" x14ac:dyDescent="0.2">
      <c r="A83" t="s">
        <v>114</v>
      </c>
      <c r="B83" s="17">
        <f>'NBs List'!N6</f>
        <v>13.124230076755399</v>
      </c>
      <c r="C83" s="17">
        <f t="shared" si="68"/>
        <v>8.6107192079540873</v>
      </c>
    </row>
    <row r="84" spans="1:3" x14ac:dyDescent="0.2">
      <c r="A84" t="s">
        <v>107</v>
      </c>
      <c r="B84" s="17">
        <f>'NBs List'!N7</f>
        <v>11.16855</v>
      </c>
      <c r="C84" s="17">
        <f t="shared" si="68"/>
        <v>4.5000706819173608</v>
      </c>
    </row>
    <row r="85" spans="1:3" x14ac:dyDescent="0.2">
      <c r="A85" t="s">
        <v>109</v>
      </c>
      <c r="B85" s="17">
        <f>'NBs List'!N8</f>
        <v>11.9398</v>
      </c>
      <c r="C85" s="17">
        <f t="shared" si="68"/>
        <v>6.8176849051502177</v>
      </c>
    </row>
    <row r="86" spans="1:3" x14ac:dyDescent="0.2">
      <c r="A86" t="s">
        <v>115</v>
      </c>
      <c r="B86" s="17">
        <f>'NBs List'!N9</f>
        <v>10.64865</v>
      </c>
      <c r="C86" s="17">
        <f t="shared" si="68"/>
        <v>11.682475985840785</v>
      </c>
    </row>
    <row r="87" spans="1:3" x14ac:dyDescent="0.2">
      <c r="A87" t="s">
        <v>108</v>
      </c>
      <c r="B87" s="17">
        <f>'NBs List'!N10</f>
        <v>14.912820998768099</v>
      </c>
      <c r="C87" s="17">
        <f t="shared" si="68"/>
        <v>3.08017701558432</v>
      </c>
    </row>
    <row r="88" spans="1:3" x14ac:dyDescent="0.2">
      <c r="A88" t="s">
        <v>110</v>
      </c>
      <c r="B88" s="17">
        <f>'NBs List'!N11</f>
        <v>12.4372216431347</v>
      </c>
      <c r="C88" s="17">
        <f t="shared" si="68"/>
        <v>6.8512765713772996</v>
      </c>
    </row>
    <row r="89" spans="1:3" x14ac:dyDescent="0.2">
      <c r="A89" t="s">
        <v>116</v>
      </c>
      <c r="B89" s="17">
        <f>'NBs List'!N12</f>
        <v>13.6809438074481</v>
      </c>
      <c r="C89" s="17">
        <f t="shared" si="68"/>
        <v>10.391701431752061</v>
      </c>
    </row>
    <row r="90" spans="1:3" x14ac:dyDescent="0.2">
      <c r="A90" t="s">
        <v>105</v>
      </c>
      <c r="B90" s="17">
        <f>'NBs List'!N13</f>
        <v>10.9955</v>
      </c>
      <c r="C90" s="17">
        <f t="shared" si="68"/>
        <v>3.1165851160340798</v>
      </c>
    </row>
    <row r="91" spans="1:3" x14ac:dyDescent="0.2">
      <c r="A91" t="s">
        <v>106</v>
      </c>
      <c r="B91" s="17">
        <f>'NBs List'!N14</f>
        <v>11.2882592627689</v>
      </c>
      <c r="C91" s="17">
        <f t="shared" si="68"/>
        <v>3.1051266702188816</v>
      </c>
    </row>
  </sheetData>
  <mergeCells count="1">
    <mergeCell ref="C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E655-60C8-4263-936E-D29846DA2C08}">
  <sheetPr codeName="Sheet9"/>
  <dimension ref="A1:CV54"/>
  <sheetViews>
    <sheetView showGridLines="0" zoomScale="80" zoomScaleNormal="80" workbookViewId="0">
      <pane xSplit="7" ySplit="2" topLeftCell="H3" activePane="bottomRight" state="frozen"/>
      <selection pane="topRight" activeCell="G1" sqref="G1"/>
      <selection pane="bottomLeft" activeCell="A3" sqref="A3"/>
      <selection pane="bottomRight"/>
    </sheetView>
  </sheetViews>
  <sheetFormatPr baseColWidth="10" defaultColWidth="8.83203125" defaultRowHeight="15" x14ac:dyDescent="0.2"/>
  <cols>
    <col min="2" max="2" width="20.5" bestFit="1" customWidth="1"/>
    <col min="5" max="5" width="24.33203125" bestFit="1" customWidth="1"/>
    <col min="6" max="6" width="29.1640625" bestFit="1" customWidth="1"/>
    <col min="7" max="7" width="15" bestFit="1" customWidth="1"/>
    <col min="8" max="8" width="12.1640625" bestFit="1" customWidth="1"/>
    <col min="9" max="21" width="10.83203125" bestFit="1" customWidth="1"/>
    <col min="22" max="100" width="12.33203125" bestFit="1" customWidth="1"/>
  </cols>
  <sheetData>
    <row r="1" spans="1:100" x14ac:dyDescent="0.2">
      <c r="G1" s="70" t="s">
        <v>167</v>
      </c>
    </row>
    <row r="2" spans="1:100" x14ac:dyDescent="0.2">
      <c r="A2" t="s">
        <v>180</v>
      </c>
      <c r="B2" t="s">
        <v>103</v>
      </c>
      <c r="C2" t="s">
        <v>99</v>
      </c>
      <c r="D2" t="s">
        <v>100</v>
      </c>
      <c r="E2" t="s">
        <v>7</v>
      </c>
      <c r="F2" t="s">
        <v>177</v>
      </c>
      <c r="G2" t="s">
        <v>8</v>
      </c>
      <c r="H2" s="238">
        <v>44068</v>
      </c>
      <c r="I2" s="238">
        <v>44069</v>
      </c>
      <c r="J2" s="238">
        <v>44070</v>
      </c>
      <c r="K2" s="238">
        <v>44071</v>
      </c>
      <c r="L2" s="238">
        <v>44074</v>
      </c>
      <c r="M2" s="238">
        <v>44075</v>
      </c>
      <c r="N2" s="238">
        <v>44076</v>
      </c>
      <c r="O2" s="238">
        <v>44077</v>
      </c>
      <c r="P2" s="238">
        <v>44078</v>
      </c>
      <c r="Q2" s="238">
        <v>44081</v>
      </c>
      <c r="R2" s="238">
        <v>44082</v>
      </c>
      <c r="S2" s="238">
        <v>44083</v>
      </c>
      <c r="T2" s="238">
        <v>44084</v>
      </c>
      <c r="U2" s="238">
        <v>44085</v>
      </c>
      <c r="V2" s="238">
        <v>44088</v>
      </c>
      <c r="W2" s="238">
        <v>44089</v>
      </c>
      <c r="X2" s="238">
        <v>44090</v>
      </c>
      <c r="Y2" s="238">
        <v>44091</v>
      </c>
      <c r="Z2" s="238">
        <v>44092</v>
      </c>
      <c r="AA2" s="238">
        <v>44095</v>
      </c>
      <c r="AB2" s="238">
        <v>44096</v>
      </c>
      <c r="AC2" s="238">
        <v>44097</v>
      </c>
      <c r="AD2" s="238">
        <v>44098</v>
      </c>
      <c r="AE2" s="238">
        <v>44099</v>
      </c>
      <c r="AF2" s="238">
        <v>44102</v>
      </c>
      <c r="AG2" s="238">
        <v>44103</v>
      </c>
      <c r="AH2" s="238">
        <v>44104</v>
      </c>
      <c r="AI2" s="238">
        <v>44105</v>
      </c>
      <c r="AJ2" s="238">
        <v>44106</v>
      </c>
      <c r="AK2" s="238">
        <v>44109</v>
      </c>
      <c r="AL2" s="238">
        <v>44110</v>
      </c>
      <c r="AM2" s="238">
        <v>44111</v>
      </c>
      <c r="AN2" s="238">
        <v>44112</v>
      </c>
      <c r="AO2" s="238">
        <v>44113</v>
      </c>
      <c r="AP2" s="238">
        <v>44116</v>
      </c>
      <c r="AQ2" s="238">
        <v>44117</v>
      </c>
      <c r="AR2" s="238">
        <v>44118</v>
      </c>
      <c r="AS2" s="238">
        <v>44119</v>
      </c>
      <c r="AT2" s="238">
        <v>44120</v>
      </c>
      <c r="AU2" s="238">
        <v>44123</v>
      </c>
      <c r="AV2" s="238">
        <v>44124</v>
      </c>
      <c r="AW2" s="238">
        <v>44125</v>
      </c>
      <c r="AX2" s="238">
        <v>44126</v>
      </c>
      <c r="AY2" s="238">
        <v>44127</v>
      </c>
      <c r="AZ2" s="238">
        <v>44130</v>
      </c>
      <c r="BA2" s="238">
        <v>44131</v>
      </c>
      <c r="BB2" s="238">
        <v>44132</v>
      </c>
      <c r="BC2" s="238">
        <v>44133</v>
      </c>
      <c r="BD2" s="238">
        <v>44134</v>
      </c>
      <c r="BE2" s="238">
        <v>44137</v>
      </c>
      <c r="BF2" s="238">
        <v>44138</v>
      </c>
      <c r="BG2" s="238">
        <v>44139</v>
      </c>
      <c r="BH2" s="238">
        <v>44140</v>
      </c>
      <c r="BI2" s="238">
        <v>44141</v>
      </c>
      <c r="BJ2" s="238">
        <v>44144</v>
      </c>
      <c r="BK2" s="238">
        <v>44145</v>
      </c>
      <c r="BL2" s="238">
        <v>44146</v>
      </c>
      <c r="BM2" s="238">
        <v>44147</v>
      </c>
      <c r="BN2" s="238">
        <v>44148</v>
      </c>
      <c r="BO2" s="238">
        <v>44151</v>
      </c>
      <c r="BP2" s="238">
        <v>44152</v>
      </c>
      <c r="BQ2" s="238">
        <v>44153</v>
      </c>
      <c r="BR2" s="238">
        <v>44154</v>
      </c>
      <c r="BS2" s="238">
        <v>44155</v>
      </c>
      <c r="BT2" s="238">
        <v>44158</v>
      </c>
      <c r="BU2" s="238">
        <v>44159</v>
      </c>
      <c r="BV2" s="238">
        <v>44160</v>
      </c>
      <c r="BW2" s="238">
        <v>44161</v>
      </c>
      <c r="BX2" s="238">
        <v>44162</v>
      </c>
      <c r="BY2" s="238">
        <v>44165</v>
      </c>
      <c r="BZ2" s="238">
        <v>44166</v>
      </c>
      <c r="CA2" s="238">
        <v>44167</v>
      </c>
      <c r="CB2" s="238">
        <v>44168</v>
      </c>
      <c r="CC2" s="238">
        <v>44169</v>
      </c>
      <c r="CD2" s="238">
        <v>44172</v>
      </c>
      <c r="CE2" s="238">
        <v>44173</v>
      </c>
      <c r="CF2" s="238">
        <v>44174</v>
      </c>
      <c r="CG2" s="238">
        <v>44175</v>
      </c>
      <c r="CH2" s="238">
        <v>44176</v>
      </c>
      <c r="CI2" s="238">
        <v>44179</v>
      </c>
      <c r="CJ2" s="238">
        <v>44180</v>
      </c>
      <c r="CK2" s="238">
        <v>44181</v>
      </c>
      <c r="CL2" s="238">
        <v>44182</v>
      </c>
      <c r="CM2" s="238">
        <v>44183</v>
      </c>
      <c r="CN2" s="238">
        <v>44186</v>
      </c>
      <c r="CO2" s="238">
        <v>44187</v>
      </c>
      <c r="CP2" s="238">
        <v>44188</v>
      </c>
      <c r="CQ2" s="238">
        <v>44189</v>
      </c>
      <c r="CR2" s="238">
        <v>44190</v>
      </c>
      <c r="CS2" s="238">
        <v>44193</v>
      </c>
      <c r="CT2" s="238">
        <v>44194</v>
      </c>
      <c r="CU2" s="238">
        <v>44195</v>
      </c>
      <c r="CV2" s="238">
        <v>44196</v>
      </c>
    </row>
    <row r="3" spans="1:100" x14ac:dyDescent="0.2">
      <c r="A3" t="str">
        <f>IFERROR(INDEX(exit_newbonds,MATCH('NBs Prices'!G3,'NBs List'!$B$3:$B$14,0)),"")</f>
        <v>29_USD</v>
      </c>
      <c r="B3" t="s">
        <v>168</v>
      </c>
      <c r="C3">
        <v>2029</v>
      </c>
      <c r="D3" t="s">
        <v>0</v>
      </c>
      <c r="E3" t="s">
        <v>6</v>
      </c>
      <c r="F3" s="23">
        <f>IFERROR(INDEX('NBs List'!$E$3:$E$14,MATCH('NBs Prices'!G3,'NBs List'!$B$3:$B$14,0)),"")</f>
        <v>2635028874</v>
      </c>
      <c r="G3" t="s">
        <v>57</v>
      </c>
      <c r="H3" s="31" t="s">
        <v>166</v>
      </c>
      <c r="I3" s="31" t="s">
        <v>166</v>
      </c>
      <c r="J3" s="31" t="s">
        <v>166</v>
      </c>
      <c r="K3" s="31" t="s">
        <v>166</v>
      </c>
      <c r="L3" s="31" t="s">
        <v>166</v>
      </c>
      <c r="M3" s="31" t="s">
        <v>166</v>
      </c>
      <c r="N3" s="31" t="s">
        <v>166</v>
      </c>
      <c r="O3" s="31" t="s">
        <v>166</v>
      </c>
      <c r="P3" s="31" t="s">
        <v>166</v>
      </c>
      <c r="Q3" s="31" t="s">
        <v>166</v>
      </c>
      <c r="R3" s="31" t="s">
        <v>166</v>
      </c>
      <c r="S3" s="31" t="s">
        <v>166</v>
      </c>
      <c r="T3" s="31" t="s">
        <v>166</v>
      </c>
      <c r="U3" s="31">
        <v>54.25</v>
      </c>
      <c r="V3" s="31">
        <v>53.326500000000003</v>
      </c>
      <c r="W3" s="228">
        <v>52.468499999999999</v>
      </c>
      <c r="X3" s="31">
        <v>49.572000000000003</v>
      </c>
      <c r="Y3" s="31">
        <v>47.665999999999997</v>
      </c>
      <c r="Z3" s="31">
        <v>46.863999999999997</v>
      </c>
      <c r="AA3" s="31">
        <v>45.020499999999998</v>
      </c>
      <c r="AB3" s="31">
        <v>45.063000000000002</v>
      </c>
      <c r="AC3" s="31">
        <v>44.572000000000003</v>
      </c>
      <c r="AD3" s="31">
        <v>43.0625</v>
      </c>
      <c r="AE3" s="31">
        <v>43.906500000000001</v>
      </c>
      <c r="AF3" s="31">
        <v>44.49</v>
      </c>
      <c r="AG3" s="31">
        <v>44.7395</v>
      </c>
      <c r="AH3" s="31">
        <v>45.3215</v>
      </c>
      <c r="AI3" s="31">
        <v>45.468499999999999</v>
      </c>
      <c r="AJ3" s="31">
        <v>44.833500000000001</v>
      </c>
      <c r="AK3" s="31">
        <v>45.25</v>
      </c>
      <c r="AL3" s="31">
        <v>44.344000000000001</v>
      </c>
      <c r="AM3" s="31">
        <v>44.21</v>
      </c>
      <c r="AN3" s="31">
        <v>44.447000000000003</v>
      </c>
      <c r="AO3" s="31">
        <v>44.852499999999999</v>
      </c>
      <c r="AP3" s="31">
        <v>45</v>
      </c>
      <c r="AQ3" s="31">
        <v>44.0625</v>
      </c>
      <c r="AR3" s="31">
        <v>43.009500000000003</v>
      </c>
      <c r="AS3" s="31">
        <v>42.396000000000001</v>
      </c>
      <c r="AT3" s="31">
        <v>42.875</v>
      </c>
      <c r="AU3" s="31">
        <v>42</v>
      </c>
      <c r="AV3" s="31">
        <v>42.165500000000002</v>
      </c>
      <c r="AW3" s="31">
        <v>42.101999999999997</v>
      </c>
      <c r="AX3" s="31">
        <v>42.365499999999997</v>
      </c>
      <c r="AY3" s="31">
        <v>43.125</v>
      </c>
      <c r="AZ3" s="31">
        <v>42.521000000000001</v>
      </c>
      <c r="BA3" s="31">
        <v>42.384999999999998</v>
      </c>
      <c r="BB3" s="31">
        <v>42</v>
      </c>
      <c r="BC3" s="31">
        <v>41.573500000000003</v>
      </c>
      <c r="BD3" s="31">
        <v>41.375</v>
      </c>
      <c r="BE3" s="31">
        <v>41.843499999999999</v>
      </c>
      <c r="BF3" s="31">
        <v>42.384500000000003</v>
      </c>
      <c r="BG3" s="31">
        <v>42.625</v>
      </c>
      <c r="BH3" s="31">
        <v>43.156500000000001</v>
      </c>
      <c r="BI3" s="31">
        <v>43.549500000000002</v>
      </c>
      <c r="BJ3" s="31">
        <v>44.5</v>
      </c>
      <c r="BK3" s="31">
        <v>44</v>
      </c>
      <c r="BL3" s="31">
        <v>44</v>
      </c>
      <c r="BM3" s="31">
        <v>44.375</v>
      </c>
      <c r="BN3" s="31">
        <v>44.781500000000001</v>
      </c>
      <c r="BO3" s="31">
        <v>44.843499999999999</v>
      </c>
      <c r="BP3" s="31">
        <v>44.101999999999997</v>
      </c>
      <c r="BQ3" s="31">
        <v>44.147500000000001</v>
      </c>
      <c r="BR3" s="31">
        <v>43.977499999999999</v>
      </c>
      <c r="BS3" s="31">
        <v>43.875</v>
      </c>
      <c r="BT3" s="31">
        <v>43.5</v>
      </c>
      <c r="BU3" s="31">
        <v>43.875</v>
      </c>
      <c r="BV3" s="31">
        <v>43.790999999999997</v>
      </c>
      <c r="BW3" s="31">
        <v>44</v>
      </c>
      <c r="BX3" s="31">
        <v>42.75</v>
      </c>
      <c r="BY3" s="31">
        <v>42.947499999999998</v>
      </c>
      <c r="BZ3" s="31">
        <v>43.125</v>
      </c>
      <c r="CA3" s="31">
        <v>42.396000000000001</v>
      </c>
      <c r="CB3" s="31">
        <v>42.5</v>
      </c>
      <c r="CC3" s="31">
        <v>42.5</v>
      </c>
      <c r="CD3" s="31">
        <v>41.5</v>
      </c>
      <c r="CE3" s="31">
        <v>42.375</v>
      </c>
      <c r="CF3" s="31">
        <v>42.625</v>
      </c>
      <c r="CG3" s="31">
        <v>42.771999999999998</v>
      </c>
      <c r="CH3" s="31">
        <v>43.25</v>
      </c>
      <c r="CI3" s="31">
        <v>43.594000000000001</v>
      </c>
      <c r="CJ3" s="31">
        <v>43.177</v>
      </c>
      <c r="CK3" s="31">
        <v>43.1875</v>
      </c>
      <c r="CL3" s="31">
        <v>43.375</v>
      </c>
      <c r="CM3" s="31">
        <v>42.728000000000002</v>
      </c>
      <c r="CN3" s="31">
        <v>43.75</v>
      </c>
      <c r="CO3" s="31">
        <v>43.477499999999999</v>
      </c>
      <c r="CP3" s="31">
        <v>43.851999999999997</v>
      </c>
      <c r="CQ3" s="31">
        <v>44.125</v>
      </c>
      <c r="CR3" s="31">
        <v>44.125</v>
      </c>
      <c r="CS3" s="31">
        <v>42.75</v>
      </c>
      <c r="CT3" s="31">
        <v>43.832500000000003</v>
      </c>
      <c r="CU3" s="31">
        <v>43.761000000000003</v>
      </c>
      <c r="CV3" s="31">
        <v>44</v>
      </c>
    </row>
    <row r="4" spans="1:100" x14ac:dyDescent="0.2">
      <c r="A4" t="str">
        <f>IFERROR(INDEX(exit_newbonds,MATCH('NBs Prices'!G4,'NBs List'!$B$3:$B$14,0)),"")</f>
        <v>29_EUR</v>
      </c>
      <c r="B4" t="s">
        <v>169</v>
      </c>
      <c r="C4">
        <v>2029</v>
      </c>
      <c r="D4" t="s">
        <v>1</v>
      </c>
      <c r="E4" t="s">
        <v>6</v>
      </c>
      <c r="F4" s="23">
        <f>IFERROR(INDEX('NBs List'!$E$3:$E$14,MATCH('NBs Prices'!G4,'NBs List'!$B$3:$B$14,0)),"")</f>
        <v>90389736</v>
      </c>
      <c r="G4" t="s">
        <v>58</v>
      </c>
      <c r="H4" s="31" t="s">
        <v>166</v>
      </c>
      <c r="I4" s="31" t="s">
        <v>166</v>
      </c>
      <c r="J4" s="31" t="s">
        <v>166</v>
      </c>
      <c r="K4" s="31" t="s">
        <v>166</v>
      </c>
      <c r="L4" s="31" t="s">
        <v>166</v>
      </c>
      <c r="M4" s="31" t="s">
        <v>166</v>
      </c>
      <c r="N4" s="31" t="s">
        <v>166</v>
      </c>
      <c r="O4" s="31" t="s">
        <v>166</v>
      </c>
      <c r="P4" s="31" t="s">
        <v>166</v>
      </c>
      <c r="Q4" s="31" t="s">
        <v>166</v>
      </c>
      <c r="R4" s="31" t="s">
        <v>166</v>
      </c>
      <c r="S4" s="31" t="s">
        <v>166</v>
      </c>
      <c r="T4" s="31" t="s">
        <v>166</v>
      </c>
      <c r="U4" s="31" t="s">
        <v>166</v>
      </c>
      <c r="V4" s="31">
        <v>59.939473059577502</v>
      </c>
      <c r="W4" s="228">
        <v>59.165640102340603</v>
      </c>
      <c r="X4" s="31">
        <v>58.479532163742697</v>
      </c>
      <c r="Y4" s="31">
        <v>56.495675867788201</v>
      </c>
      <c r="Z4" s="31">
        <v>56.4481954522319</v>
      </c>
      <c r="AA4" s="31">
        <v>50.239499111440701</v>
      </c>
      <c r="AB4" s="31">
        <v>48.580057593706798</v>
      </c>
      <c r="AC4" s="31">
        <v>47.160462160870203</v>
      </c>
      <c r="AD4" s="31">
        <v>47.271666180332602</v>
      </c>
      <c r="AE4" s="31">
        <v>47.682735360818697</v>
      </c>
      <c r="AF4" s="31">
        <v>45.7811370051555</v>
      </c>
      <c r="AG4" s="31">
        <v>46.087548729510097</v>
      </c>
      <c r="AH4" s="31">
        <v>46.871887413726398</v>
      </c>
      <c r="AI4" s="31">
        <v>48.603279766939202</v>
      </c>
      <c r="AJ4" s="31">
        <v>47.730600292825798</v>
      </c>
      <c r="AK4" s="31">
        <v>47.1242430668457</v>
      </c>
      <c r="AL4" s="31">
        <v>46.936237121869901</v>
      </c>
      <c r="AM4" s="31">
        <v>46.746007479361197</v>
      </c>
      <c r="AN4" s="31">
        <v>48.061094911109002</v>
      </c>
      <c r="AO4" s="31">
        <v>49.187693617423797</v>
      </c>
      <c r="AP4" s="31">
        <v>49.035474230092298</v>
      </c>
      <c r="AQ4" s="31">
        <v>47.563123899001802</v>
      </c>
      <c r="AR4" s="31">
        <v>47.5832501321431</v>
      </c>
      <c r="AS4" s="31">
        <v>46.613443214009799</v>
      </c>
      <c r="AT4" s="31">
        <v>46.578938117390599</v>
      </c>
      <c r="AU4" s="31">
        <v>46.255485874975001</v>
      </c>
      <c r="AV4" s="31">
        <v>45.806489745256798</v>
      </c>
      <c r="AW4" s="31">
        <v>46.3325821373503</v>
      </c>
      <c r="AX4" s="31">
        <v>46.141484798714401</v>
      </c>
      <c r="AY4" s="31">
        <v>46.546653384564301</v>
      </c>
      <c r="AZ4" s="31">
        <v>46.559134706215801</v>
      </c>
      <c r="BA4" s="31">
        <v>46.737515038569498</v>
      </c>
      <c r="BB4" s="31">
        <v>45.713446858485</v>
      </c>
      <c r="BC4" s="31">
        <v>44.845902404856403</v>
      </c>
      <c r="BD4" s="31">
        <v>44.753607659068898</v>
      </c>
      <c r="BE4" s="31">
        <v>45.506396154159503</v>
      </c>
      <c r="BF4" s="31">
        <v>45.145801616114298</v>
      </c>
      <c r="BG4" s="31">
        <v>45.281913023092301</v>
      </c>
      <c r="BH4" s="31">
        <v>46.220225781665597</v>
      </c>
      <c r="BI4" s="31">
        <v>46.152293665115401</v>
      </c>
      <c r="BJ4" s="31">
        <v>47.434822156332302</v>
      </c>
      <c r="BK4" s="31">
        <v>46.901766200011799</v>
      </c>
      <c r="BL4" s="31">
        <v>47.1140370505588</v>
      </c>
      <c r="BM4" s="31">
        <v>46.714354852036799</v>
      </c>
      <c r="BN4" s="31">
        <v>47.446075937385402</v>
      </c>
      <c r="BO4" s="31">
        <v>48.129007787405001</v>
      </c>
      <c r="BP4" s="31">
        <v>48.037006286324299</v>
      </c>
      <c r="BQ4" s="31">
        <v>48.883542323464603</v>
      </c>
      <c r="BR4" s="31">
        <v>48.667260314633403</v>
      </c>
      <c r="BS4" s="31">
        <v>48.935010134294203</v>
      </c>
      <c r="BT4" s="31">
        <v>49.017866657194602</v>
      </c>
      <c r="BU4" s="31">
        <v>49.727763380013798</v>
      </c>
      <c r="BV4" s="31">
        <v>49.558028162302499</v>
      </c>
      <c r="BW4" s="31">
        <v>49.623549593767102</v>
      </c>
      <c r="BX4" s="31">
        <v>49.923443144572801</v>
      </c>
      <c r="BY4" s="31">
        <v>49.811536809962298</v>
      </c>
      <c r="BZ4" s="31">
        <v>50.500905250452597</v>
      </c>
      <c r="CA4" s="31">
        <v>50.580310629739998</v>
      </c>
      <c r="CB4" s="31">
        <v>50.854659350264697</v>
      </c>
      <c r="CC4" s="31">
        <v>51.176855577641</v>
      </c>
      <c r="CD4" s="31">
        <v>50.736166606126602</v>
      </c>
      <c r="CE4" s="31">
        <v>50.479198431714202</v>
      </c>
      <c r="CF4" s="31">
        <v>50.344910903050398</v>
      </c>
      <c r="CG4" s="31">
        <v>50.812509860556602</v>
      </c>
      <c r="CH4" s="31">
        <v>50.571636187477303</v>
      </c>
      <c r="CI4" s="31">
        <v>52.1845249659996</v>
      </c>
      <c r="CJ4" s="31">
        <v>52.358502029210896</v>
      </c>
      <c r="CK4" s="31">
        <v>52.538817129544903</v>
      </c>
      <c r="CL4" s="31">
        <v>52.897235237838203</v>
      </c>
      <c r="CM4" s="31">
        <v>52.813147219941399</v>
      </c>
      <c r="CN4" s="31">
        <v>52.439830570722002</v>
      </c>
      <c r="CO4" s="31">
        <v>52.195062629210803</v>
      </c>
      <c r="CP4" s="31">
        <v>52.167714578154701</v>
      </c>
      <c r="CQ4" s="31">
        <v>52.704695287651901</v>
      </c>
      <c r="CR4" s="31">
        <v>52.7825237979009</v>
      </c>
      <c r="CS4" s="31">
        <v>52.520366909726</v>
      </c>
      <c r="CT4" s="31">
        <v>53.454251527806697</v>
      </c>
      <c r="CU4" s="31">
        <v>53.040548847960302</v>
      </c>
      <c r="CV4" s="31">
        <v>53.040548847960302</v>
      </c>
    </row>
    <row r="5" spans="1:100" x14ac:dyDescent="0.2">
      <c r="A5" t="str">
        <f>IFERROR(INDEX(exit_newbonds,MATCH('NBs Prices'!G5,'NBs List'!$B$3:$B$14,0)),"")</f>
        <v/>
      </c>
      <c r="B5" t="s">
        <v>94</v>
      </c>
      <c r="C5">
        <v>2029</v>
      </c>
      <c r="D5" t="s">
        <v>0</v>
      </c>
      <c r="F5" s="23" t="str">
        <f>IFERROR(INDEX('NBs List'!$E$3:$E$14,MATCH('NBs Prices'!G5,'NBs List'!$B$3:$B$14,0)),"")</f>
        <v/>
      </c>
      <c r="G5" t="s">
        <v>69</v>
      </c>
      <c r="H5" s="31" t="s">
        <v>166</v>
      </c>
      <c r="I5" s="31" t="s">
        <v>166</v>
      </c>
      <c r="J5" s="31" t="s">
        <v>166</v>
      </c>
      <c r="K5" s="31" t="s">
        <v>166</v>
      </c>
      <c r="L5" s="31" t="s">
        <v>166</v>
      </c>
      <c r="M5" s="31" t="s">
        <v>166</v>
      </c>
      <c r="N5" s="31" t="s">
        <v>166</v>
      </c>
      <c r="O5" s="31" t="s">
        <v>166</v>
      </c>
      <c r="P5" s="31" t="s">
        <v>166</v>
      </c>
      <c r="Q5" s="31" t="s">
        <v>166</v>
      </c>
      <c r="R5" s="31" t="s">
        <v>166</v>
      </c>
      <c r="S5" s="31" t="s">
        <v>166</v>
      </c>
      <c r="T5" s="31" t="s">
        <v>166</v>
      </c>
      <c r="U5" s="31">
        <v>54.25</v>
      </c>
      <c r="V5" s="31">
        <v>52.625</v>
      </c>
      <c r="W5" s="228">
        <v>50.5</v>
      </c>
      <c r="X5" s="31">
        <v>49.75</v>
      </c>
      <c r="Y5" s="31">
        <v>47.75</v>
      </c>
      <c r="Z5" s="31">
        <v>45.5</v>
      </c>
      <c r="AA5" s="31">
        <v>45.375</v>
      </c>
      <c r="AB5" s="31">
        <v>44.5</v>
      </c>
      <c r="AC5" s="31">
        <v>43.5</v>
      </c>
      <c r="AD5" s="31">
        <v>42.5</v>
      </c>
      <c r="AE5" s="31">
        <v>43</v>
      </c>
      <c r="AF5" s="31">
        <v>45</v>
      </c>
      <c r="AG5" s="31">
        <v>44.5</v>
      </c>
      <c r="AH5" s="31">
        <v>43.5</v>
      </c>
      <c r="AI5" s="31">
        <v>43.25</v>
      </c>
      <c r="AJ5" s="31">
        <v>42</v>
      </c>
      <c r="AK5" s="31">
        <v>42.75</v>
      </c>
      <c r="AL5" s="31">
        <v>41.5</v>
      </c>
      <c r="AM5" s="31">
        <v>41.25</v>
      </c>
      <c r="AN5" s="31">
        <v>41.75</v>
      </c>
      <c r="AO5" s="31">
        <v>41.75</v>
      </c>
      <c r="AP5" s="31">
        <v>41.75</v>
      </c>
      <c r="AQ5" s="31">
        <v>41.5</v>
      </c>
      <c r="AR5" s="31">
        <v>40.5</v>
      </c>
      <c r="AS5" s="31">
        <v>39.75</v>
      </c>
      <c r="AT5" s="31">
        <v>40.5</v>
      </c>
      <c r="AU5" s="31">
        <v>40</v>
      </c>
      <c r="AV5" s="31">
        <v>39.75</v>
      </c>
      <c r="AW5" s="31">
        <v>39.25</v>
      </c>
      <c r="AX5" s="31">
        <v>38.25</v>
      </c>
      <c r="AY5" s="31">
        <v>38.5</v>
      </c>
      <c r="AZ5" s="31">
        <v>38.25</v>
      </c>
      <c r="BA5" s="31">
        <v>38.25</v>
      </c>
      <c r="BB5" s="31">
        <v>38</v>
      </c>
      <c r="BC5" s="31">
        <v>37.875</v>
      </c>
      <c r="BD5" s="31">
        <v>37.75</v>
      </c>
      <c r="BE5" s="31">
        <v>37.875</v>
      </c>
      <c r="BF5" s="31">
        <v>38.375</v>
      </c>
      <c r="BG5" s="31">
        <v>39.5</v>
      </c>
      <c r="BH5" s="31">
        <v>39.625</v>
      </c>
      <c r="BI5" s="31">
        <v>40.5</v>
      </c>
      <c r="BJ5" s="31">
        <v>42</v>
      </c>
      <c r="BK5" s="31">
        <v>41.5</v>
      </c>
      <c r="BL5" s="31">
        <v>41.5</v>
      </c>
      <c r="BM5" s="31">
        <v>42</v>
      </c>
      <c r="BN5" s="31">
        <v>42.5</v>
      </c>
      <c r="BO5" s="31">
        <v>45.125</v>
      </c>
      <c r="BP5" s="31">
        <v>44.25</v>
      </c>
      <c r="BQ5" s="31">
        <v>44.375</v>
      </c>
      <c r="BR5" s="31">
        <v>44</v>
      </c>
      <c r="BS5" s="31">
        <v>43.875</v>
      </c>
      <c r="BT5" s="31">
        <v>43.875</v>
      </c>
      <c r="BU5" s="31">
        <v>43.875</v>
      </c>
      <c r="BV5" s="31">
        <v>43.75</v>
      </c>
      <c r="BW5" s="31">
        <v>44</v>
      </c>
      <c r="BX5" s="31">
        <v>42.75</v>
      </c>
      <c r="BY5" s="31">
        <v>41.5</v>
      </c>
      <c r="BZ5" s="31">
        <v>41.25</v>
      </c>
      <c r="CA5" s="31">
        <v>42</v>
      </c>
      <c r="CB5" s="31">
        <v>40.5</v>
      </c>
      <c r="CC5" s="31">
        <v>40.75</v>
      </c>
      <c r="CD5" s="31">
        <v>40.75</v>
      </c>
      <c r="CE5" s="31">
        <v>40.75</v>
      </c>
      <c r="CF5" s="31">
        <v>41.25</v>
      </c>
      <c r="CG5" s="31">
        <v>41.75</v>
      </c>
      <c r="CH5" s="31">
        <v>42</v>
      </c>
      <c r="CI5" s="31">
        <v>42.25</v>
      </c>
      <c r="CJ5" s="31">
        <v>43.25</v>
      </c>
      <c r="CK5" s="31">
        <v>43.25</v>
      </c>
      <c r="CL5" s="31">
        <v>43.5</v>
      </c>
      <c r="CM5" s="31">
        <v>42.125</v>
      </c>
      <c r="CN5" s="31">
        <v>41.25</v>
      </c>
      <c r="CO5" s="31">
        <v>41.25</v>
      </c>
      <c r="CP5" s="31">
        <v>44</v>
      </c>
      <c r="CQ5" s="31">
        <v>44</v>
      </c>
      <c r="CR5" s="31">
        <v>44</v>
      </c>
      <c r="CS5" s="31">
        <v>42.75</v>
      </c>
      <c r="CT5" s="31">
        <v>44</v>
      </c>
      <c r="CU5" s="31">
        <v>41.75</v>
      </c>
      <c r="CV5" s="31">
        <v>41.75</v>
      </c>
    </row>
    <row r="6" spans="1:100" x14ac:dyDescent="0.2">
      <c r="A6" t="str">
        <f>IFERROR(INDEX(exit_newbonds,MATCH('NBs Prices'!G6,'NBs List'!$B$3:$B$14,0)),"")</f>
        <v>30_USD</v>
      </c>
      <c r="B6" t="s">
        <v>147</v>
      </c>
      <c r="C6">
        <v>2030</v>
      </c>
      <c r="D6" t="s">
        <v>0</v>
      </c>
      <c r="E6" t="s">
        <v>6</v>
      </c>
      <c r="F6" s="23">
        <f>IFERROR(INDEX('NBs List'!$E$3:$E$14,MATCH('NBs Prices'!G6,'NBs List'!$B$3:$B$14,0)),"")</f>
        <v>16090612138</v>
      </c>
      <c r="G6" t="s">
        <v>59</v>
      </c>
      <c r="H6" s="31" t="s">
        <v>166</v>
      </c>
      <c r="I6" s="31" t="s">
        <v>166</v>
      </c>
      <c r="J6" s="31" t="s">
        <v>166</v>
      </c>
      <c r="K6" s="31" t="s">
        <v>166</v>
      </c>
      <c r="L6" s="31" t="s">
        <v>166</v>
      </c>
      <c r="M6" s="31" t="s">
        <v>166</v>
      </c>
      <c r="N6" s="31" t="s">
        <v>166</v>
      </c>
      <c r="O6" s="31" t="s">
        <v>166</v>
      </c>
      <c r="P6" s="31" t="s">
        <v>166</v>
      </c>
      <c r="Q6" s="31" t="s">
        <v>166</v>
      </c>
      <c r="R6" s="31" t="s">
        <v>166</v>
      </c>
      <c r="S6" s="31" t="s">
        <v>166</v>
      </c>
      <c r="T6" s="31" t="s">
        <v>166</v>
      </c>
      <c r="U6" s="31">
        <v>51</v>
      </c>
      <c r="V6" s="31">
        <v>49.915500000000002</v>
      </c>
      <c r="W6" s="228">
        <v>48.897500000000001</v>
      </c>
      <c r="X6" s="31">
        <v>46.625</v>
      </c>
      <c r="Y6" s="31">
        <v>46.605499999999999</v>
      </c>
      <c r="Z6" s="31">
        <v>43.865000000000002</v>
      </c>
      <c r="AA6" s="31">
        <v>41.980499999999999</v>
      </c>
      <c r="AB6" s="31">
        <v>41.79</v>
      </c>
      <c r="AC6" s="31">
        <v>41</v>
      </c>
      <c r="AD6" s="31">
        <v>39.977499999999999</v>
      </c>
      <c r="AE6" s="31">
        <v>40.49</v>
      </c>
      <c r="AF6" s="31">
        <v>41.052999999999997</v>
      </c>
      <c r="AG6" s="31">
        <v>41</v>
      </c>
      <c r="AH6" s="31">
        <v>41.5105</v>
      </c>
      <c r="AI6" s="31">
        <v>41.125</v>
      </c>
      <c r="AJ6" s="31">
        <v>40.3125</v>
      </c>
      <c r="AK6" s="31">
        <v>40.375</v>
      </c>
      <c r="AL6" s="31">
        <v>39.710999999999999</v>
      </c>
      <c r="AM6" s="31">
        <v>39.771500000000003</v>
      </c>
      <c r="AN6" s="31">
        <v>40.218499999999999</v>
      </c>
      <c r="AO6" s="31">
        <v>40.825000000000003</v>
      </c>
      <c r="AP6" s="31">
        <v>41</v>
      </c>
      <c r="AQ6" s="31">
        <v>40.26</v>
      </c>
      <c r="AR6" s="31">
        <v>39.302999999999997</v>
      </c>
      <c r="AS6" s="31">
        <v>38.76</v>
      </c>
      <c r="AT6" s="31">
        <v>39.429000000000002</v>
      </c>
      <c r="AU6" s="31">
        <v>38.353000000000002</v>
      </c>
      <c r="AV6" s="31">
        <v>38.313000000000002</v>
      </c>
      <c r="AW6" s="31">
        <v>38.072000000000003</v>
      </c>
      <c r="AX6" s="31">
        <v>38.0105</v>
      </c>
      <c r="AY6" s="31">
        <v>38.5</v>
      </c>
      <c r="AZ6" s="31">
        <v>37.857500000000002</v>
      </c>
      <c r="BA6" s="31">
        <v>37.625</v>
      </c>
      <c r="BB6" s="31">
        <v>37.281500000000001</v>
      </c>
      <c r="BC6" s="31">
        <v>36.959000000000003</v>
      </c>
      <c r="BD6" s="31">
        <v>36.780999999999999</v>
      </c>
      <c r="BE6" s="31">
        <v>37.375500000000002</v>
      </c>
      <c r="BF6" s="31">
        <v>37.896999999999998</v>
      </c>
      <c r="BG6" s="31">
        <v>38.5</v>
      </c>
      <c r="BH6" s="31">
        <v>38.697000000000003</v>
      </c>
      <c r="BI6" s="31">
        <v>39.031500000000001</v>
      </c>
      <c r="BJ6" s="31">
        <v>40</v>
      </c>
      <c r="BK6" s="31">
        <v>39.5</v>
      </c>
      <c r="BL6" s="31">
        <v>39.5</v>
      </c>
      <c r="BM6" s="31">
        <v>40.125</v>
      </c>
      <c r="BN6" s="31">
        <v>40.4895</v>
      </c>
      <c r="BO6" s="31">
        <v>40.959499999999998</v>
      </c>
      <c r="BP6" s="31">
        <v>39.667000000000002</v>
      </c>
      <c r="BQ6" s="31">
        <v>39.833500000000001</v>
      </c>
      <c r="BR6" s="31">
        <v>39.625</v>
      </c>
      <c r="BS6" s="31">
        <v>39</v>
      </c>
      <c r="BT6" s="31">
        <v>39.75</v>
      </c>
      <c r="BU6" s="31">
        <v>40.125</v>
      </c>
      <c r="BV6" s="31">
        <v>39.906500000000001</v>
      </c>
      <c r="BW6" s="31">
        <v>40.125</v>
      </c>
      <c r="BX6" s="31">
        <v>39.25</v>
      </c>
      <c r="BY6" s="31">
        <v>39.4285</v>
      </c>
      <c r="BZ6" s="31">
        <v>39.5</v>
      </c>
      <c r="CA6" s="31">
        <v>39.209499999999998</v>
      </c>
      <c r="CB6" s="31">
        <v>39.25</v>
      </c>
      <c r="CC6" s="31">
        <v>38.75</v>
      </c>
      <c r="CD6" s="31">
        <v>38.25</v>
      </c>
      <c r="CE6" s="31">
        <v>38.5</v>
      </c>
      <c r="CF6" s="31">
        <v>39</v>
      </c>
      <c r="CG6" s="31">
        <v>39.273000000000003</v>
      </c>
      <c r="CH6" s="31">
        <v>40.25</v>
      </c>
      <c r="CI6" s="31">
        <v>40.468499999999999</v>
      </c>
      <c r="CJ6" s="31">
        <v>39.866999999999997</v>
      </c>
      <c r="CK6" s="31">
        <v>39.957500000000003</v>
      </c>
      <c r="CL6" s="31">
        <v>40.281500000000001</v>
      </c>
      <c r="CM6" s="31">
        <v>40.085500000000003</v>
      </c>
      <c r="CN6" s="31">
        <v>40.75</v>
      </c>
      <c r="CO6" s="31">
        <v>40.831499999999998</v>
      </c>
      <c r="CP6" s="31">
        <v>40.834499999999998</v>
      </c>
      <c r="CQ6" s="31">
        <v>41.25</v>
      </c>
      <c r="CR6" s="31">
        <v>41.25</v>
      </c>
      <c r="CS6" s="31">
        <v>40.75</v>
      </c>
      <c r="CT6" s="31">
        <v>40.75</v>
      </c>
      <c r="CU6" s="31">
        <v>40.8855</v>
      </c>
      <c r="CV6" s="31">
        <v>41.125</v>
      </c>
    </row>
    <row r="7" spans="1:100" x14ac:dyDescent="0.2">
      <c r="A7" t="str">
        <f>IFERROR(INDEX(exit_newbonds,MATCH('NBs Prices'!G7,'NBs List'!$B$3:$B$14,0)),"")</f>
        <v>30_EUR</v>
      </c>
      <c r="B7" t="s">
        <v>170</v>
      </c>
      <c r="C7">
        <v>2030</v>
      </c>
      <c r="D7" t="s">
        <v>1</v>
      </c>
      <c r="E7" t="s">
        <v>6</v>
      </c>
      <c r="F7" s="23">
        <f>IFERROR(INDEX('NBs List'!$E$3:$E$14,MATCH('NBs Prices'!G7,'NBs List'!$B$3:$B$14,0)),"")</f>
        <v>1165590836</v>
      </c>
      <c r="G7" t="s">
        <v>60</v>
      </c>
      <c r="H7" s="31" t="s">
        <v>166</v>
      </c>
      <c r="I7" s="31" t="s">
        <v>166</v>
      </c>
      <c r="J7" s="31" t="s">
        <v>166</v>
      </c>
      <c r="K7" s="31" t="s">
        <v>166</v>
      </c>
      <c r="L7" s="31" t="s">
        <v>166</v>
      </c>
      <c r="M7" s="31" t="s">
        <v>166</v>
      </c>
      <c r="N7" s="31" t="s">
        <v>166</v>
      </c>
      <c r="O7" s="31" t="s">
        <v>166</v>
      </c>
      <c r="P7" s="31" t="s">
        <v>166</v>
      </c>
      <c r="Q7" s="31" t="s">
        <v>166</v>
      </c>
      <c r="R7" s="31" t="s">
        <v>166</v>
      </c>
      <c r="S7" s="31" t="s">
        <v>166</v>
      </c>
      <c r="T7" s="31" t="s">
        <v>166</v>
      </c>
      <c r="U7" s="31" t="s">
        <v>166</v>
      </c>
      <c r="V7" s="31">
        <v>56.966532162354603</v>
      </c>
      <c r="W7" s="228">
        <v>57.424429072301699</v>
      </c>
      <c r="X7" s="31">
        <v>55.305097761238102</v>
      </c>
      <c r="Y7" s="31">
        <v>53.089681317379501</v>
      </c>
      <c r="Z7" s="31">
        <v>50.455131923154298</v>
      </c>
      <c r="AA7" s="31">
        <v>47.664442326024798</v>
      </c>
      <c r="AB7" s="31">
        <v>46.312598038068003</v>
      </c>
      <c r="AC7" s="31">
        <v>43.662776462907097</v>
      </c>
      <c r="AD7" s="31">
        <v>45.374963524948903</v>
      </c>
      <c r="AE7" s="31">
        <v>45.065999883700599</v>
      </c>
      <c r="AF7" s="31">
        <v>45.7811370051555</v>
      </c>
      <c r="AG7" s="31">
        <v>45.852707716875699</v>
      </c>
      <c r="AH7" s="31">
        <v>46.321142736615201</v>
      </c>
      <c r="AI7" s="31">
        <v>46.547551921811902</v>
      </c>
      <c r="AJ7" s="31">
        <v>44.767203513909202</v>
      </c>
      <c r="AK7" s="31">
        <v>45.380646073372503</v>
      </c>
      <c r="AL7" s="31">
        <v>44.002722301753103</v>
      </c>
      <c r="AM7" s="31">
        <v>41.748006679681097</v>
      </c>
      <c r="AN7" s="31">
        <v>45.121578402784301</v>
      </c>
      <c r="AO7" s="31">
        <v>44.931066285146699</v>
      </c>
      <c r="AP7" s="31">
        <v>44.593812387038902</v>
      </c>
      <c r="AQ7" s="31">
        <v>44.333529066353499</v>
      </c>
      <c r="AR7" s="31">
        <v>43.166735185293902</v>
      </c>
      <c r="AS7" s="31">
        <v>42.4343876571536</v>
      </c>
      <c r="AT7" s="31">
        <v>43.0635465613612</v>
      </c>
      <c r="AU7" s="31">
        <v>42.651574872633603</v>
      </c>
      <c r="AV7" s="31">
        <v>42.260180861753099</v>
      </c>
      <c r="AW7" s="31">
        <v>42.477760645237801</v>
      </c>
      <c r="AX7" s="31">
        <v>41.946804362467702</v>
      </c>
      <c r="AY7" s="31">
        <v>43.581898391916901</v>
      </c>
      <c r="AZ7" s="31">
        <v>43.382769695824699</v>
      </c>
      <c r="BA7" s="31">
        <v>42.762614705951698</v>
      </c>
      <c r="BB7" s="31">
        <v>41.873165002935998</v>
      </c>
      <c r="BC7" s="31">
        <v>41.238617791267799</v>
      </c>
      <c r="BD7" s="31">
        <v>41.515740924073199</v>
      </c>
      <c r="BE7" s="31">
        <v>41.030834235429701</v>
      </c>
      <c r="BF7" s="31">
        <v>41.9018620447359</v>
      </c>
      <c r="BG7" s="31">
        <v>42.292814441448797</v>
      </c>
      <c r="BH7" s="31">
        <v>43.146758082628999</v>
      </c>
      <c r="BI7" s="31">
        <v>43.926298793807597</v>
      </c>
      <c r="BJ7" s="31">
        <v>44.298489126197502</v>
      </c>
      <c r="BK7" s="31">
        <v>44.095930060842299</v>
      </c>
      <c r="BL7" s="31">
        <v>44.1050040630778</v>
      </c>
      <c r="BM7" s="31">
        <v>44.707673784482502</v>
      </c>
      <c r="BN7" s="31">
        <v>44.511755031532097</v>
      </c>
      <c r="BO7" s="31">
        <v>45.041307620278097</v>
      </c>
      <c r="BP7" s="31">
        <v>44.478709524374302</v>
      </c>
      <c r="BQ7" s="31">
        <v>44.3620072534193</v>
      </c>
      <c r="BR7" s="31">
        <v>44.440486791332702</v>
      </c>
      <c r="BS7" s="31">
        <v>44.6205269832992</v>
      </c>
      <c r="BT7" s="31">
        <v>44.589682567873197</v>
      </c>
      <c r="BU7" s="31">
        <v>45.0676430728263</v>
      </c>
      <c r="BV7" s="31">
        <v>44.9953539348598</v>
      </c>
      <c r="BW7" s="31">
        <v>44.554573395916201</v>
      </c>
      <c r="BX7" s="31">
        <v>44.648197325294902</v>
      </c>
      <c r="BY7" s="31">
        <v>44.1278209838256</v>
      </c>
      <c r="BZ7" s="31">
        <v>44.556427278213597</v>
      </c>
      <c r="CA7" s="31">
        <v>44.704514065566599</v>
      </c>
      <c r="CB7" s="31">
        <v>44.772495508182402</v>
      </c>
      <c r="CC7" s="31">
        <v>44.789596160372298</v>
      </c>
      <c r="CD7" s="31">
        <v>44.496912459135501</v>
      </c>
      <c r="CE7" s="31">
        <v>44.565454149422798</v>
      </c>
      <c r="CF7" s="31">
        <v>44.3974630021142</v>
      </c>
      <c r="CG7" s="31">
        <v>44.600055825920201</v>
      </c>
      <c r="CH7" s="31">
        <v>45.416010657623801</v>
      </c>
      <c r="CI7" s="31">
        <v>45.644307363512702</v>
      </c>
      <c r="CJ7" s="31">
        <v>45.687623028506202</v>
      </c>
      <c r="CK7" s="31">
        <v>46.470781953236497</v>
      </c>
      <c r="CL7" s="31">
        <v>46.610897137109603</v>
      </c>
      <c r="CM7" s="31">
        <v>46.262821848306999</v>
      </c>
      <c r="CN7" s="31">
        <v>46.534289841588503</v>
      </c>
      <c r="CO7" s="31">
        <v>45.603794235680397</v>
      </c>
      <c r="CP7" s="31">
        <v>46.2847882243993</v>
      </c>
      <c r="CQ7" s="31">
        <v>46.611666930697901</v>
      </c>
      <c r="CR7" s="31">
        <v>46.680497925311201</v>
      </c>
      <c r="CS7" s="31">
        <v>46.718698472023704</v>
      </c>
      <c r="CT7" s="31">
        <v>46.538400303724302</v>
      </c>
      <c r="CU7" s="31">
        <v>47.200432783337803</v>
      </c>
      <c r="CV7" s="31">
        <v>46.409379579872997</v>
      </c>
    </row>
    <row r="8" spans="1:100" x14ac:dyDescent="0.2">
      <c r="A8" t="str">
        <f>IFERROR(INDEX(exit_newbonds,MATCH('NBs Prices'!G8,'NBs List'!$B$3:$B$14,0)),"")</f>
        <v/>
      </c>
      <c r="B8" t="s">
        <v>95</v>
      </c>
      <c r="C8">
        <v>2030</v>
      </c>
      <c r="D8" t="s">
        <v>0</v>
      </c>
      <c r="F8" s="23" t="str">
        <f>IFERROR(INDEX('NBs List'!$E$3:$E$14,MATCH('NBs Prices'!G8,'NBs List'!$B$3:$B$14,0)),"")</f>
        <v/>
      </c>
      <c r="G8" t="s">
        <v>70</v>
      </c>
      <c r="H8" s="31" t="s">
        <v>166</v>
      </c>
      <c r="I8" s="31" t="s">
        <v>166</v>
      </c>
      <c r="J8" s="31" t="s">
        <v>166</v>
      </c>
      <c r="K8" s="31" t="s">
        <v>166</v>
      </c>
      <c r="L8" s="31" t="s">
        <v>166</v>
      </c>
      <c r="M8" s="31" t="s">
        <v>166</v>
      </c>
      <c r="N8" s="31" t="s">
        <v>166</v>
      </c>
      <c r="O8" s="31" t="s">
        <v>166</v>
      </c>
      <c r="P8" s="31" t="s">
        <v>166</v>
      </c>
      <c r="Q8" s="31" t="s">
        <v>166</v>
      </c>
      <c r="R8" s="31" t="s">
        <v>166</v>
      </c>
      <c r="S8" s="31" t="s">
        <v>166</v>
      </c>
      <c r="T8" s="31" t="s">
        <v>166</v>
      </c>
      <c r="U8" s="31" t="s">
        <v>166</v>
      </c>
      <c r="V8" s="31" t="s">
        <v>166</v>
      </c>
      <c r="W8" s="228" t="s">
        <v>166</v>
      </c>
      <c r="X8" s="31" t="s">
        <v>166</v>
      </c>
      <c r="Y8" s="31" t="s">
        <v>166</v>
      </c>
      <c r="Z8" s="31" t="s">
        <v>166</v>
      </c>
      <c r="AA8" s="31" t="s">
        <v>166</v>
      </c>
      <c r="AB8" s="31" t="s">
        <v>166</v>
      </c>
      <c r="AC8" s="31" t="s">
        <v>166</v>
      </c>
      <c r="AD8" s="31" t="s">
        <v>166</v>
      </c>
      <c r="AE8" s="31" t="s">
        <v>166</v>
      </c>
      <c r="AF8" s="31">
        <v>43</v>
      </c>
      <c r="AG8" s="31">
        <v>41.5</v>
      </c>
      <c r="AH8" s="31">
        <v>42.5</v>
      </c>
      <c r="AI8" s="31">
        <v>42.375</v>
      </c>
      <c r="AJ8" s="31">
        <v>41.25</v>
      </c>
      <c r="AK8" s="31">
        <v>40.75</v>
      </c>
      <c r="AL8" s="31">
        <v>40.75</v>
      </c>
      <c r="AM8" s="31">
        <v>40.5</v>
      </c>
      <c r="AN8" s="31">
        <v>40.25</v>
      </c>
      <c r="AO8" s="31">
        <v>40.25</v>
      </c>
      <c r="AP8" s="31">
        <v>40.25</v>
      </c>
      <c r="AQ8" s="31">
        <v>40.25</v>
      </c>
      <c r="AR8" s="31">
        <v>40.25</v>
      </c>
      <c r="AS8" s="31">
        <v>39</v>
      </c>
      <c r="AT8" s="31">
        <v>40.25</v>
      </c>
      <c r="AU8" s="31">
        <v>40.25</v>
      </c>
      <c r="AV8" s="31">
        <v>40.25</v>
      </c>
      <c r="AW8" s="31">
        <v>37.75</v>
      </c>
      <c r="AX8" s="31">
        <v>37.25</v>
      </c>
      <c r="AY8" s="31">
        <v>37.125</v>
      </c>
      <c r="AZ8" s="31">
        <v>37.125</v>
      </c>
      <c r="BA8" s="31">
        <v>36.375</v>
      </c>
      <c r="BB8" s="31">
        <v>36.25</v>
      </c>
      <c r="BC8" s="31">
        <v>36.125</v>
      </c>
      <c r="BD8" s="31">
        <v>36</v>
      </c>
      <c r="BE8" s="31">
        <v>36.125</v>
      </c>
      <c r="BF8" s="31">
        <v>36.75</v>
      </c>
      <c r="BG8" s="31">
        <v>36.5</v>
      </c>
      <c r="BH8" s="31">
        <v>36.625</v>
      </c>
      <c r="BI8" s="31">
        <v>37.125</v>
      </c>
      <c r="BJ8" s="31">
        <v>37.5</v>
      </c>
      <c r="BK8" s="31">
        <v>37</v>
      </c>
      <c r="BL8" s="31">
        <v>37</v>
      </c>
      <c r="BM8" s="31">
        <v>37.5</v>
      </c>
      <c r="BN8" s="31">
        <v>38</v>
      </c>
      <c r="BO8" s="31">
        <v>41.125</v>
      </c>
      <c r="BP8" s="31">
        <v>39.125</v>
      </c>
      <c r="BQ8" s="31">
        <v>39.375</v>
      </c>
      <c r="BR8" s="31">
        <v>39</v>
      </c>
      <c r="BS8" s="31">
        <v>39</v>
      </c>
      <c r="BT8" s="31">
        <v>39</v>
      </c>
      <c r="BU8" s="31">
        <v>40.125</v>
      </c>
      <c r="BV8" s="31">
        <v>39.75</v>
      </c>
      <c r="BW8" s="31">
        <v>40.125</v>
      </c>
      <c r="BX8" s="31">
        <v>39.25</v>
      </c>
      <c r="BY8" s="31">
        <v>38.125</v>
      </c>
      <c r="BZ8" s="31">
        <v>37.625</v>
      </c>
      <c r="CA8" s="31">
        <v>39.375</v>
      </c>
      <c r="CB8" s="31">
        <v>37.625</v>
      </c>
      <c r="CC8" s="31">
        <v>37.875</v>
      </c>
      <c r="CD8" s="31">
        <v>37.875</v>
      </c>
      <c r="CE8" s="31">
        <v>37.875</v>
      </c>
      <c r="CF8" s="31">
        <v>38</v>
      </c>
      <c r="CG8" s="31">
        <v>38.75</v>
      </c>
      <c r="CH8" s="31">
        <v>39</v>
      </c>
      <c r="CI8" s="31">
        <v>39.75</v>
      </c>
      <c r="CJ8" s="31">
        <v>39.75</v>
      </c>
      <c r="CK8" s="31">
        <v>39.875</v>
      </c>
      <c r="CL8" s="31">
        <v>40.375</v>
      </c>
      <c r="CM8" s="31">
        <v>39.875</v>
      </c>
      <c r="CN8" s="31">
        <v>40</v>
      </c>
      <c r="CO8" s="31">
        <v>40.75</v>
      </c>
      <c r="CP8" s="31">
        <v>40.875</v>
      </c>
      <c r="CQ8" s="31">
        <v>40.875</v>
      </c>
      <c r="CR8" s="31">
        <v>40.875</v>
      </c>
      <c r="CS8" s="31">
        <v>40.75</v>
      </c>
      <c r="CT8" s="31">
        <v>40.75</v>
      </c>
      <c r="CU8" s="31">
        <v>41</v>
      </c>
      <c r="CV8" s="31">
        <v>41</v>
      </c>
    </row>
    <row r="9" spans="1:100" x14ac:dyDescent="0.2">
      <c r="A9" t="str">
        <f>IFERROR(INDEX(exit_newbonds,MATCH('NBs Prices'!G9,'NBs List'!$B$3:$B$14,0)),"")</f>
        <v>35_USD</v>
      </c>
      <c r="B9" t="s">
        <v>148</v>
      </c>
      <c r="C9">
        <v>2035</v>
      </c>
      <c r="D9" t="s">
        <v>0</v>
      </c>
      <c r="E9" t="s">
        <v>6</v>
      </c>
      <c r="F9" s="23">
        <f>IFERROR(INDEX('NBs List'!$E$3:$E$14,MATCH('NBs Prices'!G9,'NBs List'!$B$3:$B$14,0)),"")</f>
        <v>20501717804</v>
      </c>
      <c r="G9" t="s">
        <v>61</v>
      </c>
      <c r="H9" s="31" t="s">
        <v>166</v>
      </c>
      <c r="I9" s="31" t="s">
        <v>166</v>
      </c>
      <c r="J9" s="31" t="s">
        <v>166</v>
      </c>
      <c r="K9" s="31" t="s">
        <v>166</v>
      </c>
      <c r="L9" s="31" t="s">
        <v>166</v>
      </c>
      <c r="M9" s="31" t="s">
        <v>166</v>
      </c>
      <c r="N9" s="31" t="s">
        <v>166</v>
      </c>
      <c r="O9" s="31" t="s">
        <v>166</v>
      </c>
      <c r="P9" s="31" t="s">
        <v>166</v>
      </c>
      <c r="Q9" s="31" t="s">
        <v>166</v>
      </c>
      <c r="R9" s="31" t="s">
        <v>166</v>
      </c>
      <c r="S9" s="31" t="s">
        <v>166</v>
      </c>
      <c r="T9" s="31" t="s">
        <v>166</v>
      </c>
      <c r="U9" s="31">
        <v>45.75</v>
      </c>
      <c r="V9" s="31">
        <v>44.344000000000001</v>
      </c>
      <c r="W9" s="228">
        <v>43.219000000000001</v>
      </c>
      <c r="X9" s="31">
        <v>41.7395</v>
      </c>
      <c r="Y9" s="31">
        <v>39.955500000000001</v>
      </c>
      <c r="Z9" s="31">
        <v>39.1355</v>
      </c>
      <c r="AA9" s="31">
        <v>37.542499999999997</v>
      </c>
      <c r="AB9" s="31">
        <v>37.393000000000001</v>
      </c>
      <c r="AC9" s="31">
        <v>36.780999999999999</v>
      </c>
      <c r="AD9" s="31">
        <v>36.468499999999999</v>
      </c>
      <c r="AE9" s="31">
        <v>37.0625</v>
      </c>
      <c r="AF9" s="31">
        <v>37.822000000000003</v>
      </c>
      <c r="AG9" s="31">
        <v>37.115499999999997</v>
      </c>
      <c r="AH9" s="31">
        <v>37.6355</v>
      </c>
      <c r="AI9" s="31">
        <v>37.177500000000002</v>
      </c>
      <c r="AJ9" s="31">
        <v>36.333500000000001</v>
      </c>
      <c r="AK9" s="31">
        <v>36.375</v>
      </c>
      <c r="AL9" s="31">
        <v>35.656500000000001</v>
      </c>
      <c r="AM9" s="31">
        <v>35.656500000000001</v>
      </c>
      <c r="AN9" s="31">
        <v>36.147500000000001</v>
      </c>
      <c r="AO9" s="31">
        <v>36.615000000000002</v>
      </c>
      <c r="AP9" s="31">
        <v>36.75</v>
      </c>
      <c r="AQ9" s="31">
        <v>36.197000000000003</v>
      </c>
      <c r="AR9" s="31">
        <v>35.237499999999997</v>
      </c>
      <c r="AS9" s="31">
        <v>34.6995</v>
      </c>
      <c r="AT9" s="31">
        <v>35.395000000000003</v>
      </c>
      <c r="AU9" s="31">
        <v>34.394500000000001</v>
      </c>
      <c r="AV9" s="31">
        <v>34.281500000000001</v>
      </c>
      <c r="AW9" s="31">
        <v>33.979999999999997</v>
      </c>
      <c r="AX9" s="31">
        <v>33.9375</v>
      </c>
      <c r="AY9" s="31">
        <v>34.375</v>
      </c>
      <c r="AZ9" s="31">
        <v>33.926499999999997</v>
      </c>
      <c r="BA9" s="31">
        <v>33.646000000000001</v>
      </c>
      <c r="BB9" s="31">
        <v>33.230499999999999</v>
      </c>
      <c r="BC9" s="31">
        <v>32.988999999999997</v>
      </c>
      <c r="BD9" s="31">
        <v>32.875</v>
      </c>
      <c r="BE9" s="31">
        <v>33.469000000000001</v>
      </c>
      <c r="BF9" s="31">
        <v>34.208500000000001</v>
      </c>
      <c r="BG9" s="31">
        <v>34.5</v>
      </c>
      <c r="BH9" s="31">
        <v>35.020000000000003</v>
      </c>
      <c r="BI9" s="31">
        <v>35.417999999999999</v>
      </c>
      <c r="BJ9" s="31">
        <v>36.5</v>
      </c>
      <c r="BK9" s="31">
        <v>36</v>
      </c>
      <c r="BL9" s="31">
        <v>36</v>
      </c>
      <c r="BM9" s="31">
        <v>36.677500000000002</v>
      </c>
      <c r="BN9" s="31">
        <v>37.042999999999999</v>
      </c>
      <c r="BO9" s="31">
        <v>37.6965</v>
      </c>
      <c r="BP9" s="31">
        <v>36.9375</v>
      </c>
      <c r="BQ9" s="31">
        <v>37.125</v>
      </c>
      <c r="BR9" s="31">
        <v>36.802500000000002</v>
      </c>
      <c r="BS9" s="31">
        <v>36.5</v>
      </c>
      <c r="BT9" s="31">
        <v>36.25</v>
      </c>
      <c r="BU9" s="31">
        <v>36.625</v>
      </c>
      <c r="BV9" s="31">
        <v>36.427500000000002</v>
      </c>
      <c r="BW9" s="31">
        <v>36.625</v>
      </c>
      <c r="BX9" s="31">
        <v>36</v>
      </c>
      <c r="BY9" s="31">
        <v>35.615499999999997</v>
      </c>
      <c r="BZ9" s="31">
        <v>35.5</v>
      </c>
      <c r="CA9" s="31">
        <v>35.290500000000002</v>
      </c>
      <c r="CB9" s="31">
        <v>35.25</v>
      </c>
      <c r="CC9" s="31">
        <v>35.125</v>
      </c>
      <c r="CD9" s="31">
        <v>34.75</v>
      </c>
      <c r="CE9" s="31">
        <v>34.5</v>
      </c>
      <c r="CF9" s="31">
        <v>34.75</v>
      </c>
      <c r="CG9" s="31">
        <v>35.3125</v>
      </c>
      <c r="CH9" s="31">
        <v>36</v>
      </c>
      <c r="CI9" s="31">
        <v>36.438000000000002</v>
      </c>
      <c r="CJ9" s="31">
        <v>36.116</v>
      </c>
      <c r="CK9" s="31">
        <v>36.136000000000003</v>
      </c>
      <c r="CL9" s="31">
        <v>36.197000000000003</v>
      </c>
      <c r="CM9" s="31">
        <v>35.9895</v>
      </c>
      <c r="CN9" s="31">
        <v>36.875</v>
      </c>
      <c r="CO9" s="31">
        <v>36.822499999999998</v>
      </c>
      <c r="CP9" s="31">
        <v>37</v>
      </c>
      <c r="CQ9" s="31">
        <v>37.25</v>
      </c>
      <c r="CR9" s="31">
        <v>37.25</v>
      </c>
      <c r="CS9" s="31">
        <v>36.625</v>
      </c>
      <c r="CT9" s="31">
        <v>36.886000000000003</v>
      </c>
      <c r="CU9" s="31">
        <v>36.8215</v>
      </c>
      <c r="CV9" s="31">
        <v>37</v>
      </c>
    </row>
    <row r="10" spans="1:100" x14ac:dyDescent="0.2">
      <c r="A10" t="str">
        <f>IFERROR(INDEX(exit_newbonds,MATCH('NBs Prices'!G10,'NBs List'!$B$3:$B$14,0)),"")</f>
        <v>35_EUR</v>
      </c>
      <c r="B10" t="s">
        <v>171</v>
      </c>
      <c r="C10">
        <v>2035</v>
      </c>
      <c r="D10" t="s">
        <v>1</v>
      </c>
      <c r="E10" t="s">
        <v>6</v>
      </c>
      <c r="F10" s="23">
        <f>IFERROR(INDEX('NBs List'!$E$3:$E$14,MATCH('NBs Prices'!G10,'NBs List'!$B$3:$B$14,0)),"")</f>
        <v>298795262</v>
      </c>
      <c r="G10" t="s">
        <v>62</v>
      </c>
      <c r="H10" s="31" t="s">
        <v>166</v>
      </c>
      <c r="I10" s="31" t="s">
        <v>166</v>
      </c>
      <c r="J10" s="31" t="s">
        <v>166</v>
      </c>
      <c r="K10" s="31" t="s">
        <v>166</v>
      </c>
      <c r="L10" s="31" t="s">
        <v>166</v>
      </c>
      <c r="M10" s="31" t="s">
        <v>166</v>
      </c>
      <c r="N10" s="31" t="s">
        <v>166</v>
      </c>
      <c r="O10" s="31" t="s">
        <v>166</v>
      </c>
      <c r="P10" s="31" t="s">
        <v>166</v>
      </c>
      <c r="Q10" s="31" t="s">
        <v>166</v>
      </c>
      <c r="R10" s="31" t="s">
        <v>166</v>
      </c>
      <c r="S10" s="31" t="s">
        <v>166</v>
      </c>
      <c r="T10" s="31" t="s">
        <v>166</v>
      </c>
      <c r="U10" s="31" t="s">
        <v>166</v>
      </c>
      <c r="V10" s="31">
        <v>52.3676714929979</v>
      </c>
      <c r="W10" s="228">
        <v>52.496920307021703</v>
      </c>
      <c r="X10" s="31">
        <v>51.686455195227097</v>
      </c>
      <c r="Y10" s="31">
        <v>50.3494846582159</v>
      </c>
      <c r="Z10" s="31">
        <v>44.092754583870899</v>
      </c>
      <c r="AA10" s="31">
        <v>42.662618131318503</v>
      </c>
      <c r="AB10" s="31">
        <v>40.313253576194597</v>
      </c>
      <c r="AC10" s="31">
        <v>36.375931258817097</v>
      </c>
      <c r="AD10" s="31">
        <v>39.612489057484702</v>
      </c>
      <c r="AE10" s="31">
        <v>38.9602837704251</v>
      </c>
      <c r="AF10" s="31">
        <v>39.6575454312175</v>
      </c>
      <c r="AG10" s="31">
        <v>39.922972147855901</v>
      </c>
      <c r="AH10" s="31">
        <v>39.255205708995902</v>
      </c>
      <c r="AI10" s="31">
        <v>40.527206089653198</v>
      </c>
      <c r="AJ10" s="31">
        <v>38.067349926793597</v>
      </c>
      <c r="AK10" s="31">
        <v>38.2884474918122</v>
      </c>
      <c r="AL10" s="31">
        <v>37.842341179507599</v>
      </c>
      <c r="AM10" s="31">
        <v>37.632006021121001</v>
      </c>
      <c r="AN10" s="31">
        <v>38.801617909886197</v>
      </c>
      <c r="AO10" s="31">
        <v>38.7234847589094</v>
      </c>
      <c r="AP10" s="31">
        <v>38.096700648529897</v>
      </c>
      <c r="AQ10" s="31">
        <v>38.241926012918398</v>
      </c>
      <c r="AR10" s="31">
        <v>37.000058730252</v>
      </c>
      <c r="AS10" s="31">
        <v>35.996066771240599</v>
      </c>
      <c r="AT10" s="31">
        <v>35.739814152966403</v>
      </c>
      <c r="AU10" s="31">
        <v>36.915673424244901</v>
      </c>
      <c r="AV10" s="31">
        <v>35.463088835037503</v>
      </c>
      <c r="AW10" s="31">
        <v>36.547266041987903</v>
      </c>
      <c r="AX10" s="31">
        <v>35.448003686592401</v>
      </c>
      <c r="AY10" s="31">
        <v>36.170010910298402</v>
      </c>
      <c r="AZ10" s="31">
        <v>36.976903457396602</v>
      </c>
      <c r="BA10" s="31">
        <v>37.242575074897999</v>
      </c>
      <c r="BB10" s="31">
        <v>36.547269524368801</v>
      </c>
      <c r="BC10" s="31">
        <v>36.329675461125397</v>
      </c>
      <c r="BD10" s="31">
        <v>36.035826180132503</v>
      </c>
      <c r="BE10" s="31">
        <v>35.8335952322753</v>
      </c>
      <c r="BF10" s="31">
        <v>36.508958894484103</v>
      </c>
      <c r="BG10" s="31">
        <v>36.179814793107496</v>
      </c>
      <c r="BH10" s="31">
        <v>37.236243276789402</v>
      </c>
      <c r="BI10" s="31">
        <v>37.776616962674503</v>
      </c>
      <c r="BJ10" s="31">
        <v>39.307526017979299</v>
      </c>
      <c r="BK10" s="31">
        <v>39.145844409002301</v>
      </c>
      <c r="BL10" s="31">
        <v>38.6286817962337</v>
      </c>
      <c r="BM10" s="31">
        <v>38.953220723113397</v>
      </c>
      <c r="BN10" s="31">
        <v>39.838139072612599</v>
      </c>
      <c r="BO10" s="31">
        <v>39.9800870008416</v>
      </c>
      <c r="BP10" s="31">
        <v>39.283596251927399</v>
      </c>
      <c r="BQ10" s="31">
        <v>39.822694194894197</v>
      </c>
      <c r="BR10" s="31">
        <v>39.091718610863801</v>
      </c>
      <c r="BS10" s="31">
        <v>39.1029667998151</v>
      </c>
      <c r="BT10" s="31">
        <v>39.072212552836298</v>
      </c>
      <c r="BU10" s="31">
        <v>39.147388192776802</v>
      </c>
      <c r="BV10" s="31">
        <v>39.187772509589998</v>
      </c>
      <c r="BW10" s="31">
        <v>39.163946534511901</v>
      </c>
      <c r="BX10" s="31">
        <v>39.337065480035399</v>
      </c>
      <c r="BY10" s="31">
        <v>38.819838732763998</v>
      </c>
      <c r="BZ10" s="31">
        <v>39.233554616777297</v>
      </c>
      <c r="CA10" s="31">
        <v>39.846381236219102</v>
      </c>
      <c r="CB10" s="31">
        <v>39.855776234642804</v>
      </c>
      <c r="CC10" s="31">
        <v>39.814321035535997</v>
      </c>
      <c r="CD10" s="31">
        <v>39.527787867780603</v>
      </c>
      <c r="CE10" s="31">
        <v>38.3600764781336</v>
      </c>
      <c r="CF10" s="31">
        <v>39.446692842041699</v>
      </c>
      <c r="CG10" s="31">
        <v>39.024745445939899</v>
      </c>
      <c r="CH10" s="31">
        <v>40.268862783093098</v>
      </c>
      <c r="CI10" s="31">
        <v>40.375461433844997</v>
      </c>
      <c r="CJ10" s="31">
        <v>41.347298840798103</v>
      </c>
      <c r="CK10" s="31">
        <v>40.555209972312703</v>
      </c>
      <c r="CL10" s="31">
        <v>40.784534994970898</v>
      </c>
      <c r="CM10" s="31">
        <v>40.441672079314699</v>
      </c>
      <c r="CN10" s="31">
        <v>40.770756310750897</v>
      </c>
      <c r="CO10" s="31">
        <v>40.638453119299498</v>
      </c>
      <c r="CP10" s="31">
        <v>40.6614027391919</v>
      </c>
      <c r="CQ10" s="31">
        <v>40.663652648639399</v>
      </c>
      <c r="CR10" s="31">
        <v>40.723700268489097</v>
      </c>
      <c r="CS10" s="31">
        <v>41.0220707681409</v>
      </c>
      <c r="CT10" s="31">
        <v>41.023599867732997</v>
      </c>
      <c r="CU10" s="31">
        <v>41.188186982073901</v>
      </c>
      <c r="CV10" s="31">
        <v>41.188186982073901</v>
      </c>
    </row>
    <row r="11" spans="1:100" x14ac:dyDescent="0.2">
      <c r="A11" t="str">
        <f>IFERROR(INDEX(exit_newbonds,MATCH('NBs Prices'!G11,'NBs List'!$B$3:$B$14,0)),"")</f>
        <v/>
      </c>
      <c r="B11" t="s">
        <v>96</v>
      </c>
      <c r="C11">
        <v>2035</v>
      </c>
      <c r="D11" t="s">
        <v>0</v>
      </c>
      <c r="F11" s="23" t="str">
        <f>IFERROR(INDEX('NBs List'!$E$3:$E$14,MATCH('NBs Prices'!G11,'NBs List'!$B$3:$B$14,0)),"")</f>
        <v/>
      </c>
      <c r="G11" t="s">
        <v>71</v>
      </c>
      <c r="H11" s="31" t="s">
        <v>166</v>
      </c>
      <c r="I11" s="31" t="s">
        <v>166</v>
      </c>
      <c r="J11" s="31" t="s">
        <v>166</v>
      </c>
      <c r="K11" s="31" t="s">
        <v>166</v>
      </c>
      <c r="L11" s="31" t="s">
        <v>166</v>
      </c>
      <c r="M11" s="31" t="s">
        <v>166</v>
      </c>
      <c r="N11" s="31" t="s">
        <v>166</v>
      </c>
      <c r="O11" s="31" t="s">
        <v>166</v>
      </c>
      <c r="P11" s="31" t="s">
        <v>166</v>
      </c>
      <c r="Q11" s="31" t="s">
        <v>166</v>
      </c>
      <c r="R11" s="31" t="s">
        <v>166</v>
      </c>
      <c r="S11" s="31" t="s">
        <v>166</v>
      </c>
      <c r="T11" s="31" t="s">
        <v>166</v>
      </c>
      <c r="U11" s="31" t="s">
        <v>166</v>
      </c>
      <c r="V11" s="31" t="s">
        <v>166</v>
      </c>
      <c r="W11" s="228" t="s">
        <v>166</v>
      </c>
      <c r="X11" s="31" t="s">
        <v>166</v>
      </c>
      <c r="Y11" s="31" t="s">
        <v>166</v>
      </c>
      <c r="Z11" s="31" t="s">
        <v>166</v>
      </c>
      <c r="AA11" s="31" t="s">
        <v>166</v>
      </c>
      <c r="AB11" s="31" t="s">
        <v>166</v>
      </c>
      <c r="AC11" s="31" t="s">
        <v>166</v>
      </c>
      <c r="AD11" s="31" t="s">
        <v>166</v>
      </c>
      <c r="AE11" s="31" t="s">
        <v>166</v>
      </c>
      <c r="AF11" s="31">
        <v>41</v>
      </c>
      <c r="AG11" s="31">
        <v>40.25</v>
      </c>
      <c r="AH11" s="31">
        <v>38.5</v>
      </c>
      <c r="AI11" s="31">
        <v>38.25</v>
      </c>
      <c r="AJ11" s="31">
        <v>36.25</v>
      </c>
      <c r="AK11" s="31">
        <v>36</v>
      </c>
      <c r="AL11" s="31">
        <v>36</v>
      </c>
      <c r="AM11" s="31">
        <v>35</v>
      </c>
      <c r="AN11" s="31">
        <v>36</v>
      </c>
      <c r="AO11" s="31">
        <v>36</v>
      </c>
      <c r="AP11" s="31">
        <v>36</v>
      </c>
      <c r="AQ11" s="31">
        <v>36</v>
      </c>
      <c r="AR11" s="31">
        <v>36</v>
      </c>
      <c r="AS11" s="31">
        <v>34</v>
      </c>
      <c r="AT11" s="31">
        <v>35.25</v>
      </c>
      <c r="AU11" s="31">
        <v>35.25</v>
      </c>
      <c r="AV11" s="31">
        <v>35.25</v>
      </c>
      <c r="AW11" s="31">
        <v>33.75</v>
      </c>
      <c r="AX11" s="31">
        <v>33.25</v>
      </c>
      <c r="AY11" s="31">
        <v>33.5</v>
      </c>
      <c r="AZ11" s="31">
        <v>33.5</v>
      </c>
      <c r="BA11" s="31">
        <v>33.5</v>
      </c>
      <c r="BB11" s="31">
        <v>33.125</v>
      </c>
      <c r="BC11" s="31">
        <v>33</v>
      </c>
      <c r="BD11" s="31">
        <v>33</v>
      </c>
      <c r="BE11" s="31">
        <v>33.125</v>
      </c>
      <c r="BF11" s="31">
        <v>33.625</v>
      </c>
      <c r="BG11" s="31">
        <v>33.5</v>
      </c>
      <c r="BH11" s="31">
        <v>33.625</v>
      </c>
      <c r="BI11" s="31">
        <v>34.5</v>
      </c>
      <c r="BJ11" s="31">
        <v>35.5</v>
      </c>
      <c r="BK11" s="31">
        <v>35</v>
      </c>
      <c r="BL11" s="31">
        <v>35</v>
      </c>
      <c r="BM11" s="31">
        <v>35.5</v>
      </c>
      <c r="BN11" s="31">
        <v>36</v>
      </c>
      <c r="BO11" s="31">
        <v>37.875</v>
      </c>
      <c r="BP11" s="31">
        <v>37</v>
      </c>
      <c r="BQ11" s="31">
        <v>37.375</v>
      </c>
      <c r="BR11" s="31">
        <v>36.75</v>
      </c>
      <c r="BS11" s="31">
        <v>36.5</v>
      </c>
      <c r="BT11" s="31">
        <v>36.5</v>
      </c>
      <c r="BU11" s="31">
        <v>36.625</v>
      </c>
      <c r="BV11" s="31">
        <v>36.5</v>
      </c>
      <c r="BW11" s="31">
        <v>36.625</v>
      </c>
      <c r="BX11" s="31">
        <v>36</v>
      </c>
      <c r="BY11" s="31">
        <v>35.25</v>
      </c>
      <c r="BZ11" s="31">
        <v>34.5</v>
      </c>
      <c r="CA11" s="31">
        <v>35.375</v>
      </c>
      <c r="CB11" s="31">
        <v>34.75</v>
      </c>
      <c r="CC11" s="31">
        <v>34.25</v>
      </c>
      <c r="CD11" s="31">
        <v>34.25</v>
      </c>
      <c r="CE11" s="31">
        <v>34.25</v>
      </c>
      <c r="CF11" s="31">
        <v>34.25</v>
      </c>
      <c r="CG11" s="31">
        <v>34.75</v>
      </c>
      <c r="CH11" s="31">
        <v>35</v>
      </c>
      <c r="CI11" s="31">
        <v>35.25</v>
      </c>
      <c r="CJ11" s="31">
        <v>36.25</v>
      </c>
      <c r="CK11" s="31">
        <v>36.25</v>
      </c>
      <c r="CL11" s="31">
        <v>36.375</v>
      </c>
      <c r="CM11" s="31">
        <v>35.625</v>
      </c>
      <c r="CN11" s="31">
        <v>35.5</v>
      </c>
      <c r="CO11" s="31">
        <v>35.5</v>
      </c>
      <c r="CP11" s="31">
        <v>37.125</v>
      </c>
      <c r="CQ11" s="31">
        <v>37.125</v>
      </c>
      <c r="CR11" s="31">
        <v>37.125</v>
      </c>
      <c r="CS11" s="31">
        <v>36.625</v>
      </c>
      <c r="CT11" s="31">
        <v>37.125</v>
      </c>
      <c r="CU11" s="31">
        <v>36.25</v>
      </c>
      <c r="CV11" s="31">
        <v>36.25</v>
      </c>
    </row>
    <row r="12" spans="1:100" x14ac:dyDescent="0.2">
      <c r="A12" t="str">
        <f>IFERROR(INDEX(exit_newbonds,MATCH('NBs Prices'!G12,'NBs List'!$B$3:$B$14,0)),"")</f>
        <v>38_USD</v>
      </c>
      <c r="B12" t="s">
        <v>2</v>
      </c>
      <c r="C12">
        <v>2038</v>
      </c>
      <c r="D12" t="s">
        <v>0</v>
      </c>
      <c r="E12" t="s">
        <v>5</v>
      </c>
      <c r="F12" s="23">
        <f>IFERROR(INDEX('NBs List'!$E$3:$E$14,MATCH('NBs Prices'!G12,'NBs List'!$B$3:$B$14,0)),"")</f>
        <v>11405065289</v>
      </c>
      <c r="G12" t="s">
        <v>63</v>
      </c>
      <c r="H12" s="31" t="s">
        <v>166</v>
      </c>
      <c r="I12" s="31" t="s">
        <v>166</v>
      </c>
      <c r="J12" s="31" t="s">
        <v>166</v>
      </c>
      <c r="K12" s="31" t="s">
        <v>166</v>
      </c>
      <c r="L12" s="31" t="s">
        <v>166</v>
      </c>
      <c r="M12" s="31" t="s">
        <v>166</v>
      </c>
      <c r="N12" s="31" t="s">
        <v>166</v>
      </c>
      <c r="O12" s="31" t="s">
        <v>166</v>
      </c>
      <c r="P12" s="31" t="s">
        <v>166</v>
      </c>
      <c r="Q12" s="31" t="s">
        <v>166</v>
      </c>
      <c r="R12" s="31" t="s">
        <v>166</v>
      </c>
      <c r="S12" s="31" t="s">
        <v>166</v>
      </c>
      <c r="T12" s="31" t="s">
        <v>166</v>
      </c>
      <c r="U12" s="31">
        <v>50.5</v>
      </c>
      <c r="V12" s="31">
        <v>50.209499999999998</v>
      </c>
      <c r="W12" s="228">
        <v>49.948999999999998</v>
      </c>
      <c r="X12" s="31">
        <v>46.793500000000002</v>
      </c>
      <c r="Y12" s="31">
        <v>46.8125</v>
      </c>
      <c r="Z12" s="31">
        <v>44.293999999999997</v>
      </c>
      <c r="AA12" s="31">
        <v>42.5</v>
      </c>
      <c r="AB12" s="31">
        <v>42.354999999999997</v>
      </c>
      <c r="AC12" s="31">
        <v>41.593499999999999</v>
      </c>
      <c r="AD12" s="31">
        <v>42.304000000000002</v>
      </c>
      <c r="AE12" s="31">
        <v>41.3</v>
      </c>
      <c r="AF12" s="31">
        <v>42.020499999999998</v>
      </c>
      <c r="AG12" s="31">
        <v>42.169499999999999</v>
      </c>
      <c r="AH12" s="31">
        <v>42.823500000000003</v>
      </c>
      <c r="AI12" s="31">
        <v>42.478000000000002</v>
      </c>
      <c r="AJ12" s="31">
        <v>41.478000000000002</v>
      </c>
      <c r="AK12" s="31">
        <v>41.5</v>
      </c>
      <c r="AL12" s="31">
        <v>40.218499999999999</v>
      </c>
      <c r="AM12" s="31">
        <v>40.146500000000003</v>
      </c>
      <c r="AN12" s="31">
        <v>40.582500000000003</v>
      </c>
      <c r="AO12" s="31">
        <v>41.197499999999998</v>
      </c>
      <c r="AP12" s="31">
        <v>41.375</v>
      </c>
      <c r="AQ12" s="31">
        <v>40.5</v>
      </c>
      <c r="AR12" s="31">
        <v>39.572000000000003</v>
      </c>
      <c r="AS12" s="31">
        <v>39.021999999999998</v>
      </c>
      <c r="AT12" s="31">
        <v>39.802999999999997</v>
      </c>
      <c r="AU12" s="31">
        <v>38.509500000000003</v>
      </c>
      <c r="AV12" s="31">
        <v>38.594000000000001</v>
      </c>
      <c r="AW12" s="31">
        <v>38.313000000000002</v>
      </c>
      <c r="AX12" s="31">
        <v>38.603499999999997</v>
      </c>
      <c r="AY12" s="31">
        <v>39.25</v>
      </c>
      <c r="AZ12" s="31">
        <v>38.655999999999999</v>
      </c>
      <c r="BA12" s="31">
        <v>38.616</v>
      </c>
      <c r="BB12" s="31">
        <v>37.927500000000002</v>
      </c>
      <c r="BC12" s="31">
        <v>37.581499999999998</v>
      </c>
      <c r="BD12" s="31">
        <v>37.427</v>
      </c>
      <c r="BE12" s="31">
        <v>37.896999999999998</v>
      </c>
      <c r="BF12" s="31">
        <v>38.4895</v>
      </c>
      <c r="BG12" s="31">
        <v>38.5</v>
      </c>
      <c r="BH12" s="31">
        <v>39.166499999999999</v>
      </c>
      <c r="BI12" s="31">
        <v>39.530999999999999</v>
      </c>
      <c r="BJ12" s="31">
        <v>40.5</v>
      </c>
      <c r="BK12" s="31">
        <v>40</v>
      </c>
      <c r="BL12" s="31">
        <v>40</v>
      </c>
      <c r="BM12" s="31">
        <v>40.856000000000002</v>
      </c>
      <c r="BN12" s="31">
        <v>41.250500000000002</v>
      </c>
      <c r="BO12" s="31">
        <v>41.938000000000002</v>
      </c>
      <c r="BP12" s="31">
        <v>41.229500000000002</v>
      </c>
      <c r="BQ12" s="31">
        <v>41.429000000000002</v>
      </c>
      <c r="BR12" s="31">
        <v>41.125</v>
      </c>
      <c r="BS12" s="31">
        <v>41</v>
      </c>
      <c r="BT12" s="31">
        <v>40.75</v>
      </c>
      <c r="BU12" s="31">
        <v>40.875</v>
      </c>
      <c r="BV12" s="31">
        <v>40.768000000000001</v>
      </c>
      <c r="BW12" s="31">
        <v>40.875</v>
      </c>
      <c r="BX12" s="31">
        <v>39</v>
      </c>
      <c r="BY12" s="31">
        <v>39.906500000000001</v>
      </c>
      <c r="BZ12" s="31">
        <v>40</v>
      </c>
      <c r="CA12" s="31">
        <v>39.637500000000003</v>
      </c>
      <c r="CB12" s="31">
        <v>39.5</v>
      </c>
      <c r="CC12" s="31">
        <v>39.25</v>
      </c>
      <c r="CD12" s="31">
        <v>37.875</v>
      </c>
      <c r="CE12" s="31">
        <v>38.5</v>
      </c>
      <c r="CF12" s="31">
        <v>39.125</v>
      </c>
      <c r="CG12" s="31">
        <v>39.423499999999997</v>
      </c>
      <c r="CH12" s="31">
        <v>40.5</v>
      </c>
      <c r="CI12" s="31">
        <v>41.084000000000003</v>
      </c>
      <c r="CJ12" s="31">
        <v>40.638500000000001</v>
      </c>
      <c r="CK12" s="31">
        <v>40.738500000000002</v>
      </c>
      <c r="CL12" s="31">
        <v>40.856999999999999</v>
      </c>
      <c r="CM12" s="31">
        <v>40.927999999999997</v>
      </c>
      <c r="CN12" s="31">
        <v>41.5</v>
      </c>
      <c r="CO12" s="31">
        <v>41.4375</v>
      </c>
      <c r="CP12" s="31">
        <v>41.375</v>
      </c>
      <c r="CQ12" s="31">
        <v>41.75</v>
      </c>
      <c r="CR12" s="31">
        <v>41.75</v>
      </c>
      <c r="CS12" s="31">
        <v>39.625</v>
      </c>
      <c r="CT12" s="31">
        <v>41.375</v>
      </c>
      <c r="CU12" s="31">
        <v>41.228999999999999</v>
      </c>
      <c r="CV12" s="31">
        <v>41.375</v>
      </c>
    </row>
    <row r="13" spans="1:100" x14ac:dyDescent="0.2">
      <c r="A13" t="str">
        <f>IFERROR(INDEX(exit_newbonds,MATCH('NBs Prices'!G13,'NBs List'!$B$3:$B$14,0)),"")</f>
        <v>38_EUR</v>
      </c>
      <c r="B13" t="s">
        <v>172</v>
      </c>
      <c r="C13">
        <v>2038</v>
      </c>
      <c r="D13" t="s">
        <v>1</v>
      </c>
      <c r="E13" t="s">
        <v>5</v>
      </c>
      <c r="F13" s="23">
        <f>IFERROR(INDEX('NBs List'!$E$3:$E$14,MATCH('NBs Prices'!G13,'NBs List'!$B$3:$B$14,0)),"")</f>
        <v>809336807</v>
      </c>
      <c r="G13" t="s">
        <v>64</v>
      </c>
      <c r="H13" s="31" t="s">
        <v>166</v>
      </c>
      <c r="I13" s="31" t="s">
        <v>166</v>
      </c>
      <c r="J13" s="31" t="s">
        <v>166</v>
      </c>
      <c r="K13" s="31" t="s">
        <v>166</v>
      </c>
      <c r="L13" s="31" t="s">
        <v>166</v>
      </c>
      <c r="M13" s="31" t="s">
        <v>166</v>
      </c>
      <c r="N13" s="31" t="s">
        <v>166</v>
      </c>
      <c r="O13" s="31" t="s">
        <v>166</v>
      </c>
      <c r="P13" s="31" t="s">
        <v>166</v>
      </c>
      <c r="Q13" s="31" t="s">
        <v>166</v>
      </c>
      <c r="R13" s="31" t="s">
        <v>166</v>
      </c>
      <c r="S13" s="31" t="s">
        <v>166</v>
      </c>
      <c r="T13" s="31" t="s">
        <v>166</v>
      </c>
      <c r="U13" s="31" t="s">
        <v>166</v>
      </c>
      <c r="V13" s="31">
        <v>56.818181818181799</v>
      </c>
      <c r="W13" s="228">
        <v>56.855870368615598</v>
      </c>
      <c r="X13" s="31">
        <v>55.378344852029102</v>
      </c>
      <c r="Y13" s="31">
        <v>53.682028195711403</v>
      </c>
      <c r="Z13" s="31">
        <v>50.8990187142671</v>
      </c>
      <c r="AA13" s="31">
        <v>48.179924443032199</v>
      </c>
      <c r="AB13" s="31">
        <v>45.360897150750397</v>
      </c>
      <c r="AC13" s="31">
        <v>44.085996432360602</v>
      </c>
      <c r="AD13" s="31">
        <v>44.864896410855003</v>
      </c>
      <c r="AE13" s="31">
        <v>42.4492644065825</v>
      </c>
      <c r="AF13" s="31">
        <v>44.031539412601802</v>
      </c>
      <c r="AG13" s="31">
        <v>44.032689868958698</v>
      </c>
      <c r="AH13" s="31">
        <v>45.407140932047497</v>
      </c>
      <c r="AI13" s="31">
        <v>46.107038812141703</v>
      </c>
      <c r="AJ13" s="31">
        <v>43.923865300146403</v>
      </c>
      <c r="AK13" s="31">
        <v>44.768030913503402</v>
      </c>
      <c r="AL13" s="31">
        <v>44.002722301753103</v>
      </c>
      <c r="AM13" s="31">
        <v>43.512006961921102</v>
      </c>
      <c r="AN13" s="31">
        <v>44.460775091712897</v>
      </c>
      <c r="AO13" s="31">
        <v>43.453070683661601</v>
      </c>
      <c r="AP13" s="31">
        <v>43.117196082832301</v>
      </c>
      <c r="AQ13" s="31">
        <v>42.058719906048097</v>
      </c>
      <c r="AR13" s="31">
        <v>41.111176366946601</v>
      </c>
      <c r="AS13" s="31">
        <v>40.385831011635801</v>
      </c>
      <c r="AT13" s="31">
        <v>41.012901487010602</v>
      </c>
      <c r="AU13" s="31">
        <v>41.180830911508302</v>
      </c>
      <c r="AV13" s="31">
        <v>40.4870264200012</v>
      </c>
      <c r="AW13" s="31">
        <v>40.772150397343097</v>
      </c>
      <c r="AX13" s="31">
        <v>41.060604270302797</v>
      </c>
      <c r="AY13" s="31">
        <v>42.099520895593201</v>
      </c>
      <c r="AZ13" s="31">
        <v>40.442565652748897</v>
      </c>
      <c r="BA13" s="31">
        <v>41.689273666580199</v>
      </c>
      <c r="BB13" s="31">
        <v>40.5813270698767</v>
      </c>
      <c r="BC13" s="31">
        <v>40.561522297455099</v>
      </c>
      <c r="BD13" s="31">
        <v>40.036571588301697</v>
      </c>
      <c r="BE13" s="31">
        <v>40.536136234009597</v>
      </c>
      <c r="BF13" s="31">
        <v>40.988406136549898</v>
      </c>
      <c r="BG13" s="31">
        <v>41.155784784902103</v>
      </c>
      <c r="BH13" s="31">
        <v>42.555706602044999</v>
      </c>
      <c r="BI13" s="31">
        <v>43.184300503371603</v>
      </c>
      <c r="BJ13" s="31">
        <v>43.7846266523336</v>
      </c>
      <c r="BK13" s="31">
        <v>44.113651131194999</v>
      </c>
      <c r="BL13" s="31">
        <v>43.304165538033899</v>
      </c>
      <c r="BM13" s="31">
        <v>44.359455599230401</v>
      </c>
      <c r="BN13" s="31">
        <v>44.3697717618941</v>
      </c>
      <c r="BO13" s="31">
        <v>44.626453471143897</v>
      </c>
      <c r="BP13" s="31">
        <v>44.1050883643696</v>
      </c>
      <c r="BQ13" s="31">
        <v>44.030151468461803</v>
      </c>
      <c r="BR13" s="31">
        <v>43.953695458593103</v>
      </c>
      <c r="BS13" s="31">
        <v>43.885642490547198</v>
      </c>
      <c r="BT13" s="31">
        <v>43.512236706567698</v>
      </c>
      <c r="BU13" s="31">
        <v>43.629187569842401</v>
      </c>
      <c r="BV13" s="31">
        <v>43.720664268185203</v>
      </c>
      <c r="BW13" s="31">
        <v>44.018488956660597</v>
      </c>
      <c r="BX13" s="31">
        <v>43.900571784013998</v>
      </c>
      <c r="BY13" s="31">
        <v>42.565246433513003</v>
      </c>
      <c r="BZ13" s="31">
        <v>43.210621605310799</v>
      </c>
      <c r="CA13" s="31">
        <v>43.644447675122997</v>
      </c>
      <c r="CB13" s="31">
        <v>43.570630796872699</v>
      </c>
      <c r="CC13" s="31">
        <v>44.419935036602503</v>
      </c>
      <c r="CD13" s="31">
        <v>43.358760140452901</v>
      </c>
      <c r="CE13" s="31">
        <v>43.260969529756302</v>
      </c>
      <c r="CF13" s="31">
        <v>43.492600422833</v>
      </c>
      <c r="CG13" s="31">
        <v>43.766307843541803</v>
      </c>
      <c r="CH13" s="31">
        <v>43.905776916555702</v>
      </c>
      <c r="CI13" s="31">
        <v>45.157373227122598</v>
      </c>
      <c r="CJ13" s="31">
        <v>45.262339303506799</v>
      </c>
      <c r="CK13" s="31">
        <v>45.129105833851703</v>
      </c>
      <c r="CL13" s="31">
        <v>45.053111890685202</v>
      </c>
      <c r="CM13" s="31">
        <v>46.074094045270201</v>
      </c>
      <c r="CN13" s="31">
        <v>45.2953994564552</v>
      </c>
      <c r="CO13" s="31">
        <v>45.147756293323603</v>
      </c>
      <c r="CP13" s="31">
        <v>45.190573670614597</v>
      </c>
      <c r="CQ13" s="31">
        <v>45.393061259307103</v>
      </c>
      <c r="CR13" s="31">
        <v>45.460092750793301</v>
      </c>
      <c r="CS13" s="31">
        <v>45.497294590402198</v>
      </c>
      <c r="CT13" s="31">
        <v>45.717854824684899</v>
      </c>
      <c r="CU13" s="31">
        <v>45.491430398111497</v>
      </c>
      <c r="CV13" s="31">
        <v>45.188080117244802</v>
      </c>
    </row>
    <row r="14" spans="1:100" x14ac:dyDescent="0.2">
      <c r="A14" t="str">
        <f>IFERROR(INDEX(exit_newbonds,MATCH('NBs Prices'!G14,'NBs List'!$B$3:$B$14,0)),"")</f>
        <v/>
      </c>
      <c r="B14" t="s">
        <v>97</v>
      </c>
      <c r="C14">
        <v>2038</v>
      </c>
      <c r="D14" t="s">
        <v>0</v>
      </c>
      <c r="F14" s="23" t="str">
        <f>IFERROR(INDEX('NBs List'!$E$3:$E$14,MATCH('NBs Prices'!G14,'NBs List'!$B$3:$B$14,0)),"")</f>
        <v/>
      </c>
      <c r="G14" t="s">
        <v>72</v>
      </c>
      <c r="H14" s="31" t="s">
        <v>166</v>
      </c>
      <c r="I14" s="31" t="s">
        <v>166</v>
      </c>
      <c r="J14" s="31" t="s">
        <v>166</v>
      </c>
      <c r="K14" s="31" t="s">
        <v>166</v>
      </c>
      <c r="L14" s="31" t="s">
        <v>166</v>
      </c>
      <c r="M14" s="31" t="s">
        <v>166</v>
      </c>
      <c r="N14" s="31" t="s">
        <v>166</v>
      </c>
      <c r="O14" s="31" t="s">
        <v>166</v>
      </c>
      <c r="P14" s="31" t="s">
        <v>166</v>
      </c>
      <c r="Q14" s="31" t="s">
        <v>166</v>
      </c>
      <c r="R14" s="31" t="s">
        <v>166</v>
      </c>
      <c r="S14" s="31" t="s">
        <v>166</v>
      </c>
      <c r="T14" s="31" t="s">
        <v>166</v>
      </c>
      <c r="U14" s="31" t="s">
        <v>166</v>
      </c>
      <c r="V14" s="31" t="s">
        <v>166</v>
      </c>
      <c r="W14" s="228" t="s">
        <v>166</v>
      </c>
      <c r="X14" s="31" t="s">
        <v>166</v>
      </c>
      <c r="Y14" s="31" t="s">
        <v>166</v>
      </c>
      <c r="Z14" s="31" t="s">
        <v>166</v>
      </c>
      <c r="AA14" s="31" t="s">
        <v>166</v>
      </c>
      <c r="AB14" s="31" t="s">
        <v>166</v>
      </c>
      <c r="AC14" s="31" t="s">
        <v>166</v>
      </c>
      <c r="AD14" s="31" t="s">
        <v>166</v>
      </c>
      <c r="AE14" s="31" t="s">
        <v>166</v>
      </c>
      <c r="AF14" s="31">
        <v>41.5</v>
      </c>
      <c r="AG14" s="31">
        <v>40.5</v>
      </c>
      <c r="AH14" s="31">
        <v>40</v>
      </c>
      <c r="AI14" s="31">
        <v>39.5</v>
      </c>
      <c r="AJ14" s="31">
        <v>38.5</v>
      </c>
      <c r="AK14" s="31">
        <v>39</v>
      </c>
      <c r="AL14" s="31">
        <v>39</v>
      </c>
      <c r="AM14" s="31">
        <v>38.5</v>
      </c>
      <c r="AN14" s="31">
        <v>39</v>
      </c>
      <c r="AO14" s="31">
        <v>39</v>
      </c>
      <c r="AP14" s="31">
        <v>39</v>
      </c>
      <c r="AQ14" s="31">
        <v>39</v>
      </c>
      <c r="AR14" s="31">
        <v>39</v>
      </c>
      <c r="AS14" s="31">
        <v>36.5</v>
      </c>
      <c r="AT14" s="31">
        <v>37</v>
      </c>
      <c r="AU14" s="31">
        <v>37</v>
      </c>
      <c r="AV14" s="31">
        <v>37</v>
      </c>
      <c r="AW14" s="31">
        <v>35.75</v>
      </c>
      <c r="AX14" s="31">
        <v>35.25</v>
      </c>
      <c r="AY14" s="31">
        <v>35.5</v>
      </c>
      <c r="AZ14" s="31">
        <v>35.5</v>
      </c>
      <c r="BA14" s="31">
        <v>35.5</v>
      </c>
      <c r="BB14" s="31">
        <v>35.25</v>
      </c>
      <c r="BC14" s="31">
        <v>35.125</v>
      </c>
      <c r="BD14" s="31">
        <v>35</v>
      </c>
      <c r="BE14" s="31">
        <v>35.125</v>
      </c>
      <c r="BF14" s="31">
        <v>35.625</v>
      </c>
      <c r="BG14" s="31">
        <v>35.875</v>
      </c>
      <c r="BH14" s="31">
        <v>36</v>
      </c>
      <c r="BI14" s="31">
        <v>35.5</v>
      </c>
      <c r="BJ14" s="31">
        <v>36</v>
      </c>
      <c r="BK14" s="31">
        <v>35.5</v>
      </c>
      <c r="BL14" s="31">
        <v>35.5</v>
      </c>
      <c r="BM14" s="31">
        <v>36</v>
      </c>
      <c r="BN14" s="31">
        <v>36.5</v>
      </c>
      <c r="BO14" s="31">
        <v>36.5</v>
      </c>
      <c r="BP14" s="31">
        <v>41.25</v>
      </c>
      <c r="BQ14" s="31">
        <v>41.625</v>
      </c>
      <c r="BR14" s="31">
        <v>41</v>
      </c>
      <c r="BS14" s="31">
        <v>41</v>
      </c>
      <c r="BT14" s="31">
        <v>41</v>
      </c>
      <c r="BU14" s="31">
        <v>40.875</v>
      </c>
      <c r="BV14" s="31">
        <v>40.75</v>
      </c>
      <c r="BW14" s="31">
        <v>40.875</v>
      </c>
      <c r="BX14" s="31">
        <v>39</v>
      </c>
      <c r="BY14" s="31">
        <v>37.5</v>
      </c>
      <c r="BZ14" s="31">
        <v>36.5</v>
      </c>
      <c r="CA14" s="31">
        <v>39.75</v>
      </c>
      <c r="CB14" s="31">
        <v>37.75</v>
      </c>
      <c r="CC14" s="31">
        <v>36.25</v>
      </c>
      <c r="CD14" s="31">
        <v>36.25</v>
      </c>
      <c r="CE14" s="31">
        <v>36.25</v>
      </c>
      <c r="CF14" s="31">
        <v>35.5</v>
      </c>
      <c r="CG14" s="31">
        <v>36</v>
      </c>
      <c r="CH14" s="31">
        <v>36.75</v>
      </c>
      <c r="CI14" s="31">
        <v>36.5</v>
      </c>
      <c r="CJ14" s="31">
        <v>40.75</v>
      </c>
      <c r="CK14" s="31">
        <v>40.875</v>
      </c>
      <c r="CL14" s="31">
        <v>41</v>
      </c>
      <c r="CM14" s="31">
        <v>41</v>
      </c>
      <c r="CN14" s="31">
        <v>39</v>
      </c>
      <c r="CO14" s="31">
        <v>37.25</v>
      </c>
      <c r="CP14" s="31">
        <v>37.25</v>
      </c>
      <c r="CQ14" s="31">
        <v>37.25</v>
      </c>
      <c r="CR14" s="31">
        <v>37.25</v>
      </c>
      <c r="CS14" s="31">
        <v>39.625</v>
      </c>
      <c r="CT14" s="31">
        <v>41.625</v>
      </c>
      <c r="CU14" s="31">
        <v>39.5</v>
      </c>
      <c r="CV14" s="31">
        <v>39.5</v>
      </c>
    </row>
    <row r="15" spans="1:100" x14ac:dyDescent="0.2">
      <c r="A15" t="str">
        <f>IFERROR(INDEX(exit_newbonds,MATCH('NBs Prices'!G15,'NBs List'!$B$3:$B$14,0)),"")</f>
        <v>41_USD</v>
      </c>
      <c r="B15" t="s">
        <v>3</v>
      </c>
      <c r="C15">
        <v>2041</v>
      </c>
      <c r="D15" t="s">
        <v>0</v>
      </c>
      <c r="E15" t="s">
        <v>5</v>
      </c>
      <c r="F15" s="23">
        <f>IFERROR(INDEX('NBs List'!$E$3:$E$14,MATCH('NBs Prices'!G15,'NBs List'!$B$3:$B$14,0)),"")</f>
        <v>10482111279</v>
      </c>
      <c r="G15" t="s">
        <v>65</v>
      </c>
      <c r="H15" s="31" t="s">
        <v>166</v>
      </c>
      <c r="I15" s="31" t="s">
        <v>166</v>
      </c>
      <c r="J15" s="31" t="s">
        <v>166</v>
      </c>
      <c r="K15" s="31" t="s">
        <v>166</v>
      </c>
      <c r="L15" s="31" t="s">
        <v>166</v>
      </c>
      <c r="M15" s="31" t="s">
        <v>166</v>
      </c>
      <c r="N15" s="31" t="s">
        <v>166</v>
      </c>
      <c r="O15" s="31" t="s">
        <v>166</v>
      </c>
      <c r="P15" s="31" t="s">
        <v>166</v>
      </c>
      <c r="Q15" s="31" t="s">
        <v>166</v>
      </c>
      <c r="R15" s="31" t="s">
        <v>166</v>
      </c>
      <c r="S15" s="31" t="s">
        <v>166</v>
      </c>
      <c r="T15" s="31" t="s">
        <v>166</v>
      </c>
      <c r="U15" s="31">
        <v>44.75</v>
      </c>
      <c r="V15" s="31">
        <v>44.430999999999997</v>
      </c>
      <c r="W15" s="228">
        <v>44.445</v>
      </c>
      <c r="X15" s="31">
        <v>42.569000000000003</v>
      </c>
      <c r="Y15" s="31">
        <v>41.8125</v>
      </c>
      <c r="Z15" s="31">
        <v>41.323999999999998</v>
      </c>
      <c r="AA15" s="31">
        <v>39.826000000000001</v>
      </c>
      <c r="AB15" s="31">
        <v>38.981000000000002</v>
      </c>
      <c r="AC15" s="31">
        <v>38.594000000000001</v>
      </c>
      <c r="AD15" s="31">
        <v>37.679499999999997</v>
      </c>
      <c r="AE15" s="31">
        <v>38.472000000000001</v>
      </c>
      <c r="AF15" s="31">
        <v>39.727499999999999</v>
      </c>
      <c r="AG15" s="31">
        <v>39.386499999999998</v>
      </c>
      <c r="AH15" s="31">
        <v>39.639000000000003</v>
      </c>
      <c r="AI15" s="31">
        <v>39.231999999999999</v>
      </c>
      <c r="AJ15" s="31">
        <v>38.530999999999999</v>
      </c>
      <c r="AK15" s="31">
        <v>38.5</v>
      </c>
      <c r="AL15" s="31">
        <v>37.625</v>
      </c>
      <c r="AM15" s="31">
        <v>37.299999999999997</v>
      </c>
      <c r="AN15" s="31">
        <v>37.580500000000001</v>
      </c>
      <c r="AO15" s="31">
        <v>38.137999999999998</v>
      </c>
      <c r="AP15" s="31">
        <v>38.375</v>
      </c>
      <c r="AQ15" s="31">
        <v>37.9375</v>
      </c>
      <c r="AR15" s="31">
        <v>37.122500000000002</v>
      </c>
      <c r="AS15" s="31">
        <v>36.756500000000003</v>
      </c>
      <c r="AT15" s="31">
        <v>37.298499999999997</v>
      </c>
      <c r="AU15" s="31">
        <v>35.781500000000001</v>
      </c>
      <c r="AV15" s="31">
        <v>35.731000000000002</v>
      </c>
      <c r="AW15" s="31">
        <v>35.406500000000001</v>
      </c>
      <c r="AX15" s="31">
        <v>35.581000000000003</v>
      </c>
      <c r="AY15" s="31">
        <v>36.75</v>
      </c>
      <c r="AZ15" s="31">
        <v>35.670499999999997</v>
      </c>
      <c r="BA15" s="31">
        <v>35.505000000000003</v>
      </c>
      <c r="BB15" s="31">
        <v>35.112000000000002</v>
      </c>
      <c r="BC15" s="31">
        <v>34.844000000000001</v>
      </c>
      <c r="BD15" s="31">
        <v>34.488</v>
      </c>
      <c r="BE15" s="31">
        <v>34.979999999999997</v>
      </c>
      <c r="BF15" s="31">
        <v>35.563000000000002</v>
      </c>
      <c r="BG15" s="31">
        <v>36.125</v>
      </c>
      <c r="BH15" s="31">
        <v>36.530999999999999</v>
      </c>
      <c r="BI15" s="31">
        <v>36.8125</v>
      </c>
      <c r="BJ15" s="31">
        <v>37.75</v>
      </c>
      <c r="BK15" s="31">
        <v>37.25</v>
      </c>
      <c r="BL15" s="31">
        <v>37.25</v>
      </c>
      <c r="BM15" s="31">
        <v>37.973999999999997</v>
      </c>
      <c r="BN15" s="31">
        <v>38.402500000000003</v>
      </c>
      <c r="BO15" s="31">
        <v>39.281500000000001</v>
      </c>
      <c r="BP15" s="31">
        <v>38.387999999999998</v>
      </c>
      <c r="BQ15" s="31">
        <v>38.650500000000001</v>
      </c>
      <c r="BR15" s="31">
        <v>38.299999999999997</v>
      </c>
      <c r="BS15" s="31">
        <v>38.125</v>
      </c>
      <c r="BT15" s="31">
        <v>36.375</v>
      </c>
      <c r="BU15" s="31">
        <v>38</v>
      </c>
      <c r="BV15" s="31">
        <v>37.820500000000003</v>
      </c>
      <c r="BW15" s="31">
        <v>37.844000000000001</v>
      </c>
      <c r="BX15" s="31">
        <v>36.375</v>
      </c>
      <c r="BY15" s="31">
        <v>37.030999999999999</v>
      </c>
      <c r="BZ15" s="31">
        <v>37.125</v>
      </c>
      <c r="CA15" s="31">
        <v>36.468499999999999</v>
      </c>
      <c r="CB15" s="31">
        <v>36.5</v>
      </c>
      <c r="CC15" s="31">
        <v>36.25</v>
      </c>
      <c r="CD15" s="31">
        <v>36.25</v>
      </c>
      <c r="CE15" s="31">
        <v>35.875</v>
      </c>
      <c r="CF15" s="31">
        <v>36.25</v>
      </c>
      <c r="CG15" s="31">
        <v>36.4375</v>
      </c>
      <c r="CH15" s="31">
        <v>37.375</v>
      </c>
      <c r="CI15" s="31">
        <v>38.019500000000001</v>
      </c>
      <c r="CJ15" s="31">
        <v>37.6875</v>
      </c>
      <c r="CK15" s="31">
        <v>37.776000000000003</v>
      </c>
      <c r="CL15" s="31">
        <v>37.863500000000002</v>
      </c>
      <c r="CM15" s="31">
        <v>38.014000000000003</v>
      </c>
      <c r="CN15" s="31">
        <v>38.75</v>
      </c>
      <c r="CO15" s="31">
        <v>38.4255</v>
      </c>
      <c r="CP15" s="31">
        <v>38.500500000000002</v>
      </c>
      <c r="CQ15" s="31">
        <v>38.75</v>
      </c>
      <c r="CR15" s="31">
        <v>38.75</v>
      </c>
      <c r="CS15" s="31">
        <v>38.625</v>
      </c>
      <c r="CT15" s="31">
        <v>38.343499999999999</v>
      </c>
      <c r="CU15" s="31">
        <v>38.280999999999999</v>
      </c>
      <c r="CV15" s="31">
        <v>38.375</v>
      </c>
    </row>
    <row r="16" spans="1:100" x14ac:dyDescent="0.2">
      <c r="A16" t="str">
        <f>IFERROR(INDEX(exit_newbonds,MATCH('NBs Prices'!G16,'NBs List'!$B$3:$B$14,0)),"")</f>
        <v>41_EUR</v>
      </c>
      <c r="B16" t="s">
        <v>173</v>
      </c>
      <c r="C16">
        <v>2041</v>
      </c>
      <c r="D16" t="s">
        <v>1</v>
      </c>
      <c r="E16" t="s">
        <v>5</v>
      </c>
      <c r="F16" s="23">
        <f>IFERROR(INDEX('NBs List'!$E$3:$E$14,MATCH('NBs Prices'!G16,'NBs List'!$B$3:$B$14,0)),"")</f>
        <v>1572601941</v>
      </c>
      <c r="G16" t="s">
        <v>66</v>
      </c>
      <c r="H16" s="31" t="s">
        <v>166</v>
      </c>
      <c r="I16" s="31" t="s">
        <v>166</v>
      </c>
      <c r="J16" s="31" t="s">
        <v>166</v>
      </c>
      <c r="K16" s="31" t="s">
        <v>166</v>
      </c>
      <c r="L16" s="31" t="s">
        <v>166</v>
      </c>
      <c r="M16" s="31" t="s">
        <v>166</v>
      </c>
      <c r="N16" s="31" t="s">
        <v>166</v>
      </c>
      <c r="O16" s="31" t="s">
        <v>166</v>
      </c>
      <c r="P16" s="31" t="s">
        <v>166</v>
      </c>
      <c r="Q16" s="31" t="s">
        <v>166</v>
      </c>
      <c r="R16" s="31" t="s">
        <v>166</v>
      </c>
      <c r="S16" s="31" t="s">
        <v>166</v>
      </c>
      <c r="T16" s="31" t="s">
        <v>166</v>
      </c>
      <c r="U16" s="31" t="s">
        <v>166</v>
      </c>
      <c r="V16" s="31">
        <v>53.868976976026602</v>
      </c>
      <c r="W16" s="228">
        <v>52.414005496067503</v>
      </c>
      <c r="X16" s="31">
        <v>50.948077263866701</v>
      </c>
      <c r="Y16" s="31">
        <v>49.164790901552003</v>
      </c>
      <c r="Z16" s="31">
        <v>47.051999857956197</v>
      </c>
      <c r="AA16" s="31">
        <v>39.955748567124502</v>
      </c>
      <c r="AB16" s="31">
        <v>42.580713131833399</v>
      </c>
      <c r="AC16" s="31">
        <v>38.999195532289498</v>
      </c>
      <c r="AD16" s="31">
        <v>37.642252699153801</v>
      </c>
      <c r="AE16" s="31">
        <v>38.9602837704251</v>
      </c>
      <c r="AF16" s="31">
        <v>39.9491450299764</v>
      </c>
      <c r="AG16" s="31">
        <v>39.629420882062803</v>
      </c>
      <c r="AH16" s="31">
        <v>40.719952190674803</v>
      </c>
      <c r="AI16" s="31">
        <v>40.894887698524599</v>
      </c>
      <c r="AJ16" s="31">
        <v>39.531478770131798</v>
      </c>
      <c r="AK16" s="31">
        <v>39.761080087651102</v>
      </c>
      <c r="AL16" s="31">
        <v>39.015747107554397</v>
      </c>
      <c r="AM16" s="31">
        <v>38.808006209280997</v>
      </c>
      <c r="AN16" s="31">
        <v>40.712303640297201</v>
      </c>
      <c r="AO16" s="31">
        <v>38.7234847589094</v>
      </c>
      <c r="AP16" s="31">
        <v>38.392023909371197</v>
      </c>
      <c r="AQ16" s="31">
        <v>38.461538461538503</v>
      </c>
      <c r="AR16" s="31">
        <v>37.293709990015898</v>
      </c>
      <c r="AS16" s="31">
        <v>36.58136866996</v>
      </c>
      <c r="AT16" s="31">
        <v>36.325712745638</v>
      </c>
      <c r="AU16" s="31">
        <v>36.107352543210503</v>
      </c>
      <c r="AV16" s="31">
        <v>36.054140315621503</v>
      </c>
      <c r="AW16" s="31">
        <v>36.176017079824497</v>
      </c>
      <c r="AX16" s="31">
        <v>36.925003840200397</v>
      </c>
      <c r="AY16" s="31">
        <v>37.948863905886803</v>
      </c>
      <c r="AZ16" s="31">
        <v>36.923767239750603</v>
      </c>
      <c r="BA16" s="31">
        <v>36.829751598216603</v>
      </c>
      <c r="BB16" s="31">
        <v>34.9677040516735</v>
      </c>
      <c r="BC16" s="31">
        <v>35.926920382909202</v>
      </c>
      <c r="BD16" s="31">
        <v>35.762121618001601</v>
      </c>
      <c r="BE16" s="31">
        <v>35.909254926610103</v>
      </c>
      <c r="BF16" s="31">
        <v>36.889565522894998</v>
      </c>
      <c r="BG16" s="31">
        <v>37.246512718321398</v>
      </c>
      <c r="BH16" s="31">
        <v>38.063715349607001</v>
      </c>
      <c r="BI16" s="31">
        <v>38.880710418843201</v>
      </c>
      <c r="BJ16" s="31">
        <v>40.518351387428702</v>
      </c>
      <c r="BK16" s="31">
        <v>39.624313308523803</v>
      </c>
      <c r="BL16" s="31">
        <v>39.5119595812086</v>
      </c>
      <c r="BM16" s="31">
        <v>40.605781602275798</v>
      </c>
      <c r="BN16" s="31">
        <v>40.4948116946887</v>
      </c>
      <c r="BO16" s="31">
        <v>41.189090521175302</v>
      </c>
      <c r="BP16" s="31">
        <v>40.8611078163919</v>
      </c>
      <c r="BQ16" s="31">
        <v>41.067153388484599</v>
      </c>
      <c r="BR16" s="31">
        <v>40.961709706144298</v>
      </c>
      <c r="BS16" s="31">
        <v>40.821648274799401</v>
      </c>
      <c r="BT16" s="31">
        <v>40.848222214328899</v>
      </c>
      <c r="BU16" s="31">
        <v>40.894933307972103</v>
      </c>
      <c r="BV16" s="31">
        <v>40.736460889661899</v>
      </c>
      <c r="BW16" s="31">
        <v>40.682852445736302</v>
      </c>
      <c r="BX16" s="31">
        <v>40.910069618890397</v>
      </c>
      <c r="BY16" s="31">
        <v>40.137888258027601</v>
      </c>
      <c r="BZ16" s="31">
        <v>40.543150271575101</v>
      </c>
      <c r="CA16" s="31">
        <v>40.8276998376584</v>
      </c>
      <c r="CB16" s="31">
        <v>40.553828971009601</v>
      </c>
      <c r="CC16" s="31">
        <v>40.783923983128901</v>
      </c>
      <c r="CD16" s="31">
        <v>40.124712434919502</v>
      </c>
      <c r="CE16" s="31">
        <v>40.336164960429798</v>
      </c>
      <c r="CF16" s="31">
        <v>40.196919359710101</v>
      </c>
      <c r="CG16" s="31">
        <v>40.7347176543405</v>
      </c>
      <c r="CH16" s="31">
        <v>40.909531306769999</v>
      </c>
      <c r="CI16" s="31">
        <v>41.923693413639</v>
      </c>
      <c r="CJ16" s="31">
        <v>41.878295948868697</v>
      </c>
      <c r="CK16" s="31">
        <v>41.683437618158997</v>
      </c>
      <c r="CL16" s="31">
        <v>41.747418001619103</v>
      </c>
      <c r="CM16" s="31">
        <v>41.9355629358203</v>
      </c>
      <c r="CN16" s="31">
        <v>41.393874103273497</v>
      </c>
      <c r="CO16" s="31">
        <v>41.839961084762301</v>
      </c>
      <c r="CP16" s="31">
        <v>41.781205829312299</v>
      </c>
      <c r="CQ16" s="31">
        <v>42.346547080830099</v>
      </c>
      <c r="CR16" s="31">
        <v>42.346547080830099</v>
      </c>
      <c r="CS16" s="31">
        <v>42.394928731083503</v>
      </c>
      <c r="CT16" s="31">
        <v>42.223800717671097</v>
      </c>
      <c r="CU16" s="31">
        <v>42.378341161138003</v>
      </c>
      <c r="CV16" s="31">
        <v>42.378341161138003</v>
      </c>
    </row>
    <row r="17" spans="1:100" x14ac:dyDescent="0.2">
      <c r="A17" t="str">
        <f>IFERROR(INDEX(exit_newbonds,MATCH('NBs Prices'!G17,'NBs List'!$B$3:$B$14,0)),"")</f>
        <v/>
      </c>
      <c r="B17" t="s">
        <v>98</v>
      </c>
      <c r="C17">
        <v>2041</v>
      </c>
      <c r="D17" t="s">
        <v>0</v>
      </c>
      <c r="F17" s="23" t="str">
        <f>IFERROR(INDEX('NBs List'!$E$3:$E$14,MATCH('NBs Prices'!G17,'NBs List'!$B$3:$B$14,0)),"")</f>
        <v/>
      </c>
      <c r="G17" t="s">
        <v>73</v>
      </c>
      <c r="H17" s="31" t="s">
        <v>166</v>
      </c>
      <c r="I17" s="31" t="s">
        <v>166</v>
      </c>
      <c r="J17" s="31" t="s">
        <v>166</v>
      </c>
      <c r="K17" s="31" t="s">
        <v>166</v>
      </c>
      <c r="L17" s="31" t="s">
        <v>166</v>
      </c>
      <c r="M17" s="31" t="s">
        <v>166</v>
      </c>
      <c r="N17" s="31" t="s">
        <v>166</v>
      </c>
      <c r="O17" s="31" t="s">
        <v>166</v>
      </c>
      <c r="P17" s="31" t="s">
        <v>166</v>
      </c>
      <c r="Q17" s="31" t="s">
        <v>166</v>
      </c>
      <c r="R17" s="31" t="s">
        <v>166</v>
      </c>
      <c r="S17" s="31" t="s">
        <v>166</v>
      </c>
      <c r="T17" s="31" t="s">
        <v>166</v>
      </c>
      <c r="U17" s="31" t="s">
        <v>166</v>
      </c>
      <c r="V17" s="31" t="s">
        <v>166</v>
      </c>
      <c r="W17" s="228" t="s">
        <v>166</v>
      </c>
      <c r="X17" s="31" t="s">
        <v>166</v>
      </c>
      <c r="Y17" s="31" t="s">
        <v>166</v>
      </c>
      <c r="Z17" s="31" t="s">
        <v>166</v>
      </c>
      <c r="AA17" s="31" t="s">
        <v>166</v>
      </c>
      <c r="AB17" s="31" t="s">
        <v>166</v>
      </c>
      <c r="AC17" s="31" t="s">
        <v>166</v>
      </c>
      <c r="AD17" s="31" t="s">
        <v>166</v>
      </c>
      <c r="AE17" s="31" t="s">
        <v>166</v>
      </c>
      <c r="AF17" s="31">
        <v>40.25</v>
      </c>
      <c r="AG17" s="31">
        <v>39.25</v>
      </c>
      <c r="AH17" s="31">
        <v>39.75</v>
      </c>
      <c r="AI17" s="31">
        <v>39.25</v>
      </c>
      <c r="AJ17" s="31">
        <v>39</v>
      </c>
      <c r="AK17" s="31">
        <v>40.25</v>
      </c>
      <c r="AL17" s="31">
        <v>40.25</v>
      </c>
      <c r="AM17" s="31">
        <v>39.25</v>
      </c>
      <c r="AN17" s="31">
        <v>39.75</v>
      </c>
      <c r="AO17" s="31">
        <v>39.75</v>
      </c>
      <c r="AP17" s="31">
        <v>39.75</v>
      </c>
      <c r="AQ17" s="31">
        <v>39.75</v>
      </c>
      <c r="AR17" s="31">
        <v>39.75</v>
      </c>
      <c r="AS17" s="31">
        <v>38.25</v>
      </c>
      <c r="AT17" s="31">
        <v>38.5</v>
      </c>
      <c r="AU17" s="31">
        <v>38.5</v>
      </c>
      <c r="AV17" s="31">
        <v>38.5</v>
      </c>
      <c r="AW17" s="31">
        <v>35.75</v>
      </c>
      <c r="AX17" s="31">
        <v>35.25</v>
      </c>
      <c r="AY17" s="31">
        <v>35.5</v>
      </c>
      <c r="AZ17" s="31">
        <v>35.5</v>
      </c>
      <c r="BA17" s="31">
        <v>35.125</v>
      </c>
      <c r="BB17" s="31">
        <v>35</v>
      </c>
      <c r="BC17" s="31">
        <v>34.875</v>
      </c>
      <c r="BD17" s="31">
        <v>34.625</v>
      </c>
      <c r="BE17" s="31">
        <v>34.75</v>
      </c>
      <c r="BF17" s="31">
        <v>35.25</v>
      </c>
      <c r="BG17" s="31">
        <v>35.5</v>
      </c>
      <c r="BH17" s="31">
        <v>35.625</v>
      </c>
      <c r="BI17" s="31">
        <v>36.125</v>
      </c>
      <c r="BJ17" s="31">
        <v>37.625</v>
      </c>
      <c r="BK17" s="31">
        <v>37.125</v>
      </c>
      <c r="BL17" s="31">
        <v>37.125</v>
      </c>
      <c r="BM17" s="31">
        <v>37.625</v>
      </c>
      <c r="BN17" s="31">
        <v>38.125</v>
      </c>
      <c r="BO17" s="31">
        <v>39.625</v>
      </c>
      <c r="BP17" s="31">
        <v>38.5</v>
      </c>
      <c r="BQ17" s="31">
        <v>39</v>
      </c>
      <c r="BR17" s="31">
        <v>38.375</v>
      </c>
      <c r="BS17" s="31">
        <v>38.125</v>
      </c>
      <c r="BT17" s="31">
        <v>38.125</v>
      </c>
      <c r="BU17" s="31">
        <v>38</v>
      </c>
      <c r="BV17" s="31">
        <v>38</v>
      </c>
      <c r="BW17" s="31">
        <v>38</v>
      </c>
      <c r="BX17" s="31">
        <v>36.375</v>
      </c>
      <c r="BY17" s="31">
        <v>35.75</v>
      </c>
      <c r="BZ17" s="31">
        <v>37</v>
      </c>
      <c r="CA17" s="31">
        <v>36.625</v>
      </c>
      <c r="CB17" s="31">
        <v>35.75</v>
      </c>
      <c r="CC17" s="31">
        <v>35.25</v>
      </c>
      <c r="CD17" s="31">
        <v>35.25</v>
      </c>
      <c r="CE17" s="31">
        <v>35.25</v>
      </c>
      <c r="CF17" s="31">
        <v>34.625</v>
      </c>
      <c r="CG17" s="31">
        <v>35.375</v>
      </c>
      <c r="CH17" s="31">
        <v>36</v>
      </c>
      <c r="CI17" s="31">
        <v>38.375</v>
      </c>
      <c r="CJ17" s="31">
        <v>37.875</v>
      </c>
      <c r="CK17" s="31">
        <v>38</v>
      </c>
      <c r="CL17" s="31">
        <v>38.125</v>
      </c>
      <c r="CM17" s="31">
        <v>38.125</v>
      </c>
      <c r="CN17" s="31">
        <v>37.25</v>
      </c>
      <c r="CO17" s="31">
        <v>38.5</v>
      </c>
      <c r="CP17" s="31">
        <v>38.75</v>
      </c>
      <c r="CQ17" s="31">
        <v>38.75</v>
      </c>
      <c r="CR17" s="31">
        <v>38.75</v>
      </c>
      <c r="CS17" s="31">
        <v>38.625</v>
      </c>
      <c r="CT17" s="31">
        <v>38.625</v>
      </c>
      <c r="CU17" s="31">
        <v>36.75</v>
      </c>
      <c r="CV17" s="31">
        <v>36.75</v>
      </c>
    </row>
    <row r="18" spans="1:100" x14ac:dyDescent="0.2">
      <c r="A18" t="str">
        <f>IFERROR(INDEX(exit_newbonds,MATCH('NBs Prices'!G18,'NBs List'!$B$3:$B$14,0)),"")</f>
        <v>46_USD</v>
      </c>
      <c r="B18" t="s">
        <v>4</v>
      </c>
      <c r="C18">
        <v>2046</v>
      </c>
      <c r="D18" t="s">
        <v>0</v>
      </c>
      <c r="E18" t="s">
        <v>6</v>
      </c>
      <c r="F18" s="23">
        <f>IFERROR(INDEX('NBs List'!$E$3:$E$14,MATCH('NBs Prices'!G18,'NBs List'!$B$3:$B$14,0)),"")</f>
        <v>2091997126</v>
      </c>
      <c r="G18" t="s">
        <v>67</v>
      </c>
      <c r="H18" s="31" t="s">
        <v>166</v>
      </c>
      <c r="I18" s="31" t="s">
        <v>166</v>
      </c>
      <c r="J18" s="31" t="s">
        <v>166</v>
      </c>
      <c r="K18" s="31" t="s">
        <v>166</v>
      </c>
      <c r="L18" s="31" t="s">
        <v>166</v>
      </c>
      <c r="M18" s="31" t="s">
        <v>166</v>
      </c>
      <c r="N18" s="31" t="s">
        <v>166</v>
      </c>
      <c r="O18" s="31" t="s">
        <v>166</v>
      </c>
      <c r="P18" s="31" t="s">
        <v>166</v>
      </c>
      <c r="Q18" s="31" t="s">
        <v>166</v>
      </c>
      <c r="R18" s="31" t="s">
        <v>166</v>
      </c>
      <c r="S18" s="31" t="s">
        <v>166</v>
      </c>
      <c r="T18" s="31">
        <v>47.795499999999997</v>
      </c>
      <c r="U18" s="31">
        <v>49.5</v>
      </c>
      <c r="V18" s="31">
        <v>47.3125</v>
      </c>
      <c r="W18" s="228">
        <v>46.3</v>
      </c>
      <c r="X18" s="31">
        <v>41.613999999999997</v>
      </c>
      <c r="Y18" s="31">
        <v>40.732500000000002</v>
      </c>
      <c r="Z18" s="31">
        <v>39.923499999999997</v>
      </c>
      <c r="AA18" s="31">
        <v>38.295000000000002</v>
      </c>
      <c r="AB18" s="31">
        <v>38.173999999999999</v>
      </c>
      <c r="AC18" s="31">
        <v>37.731999999999999</v>
      </c>
      <c r="AD18" s="31">
        <v>36.387999999999998</v>
      </c>
      <c r="AE18" s="31">
        <v>37.231499999999997</v>
      </c>
      <c r="AF18" s="31">
        <v>37.982500000000002</v>
      </c>
      <c r="AG18" s="31">
        <v>38.143000000000001</v>
      </c>
      <c r="AH18" s="31">
        <v>38.284500000000001</v>
      </c>
      <c r="AI18" s="31">
        <v>38.031500000000001</v>
      </c>
      <c r="AJ18" s="31">
        <v>37.701999999999998</v>
      </c>
      <c r="AK18" s="31">
        <v>38.375</v>
      </c>
      <c r="AL18" s="31">
        <v>37.002499999999998</v>
      </c>
      <c r="AM18" s="31">
        <v>36.93</v>
      </c>
      <c r="AN18" s="31">
        <v>37.228000000000002</v>
      </c>
      <c r="AO18" s="31">
        <v>37.544499999999999</v>
      </c>
      <c r="AP18" s="31">
        <v>38.25</v>
      </c>
      <c r="AQ18" s="31">
        <v>37.4895</v>
      </c>
      <c r="AR18" s="31">
        <v>36.784999999999997</v>
      </c>
      <c r="AS18" s="31">
        <v>35.551000000000002</v>
      </c>
      <c r="AT18" s="31">
        <v>35.906500000000001</v>
      </c>
      <c r="AU18" s="31">
        <v>35.200000000000003</v>
      </c>
      <c r="AV18" s="31">
        <v>34.956499999999998</v>
      </c>
      <c r="AW18" s="31">
        <v>34.593499999999999</v>
      </c>
      <c r="AX18" s="31">
        <v>34.5</v>
      </c>
      <c r="AY18" s="31">
        <v>35.25</v>
      </c>
      <c r="AZ18" s="31">
        <v>34.585999999999999</v>
      </c>
      <c r="BA18" s="31">
        <v>34.424500000000002</v>
      </c>
      <c r="BB18" s="31">
        <v>33.954500000000003</v>
      </c>
      <c r="BC18" s="31">
        <v>33.750500000000002</v>
      </c>
      <c r="BD18" s="31">
        <v>33.362000000000002</v>
      </c>
      <c r="BE18" s="31">
        <v>33.726999999999997</v>
      </c>
      <c r="BF18" s="31">
        <v>34.325000000000003</v>
      </c>
      <c r="BG18" s="31">
        <v>34.75</v>
      </c>
      <c r="BH18" s="31">
        <v>35.1875</v>
      </c>
      <c r="BI18" s="31">
        <v>35.5745</v>
      </c>
      <c r="BJ18" s="31">
        <v>37.5</v>
      </c>
      <c r="BK18" s="31">
        <v>37</v>
      </c>
      <c r="BL18" s="31">
        <v>37</v>
      </c>
      <c r="BM18" s="31">
        <v>37.387500000000003</v>
      </c>
      <c r="BN18" s="31">
        <v>37.738</v>
      </c>
      <c r="BO18" s="31">
        <v>37.8005</v>
      </c>
      <c r="BP18" s="31">
        <v>37.543500000000002</v>
      </c>
      <c r="BQ18" s="31">
        <v>37.395000000000003</v>
      </c>
      <c r="BR18" s="31">
        <v>36.375</v>
      </c>
      <c r="BS18" s="31">
        <v>36.375</v>
      </c>
      <c r="BT18" s="31">
        <v>37.25</v>
      </c>
      <c r="BU18" s="31">
        <v>37</v>
      </c>
      <c r="BV18" s="31">
        <v>36.536000000000001</v>
      </c>
      <c r="BW18" s="31">
        <v>36.125</v>
      </c>
      <c r="BX18" s="31">
        <v>37.25</v>
      </c>
      <c r="BY18" s="31">
        <v>36.397500000000001</v>
      </c>
      <c r="BZ18" s="31">
        <v>36.5</v>
      </c>
      <c r="CA18" s="31">
        <v>35.269500000000001</v>
      </c>
      <c r="CB18" s="31">
        <v>35.5</v>
      </c>
      <c r="CC18" s="31">
        <v>35.75</v>
      </c>
      <c r="CD18" s="31">
        <v>35.25</v>
      </c>
      <c r="CE18" s="31">
        <v>34.75</v>
      </c>
      <c r="CF18" s="31">
        <v>34.75</v>
      </c>
      <c r="CG18" s="31">
        <v>34.988999999999997</v>
      </c>
      <c r="CH18" s="31">
        <v>35.875</v>
      </c>
      <c r="CI18" s="31">
        <v>36.325000000000003</v>
      </c>
      <c r="CJ18" s="31">
        <v>36.817</v>
      </c>
      <c r="CK18" s="31">
        <v>36.594000000000001</v>
      </c>
      <c r="CL18" s="31">
        <v>36.548499999999997</v>
      </c>
      <c r="CM18" s="31">
        <v>36.673999999999999</v>
      </c>
      <c r="CN18" s="31">
        <v>36.625</v>
      </c>
      <c r="CO18" s="31">
        <v>36.985999999999997</v>
      </c>
      <c r="CP18" s="31">
        <v>37.219000000000001</v>
      </c>
      <c r="CQ18" s="31">
        <v>37.625</v>
      </c>
      <c r="CR18" s="31">
        <v>37.625</v>
      </c>
      <c r="CS18" s="31">
        <v>37.375</v>
      </c>
      <c r="CT18" s="31">
        <v>37.183500000000002</v>
      </c>
      <c r="CU18" s="31">
        <v>37.064</v>
      </c>
      <c r="CV18" s="31">
        <v>37.25</v>
      </c>
    </row>
    <row r="19" spans="1:100" x14ac:dyDescent="0.2">
      <c r="A19" t="str">
        <f>IFERROR(INDEX(exit_newbonds,MATCH('NBs Prices'!G19,'NBs List'!$B$3:$B$14,0)),"")</f>
        <v>46_EUR</v>
      </c>
      <c r="B19" t="s">
        <v>174</v>
      </c>
      <c r="C19">
        <v>2046</v>
      </c>
      <c r="D19" t="s">
        <v>1</v>
      </c>
      <c r="E19" t="s">
        <v>6</v>
      </c>
      <c r="F19" s="23">
        <f>IFERROR(INDEX('NBs List'!$E$3:$E$14,MATCH('NBs Prices'!G19,'NBs List'!$B$3:$B$14,0)),"")</f>
        <v>248126086</v>
      </c>
      <c r="G19" t="s">
        <v>68</v>
      </c>
      <c r="H19" s="31" t="s">
        <v>166</v>
      </c>
      <c r="I19" s="31" t="s">
        <v>166</v>
      </c>
      <c r="J19" s="31" t="s">
        <v>166</v>
      </c>
      <c r="K19" s="31" t="s">
        <v>166</v>
      </c>
      <c r="L19" s="31" t="s">
        <v>166</v>
      </c>
      <c r="M19" s="31" t="s">
        <v>166</v>
      </c>
      <c r="N19" s="31" t="s">
        <v>166</v>
      </c>
      <c r="O19" s="31" t="s">
        <v>166</v>
      </c>
      <c r="P19" s="31" t="s">
        <v>166</v>
      </c>
      <c r="Q19" s="31" t="s">
        <v>166</v>
      </c>
      <c r="R19" s="31" t="s">
        <v>166</v>
      </c>
      <c r="S19" s="31" t="s">
        <v>166</v>
      </c>
      <c r="T19" s="31" t="s">
        <v>166</v>
      </c>
      <c r="U19" s="31" t="s">
        <v>166</v>
      </c>
      <c r="V19" s="31">
        <v>49.549014953714703</v>
      </c>
      <c r="W19" s="228">
        <v>50.175305600303197</v>
      </c>
      <c r="X19" s="31">
        <v>48.0689940339063</v>
      </c>
      <c r="Y19" s="31">
        <v>46.943490107807101</v>
      </c>
      <c r="Z19" s="31">
        <v>46.904037594252003</v>
      </c>
      <c r="AA19" s="31">
        <v>43.986630418152501</v>
      </c>
      <c r="AB19" s="31">
        <v>42.947112120431697</v>
      </c>
      <c r="AC19" s="31">
        <v>40.151100022152001</v>
      </c>
      <c r="AD19" s="31">
        <v>39.393055150277199</v>
      </c>
      <c r="AE19" s="31">
        <v>42.1585160202361</v>
      </c>
      <c r="AF19" s="31">
        <v>39.9491450299764</v>
      </c>
      <c r="AG19" s="31">
        <v>40.216523413649</v>
      </c>
      <c r="AH19" s="31">
        <v>40.134053598003298</v>
      </c>
      <c r="AI19" s="31">
        <v>41.335400808194699</v>
      </c>
      <c r="AJ19" s="31">
        <v>39.531478770131798</v>
      </c>
      <c r="AK19" s="31">
        <v>39.761080087651102</v>
      </c>
      <c r="AL19" s="31">
        <v>39.015747107554397</v>
      </c>
      <c r="AM19" s="31">
        <v>38.514006162241003</v>
      </c>
      <c r="AN19" s="31">
        <v>39.830448687799802</v>
      </c>
      <c r="AO19" s="31">
        <v>38.427885638612302</v>
      </c>
      <c r="AP19" s="31">
        <v>38.096700648529897</v>
      </c>
      <c r="AQ19" s="31">
        <v>38.7551379917792</v>
      </c>
      <c r="AR19" s="31">
        <v>37.000058730252</v>
      </c>
      <c r="AS19" s="31">
        <v>36.4057781003442</v>
      </c>
      <c r="AT19" s="31">
        <v>36.325712745638</v>
      </c>
      <c r="AU19" s="31">
        <v>36.548575731547999</v>
      </c>
      <c r="AV19" s="31">
        <v>35.758614575329503</v>
      </c>
      <c r="AW19" s="31">
        <v>35.879492349662002</v>
      </c>
      <c r="AX19" s="31">
        <v>35.566163698880999</v>
      </c>
      <c r="AY19" s="31">
        <v>36.466486409563103</v>
      </c>
      <c r="AZ19" s="31">
        <v>36.0145475155866</v>
      </c>
      <c r="BA19" s="31">
        <v>35.974617253662302</v>
      </c>
      <c r="BB19" s="31">
        <v>34.938344098649402</v>
      </c>
      <c r="BC19" s="31">
        <v>35.314032220406297</v>
      </c>
      <c r="BD19" s="31">
        <v>34.649832865512103</v>
      </c>
      <c r="BE19" s="31">
        <v>35.2108577481347</v>
      </c>
      <c r="BF19" s="31">
        <v>35.718468204707797</v>
      </c>
      <c r="BG19" s="31">
        <v>36.045012308053003</v>
      </c>
      <c r="BH19" s="31">
        <v>36.792954666351399</v>
      </c>
      <c r="BI19" s="31">
        <v>37.545113496058498</v>
      </c>
      <c r="BJ19" s="31">
        <v>38.687347170212497</v>
      </c>
      <c r="BK19" s="31">
        <v>38.3956524307401</v>
      </c>
      <c r="BL19" s="31">
        <v>38.569796610568702</v>
      </c>
      <c r="BM19" s="31">
        <v>38.953220723113397</v>
      </c>
      <c r="BN19" s="31">
        <v>39.489096868085703</v>
      </c>
      <c r="BO19" s="31">
        <v>39.707468559981997</v>
      </c>
      <c r="BP19" s="31">
        <v>38.548214921124398</v>
      </c>
      <c r="BQ19" s="31">
        <v>39.111574655699599</v>
      </c>
      <c r="BR19" s="31">
        <v>38.883941822499303</v>
      </c>
      <c r="BS19" s="31">
        <v>38.818495383265997</v>
      </c>
      <c r="BT19" s="31">
        <v>39.072212552836298</v>
      </c>
      <c r="BU19" s="31">
        <v>39.527806177037</v>
      </c>
      <c r="BV19" s="31">
        <v>39.431988754139802</v>
      </c>
      <c r="BW19" s="31">
        <v>39.107955493078599</v>
      </c>
      <c r="BX19" s="31">
        <v>39.7736787961435</v>
      </c>
      <c r="BY19" s="31">
        <v>39.437711722887499</v>
      </c>
      <c r="BZ19" s="31">
        <v>40.132770066385</v>
      </c>
      <c r="CA19" s="31">
        <v>39.904533449637803</v>
      </c>
      <c r="CB19" s="31">
        <v>39.576555140096197</v>
      </c>
      <c r="CC19" s="31">
        <v>39.511320114413202</v>
      </c>
      <c r="CD19" s="31">
        <v>39.6537111030391</v>
      </c>
      <c r="CE19" s="31">
        <v>39.630678380406103</v>
      </c>
      <c r="CF19" s="31">
        <v>40.018121413470297</v>
      </c>
      <c r="CG19" s="31">
        <v>40.277187829949398</v>
      </c>
      <c r="CH19" s="31">
        <v>40.268862783093098</v>
      </c>
      <c r="CI19" s="31">
        <v>41.320186516417301</v>
      </c>
      <c r="CJ19" s="31">
        <v>41.161389098155503</v>
      </c>
      <c r="CK19" s="31">
        <v>41.394367399709701</v>
      </c>
      <c r="CL19" s="31">
        <v>41.475112234133903</v>
      </c>
      <c r="CM19" s="31">
        <v>41.513989142023803</v>
      </c>
      <c r="CN19" s="31">
        <v>40.736478711162299</v>
      </c>
      <c r="CO19" s="31">
        <v>41.257448619725203</v>
      </c>
      <c r="CP19" s="31">
        <v>41.054978798069897</v>
      </c>
      <c r="CQ19" s="31">
        <v>40.823289991591601</v>
      </c>
      <c r="CR19" s="31">
        <v>40.883573346351</v>
      </c>
      <c r="CS19" s="31">
        <v>40.9170300343214</v>
      </c>
      <c r="CT19" s="31">
        <v>41.257516563996397</v>
      </c>
      <c r="CU19" s="31">
        <v>41.341874246932399</v>
      </c>
      <c r="CV19" s="31">
        <v>40.608207132388898</v>
      </c>
    </row>
    <row r="22" spans="1:100" x14ac:dyDescent="0.2">
      <c r="G22" s="70" t="s">
        <v>175</v>
      </c>
    </row>
    <row r="23" spans="1:100" x14ac:dyDescent="0.2">
      <c r="A23" t="s">
        <v>180</v>
      </c>
      <c r="B23" t="s">
        <v>103</v>
      </c>
      <c r="C23" t="s">
        <v>99</v>
      </c>
      <c r="D23" t="s">
        <v>100</v>
      </c>
      <c r="E23" t="s">
        <v>183</v>
      </c>
      <c r="F23" t="s">
        <v>177</v>
      </c>
      <c r="G23" t="s">
        <v>8</v>
      </c>
      <c r="H23" s="238">
        <v>44068</v>
      </c>
      <c r="I23" s="238">
        <v>44069</v>
      </c>
      <c r="J23" s="238">
        <v>44070</v>
      </c>
      <c r="K23" s="238">
        <v>44071</v>
      </c>
      <c r="L23" s="238">
        <v>44074</v>
      </c>
      <c r="M23" s="238">
        <v>44075</v>
      </c>
      <c r="N23" s="238">
        <v>44076</v>
      </c>
      <c r="O23" s="238">
        <v>44077</v>
      </c>
      <c r="P23" s="238">
        <v>44078</v>
      </c>
      <c r="Q23" s="238">
        <v>44081</v>
      </c>
      <c r="R23" s="238">
        <v>44082</v>
      </c>
      <c r="S23" s="238">
        <v>44083</v>
      </c>
      <c r="T23" s="238">
        <v>44084</v>
      </c>
      <c r="U23" s="238">
        <v>44085</v>
      </c>
      <c r="V23" s="238">
        <v>44088</v>
      </c>
      <c r="W23" s="238">
        <v>44089</v>
      </c>
      <c r="X23" s="238">
        <v>44090</v>
      </c>
      <c r="Y23" s="238">
        <v>44091</v>
      </c>
      <c r="Z23" s="238">
        <v>44092</v>
      </c>
      <c r="AA23" s="238">
        <v>44095</v>
      </c>
      <c r="AB23" s="238">
        <v>44096</v>
      </c>
      <c r="AC23" s="238">
        <v>44097</v>
      </c>
      <c r="AD23" s="238">
        <v>44098</v>
      </c>
      <c r="AE23" s="238">
        <v>44099</v>
      </c>
      <c r="AF23" s="238">
        <v>44102</v>
      </c>
      <c r="AG23" s="238">
        <v>44103</v>
      </c>
      <c r="AH23" s="238">
        <v>44104</v>
      </c>
      <c r="AI23" s="238">
        <v>44105</v>
      </c>
      <c r="AJ23" s="238">
        <v>44106</v>
      </c>
      <c r="AK23" s="238">
        <v>44109</v>
      </c>
      <c r="AL23" s="238">
        <v>44110</v>
      </c>
      <c r="AM23" s="238">
        <v>44111</v>
      </c>
      <c r="AN23" s="238">
        <v>44112</v>
      </c>
      <c r="AO23" s="238">
        <v>44113</v>
      </c>
      <c r="AP23" s="238">
        <v>44116</v>
      </c>
      <c r="AQ23" s="238">
        <v>44117</v>
      </c>
      <c r="AR23" s="238">
        <v>44118</v>
      </c>
      <c r="AS23" s="238">
        <v>44119</v>
      </c>
      <c r="AT23" s="238">
        <v>44120</v>
      </c>
      <c r="AU23" s="238">
        <v>44123</v>
      </c>
      <c r="AV23" s="238">
        <v>44124</v>
      </c>
      <c r="AW23" s="238">
        <v>44125</v>
      </c>
      <c r="AX23" s="238">
        <v>44126</v>
      </c>
      <c r="AY23" s="238">
        <v>44127</v>
      </c>
      <c r="AZ23" s="238">
        <v>44130</v>
      </c>
      <c r="BA23" s="238">
        <v>44131</v>
      </c>
      <c r="BB23" s="238">
        <v>44132</v>
      </c>
      <c r="BC23" s="238">
        <v>44133</v>
      </c>
      <c r="BD23" s="238">
        <v>44134</v>
      </c>
      <c r="BE23" s="238">
        <v>44137</v>
      </c>
      <c r="BF23" s="238">
        <v>44138</v>
      </c>
      <c r="BG23" s="238">
        <v>44139</v>
      </c>
      <c r="BH23" s="238">
        <v>44140</v>
      </c>
      <c r="BI23" s="238">
        <v>44141</v>
      </c>
      <c r="BJ23" s="238">
        <v>44144</v>
      </c>
      <c r="BK23" s="238">
        <v>44145</v>
      </c>
      <c r="BL23" s="238">
        <v>44146</v>
      </c>
      <c r="BM23" s="238">
        <v>44147</v>
      </c>
      <c r="BN23" s="238">
        <v>44148</v>
      </c>
      <c r="BO23" s="238">
        <v>44151</v>
      </c>
      <c r="BP23" s="238">
        <v>44152</v>
      </c>
      <c r="BQ23" s="238">
        <v>44153</v>
      </c>
      <c r="BR23" s="238">
        <v>44154</v>
      </c>
      <c r="BS23" s="238">
        <v>44155</v>
      </c>
      <c r="BT23" s="238">
        <v>44158</v>
      </c>
      <c r="BU23" s="238">
        <v>44159</v>
      </c>
      <c r="BV23" s="238">
        <v>44160</v>
      </c>
      <c r="BW23" s="238">
        <v>44161</v>
      </c>
      <c r="BX23" s="238">
        <v>44162</v>
      </c>
      <c r="BY23" s="238">
        <v>44165</v>
      </c>
      <c r="BZ23" s="238">
        <v>44166</v>
      </c>
      <c r="CA23" s="238">
        <v>44167</v>
      </c>
      <c r="CB23" s="238">
        <v>44168</v>
      </c>
      <c r="CC23" s="238">
        <v>44169</v>
      </c>
      <c r="CD23" s="238">
        <v>44172</v>
      </c>
      <c r="CE23" s="238">
        <v>44173</v>
      </c>
      <c r="CF23" s="238">
        <v>44174</v>
      </c>
      <c r="CG23" s="238">
        <v>44175</v>
      </c>
      <c r="CH23" s="238">
        <v>44176</v>
      </c>
      <c r="CI23" s="238">
        <v>44179</v>
      </c>
      <c r="CJ23" s="238">
        <v>44180</v>
      </c>
      <c r="CK23" s="238">
        <v>44181</v>
      </c>
      <c r="CL23" s="238">
        <v>44182</v>
      </c>
      <c r="CM23" s="238">
        <v>44183</v>
      </c>
      <c r="CN23" s="238">
        <v>44186</v>
      </c>
      <c r="CO23" s="238">
        <v>44187</v>
      </c>
      <c r="CP23" s="238">
        <v>44188</v>
      </c>
      <c r="CQ23" s="238">
        <v>44189</v>
      </c>
      <c r="CR23" s="238">
        <v>44190</v>
      </c>
      <c r="CS23" s="238">
        <v>44193</v>
      </c>
      <c r="CT23" s="238">
        <v>44194</v>
      </c>
      <c r="CU23" s="238">
        <v>44195</v>
      </c>
      <c r="CV23" s="238">
        <v>44196</v>
      </c>
    </row>
    <row r="24" spans="1:100" x14ac:dyDescent="0.2">
      <c r="A24" t="str">
        <f>IFERROR(INDEX(exit_newbonds,MATCH('NBs Prices'!G24,'NBs List'!$B$3:$B$14,0)),"")</f>
        <v>29_USD</v>
      </c>
      <c r="B24" t="s">
        <v>168</v>
      </c>
      <c r="C24">
        <v>2029</v>
      </c>
      <c r="D24" t="s">
        <v>0</v>
      </c>
      <c r="E24" t="s">
        <v>6</v>
      </c>
      <c r="F24" s="23">
        <f>IFERROR(INDEX('NBs List'!$E$3:$E$14,MATCH('NBs Prices'!G24,'NBs List'!$B$3:$B$14,0)),"")</f>
        <v>2635028874</v>
      </c>
      <c r="G24" t="s">
        <v>57</v>
      </c>
      <c r="H24" s="31" t="s">
        <v>166</v>
      </c>
      <c r="I24" s="31" t="s">
        <v>166</v>
      </c>
      <c r="J24" s="31" t="s">
        <v>166</v>
      </c>
      <c r="K24" s="31" t="s">
        <v>166</v>
      </c>
      <c r="L24" s="31" t="s">
        <v>166</v>
      </c>
      <c r="M24" s="31" t="s">
        <v>166</v>
      </c>
      <c r="N24" s="31" t="s">
        <v>166</v>
      </c>
      <c r="O24" s="31" t="s">
        <v>166</v>
      </c>
      <c r="P24" s="31" t="s">
        <v>166</v>
      </c>
      <c r="Q24" s="31" t="s">
        <v>166</v>
      </c>
      <c r="R24" s="31" t="s">
        <v>166</v>
      </c>
      <c r="S24" s="31" t="s">
        <v>166</v>
      </c>
      <c r="T24" s="31" t="s">
        <v>166</v>
      </c>
      <c r="U24" s="31">
        <v>10.44375</v>
      </c>
      <c r="V24" s="31">
        <v>10.726800000000001</v>
      </c>
      <c r="W24" s="228">
        <v>10.9955</v>
      </c>
      <c r="X24" s="31">
        <v>11.93285</v>
      </c>
      <c r="Y24" s="31">
        <v>12.597</v>
      </c>
      <c r="Z24" s="31">
        <v>12.884650000000001</v>
      </c>
      <c r="AA24" s="31">
        <v>13.562799999999999</v>
      </c>
      <c r="AB24" s="31">
        <v>13.55185</v>
      </c>
      <c r="AC24" s="31">
        <v>13.741949999999999</v>
      </c>
      <c r="AD24" s="31">
        <v>14.341799999999999</v>
      </c>
      <c r="AE24" s="31">
        <v>14.017250000000001</v>
      </c>
      <c r="AF24" s="31">
        <v>13.799200000000001</v>
      </c>
      <c r="AG24" s="31">
        <v>13.70965</v>
      </c>
      <c r="AH24" s="31">
        <v>13.4964</v>
      </c>
      <c r="AI24" s="31">
        <v>13.456799999999999</v>
      </c>
      <c r="AJ24" s="31">
        <v>14.5975</v>
      </c>
      <c r="AK24" s="31">
        <v>14.436249999999999</v>
      </c>
      <c r="AL24" s="31">
        <v>14.807650000000001</v>
      </c>
      <c r="AM24" s="31">
        <v>14.86875</v>
      </c>
      <c r="AN24" s="31">
        <v>14.796200000000001</v>
      </c>
      <c r="AO24" s="31">
        <v>14.6373</v>
      </c>
      <c r="AP24" s="31">
        <v>14.577999999999999</v>
      </c>
      <c r="AQ24" s="31">
        <v>14.9664</v>
      </c>
      <c r="AR24" s="31">
        <v>15.413650000000001</v>
      </c>
      <c r="AS24" s="31">
        <v>15.6966</v>
      </c>
      <c r="AT24" s="31">
        <v>15.496449999999999</v>
      </c>
      <c r="AU24" s="31">
        <v>15.881449999999999</v>
      </c>
      <c r="AV24" s="31">
        <v>15.815799999999999</v>
      </c>
      <c r="AW24" s="31">
        <v>15.85</v>
      </c>
      <c r="AX24" s="31">
        <v>15.7554</v>
      </c>
      <c r="AY24" s="31">
        <v>15.434900000000001</v>
      </c>
      <c r="AZ24" s="31">
        <v>15.701000000000001</v>
      </c>
      <c r="BA24" s="31">
        <v>15.766299999999999</v>
      </c>
      <c r="BB24" s="31">
        <v>15.941750000000001</v>
      </c>
      <c r="BC24" s="31">
        <v>16.14395</v>
      </c>
      <c r="BD24" s="31">
        <v>16.239149999999999</v>
      </c>
      <c r="BE24" s="31">
        <v>16.037649999999999</v>
      </c>
      <c r="BF24" s="31">
        <v>15.806150000000001</v>
      </c>
      <c r="BG24" s="31">
        <v>15.708299999999999</v>
      </c>
      <c r="BH24" s="31">
        <v>15.499000000000001</v>
      </c>
      <c r="BI24" s="31">
        <v>15.338200000000001</v>
      </c>
      <c r="BJ24" s="31">
        <v>14.953150000000001</v>
      </c>
      <c r="BK24" s="31">
        <v>15.1676</v>
      </c>
      <c r="BL24" s="31">
        <v>15.1676</v>
      </c>
      <c r="BM24" s="31">
        <v>15.030200000000001</v>
      </c>
      <c r="BN24" s="31">
        <v>14.8683</v>
      </c>
      <c r="BO24" s="31">
        <v>14.848750000000001</v>
      </c>
      <c r="BP24" s="31">
        <v>15.163</v>
      </c>
      <c r="BQ24" s="31">
        <v>15.15015</v>
      </c>
      <c r="BR24" s="31">
        <v>15.24085</v>
      </c>
      <c r="BS24" s="31">
        <v>15.2906</v>
      </c>
      <c r="BT24" s="31">
        <v>15.45645</v>
      </c>
      <c r="BU24" s="31">
        <v>15.31</v>
      </c>
      <c r="BV24" s="31">
        <v>15.364850000000001</v>
      </c>
      <c r="BW24" s="31">
        <v>15.27655</v>
      </c>
      <c r="BX24" s="31">
        <v>15.820399999999999</v>
      </c>
      <c r="BY24" s="31">
        <v>15.741</v>
      </c>
      <c r="BZ24" s="31">
        <v>15.6706</v>
      </c>
      <c r="CA24" s="31">
        <v>15.996499999999999</v>
      </c>
      <c r="CB24" s="31">
        <v>15.9709</v>
      </c>
      <c r="CC24" s="31">
        <v>15.97775</v>
      </c>
      <c r="CD24" s="31">
        <v>16.432749999999999</v>
      </c>
      <c r="CE24" s="31">
        <v>16.046800000000001</v>
      </c>
      <c r="CF24" s="31">
        <v>15.943099999999999</v>
      </c>
      <c r="CG24" s="31">
        <v>15.898999999999999</v>
      </c>
      <c r="CH24" s="31">
        <v>15.69675</v>
      </c>
      <c r="CI24" s="31">
        <v>15.554500000000001</v>
      </c>
      <c r="CJ24" s="31">
        <v>15.742150000000001</v>
      </c>
      <c r="CK24" s="31">
        <v>15.744450000000001</v>
      </c>
      <c r="CL24" s="31">
        <v>15.683249999999999</v>
      </c>
      <c r="CM24" s="31">
        <v>15.973100000000001</v>
      </c>
      <c r="CN24" s="31">
        <v>15.5343</v>
      </c>
      <c r="CO24" s="31">
        <v>15.6585</v>
      </c>
      <c r="CP24" s="31">
        <v>15.52375</v>
      </c>
      <c r="CQ24" s="31">
        <v>15.413500000000001</v>
      </c>
      <c r="CR24" s="31">
        <v>15.413500000000001</v>
      </c>
      <c r="CS24" s="31">
        <v>16.018699999999999</v>
      </c>
      <c r="CT24" s="31">
        <v>15.54505</v>
      </c>
      <c r="CU24" s="31">
        <v>15.60365</v>
      </c>
      <c r="CV24" s="31">
        <v>15.507149999999999</v>
      </c>
    </row>
    <row r="25" spans="1:100" x14ac:dyDescent="0.2">
      <c r="A25" t="str">
        <f>IFERROR(INDEX(exit_newbonds,MATCH('NBs Prices'!G25,'NBs List'!$B$3:$B$14,0)),"")</f>
        <v>29_EUR</v>
      </c>
      <c r="B25" t="s">
        <v>169</v>
      </c>
      <c r="C25">
        <v>2029</v>
      </c>
      <c r="D25" t="s">
        <v>1</v>
      </c>
      <c r="E25" t="s">
        <v>6</v>
      </c>
      <c r="F25" s="23">
        <f>IFERROR(INDEX('NBs List'!$E$3:$E$14,MATCH('NBs Prices'!G25,'NBs List'!$B$3:$B$14,0)),"")</f>
        <v>90389736</v>
      </c>
      <c r="G25" t="s">
        <v>58</v>
      </c>
      <c r="H25" s="31" t="s">
        <v>166</v>
      </c>
      <c r="I25" s="31" t="s">
        <v>166</v>
      </c>
      <c r="J25" s="31" t="s">
        <v>166</v>
      </c>
      <c r="K25" s="31" t="s">
        <v>166</v>
      </c>
      <c r="L25" s="31" t="s">
        <v>166</v>
      </c>
      <c r="M25" s="31" t="s">
        <v>166</v>
      </c>
      <c r="N25" s="31" t="s">
        <v>166</v>
      </c>
      <c r="O25" s="31" t="s">
        <v>166</v>
      </c>
      <c r="P25" s="31" t="s">
        <v>166</v>
      </c>
      <c r="Q25" s="31" t="s">
        <v>166</v>
      </c>
      <c r="R25" s="31" t="s">
        <v>166</v>
      </c>
      <c r="S25" s="31" t="s">
        <v>166</v>
      </c>
      <c r="T25" s="31" t="s">
        <v>166</v>
      </c>
      <c r="U25" s="31" t="s">
        <v>166</v>
      </c>
      <c r="V25" s="31">
        <v>11.120341799193</v>
      </c>
      <c r="W25" s="228">
        <v>11.2882592627689</v>
      </c>
      <c r="X25" s="31">
        <v>11.412369307106101</v>
      </c>
      <c r="Y25" s="31">
        <v>12.060182442838499</v>
      </c>
      <c r="Z25" s="31">
        <v>12.0618837371717</v>
      </c>
      <c r="AA25" s="31">
        <v>13.828572773599801</v>
      </c>
      <c r="AB25" s="31">
        <v>14.2345421768548</v>
      </c>
      <c r="AC25" s="31">
        <v>14.6086672651596</v>
      </c>
      <c r="AD25" s="31">
        <v>14.6250364750511</v>
      </c>
      <c r="AE25" s="31">
        <v>14.3746002209688</v>
      </c>
      <c r="AF25" s="31">
        <v>15.1515151515152</v>
      </c>
      <c r="AG25" s="31">
        <v>15.264665821238999</v>
      </c>
      <c r="AH25" s="31">
        <v>14.9169781694184</v>
      </c>
      <c r="AI25" s="31">
        <v>14.3900949158914</v>
      </c>
      <c r="AJ25" s="31">
        <v>18.8228404099561</v>
      </c>
      <c r="AK25" s="31">
        <v>19.368063900473601</v>
      </c>
      <c r="AL25" s="31">
        <v>19.290793457088501</v>
      </c>
      <c r="AM25" s="31">
        <v>19.4863231178117</v>
      </c>
      <c r="AN25" s="31">
        <v>18.883454049477901</v>
      </c>
      <c r="AO25" s="31">
        <v>18.599096649088398</v>
      </c>
      <c r="AP25" s="31">
        <v>18.640804224303899</v>
      </c>
      <c r="AQ25" s="31">
        <v>19.0957134468585</v>
      </c>
      <c r="AR25" s="31">
        <v>19.099077935044299</v>
      </c>
      <c r="AS25" s="31">
        <v>19.443729075457099</v>
      </c>
      <c r="AT25" s="31">
        <v>19.522141107817099</v>
      </c>
      <c r="AU25" s="31">
        <v>19.860926451036001</v>
      </c>
      <c r="AV25" s="31">
        <v>20.296707843253198</v>
      </c>
      <c r="AW25" s="31">
        <v>20.1874036294627</v>
      </c>
      <c r="AX25" s="31">
        <v>20.146282095213301</v>
      </c>
      <c r="AY25" s="31">
        <v>20.112897870120001</v>
      </c>
      <c r="AZ25" s="31">
        <v>19.931985641413199</v>
      </c>
      <c r="BA25" s="31">
        <v>19.803731924229201</v>
      </c>
      <c r="BB25" s="31">
        <v>20.129183793305899</v>
      </c>
      <c r="BC25" s="31">
        <v>20.3362129348587</v>
      </c>
      <c r="BD25" s="31">
        <v>20.289078605620801</v>
      </c>
      <c r="BE25" s="31">
        <v>19.8926796335743</v>
      </c>
      <c r="BF25" s="31">
        <v>20.341960416910599</v>
      </c>
      <c r="BG25" s="31">
        <v>20.325870355175201</v>
      </c>
      <c r="BH25" s="31">
        <v>20.249423724806402</v>
      </c>
      <c r="BI25" s="31">
        <v>20.479152816031899</v>
      </c>
      <c r="BJ25" s="31">
        <v>19.6330903807307</v>
      </c>
      <c r="BK25" s="31">
        <v>19.906669029475999</v>
      </c>
      <c r="BL25" s="31">
        <v>19.679429049239801</v>
      </c>
      <c r="BM25" s="31">
        <v>19.995986637864899</v>
      </c>
      <c r="BN25" s="31">
        <v>19.747506418827001</v>
      </c>
      <c r="BO25" s="31">
        <v>19.498145009304601</v>
      </c>
      <c r="BP25" s="31">
        <v>19.582493179931198</v>
      </c>
      <c r="BQ25" s="31">
        <v>19.1528195889729</v>
      </c>
      <c r="BR25" s="31">
        <v>19.364796675571402</v>
      </c>
      <c r="BS25" s="31">
        <v>19.166261689997299</v>
      </c>
      <c r="BT25" s="31">
        <v>19.098023893250001</v>
      </c>
      <c r="BU25" s="31">
        <v>18.937682778953398</v>
      </c>
      <c r="BV25" s="31">
        <v>19.120345000119102</v>
      </c>
      <c r="BW25" s="31">
        <v>19.108432012580099</v>
      </c>
      <c r="BX25" s="31">
        <v>19.1511758654513</v>
      </c>
      <c r="BY25" s="31">
        <v>19.096808053819402</v>
      </c>
      <c r="BZ25" s="31">
        <v>19.287869643934801</v>
      </c>
      <c r="CA25" s="31">
        <v>19.420416272927699</v>
      </c>
      <c r="CB25" s="31">
        <v>19.4119360947895</v>
      </c>
      <c r="CC25" s="31">
        <v>19.1981383623406</v>
      </c>
      <c r="CD25" s="31">
        <v>19.372805424385501</v>
      </c>
      <c r="CE25" s="31">
        <v>19.470461531014799</v>
      </c>
      <c r="CF25" s="31">
        <v>19.4744790093627</v>
      </c>
      <c r="CG25" s="31">
        <v>19.478391728055001</v>
      </c>
      <c r="CH25" s="31">
        <v>19.510718178515202</v>
      </c>
      <c r="CI25" s="31">
        <v>18.882358655527501</v>
      </c>
      <c r="CJ25" s="31">
        <v>18.833993535687402</v>
      </c>
      <c r="CK25" s="31">
        <v>18.929830338956201</v>
      </c>
      <c r="CL25" s="31">
        <v>19.036871672840601</v>
      </c>
      <c r="CM25" s="31">
        <v>19.0443510337136</v>
      </c>
      <c r="CN25" s="31">
        <v>19.170971769948299</v>
      </c>
      <c r="CO25" s="31">
        <v>19.007661437431601</v>
      </c>
      <c r="CP25" s="31">
        <v>19.142662182580299</v>
      </c>
      <c r="CQ25" s="31">
        <v>18.9127600199851</v>
      </c>
      <c r="CR25" s="31">
        <v>18.9406883085184</v>
      </c>
      <c r="CS25" s="31">
        <v>19.102756708560801</v>
      </c>
      <c r="CT25" s="31">
        <v>18.799064333214901</v>
      </c>
      <c r="CU25" s="31">
        <v>19.192465635527601</v>
      </c>
      <c r="CV25" s="31">
        <v>19.192465635527601</v>
      </c>
    </row>
    <row r="26" spans="1:100" x14ac:dyDescent="0.2">
      <c r="A26" t="str">
        <f>IFERROR(INDEX(exit_newbonds,MATCH('NBs Prices'!G26,'NBs List'!$B$3:$B$14,0)),"")</f>
        <v/>
      </c>
      <c r="B26" t="s">
        <v>94</v>
      </c>
      <c r="C26">
        <v>2029</v>
      </c>
      <c r="D26" t="s">
        <v>0</v>
      </c>
      <c r="F26" s="23" t="str">
        <f>IFERROR(INDEX('NBs List'!$E$3:$E$14,MATCH('NBs Prices'!G26,'NBs List'!$B$3:$B$14,0)),"")</f>
        <v/>
      </c>
      <c r="G26" t="s">
        <v>69</v>
      </c>
      <c r="H26" s="31" t="s">
        <v>166</v>
      </c>
      <c r="I26" s="31" t="s">
        <v>166</v>
      </c>
      <c r="J26" s="31" t="s">
        <v>166</v>
      </c>
      <c r="K26" s="31" t="s">
        <v>166</v>
      </c>
      <c r="L26" s="31" t="s">
        <v>166</v>
      </c>
      <c r="M26" s="31" t="s">
        <v>166</v>
      </c>
      <c r="N26" s="31" t="s">
        <v>166</v>
      </c>
      <c r="O26" s="31" t="s">
        <v>166</v>
      </c>
      <c r="P26" s="31" t="s">
        <v>166</v>
      </c>
      <c r="Q26" s="31" t="s">
        <v>166</v>
      </c>
      <c r="R26" s="31" t="s">
        <v>166</v>
      </c>
      <c r="S26" s="31" t="s">
        <v>166</v>
      </c>
      <c r="T26" s="31" t="s">
        <v>166</v>
      </c>
      <c r="U26" s="31">
        <v>11.11</v>
      </c>
      <c r="V26" s="31">
        <v>11.65</v>
      </c>
      <c r="W26" s="228">
        <v>12.37</v>
      </c>
      <c r="X26" s="31">
        <v>12.64</v>
      </c>
      <c r="Y26" s="31">
        <v>13.38</v>
      </c>
      <c r="Z26" s="31">
        <v>14.25</v>
      </c>
      <c r="AA26" s="31">
        <v>14.3</v>
      </c>
      <c r="AB26" s="31">
        <v>14.66</v>
      </c>
      <c r="AC26" s="31">
        <v>15.07</v>
      </c>
      <c r="AD26" s="31">
        <v>15.51</v>
      </c>
      <c r="AE26" s="31">
        <v>15.31</v>
      </c>
      <c r="AF26" s="31">
        <v>14.49</v>
      </c>
      <c r="AG26" s="31">
        <v>14.7</v>
      </c>
      <c r="AH26" s="31">
        <v>15.12</v>
      </c>
      <c r="AI26" s="31">
        <v>15.24</v>
      </c>
      <c r="AJ26" s="31">
        <v>15.78</v>
      </c>
      <c r="AK26" s="31">
        <v>15.47</v>
      </c>
      <c r="AL26" s="31">
        <v>16.010000000000002</v>
      </c>
      <c r="AM26" s="31">
        <v>16.13</v>
      </c>
      <c r="AN26" s="31">
        <v>15.94</v>
      </c>
      <c r="AO26" s="31">
        <v>15.94</v>
      </c>
      <c r="AP26" s="31">
        <v>15.94</v>
      </c>
      <c r="AQ26" s="31">
        <v>16.059999999999999</v>
      </c>
      <c r="AR26" s="31">
        <v>16.52</v>
      </c>
      <c r="AS26" s="31">
        <v>16.88</v>
      </c>
      <c r="AT26" s="31">
        <v>16.54</v>
      </c>
      <c r="AU26" s="31">
        <v>16.78</v>
      </c>
      <c r="AV26" s="31">
        <v>16.899999999999999</v>
      </c>
      <c r="AW26" s="31">
        <v>17.149999999999999</v>
      </c>
      <c r="AX26" s="31">
        <v>17.649999999999999</v>
      </c>
      <c r="AY26" s="31">
        <v>17.54</v>
      </c>
      <c r="AZ26" s="31">
        <v>17.670000000000002</v>
      </c>
      <c r="BA26" s="31">
        <v>17.670000000000002</v>
      </c>
      <c r="BB26" s="31">
        <v>17.8</v>
      </c>
      <c r="BC26" s="31">
        <v>17.88</v>
      </c>
      <c r="BD26" s="31">
        <v>17.95</v>
      </c>
      <c r="BE26" s="31">
        <v>17.899999999999999</v>
      </c>
      <c r="BF26" s="31">
        <v>17.66</v>
      </c>
      <c r="BG26" s="31">
        <v>17.14</v>
      </c>
      <c r="BH26" s="31">
        <v>17.09</v>
      </c>
      <c r="BI26" s="31">
        <v>16.68</v>
      </c>
      <c r="BJ26" s="31">
        <v>16.010000000000002</v>
      </c>
      <c r="BK26" s="31">
        <v>16.239999999999998</v>
      </c>
      <c r="BL26" s="31">
        <v>16.239999999999998</v>
      </c>
      <c r="BM26" s="31">
        <v>16.05</v>
      </c>
      <c r="BN26" s="31">
        <v>15.83</v>
      </c>
      <c r="BO26" s="31">
        <v>14.73</v>
      </c>
      <c r="BP26" s="31">
        <v>15.1</v>
      </c>
      <c r="BQ26" s="31">
        <v>15.05</v>
      </c>
      <c r="BR26" s="31">
        <v>15.24</v>
      </c>
      <c r="BS26" s="31">
        <v>15.3</v>
      </c>
      <c r="BT26" s="31">
        <v>15.3</v>
      </c>
      <c r="BU26" s="31">
        <v>15.3</v>
      </c>
      <c r="BV26" s="31">
        <v>15.36</v>
      </c>
      <c r="BW26" s="31">
        <v>15.28</v>
      </c>
      <c r="BX26" s="31">
        <v>15.82</v>
      </c>
      <c r="BY26" s="31">
        <v>16.38</v>
      </c>
      <c r="BZ26" s="31">
        <v>16.62</v>
      </c>
      <c r="CA26" s="31">
        <v>16.28</v>
      </c>
      <c r="CB26" s="31">
        <v>17.02</v>
      </c>
      <c r="CC26" s="31">
        <v>16.91</v>
      </c>
      <c r="CD26" s="31">
        <v>16.91</v>
      </c>
      <c r="CE26" s="31">
        <v>16.91</v>
      </c>
      <c r="CF26" s="31">
        <v>16.68</v>
      </c>
      <c r="CG26" s="31">
        <v>16.48</v>
      </c>
      <c r="CH26" s="31">
        <v>16.37</v>
      </c>
      <c r="CI26" s="31">
        <v>16.27</v>
      </c>
      <c r="CJ26" s="31">
        <v>15.83</v>
      </c>
      <c r="CK26" s="31">
        <v>15.84</v>
      </c>
      <c r="CL26" s="31">
        <v>15.76</v>
      </c>
      <c r="CM26" s="31">
        <v>16.38</v>
      </c>
      <c r="CN26" s="31">
        <v>16.79</v>
      </c>
      <c r="CO26" s="31">
        <v>16.79</v>
      </c>
      <c r="CP26" s="31">
        <v>15.6</v>
      </c>
      <c r="CQ26" s="31">
        <v>15.6</v>
      </c>
      <c r="CR26" s="31">
        <v>15.6</v>
      </c>
      <c r="CS26" s="31">
        <v>16.16</v>
      </c>
      <c r="CT26" s="31">
        <v>15.61</v>
      </c>
      <c r="CU26" s="31">
        <v>16.649999999999999</v>
      </c>
      <c r="CV26" s="31">
        <v>16.649999999999999</v>
      </c>
    </row>
    <row r="27" spans="1:100" x14ac:dyDescent="0.2">
      <c r="A27" t="str">
        <f>IFERROR(INDEX(exit_newbonds,MATCH('NBs Prices'!G27,'NBs List'!$B$3:$B$14,0)),"")</f>
        <v>30_USD</v>
      </c>
      <c r="B27" t="s">
        <v>147</v>
      </c>
      <c r="C27">
        <v>2030</v>
      </c>
      <c r="D27" t="s">
        <v>0</v>
      </c>
      <c r="E27" t="s">
        <v>6</v>
      </c>
      <c r="F27" s="23">
        <f>IFERROR(INDEX('NBs List'!$E$3:$E$14,MATCH('NBs Prices'!G27,'NBs List'!$B$3:$B$14,0)),"")</f>
        <v>16090612138</v>
      </c>
      <c r="G27" t="s">
        <v>59</v>
      </c>
      <c r="H27" s="31" t="s">
        <v>166</v>
      </c>
      <c r="I27" s="31" t="s">
        <v>166</v>
      </c>
      <c r="J27" s="31" t="s">
        <v>166</v>
      </c>
      <c r="K27" s="31" t="s">
        <v>166</v>
      </c>
      <c r="L27" s="31" t="s">
        <v>166</v>
      </c>
      <c r="M27" s="31" t="s">
        <v>166</v>
      </c>
      <c r="N27" s="31" t="s">
        <v>166</v>
      </c>
      <c r="O27" s="31" t="s">
        <v>166</v>
      </c>
      <c r="P27" s="31" t="s">
        <v>166</v>
      </c>
      <c r="Q27" s="31" t="s">
        <v>166</v>
      </c>
      <c r="R27" s="31" t="s">
        <v>166</v>
      </c>
      <c r="S27" s="31" t="s">
        <v>166</v>
      </c>
      <c r="T27" s="31">
        <v>10.507149999999999</v>
      </c>
      <c r="U27" s="31">
        <v>10.5114</v>
      </c>
      <c r="V27" s="31">
        <v>10.84595</v>
      </c>
      <c r="W27" s="228">
        <v>11.16855</v>
      </c>
      <c r="X27" s="31">
        <v>11.9132</v>
      </c>
      <c r="Y27" s="31">
        <v>11.9345</v>
      </c>
      <c r="Z27" s="31">
        <v>12.89335</v>
      </c>
      <c r="AA27" s="31">
        <v>13.598050000000001</v>
      </c>
      <c r="AB27" s="31">
        <v>13.67605</v>
      </c>
      <c r="AC27" s="31">
        <v>13.988200000000001</v>
      </c>
      <c r="AD27" s="31">
        <v>26.54325</v>
      </c>
      <c r="AE27" s="31">
        <v>15.081899999999999</v>
      </c>
      <c r="AF27" s="31">
        <v>14.853</v>
      </c>
      <c r="AG27" s="31">
        <v>14.881550000000001</v>
      </c>
      <c r="AH27" s="31">
        <v>14.677350000000001</v>
      </c>
      <c r="AI27" s="31">
        <v>14.8565</v>
      </c>
      <c r="AJ27" s="31">
        <v>15.20495</v>
      </c>
      <c r="AK27" s="31">
        <v>15.184749999999999</v>
      </c>
      <c r="AL27" s="31">
        <v>15.4764</v>
      </c>
      <c r="AM27" s="31">
        <v>15.4574</v>
      </c>
      <c r="AN27" s="31">
        <v>15.2928</v>
      </c>
      <c r="AO27" s="31">
        <v>15.04195</v>
      </c>
      <c r="AP27" s="31">
        <v>14.9686</v>
      </c>
      <c r="AQ27" s="31">
        <v>15.288650000000001</v>
      </c>
      <c r="AR27" s="31">
        <v>15.711499999999999</v>
      </c>
      <c r="AS27" s="31">
        <v>15.974299999999999</v>
      </c>
      <c r="AT27" s="31">
        <v>15.684749999999999</v>
      </c>
      <c r="AU27" s="31">
        <v>16.17295</v>
      </c>
      <c r="AV27" s="31">
        <v>16.198149999999998</v>
      </c>
      <c r="AW27" s="31">
        <v>16.315999999999999</v>
      </c>
      <c r="AX27" s="31">
        <v>16.366800000000001</v>
      </c>
      <c r="AY27" s="31">
        <v>16.150099999999998</v>
      </c>
      <c r="AZ27" s="31">
        <v>16.452200000000001</v>
      </c>
      <c r="BA27" s="31">
        <v>16.567799999999998</v>
      </c>
      <c r="BB27" s="31">
        <v>16.737400000000001</v>
      </c>
      <c r="BC27" s="31">
        <v>16.905249999999999</v>
      </c>
      <c r="BD27" s="31">
        <v>16.997900000000001</v>
      </c>
      <c r="BE27" s="31">
        <v>16.723500000000001</v>
      </c>
      <c r="BF27" s="31">
        <v>16.486550000000001</v>
      </c>
      <c r="BG27" s="31">
        <v>16.216850000000001</v>
      </c>
      <c r="BH27" s="31">
        <v>16.149450000000002</v>
      </c>
      <c r="BI27" s="31">
        <v>16.005649999999999</v>
      </c>
      <c r="BJ27" s="31">
        <v>15.5909</v>
      </c>
      <c r="BK27" s="31">
        <v>15.81845</v>
      </c>
      <c r="BL27" s="31">
        <v>15.81845</v>
      </c>
      <c r="BM27" s="31">
        <v>15.565</v>
      </c>
      <c r="BN27" s="31">
        <v>15.4137</v>
      </c>
      <c r="BO27" s="31">
        <v>15.21885</v>
      </c>
      <c r="BP27" s="31">
        <v>15.7881</v>
      </c>
      <c r="BQ27" s="31">
        <v>15.7219</v>
      </c>
      <c r="BR27" s="31">
        <v>15.836</v>
      </c>
      <c r="BS27" s="31">
        <v>16.123750000000001</v>
      </c>
      <c r="BT27" s="31">
        <v>15.79485</v>
      </c>
      <c r="BU27" s="31">
        <v>15.6439</v>
      </c>
      <c r="BV27" s="31">
        <v>15.762</v>
      </c>
      <c r="BW27" s="31">
        <v>15.66555</v>
      </c>
      <c r="BX27" s="31">
        <v>16.062850000000001</v>
      </c>
      <c r="BY27" s="31">
        <v>15.989800000000001</v>
      </c>
      <c r="BZ27" s="31">
        <v>15.965199999999999</v>
      </c>
      <c r="CA27" s="31">
        <v>16.103649999999998</v>
      </c>
      <c r="CB27" s="31">
        <v>16.107749999999999</v>
      </c>
      <c r="CC27" s="31">
        <v>16.34355</v>
      </c>
      <c r="CD27" s="31">
        <v>16.583100000000002</v>
      </c>
      <c r="CE27" s="31">
        <v>16.474399999999999</v>
      </c>
      <c r="CF27" s="31">
        <v>16.251650000000001</v>
      </c>
      <c r="CG27" s="31">
        <v>16.149850000000001</v>
      </c>
      <c r="CH27" s="31">
        <v>15.719749999999999</v>
      </c>
      <c r="CI27" s="31">
        <v>15.630699999999999</v>
      </c>
      <c r="CJ27" s="31">
        <v>15.90415</v>
      </c>
      <c r="CK27" s="31">
        <v>15.871650000000001</v>
      </c>
      <c r="CL27" s="31">
        <v>15.749650000000001</v>
      </c>
      <c r="CM27" s="31">
        <v>15.844150000000001</v>
      </c>
      <c r="CN27" s="31">
        <v>15.5585</v>
      </c>
      <c r="CO27" s="31">
        <v>15.53035</v>
      </c>
      <c r="CP27" s="31">
        <v>15.558249999999999</v>
      </c>
      <c r="CQ27" s="31">
        <v>15.384550000000001</v>
      </c>
      <c r="CR27" s="31">
        <v>15.384550000000001</v>
      </c>
      <c r="CS27" s="31">
        <v>15.609500000000001</v>
      </c>
      <c r="CT27" s="31">
        <v>15.609500000000001</v>
      </c>
      <c r="CU27" s="31">
        <v>15.57945</v>
      </c>
      <c r="CV27" s="31">
        <v>15.482150000000001</v>
      </c>
    </row>
    <row r="28" spans="1:100" x14ac:dyDescent="0.2">
      <c r="A28" t="str">
        <f>IFERROR(INDEX(exit_newbonds,MATCH('NBs Prices'!G28,'NBs List'!$B$3:$B$14,0)),"")</f>
        <v>30_EUR</v>
      </c>
      <c r="B28" t="s">
        <v>170</v>
      </c>
      <c r="C28">
        <v>2030</v>
      </c>
      <c r="D28" t="s">
        <v>1</v>
      </c>
      <c r="E28" t="s">
        <v>6</v>
      </c>
      <c r="F28" s="23">
        <f>IFERROR(INDEX('NBs List'!$E$3:$E$14,MATCH('NBs Prices'!G28,'NBs List'!$B$3:$B$14,0)),"")</f>
        <v>1165590836</v>
      </c>
      <c r="G28" t="s">
        <v>60</v>
      </c>
      <c r="H28" s="31" t="s">
        <v>166</v>
      </c>
      <c r="I28" s="31" t="s">
        <v>166</v>
      </c>
      <c r="J28" s="31" t="s">
        <v>166</v>
      </c>
      <c r="K28" s="31" t="s">
        <v>166</v>
      </c>
      <c r="L28" s="31" t="s">
        <v>166</v>
      </c>
      <c r="M28" s="31" t="s">
        <v>166</v>
      </c>
      <c r="N28" s="31" t="s">
        <v>166</v>
      </c>
      <c r="O28" s="31" t="s">
        <v>166</v>
      </c>
      <c r="P28" s="31" t="s">
        <v>166</v>
      </c>
      <c r="Q28" s="31" t="s">
        <v>166</v>
      </c>
      <c r="R28" s="31" t="s">
        <v>166</v>
      </c>
      <c r="S28" s="31" t="s">
        <v>166</v>
      </c>
      <c r="T28" s="31" t="s">
        <v>166</v>
      </c>
      <c r="U28" s="31" t="s">
        <v>166</v>
      </c>
      <c r="V28" s="31">
        <v>15.143603133159299</v>
      </c>
      <c r="W28" s="228">
        <v>14.912820998768099</v>
      </c>
      <c r="X28" s="31">
        <v>15.6181700041349</v>
      </c>
      <c r="Y28" s="31">
        <v>16.6331003435612</v>
      </c>
      <c r="Z28" s="31">
        <v>17.708123720126402</v>
      </c>
      <c r="AA28" s="31">
        <v>18.748013981569802</v>
      </c>
      <c r="AB28" s="31">
        <v>19.174490202046201</v>
      </c>
      <c r="AC28" s="31">
        <v>20.321553905166098</v>
      </c>
      <c r="AD28" s="31">
        <v>19.538955354537499</v>
      </c>
      <c r="AE28" s="31">
        <v>19.549921497935699</v>
      </c>
      <c r="AF28" s="31">
        <v>19.327221405743298</v>
      </c>
      <c r="AG28" s="31">
        <v>19.585740453712798</v>
      </c>
      <c r="AH28" s="31">
        <v>19.276063698895001</v>
      </c>
      <c r="AI28" s="31">
        <v>19.300347711681201</v>
      </c>
      <c r="AJ28" s="31">
        <v>19.6427525622255</v>
      </c>
      <c r="AK28" s="31">
        <v>19.591904055041098</v>
      </c>
      <c r="AL28" s="31">
        <v>20.1121776067213</v>
      </c>
      <c r="AM28" s="31">
        <v>21.391443422630999</v>
      </c>
      <c r="AN28" s="31">
        <v>19.683002539742301</v>
      </c>
      <c r="AO28" s="31">
        <v>20.017972426514099</v>
      </c>
      <c r="AP28" s="31">
        <v>20.164672250245101</v>
      </c>
      <c r="AQ28" s="31">
        <v>20.058719906048101</v>
      </c>
      <c r="AR28" s="31">
        <v>20.661302636988299</v>
      </c>
      <c r="AS28" s="31">
        <v>20.930395898204299</v>
      </c>
      <c r="AT28" s="31">
        <v>20.6470664057465</v>
      </c>
      <c r="AU28" s="31">
        <v>21.0572848889882</v>
      </c>
      <c r="AV28" s="31">
        <v>21.478810804421101</v>
      </c>
      <c r="AW28" s="31">
        <v>21.5158344205907</v>
      </c>
      <c r="AX28" s="31">
        <v>21.670546253736799</v>
      </c>
      <c r="AY28" s="31">
        <v>20.9667473080025</v>
      </c>
      <c r="AZ28" s="31">
        <v>20.900245607405999</v>
      </c>
      <c r="BA28" s="31">
        <v>21.183741831992599</v>
      </c>
      <c r="BB28" s="31">
        <v>21.479741632413401</v>
      </c>
      <c r="BC28" s="31">
        <v>21.585337380340899</v>
      </c>
      <c r="BD28" s="31">
        <v>21.337308843569101</v>
      </c>
      <c r="BE28" s="31">
        <v>21.5921127678644</v>
      </c>
      <c r="BF28" s="31">
        <v>21.395948003279099</v>
      </c>
      <c r="BG28" s="31">
        <v>21.228460907279299</v>
      </c>
      <c r="BH28" s="31">
        <v>21.183285064129102</v>
      </c>
      <c r="BI28" s="31">
        <v>20.965903694557898</v>
      </c>
      <c r="BJ28" s="31">
        <v>20.578124815422999</v>
      </c>
      <c r="BK28" s="31">
        <v>20.686396124992601</v>
      </c>
      <c r="BL28" s="31">
        <v>20.562706834214602</v>
      </c>
      <c r="BM28" s="31">
        <v>20.385518845096001</v>
      </c>
      <c r="BN28" s="31">
        <v>20.5875740975188</v>
      </c>
      <c r="BO28" s="31">
        <v>20.4108241373997</v>
      </c>
      <c r="BP28" s="31">
        <v>20.733009132961701</v>
      </c>
      <c r="BQ28" s="31">
        <v>20.776542536800399</v>
      </c>
      <c r="BR28" s="31">
        <v>20.837043633125599</v>
      </c>
      <c r="BS28" s="31">
        <v>20.683442578259299</v>
      </c>
      <c r="BT28" s="31">
        <v>20.6609123953634</v>
      </c>
      <c r="BU28" s="31">
        <v>20.602011460091799</v>
      </c>
      <c r="BV28" s="31">
        <v>20.740511305425201</v>
      </c>
      <c r="BW28" s="31">
        <v>21.0025970312835</v>
      </c>
      <c r="BX28" s="31">
        <v>21.136869303093398</v>
      </c>
      <c r="BY28" s="31">
        <v>21.303497304260699</v>
      </c>
      <c r="BZ28" s="31">
        <v>21.617380808690399</v>
      </c>
      <c r="CA28" s="31">
        <v>21.710159676286001</v>
      </c>
      <c r="CB28" s="31">
        <v>21.8035254698198</v>
      </c>
      <c r="CC28" s="31">
        <v>21.731226062927199</v>
      </c>
      <c r="CD28" s="31">
        <v>21.854946119384898</v>
      </c>
      <c r="CE28" s="31">
        <v>21.793847866598899</v>
      </c>
      <c r="CF28" s="31">
        <v>21.818181818181799</v>
      </c>
      <c r="CG28" s="31">
        <v>21.954149929004</v>
      </c>
      <c r="CH28" s="31">
        <v>21.436357030398401</v>
      </c>
      <c r="CI28" s="31">
        <v>21.456673790557598</v>
      </c>
      <c r="CJ28" s="31">
        <v>21.470752630683599</v>
      </c>
      <c r="CK28" s="31">
        <v>21.247270908802601</v>
      </c>
      <c r="CL28" s="31">
        <v>21.465544734195198</v>
      </c>
      <c r="CM28" s="31">
        <v>21.6179119842155</v>
      </c>
      <c r="CN28" s="31">
        <v>21.4357417427711</v>
      </c>
      <c r="CO28" s="31">
        <v>21.628879362763001</v>
      </c>
      <c r="CP28" s="31">
        <v>21.409075400887101</v>
      </c>
      <c r="CQ28" s="31">
        <v>21.252482909055502</v>
      </c>
      <c r="CR28" s="31">
        <v>21.2838662435929</v>
      </c>
      <c r="CS28" s="31">
        <v>21.313497734295801</v>
      </c>
      <c r="CT28" s="31">
        <v>21.5301336141967</v>
      </c>
      <c r="CU28" s="31">
        <v>21.405562249489801</v>
      </c>
      <c r="CV28" s="31">
        <v>21.5192965315095</v>
      </c>
    </row>
    <row r="29" spans="1:100" x14ac:dyDescent="0.2">
      <c r="A29" t="str">
        <f>IFERROR(INDEX(exit_newbonds,MATCH('NBs Prices'!G29,'NBs List'!$B$3:$B$14,0)),"")</f>
        <v/>
      </c>
      <c r="B29" t="s">
        <v>95</v>
      </c>
      <c r="C29">
        <v>2030</v>
      </c>
      <c r="D29" t="s">
        <v>0</v>
      </c>
      <c r="F29" s="23" t="str">
        <f>IFERROR(INDEX('NBs List'!$E$3:$E$14,MATCH('NBs Prices'!G29,'NBs List'!$B$3:$B$14,0)),"")</f>
        <v/>
      </c>
      <c r="G29" t="s">
        <v>70</v>
      </c>
      <c r="H29" s="31" t="s">
        <v>166</v>
      </c>
      <c r="I29" s="31" t="s">
        <v>166</v>
      </c>
      <c r="J29" s="31" t="s">
        <v>166</v>
      </c>
      <c r="K29" s="31" t="s">
        <v>166</v>
      </c>
      <c r="L29" s="31" t="s">
        <v>166</v>
      </c>
      <c r="M29" s="31" t="s">
        <v>166</v>
      </c>
      <c r="N29" s="31" t="s">
        <v>166</v>
      </c>
      <c r="O29" s="31" t="s">
        <v>166</v>
      </c>
      <c r="P29" s="31" t="s">
        <v>166</v>
      </c>
      <c r="Q29" s="31" t="s">
        <v>166</v>
      </c>
      <c r="R29" s="31" t="s">
        <v>166</v>
      </c>
      <c r="S29" s="31" t="s">
        <v>166</v>
      </c>
      <c r="T29" s="31" t="s">
        <v>166</v>
      </c>
      <c r="U29" s="31" t="s">
        <v>166</v>
      </c>
      <c r="V29" s="31" t="s">
        <v>166</v>
      </c>
      <c r="W29" s="228" t="s">
        <v>166</v>
      </c>
      <c r="X29" s="31" t="s">
        <v>166</v>
      </c>
      <c r="Y29" s="31" t="s">
        <v>166</v>
      </c>
      <c r="Z29" s="31" t="s">
        <v>166</v>
      </c>
      <c r="AA29" s="31" t="s">
        <v>166</v>
      </c>
      <c r="AB29" s="31" t="s">
        <v>166</v>
      </c>
      <c r="AC29" s="31" t="s">
        <v>166</v>
      </c>
      <c r="AD29" s="31" t="s">
        <v>166</v>
      </c>
      <c r="AE29" s="31" t="s">
        <v>166</v>
      </c>
      <c r="AF29" s="31">
        <v>14.06</v>
      </c>
      <c r="AG29" s="31">
        <v>14.67</v>
      </c>
      <c r="AH29" s="31">
        <v>14.28</v>
      </c>
      <c r="AI29" s="31">
        <v>14.34</v>
      </c>
      <c r="AJ29" s="31">
        <v>14.81</v>
      </c>
      <c r="AK29" s="31">
        <v>15.02</v>
      </c>
      <c r="AL29" s="31">
        <v>15.02</v>
      </c>
      <c r="AM29" s="31">
        <v>15.14</v>
      </c>
      <c r="AN29" s="31">
        <v>15.28</v>
      </c>
      <c r="AO29" s="31">
        <v>15.28</v>
      </c>
      <c r="AP29" s="31">
        <v>15.28</v>
      </c>
      <c r="AQ29" s="31">
        <v>15.28</v>
      </c>
      <c r="AR29" s="31">
        <v>15.28</v>
      </c>
      <c r="AS29" s="31">
        <v>15.87</v>
      </c>
      <c r="AT29" s="31">
        <v>15.33</v>
      </c>
      <c r="AU29" s="31">
        <v>15.33</v>
      </c>
      <c r="AV29" s="31">
        <v>15.33</v>
      </c>
      <c r="AW29" s="31">
        <v>16.46</v>
      </c>
      <c r="AX29" s="31">
        <v>16.72</v>
      </c>
      <c r="AY29" s="31">
        <v>16.79</v>
      </c>
      <c r="AZ29" s="31">
        <v>16.79</v>
      </c>
      <c r="BA29" s="31">
        <v>17.16</v>
      </c>
      <c r="BB29" s="31">
        <v>17.23</v>
      </c>
      <c r="BC29" s="31">
        <v>17.309999999999999</v>
      </c>
      <c r="BD29" s="31">
        <v>17.38</v>
      </c>
      <c r="BE29" s="31">
        <v>17.32</v>
      </c>
      <c r="BF29" s="31">
        <v>17.03</v>
      </c>
      <c r="BG29" s="31">
        <v>17.18</v>
      </c>
      <c r="BH29" s="31">
        <v>17.13</v>
      </c>
      <c r="BI29" s="31">
        <v>16.89</v>
      </c>
      <c r="BJ29" s="31">
        <v>16.72</v>
      </c>
      <c r="BK29" s="31">
        <v>16.96</v>
      </c>
      <c r="BL29" s="31">
        <v>16.96</v>
      </c>
      <c r="BM29" s="31">
        <v>16.760000000000002</v>
      </c>
      <c r="BN29" s="31">
        <v>16.53</v>
      </c>
      <c r="BO29" s="31">
        <v>15.15</v>
      </c>
      <c r="BP29" s="31">
        <v>16.03</v>
      </c>
      <c r="BQ29" s="31">
        <v>15.92</v>
      </c>
      <c r="BR29" s="31">
        <v>16.12</v>
      </c>
      <c r="BS29" s="31">
        <v>16.13</v>
      </c>
      <c r="BT29" s="31">
        <v>16.13</v>
      </c>
      <c r="BU29" s="31">
        <v>15.64</v>
      </c>
      <c r="BV29" s="31">
        <v>15.81</v>
      </c>
      <c r="BW29" s="31">
        <v>15.66</v>
      </c>
      <c r="BX29" s="31">
        <v>16.059999999999999</v>
      </c>
      <c r="BY29" s="31">
        <v>16.600000000000001</v>
      </c>
      <c r="BZ29" s="31">
        <v>16.84</v>
      </c>
      <c r="CA29" s="31">
        <v>16.04</v>
      </c>
      <c r="CB29" s="31">
        <v>16.89</v>
      </c>
      <c r="CC29" s="31">
        <v>16.78</v>
      </c>
      <c r="CD29" s="31">
        <v>16.78</v>
      </c>
      <c r="CE29" s="31">
        <v>16.78</v>
      </c>
      <c r="CF29" s="31">
        <v>16.73</v>
      </c>
      <c r="CG29" s="31">
        <v>16.399999999999999</v>
      </c>
      <c r="CH29" s="31">
        <v>16.3</v>
      </c>
      <c r="CI29" s="31">
        <v>15.96</v>
      </c>
      <c r="CJ29" s="31">
        <v>15.97</v>
      </c>
      <c r="CK29" s="31">
        <v>15.92</v>
      </c>
      <c r="CL29" s="31">
        <v>15.72</v>
      </c>
      <c r="CM29" s="31">
        <v>15.95</v>
      </c>
      <c r="CN29" s="31">
        <v>15.91</v>
      </c>
      <c r="CO29" s="31">
        <v>15.58</v>
      </c>
      <c r="CP29" s="31">
        <v>15.56</v>
      </c>
      <c r="CQ29" s="31">
        <v>15.56</v>
      </c>
      <c r="CR29" s="31">
        <v>15.56</v>
      </c>
      <c r="CS29" s="31">
        <v>15.63</v>
      </c>
      <c r="CT29" s="31">
        <v>15.63</v>
      </c>
      <c r="CU29" s="31">
        <v>15.55</v>
      </c>
      <c r="CV29" s="31">
        <v>15.55</v>
      </c>
    </row>
    <row r="30" spans="1:100" x14ac:dyDescent="0.2">
      <c r="A30" t="str">
        <f>IFERROR(INDEX(exit_newbonds,MATCH('NBs Prices'!G30,'NBs List'!$B$3:$B$14,0)),"")</f>
        <v>35_USD</v>
      </c>
      <c r="B30" t="s">
        <v>148</v>
      </c>
      <c r="C30">
        <v>2035</v>
      </c>
      <c r="D30" t="s">
        <v>0</v>
      </c>
      <c r="E30" t="s">
        <v>6</v>
      </c>
      <c r="F30" s="23">
        <f>IFERROR(INDEX('NBs List'!$E$3:$E$14,MATCH('NBs Prices'!G30,'NBs List'!$B$3:$B$14,0)),"")</f>
        <v>20501717804</v>
      </c>
      <c r="G30" t="s">
        <v>61</v>
      </c>
      <c r="H30" s="31" t="s">
        <v>166</v>
      </c>
      <c r="I30" s="31" t="s">
        <v>166</v>
      </c>
      <c r="J30" s="31" t="s">
        <v>166</v>
      </c>
      <c r="K30" s="31" t="s">
        <v>166</v>
      </c>
      <c r="L30" s="31" t="s">
        <v>166</v>
      </c>
      <c r="M30" s="31" t="s">
        <v>166</v>
      </c>
      <c r="N30" s="31" t="s">
        <v>166</v>
      </c>
      <c r="O30" s="31" t="s">
        <v>166</v>
      </c>
      <c r="P30" s="31" t="s">
        <v>166</v>
      </c>
      <c r="Q30" s="31" t="s">
        <v>166</v>
      </c>
      <c r="R30" s="31" t="s">
        <v>166</v>
      </c>
      <c r="S30" s="31" t="s">
        <v>166</v>
      </c>
      <c r="T30" s="31">
        <v>11.32475</v>
      </c>
      <c r="U30" s="31">
        <v>11.32795</v>
      </c>
      <c r="V30" s="31">
        <v>11.6622</v>
      </c>
      <c r="W30" s="228">
        <v>11.9398</v>
      </c>
      <c r="X30" s="31">
        <v>12.317449999999999</v>
      </c>
      <c r="Y30" s="31">
        <v>12.801550000000001</v>
      </c>
      <c r="Z30" s="31">
        <v>13.031499999999999</v>
      </c>
      <c r="AA30" s="31">
        <v>13.4922</v>
      </c>
      <c r="AB30" s="31">
        <v>13.539899999999999</v>
      </c>
      <c r="AC30" s="31">
        <v>13.726900000000001</v>
      </c>
      <c r="AD30" s="31">
        <v>13.833299999999999</v>
      </c>
      <c r="AE30" s="31">
        <v>13.6579</v>
      </c>
      <c r="AF30" s="31">
        <v>13.437250000000001</v>
      </c>
      <c r="AG30" s="31">
        <v>13.6503</v>
      </c>
      <c r="AH30" s="31">
        <v>13.50005</v>
      </c>
      <c r="AI30" s="31">
        <v>13.647600000000001</v>
      </c>
      <c r="AJ30" s="31">
        <v>14.05775</v>
      </c>
      <c r="AK30" s="31">
        <v>14.049099999999999</v>
      </c>
      <c r="AL30" s="31">
        <v>14.27955</v>
      </c>
      <c r="AM30" s="31">
        <v>14.283849999999999</v>
      </c>
      <c r="AN30" s="31">
        <v>14.1454</v>
      </c>
      <c r="AO30" s="31">
        <v>14.00395</v>
      </c>
      <c r="AP30" s="31">
        <v>13.96205</v>
      </c>
      <c r="AQ30" s="31">
        <v>14.138299999999999</v>
      </c>
      <c r="AR30" s="31">
        <v>14.448449999999999</v>
      </c>
      <c r="AS30" s="31">
        <v>14.63815</v>
      </c>
      <c r="AT30" s="31">
        <v>14.415050000000001</v>
      </c>
      <c r="AU30" s="31">
        <v>14.7485</v>
      </c>
      <c r="AV30" s="31">
        <v>14.79095</v>
      </c>
      <c r="AW30" s="31">
        <v>14.897349999999999</v>
      </c>
      <c r="AX30" s="31">
        <v>14.9252</v>
      </c>
      <c r="AY30" s="31">
        <v>14.781499999999999</v>
      </c>
      <c r="AZ30" s="31">
        <v>14.93825</v>
      </c>
      <c r="BA30" s="31">
        <v>15.0387</v>
      </c>
      <c r="BB30" s="31">
        <v>15.187849999999999</v>
      </c>
      <c r="BC30" s="31">
        <v>15.28215</v>
      </c>
      <c r="BD30" s="31">
        <v>15.32715</v>
      </c>
      <c r="BE30" s="31">
        <v>15.123100000000001</v>
      </c>
      <c r="BF30" s="31">
        <v>14.8734</v>
      </c>
      <c r="BG30" s="31">
        <v>14.77975</v>
      </c>
      <c r="BH30" s="31">
        <v>14.6204</v>
      </c>
      <c r="BI30" s="31">
        <v>14.494450000000001</v>
      </c>
      <c r="BJ30" s="31">
        <v>14.15715</v>
      </c>
      <c r="BK30" s="31">
        <v>14.319699999999999</v>
      </c>
      <c r="BL30" s="31">
        <v>14.319699999999999</v>
      </c>
      <c r="BM30" s="31">
        <v>14.118550000000001</v>
      </c>
      <c r="BN30" s="31">
        <v>14.009399999999999</v>
      </c>
      <c r="BO30" s="31">
        <v>13.813700000000001</v>
      </c>
      <c r="BP30" s="31">
        <v>14.05035</v>
      </c>
      <c r="BQ30" s="31">
        <v>13.996600000000001</v>
      </c>
      <c r="BR30" s="31">
        <v>14.109450000000001</v>
      </c>
      <c r="BS30" s="31">
        <v>14.208299999999999</v>
      </c>
      <c r="BT30" s="31">
        <v>14.29175</v>
      </c>
      <c r="BU30" s="31">
        <v>14.181800000000001</v>
      </c>
      <c r="BV30" s="31">
        <v>14.257250000000001</v>
      </c>
      <c r="BW30" s="31">
        <v>14.194599999999999</v>
      </c>
      <c r="BX30" s="31">
        <v>14.3977</v>
      </c>
      <c r="BY30" s="31">
        <v>14.52675</v>
      </c>
      <c r="BZ30" s="31">
        <v>14.56865</v>
      </c>
      <c r="CA30" s="31">
        <v>14.6418</v>
      </c>
      <c r="CB30" s="31">
        <v>14.6686</v>
      </c>
      <c r="CC30" s="31">
        <v>14.714499999999999</v>
      </c>
      <c r="CD30" s="31">
        <v>14.84435</v>
      </c>
      <c r="CE30" s="31">
        <v>14.933400000000001</v>
      </c>
      <c r="CF30" s="31">
        <v>14.85345</v>
      </c>
      <c r="CG30" s="31">
        <v>14.679500000000001</v>
      </c>
      <c r="CH30" s="31">
        <v>14.459</v>
      </c>
      <c r="CI30" s="31">
        <v>14.32305</v>
      </c>
      <c r="CJ30" s="31">
        <v>14.4306</v>
      </c>
      <c r="CK30" s="31">
        <v>14.4283</v>
      </c>
      <c r="CL30" s="31">
        <v>14.422000000000001</v>
      </c>
      <c r="CM30" s="31">
        <v>14.493449999999999</v>
      </c>
      <c r="CN30" s="31">
        <v>14.2149</v>
      </c>
      <c r="CO30" s="31">
        <v>14.235799999999999</v>
      </c>
      <c r="CP30" s="31">
        <v>14.1973</v>
      </c>
      <c r="CQ30" s="31">
        <v>14.12335</v>
      </c>
      <c r="CR30" s="31">
        <v>14.12335</v>
      </c>
      <c r="CS30" s="31">
        <v>14.324450000000001</v>
      </c>
      <c r="CT30" s="31">
        <v>14.2417</v>
      </c>
      <c r="CU30" s="31">
        <v>14.27955</v>
      </c>
      <c r="CV30" s="31">
        <v>14.227550000000001</v>
      </c>
    </row>
    <row r="31" spans="1:100" x14ac:dyDescent="0.2">
      <c r="A31" t="str">
        <f>IFERROR(INDEX(exit_newbonds,MATCH('NBs Prices'!G31,'NBs List'!$B$3:$B$14,0)),"")</f>
        <v>35_EUR</v>
      </c>
      <c r="B31" t="s">
        <v>171</v>
      </c>
      <c r="C31">
        <v>2035</v>
      </c>
      <c r="D31" t="s">
        <v>1</v>
      </c>
      <c r="E31" t="s">
        <v>6</v>
      </c>
      <c r="F31" s="23">
        <f>IFERROR(INDEX('NBs List'!$E$3:$E$14,MATCH('NBs Prices'!G31,'NBs List'!$B$3:$B$14,0)),"")</f>
        <v>298795262</v>
      </c>
      <c r="G31" t="s">
        <v>62</v>
      </c>
      <c r="H31" s="31" t="s">
        <v>166</v>
      </c>
      <c r="I31" s="31" t="s">
        <v>166</v>
      </c>
      <c r="J31" s="31" t="s">
        <v>166</v>
      </c>
      <c r="K31" s="31" t="s">
        <v>166</v>
      </c>
      <c r="L31" s="31" t="s">
        <v>166</v>
      </c>
      <c r="M31" s="31" t="s">
        <v>166</v>
      </c>
      <c r="N31" s="31" t="s">
        <v>166</v>
      </c>
      <c r="O31" s="31" t="s">
        <v>166</v>
      </c>
      <c r="P31" s="31" t="s">
        <v>166</v>
      </c>
      <c r="Q31" s="31" t="s">
        <v>166</v>
      </c>
      <c r="R31" s="31" t="s">
        <v>166</v>
      </c>
      <c r="S31" s="31" t="s">
        <v>166</v>
      </c>
      <c r="T31" s="31" t="s">
        <v>166</v>
      </c>
      <c r="U31" s="31" t="s">
        <v>166</v>
      </c>
      <c r="V31" s="31">
        <v>12.5089010206504</v>
      </c>
      <c r="W31" s="228">
        <v>12.4372216431347</v>
      </c>
      <c r="X31" s="31">
        <v>12.5583318565775</v>
      </c>
      <c r="Y31" s="31">
        <v>12.9487027603365</v>
      </c>
      <c r="Z31" s="31">
        <v>14.5239758052106</v>
      </c>
      <c r="AA31" s="31">
        <v>14.781861620120299</v>
      </c>
      <c r="AB31" s="31">
        <v>15.334909746447201</v>
      </c>
      <c r="AC31" s="31">
        <v>16.5090764943862</v>
      </c>
      <c r="AD31" s="31">
        <v>15.488765684272</v>
      </c>
      <c r="AE31" s="31">
        <v>15.595743443623901</v>
      </c>
      <c r="AF31" s="31">
        <v>15.4664427181748</v>
      </c>
      <c r="AG31" s="31">
        <v>15.569959137663799</v>
      </c>
      <c r="AH31" s="31">
        <v>15.7255182273052</v>
      </c>
      <c r="AI31" s="31">
        <v>15.4120853303261</v>
      </c>
      <c r="AJ31" s="31">
        <v>17.300146412884299</v>
      </c>
      <c r="AK31" s="31">
        <v>17.4006267524328</v>
      </c>
      <c r="AL31" s="31">
        <v>17.448546150055201</v>
      </c>
      <c r="AM31" s="31">
        <v>17.592962814874099</v>
      </c>
      <c r="AN31" s="31">
        <v>17.178534474649599</v>
      </c>
      <c r="AO31" s="31">
        <v>17.3930522382765</v>
      </c>
      <c r="AP31" s="31">
        <v>17.5894534157088</v>
      </c>
      <c r="AQ31" s="31">
        <v>17.3576042278332</v>
      </c>
      <c r="AR31" s="31">
        <v>17.8305044928643</v>
      </c>
      <c r="AS31" s="31">
        <v>18.1209467843514</v>
      </c>
      <c r="AT31" s="31">
        <v>18.256600147646399</v>
      </c>
      <c r="AU31" s="31">
        <v>17.943076325728601</v>
      </c>
      <c r="AV31" s="31">
        <v>18.665405756841398</v>
      </c>
      <c r="AW31" s="31">
        <v>18.360811291661701</v>
      </c>
      <c r="AX31" s="31">
        <v>18.681097942834199</v>
      </c>
      <c r="AY31" s="31">
        <v>18.523789194060999</v>
      </c>
      <c r="AZ31" s="31">
        <v>18.0781220479879</v>
      </c>
      <c r="BA31" s="31">
        <v>17.9401288009247</v>
      </c>
      <c r="BB31" s="31">
        <v>18.0739870816207</v>
      </c>
      <c r="BC31" s="31">
        <v>17.978052766752299</v>
      </c>
      <c r="BD31" s="31">
        <v>18.017913090066301</v>
      </c>
      <c r="BE31" s="31">
        <v>18.0884869225128</v>
      </c>
      <c r="BF31" s="31">
        <v>18.023187726900101</v>
      </c>
      <c r="BG31" s="31">
        <v>18.192474504747398</v>
      </c>
      <c r="BH31" s="31">
        <v>18.074354276257498</v>
      </c>
      <c r="BI31" s="31">
        <v>18.0097825054611</v>
      </c>
      <c r="BJ31" s="31">
        <v>17.294130154867499</v>
      </c>
      <c r="BK31" s="31">
        <v>17.3666489455963</v>
      </c>
      <c r="BL31" s="31">
        <v>17.4535690311032</v>
      </c>
      <c r="BM31" s="31">
        <v>17.422713268883498</v>
      </c>
      <c r="BN31" s="31">
        <v>17.1918075653419</v>
      </c>
      <c r="BO31" s="31">
        <v>17.198667725532498</v>
      </c>
      <c r="BP31" s="31">
        <v>17.4712371011742</v>
      </c>
      <c r="BQ31" s="31">
        <v>17.256500817787501</v>
      </c>
      <c r="BR31" s="31">
        <v>17.595725734639402</v>
      </c>
      <c r="BS31" s="31">
        <v>17.5424040205294</v>
      </c>
      <c r="BT31" s="31">
        <v>17.523295326726601</v>
      </c>
      <c r="BU31" s="31">
        <v>17.629995958058899</v>
      </c>
      <c r="BV31" s="31">
        <v>17.690786495437301</v>
      </c>
      <c r="BW31" s="31">
        <v>17.714612470515402</v>
      </c>
      <c r="BX31" s="31">
        <v>17.787506878155</v>
      </c>
      <c r="BY31" s="31">
        <v>17.892075003578402</v>
      </c>
      <c r="BZ31" s="31">
        <v>18.129149064574499</v>
      </c>
      <c r="CA31" s="31">
        <v>18.027186159773201</v>
      </c>
      <c r="CB31" s="31">
        <v>18.1129510027679</v>
      </c>
      <c r="CC31" s="31">
        <v>18.0709749357638</v>
      </c>
      <c r="CD31" s="31">
        <v>18.149897081971201</v>
      </c>
      <c r="CE31" s="31">
        <v>18.580616665456599</v>
      </c>
      <c r="CF31" s="31">
        <v>18.121413470250701</v>
      </c>
      <c r="CG31" s="31">
        <v>18.446825810992902</v>
      </c>
      <c r="CH31" s="31">
        <v>17.924185539542201</v>
      </c>
      <c r="CI31" s="31">
        <v>17.971633961531001</v>
      </c>
      <c r="CJ31" s="31">
        <v>17.6553500692605</v>
      </c>
      <c r="CK31" s="31">
        <v>18.063839389171498</v>
      </c>
      <c r="CL31" s="31">
        <v>18.190515909035199</v>
      </c>
      <c r="CM31" s="31">
        <v>18.2845378007083</v>
      </c>
      <c r="CN31" s="31">
        <v>18.1426437822883</v>
      </c>
      <c r="CO31" s="31">
        <v>17.973975434756198</v>
      </c>
      <c r="CP31" s="31">
        <v>18.058195642637799</v>
      </c>
      <c r="CQ31" s="31">
        <v>18.059736050011601</v>
      </c>
      <c r="CR31" s="31">
        <v>18.086404686355898</v>
      </c>
      <c r="CS31" s="31">
        <v>18.0157072539177</v>
      </c>
      <c r="CT31" s="31">
        <v>18.100988328659099</v>
      </c>
      <c r="CU31" s="31">
        <v>18.196572159244599</v>
      </c>
      <c r="CV31" s="31">
        <v>18.196572159244599</v>
      </c>
    </row>
    <row r="32" spans="1:100" x14ac:dyDescent="0.2">
      <c r="A32" t="str">
        <f>IFERROR(INDEX(exit_newbonds,MATCH('NBs Prices'!G32,'NBs List'!$B$3:$B$14,0)),"")</f>
        <v/>
      </c>
      <c r="B32" t="s">
        <v>96</v>
      </c>
      <c r="C32">
        <v>2035</v>
      </c>
      <c r="D32" t="s">
        <v>0</v>
      </c>
      <c r="F32" s="23" t="str">
        <f>IFERROR(INDEX('NBs List'!$E$3:$E$14,MATCH('NBs Prices'!G32,'NBs List'!$B$3:$B$14,0)),"")</f>
        <v/>
      </c>
      <c r="G32" t="s">
        <v>71</v>
      </c>
      <c r="H32" s="31" t="s">
        <v>166</v>
      </c>
      <c r="I32" s="31" t="s">
        <v>166</v>
      </c>
      <c r="J32" s="31" t="s">
        <v>166</v>
      </c>
      <c r="K32" s="31" t="s">
        <v>166</v>
      </c>
      <c r="L32" s="31" t="s">
        <v>166</v>
      </c>
      <c r="M32" s="31" t="s">
        <v>166</v>
      </c>
      <c r="N32" s="31" t="s">
        <v>166</v>
      </c>
      <c r="O32" s="31" t="s">
        <v>166</v>
      </c>
      <c r="P32" s="31" t="s">
        <v>166</v>
      </c>
      <c r="Q32" s="31" t="s">
        <v>166</v>
      </c>
      <c r="R32" s="31" t="s">
        <v>166</v>
      </c>
      <c r="S32" s="31" t="s">
        <v>166</v>
      </c>
      <c r="T32" s="31" t="s">
        <v>166</v>
      </c>
      <c r="U32" s="31" t="s">
        <v>166</v>
      </c>
      <c r="V32" s="31" t="s">
        <v>166</v>
      </c>
      <c r="W32" s="228" t="s">
        <v>166</v>
      </c>
      <c r="X32" s="31" t="s">
        <v>166</v>
      </c>
      <c r="Y32" s="31" t="s">
        <v>166</v>
      </c>
      <c r="Z32" s="31" t="s">
        <v>166</v>
      </c>
      <c r="AA32" s="31" t="s">
        <v>166</v>
      </c>
      <c r="AB32" s="31" t="s">
        <v>166</v>
      </c>
      <c r="AC32" s="31" t="s">
        <v>166</v>
      </c>
      <c r="AD32" s="31" t="s">
        <v>166</v>
      </c>
      <c r="AE32" s="31" t="s">
        <v>166</v>
      </c>
      <c r="AF32" s="31">
        <v>12.68</v>
      </c>
      <c r="AG32" s="31">
        <v>12.89</v>
      </c>
      <c r="AH32" s="31">
        <v>13.39</v>
      </c>
      <c r="AI32" s="31">
        <v>13.47</v>
      </c>
      <c r="AJ32" s="31">
        <v>14.08</v>
      </c>
      <c r="AK32" s="31">
        <v>14.17</v>
      </c>
      <c r="AL32" s="31">
        <v>14.17</v>
      </c>
      <c r="AM32" s="31">
        <v>14.49</v>
      </c>
      <c r="AN32" s="31">
        <v>14.19</v>
      </c>
      <c r="AO32" s="31">
        <v>14.19</v>
      </c>
      <c r="AP32" s="31">
        <v>14.19</v>
      </c>
      <c r="AQ32" s="31">
        <v>14.19</v>
      </c>
      <c r="AR32" s="31">
        <v>14.19</v>
      </c>
      <c r="AS32" s="31">
        <v>14.87</v>
      </c>
      <c r="AT32" s="31">
        <v>14.46</v>
      </c>
      <c r="AU32" s="31">
        <v>14.46</v>
      </c>
      <c r="AV32" s="31">
        <v>14.46</v>
      </c>
      <c r="AW32" s="31">
        <v>14.97</v>
      </c>
      <c r="AX32" s="31">
        <v>15.16</v>
      </c>
      <c r="AY32" s="31">
        <v>15.08</v>
      </c>
      <c r="AZ32" s="31">
        <v>15.08</v>
      </c>
      <c r="BA32" s="31">
        <v>15.09</v>
      </c>
      <c r="BB32" s="31">
        <v>15.22</v>
      </c>
      <c r="BC32" s="31">
        <v>15.28</v>
      </c>
      <c r="BD32" s="31">
        <v>15.28</v>
      </c>
      <c r="BE32" s="31">
        <v>15.24</v>
      </c>
      <c r="BF32" s="31">
        <v>15.07</v>
      </c>
      <c r="BG32" s="31">
        <v>15.13</v>
      </c>
      <c r="BH32" s="31">
        <v>15.09</v>
      </c>
      <c r="BI32" s="31">
        <v>14.8</v>
      </c>
      <c r="BJ32" s="31">
        <v>14.47</v>
      </c>
      <c r="BK32" s="31">
        <v>14.64</v>
      </c>
      <c r="BL32" s="31">
        <v>14.64</v>
      </c>
      <c r="BM32" s="31">
        <v>14.49</v>
      </c>
      <c r="BN32" s="31">
        <v>14.34</v>
      </c>
      <c r="BO32" s="31">
        <v>13.76</v>
      </c>
      <c r="BP32" s="31">
        <v>14.03</v>
      </c>
      <c r="BQ32" s="31">
        <v>13.92</v>
      </c>
      <c r="BR32" s="31">
        <v>14.13</v>
      </c>
      <c r="BS32" s="31">
        <v>14.21</v>
      </c>
      <c r="BT32" s="31">
        <v>14.21</v>
      </c>
      <c r="BU32" s="31">
        <v>14.18</v>
      </c>
      <c r="BV32" s="31">
        <v>14.22</v>
      </c>
      <c r="BW32" s="31">
        <v>14.19</v>
      </c>
      <c r="BX32" s="31">
        <v>14.4</v>
      </c>
      <c r="BY32" s="31">
        <v>14.64</v>
      </c>
      <c r="BZ32" s="31">
        <v>14.9</v>
      </c>
      <c r="CA32" s="31">
        <v>14.61</v>
      </c>
      <c r="CB32" s="31">
        <v>14.84</v>
      </c>
      <c r="CC32" s="31">
        <v>15.02</v>
      </c>
      <c r="CD32" s="31">
        <v>15.02</v>
      </c>
      <c r="CE32" s="31">
        <v>15.02</v>
      </c>
      <c r="CF32" s="31">
        <v>15.02</v>
      </c>
      <c r="CG32" s="31">
        <v>14.87</v>
      </c>
      <c r="CH32" s="31">
        <v>14.79</v>
      </c>
      <c r="CI32" s="31">
        <v>14.71</v>
      </c>
      <c r="CJ32" s="31">
        <v>14.39</v>
      </c>
      <c r="CK32" s="31">
        <v>14.39</v>
      </c>
      <c r="CL32" s="31">
        <v>14.36</v>
      </c>
      <c r="CM32" s="31">
        <v>14.61</v>
      </c>
      <c r="CN32" s="31">
        <v>14.66</v>
      </c>
      <c r="CO32" s="31">
        <v>14.66</v>
      </c>
      <c r="CP32" s="31">
        <v>14.16</v>
      </c>
      <c r="CQ32" s="31">
        <v>14.16</v>
      </c>
      <c r="CR32" s="31">
        <v>14.16</v>
      </c>
      <c r="CS32" s="31">
        <v>14.32</v>
      </c>
      <c r="CT32" s="31">
        <v>14.17</v>
      </c>
      <c r="CU32" s="31">
        <v>14.46</v>
      </c>
      <c r="CV32" s="31">
        <v>14.46</v>
      </c>
    </row>
    <row r="33" spans="1:100" x14ac:dyDescent="0.2">
      <c r="A33" t="str">
        <f>IFERROR(INDEX(exit_newbonds,MATCH('NBs Prices'!G33,'NBs List'!$B$3:$B$14,0)),"")</f>
        <v>38_USD</v>
      </c>
      <c r="B33" t="s">
        <v>2</v>
      </c>
      <c r="C33">
        <v>2038</v>
      </c>
      <c r="D33" t="s">
        <v>0</v>
      </c>
      <c r="E33" t="s">
        <v>5</v>
      </c>
      <c r="F33" s="23">
        <f>IFERROR(INDEX('NBs List'!$E$3:$E$14,MATCH('NBs Prices'!G33,'NBs List'!$B$3:$B$14,0)),"")</f>
        <v>11405065289</v>
      </c>
      <c r="G33" t="s">
        <v>63</v>
      </c>
      <c r="H33" s="31" t="s">
        <v>166</v>
      </c>
      <c r="I33" s="31" t="s">
        <v>166</v>
      </c>
      <c r="J33" s="31" t="s">
        <v>166</v>
      </c>
      <c r="K33" s="31" t="s">
        <v>166</v>
      </c>
      <c r="L33" s="31" t="s">
        <v>166</v>
      </c>
      <c r="M33" s="31" t="s">
        <v>166</v>
      </c>
      <c r="N33" s="31" t="s">
        <v>166</v>
      </c>
      <c r="O33" s="31" t="s">
        <v>166</v>
      </c>
      <c r="P33" s="31" t="s">
        <v>166</v>
      </c>
      <c r="Q33" s="31" t="s">
        <v>166</v>
      </c>
      <c r="R33" s="31" t="s">
        <v>166</v>
      </c>
      <c r="S33" s="31" t="s">
        <v>166</v>
      </c>
      <c r="T33" s="31">
        <v>11.349299999999999</v>
      </c>
      <c r="U33" s="31">
        <v>11.35275</v>
      </c>
      <c r="V33" s="31">
        <v>11.42305</v>
      </c>
      <c r="W33" s="228">
        <v>11.4871</v>
      </c>
      <c r="X33" s="31">
        <v>12.25765</v>
      </c>
      <c r="Y33" s="31">
        <v>12.264200000000001</v>
      </c>
      <c r="Z33" s="31">
        <v>12.9315</v>
      </c>
      <c r="AA33" s="31">
        <v>13.440099999999999</v>
      </c>
      <c r="AB33" s="31">
        <v>13.48615</v>
      </c>
      <c r="AC33" s="31">
        <v>13.71415</v>
      </c>
      <c r="AD33" s="31">
        <v>13.518599999999999</v>
      </c>
      <c r="AE33" s="31">
        <v>13.819850000000001</v>
      </c>
      <c r="AF33" s="31">
        <v>13.610049999999999</v>
      </c>
      <c r="AG33" s="31">
        <v>13.5707</v>
      </c>
      <c r="AH33" s="31">
        <v>13.3856</v>
      </c>
      <c r="AI33" s="31">
        <v>13.4986</v>
      </c>
      <c r="AJ33" s="31">
        <v>14.302849999999999</v>
      </c>
      <c r="AK33" s="31">
        <v>14.300800000000001</v>
      </c>
      <c r="AL33" s="31">
        <v>14.71485</v>
      </c>
      <c r="AM33" s="31">
        <v>14.7433</v>
      </c>
      <c r="AN33" s="31">
        <v>14.621700000000001</v>
      </c>
      <c r="AO33" s="31">
        <v>14.43045</v>
      </c>
      <c r="AP33" s="31">
        <v>14.3742</v>
      </c>
      <c r="AQ33" s="31">
        <v>14.6585</v>
      </c>
      <c r="AR33" s="31">
        <v>14.96855</v>
      </c>
      <c r="AS33" s="31">
        <v>15.16935</v>
      </c>
      <c r="AT33" s="31">
        <v>14.912100000000001</v>
      </c>
      <c r="AU33" s="31">
        <v>15.35595</v>
      </c>
      <c r="AV33" s="31">
        <v>15.3325</v>
      </c>
      <c r="AW33" s="31">
        <v>15.434900000000001</v>
      </c>
      <c r="AX33" s="31">
        <v>15.3504</v>
      </c>
      <c r="AY33" s="31">
        <v>15.1341</v>
      </c>
      <c r="AZ33" s="31">
        <v>15.3429</v>
      </c>
      <c r="BA33" s="31">
        <v>15.362349999999999</v>
      </c>
      <c r="BB33" s="31">
        <v>15.60885</v>
      </c>
      <c r="BC33" s="31">
        <v>15.743600000000001</v>
      </c>
      <c r="BD33" s="31">
        <v>15.80485</v>
      </c>
      <c r="BE33" s="31">
        <v>15.641500000000001</v>
      </c>
      <c r="BF33" s="31">
        <v>15.4383</v>
      </c>
      <c r="BG33" s="31">
        <v>15.440149999999999</v>
      </c>
      <c r="BH33" s="31">
        <v>15.226150000000001</v>
      </c>
      <c r="BI33" s="31">
        <v>15.1075</v>
      </c>
      <c r="BJ33" s="31">
        <v>14.7959</v>
      </c>
      <c r="BK33" s="31">
        <v>14.966200000000001</v>
      </c>
      <c r="BL33" s="31">
        <v>14.966200000000001</v>
      </c>
      <c r="BM33" s="31">
        <v>14.70035</v>
      </c>
      <c r="BN33" s="31">
        <v>14.578250000000001</v>
      </c>
      <c r="BO33" s="31">
        <v>14.3652</v>
      </c>
      <c r="BP33" s="31">
        <v>14.5951</v>
      </c>
      <c r="BQ33" s="31">
        <v>14.5364</v>
      </c>
      <c r="BR33" s="31">
        <v>14.648949999999999</v>
      </c>
      <c r="BS33" s="31">
        <v>14.694599999999999</v>
      </c>
      <c r="BT33" s="31">
        <v>14.7811</v>
      </c>
      <c r="BU33" s="31">
        <v>14.75065</v>
      </c>
      <c r="BV33" s="31">
        <v>14.801299999999999</v>
      </c>
      <c r="BW33" s="31">
        <v>14.7661</v>
      </c>
      <c r="BX33" s="31">
        <v>15.4023</v>
      </c>
      <c r="BY33" s="31">
        <v>15.098000000000001</v>
      </c>
      <c r="BZ33" s="31">
        <v>15.0716</v>
      </c>
      <c r="CA33" s="31">
        <v>15.19975</v>
      </c>
      <c r="CB33" s="31">
        <v>15.262600000000001</v>
      </c>
      <c r="CC33" s="31">
        <v>15.353999999999999</v>
      </c>
      <c r="CD33" s="31">
        <v>15.845549999999999</v>
      </c>
      <c r="CE33" s="31">
        <v>15.6274</v>
      </c>
      <c r="CF33" s="31">
        <v>15.413650000000001</v>
      </c>
      <c r="CG33" s="31">
        <v>15.326750000000001</v>
      </c>
      <c r="CH33" s="31">
        <v>14.96805</v>
      </c>
      <c r="CI33" s="31">
        <v>14.780749999999999</v>
      </c>
      <c r="CJ33" s="31">
        <v>14.932449999999999</v>
      </c>
      <c r="CK33" s="31">
        <v>14.90475</v>
      </c>
      <c r="CL33" s="31">
        <v>14.881449999999999</v>
      </c>
      <c r="CM33" s="31">
        <v>14.86355</v>
      </c>
      <c r="CN33" s="31">
        <v>14.6821</v>
      </c>
      <c r="CO33" s="31">
        <v>14.707649999999999</v>
      </c>
      <c r="CP33" s="31">
        <v>14.7486</v>
      </c>
      <c r="CQ33" s="31">
        <v>14.63245</v>
      </c>
      <c r="CR33" s="31">
        <v>14.63245</v>
      </c>
      <c r="CS33" s="31">
        <v>15.345050000000001</v>
      </c>
      <c r="CT33" s="31">
        <v>14.758800000000001</v>
      </c>
      <c r="CU33" s="31">
        <v>14.82775</v>
      </c>
      <c r="CV33" s="31">
        <v>14.78515</v>
      </c>
    </row>
    <row r="34" spans="1:100" x14ac:dyDescent="0.2">
      <c r="A34" t="str">
        <f>IFERROR(INDEX(exit_newbonds,MATCH('NBs Prices'!G34,'NBs List'!$B$3:$B$14,0)),"")</f>
        <v>38_EUR</v>
      </c>
      <c r="B34" t="s">
        <v>172</v>
      </c>
      <c r="C34">
        <v>2038</v>
      </c>
      <c r="D34" t="s">
        <v>1</v>
      </c>
      <c r="E34" t="s">
        <v>5</v>
      </c>
      <c r="F34" s="23">
        <f>IFERROR(INDEX('NBs List'!$E$3:$E$14,MATCH('NBs Prices'!G34,'NBs List'!$B$3:$B$14,0)),"")</f>
        <v>809336807</v>
      </c>
      <c r="G34" t="s">
        <v>64</v>
      </c>
      <c r="H34" s="31" t="s">
        <v>166</v>
      </c>
      <c r="I34" s="31" t="s">
        <v>166</v>
      </c>
      <c r="J34" s="31" t="s">
        <v>166</v>
      </c>
      <c r="K34" s="31" t="s">
        <v>166</v>
      </c>
      <c r="L34" s="31" t="s">
        <v>166</v>
      </c>
      <c r="M34" s="31" t="s">
        <v>166</v>
      </c>
      <c r="N34" s="31" t="s">
        <v>166</v>
      </c>
      <c r="O34" s="31" t="s">
        <v>166</v>
      </c>
      <c r="P34" s="31" t="s">
        <v>166</v>
      </c>
      <c r="Q34" s="31" t="s">
        <v>166</v>
      </c>
      <c r="R34" s="31" t="s">
        <v>166</v>
      </c>
      <c r="S34" s="31" t="s">
        <v>166</v>
      </c>
      <c r="T34" s="31" t="s">
        <v>166</v>
      </c>
      <c r="U34" s="31" t="s">
        <v>166</v>
      </c>
      <c r="V34" s="31">
        <v>13.9686684073107</v>
      </c>
      <c r="W34" s="228">
        <v>13.9178432673174</v>
      </c>
      <c r="X34" s="31">
        <v>14.2359265166283</v>
      </c>
      <c r="Y34" s="31">
        <v>14.796825020732101</v>
      </c>
      <c r="Z34" s="31">
        <v>15.577467122785</v>
      </c>
      <c r="AA34" s="31">
        <v>16.241217385163999</v>
      </c>
      <c r="AB34" s="31">
        <v>17.008873176784601</v>
      </c>
      <c r="AC34" s="31">
        <v>17.336862109570799</v>
      </c>
      <c r="AD34" s="31">
        <v>17.111175955646299</v>
      </c>
      <c r="AE34" s="31">
        <v>17.875210792580098</v>
      </c>
      <c r="AF34" s="31">
        <v>17.3910000699839</v>
      </c>
      <c r="AG34" s="31">
        <v>17.6248179982152</v>
      </c>
      <c r="AH34" s="31">
        <v>17.0730849904499</v>
      </c>
      <c r="AI34" s="31">
        <v>16.939197443849299</v>
      </c>
      <c r="AJ34" s="31">
        <v>17.616398243045399</v>
      </c>
      <c r="AK34" s="31">
        <v>17.506656299333201</v>
      </c>
      <c r="AL34" s="31">
        <v>17.659759217103598</v>
      </c>
      <c r="AM34" s="31">
        <v>17.910482865677299</v>
      </c>
      <c r="AN34" s="31">
        <v>17.578308719781798</v>
      </c>
      <c r="AO34" s="31">
        <v>18.1497859862369</v>
      </c>
      <c r="AP34" s="31">
        <v>18.250977519993398</v>
      </c>
      <c r="AQ34" s="31">
        <v>18.449794480328801</v>
      </c>
      <c r="AR34" s="31">
        <v>18.840664826452102</v>
      </c>
      <c r="AS34" s="31">
        <v>19.034017746353602</v>
      </c>
      <c r="AT34" s="31">
        <v>18.819062796611199</v>
      </c>
      <c r="AU34" s="31">
        <v>18.905048769869801</v>
      </c>
      <c r="AV34" s="31">
        <v>19.362846503930498</v>
      </c>
      <c r="AW34" s="31">
        <v>19.368995374214201</v>
      </c>
      <c r="AX34" s="31">
        <v>19.130105989531</v>
      </c>
      <c r="AY34" s="31">
        <v>18.855841753237499</v>
      </c>
      <c r="AZ34" s="31">
        <v>19.377007368222198</v>
      </c>
      <c r="BA34" s="31">
        <v>18.836545493147099</v>
      </c>
      <c r="BB34" s="31">
        <v>19.142689371696999</v>
      </c>
      <c r="BC34" s="31">
        <v>18.9469997665188</v>
      </c>
      <c r="BD34" s="31">
        <v>19.0894373333023</v>
      </c>
      <c r="BE34" s="31">
        <v>18.868363771810401</v>
      </c>
      <c r="BF34" s="31">
        <v>18.913221688722299</v>
      </c>
      <c r="BG34" s="31">
        <v>18.884069862853099</v>
      </c>
      <c r="BH34" s="31">
        <v>18.641763697618099</v>
      </c>
      <c r="BI34" s="31">
        <v>18.555893247221999</v>
      </c>
      <c r="BJ34" s="31">
        <v>18.168287006957801</v>
      </c>
      <c r="BK34" s="31">
        <v>18.0518636658988</v>
      </c>
      <c r="BL34" s="31">
        <v>18.254407556147001</v>
      </c>
      <c r="BM34" s="31">
        <v>17.965697557751099</v>
      </c>
      <c r="BN34" s="31">
        <v>18.043707183170302</v>
      </c>
      <c r="BO34" s="31">
        <v>18.0165230481112</v>
      </c>
      <c r="BP34" s="31">
        <v>18.242201399596699</v>
      </c>
      <c r="BQ34" s="31">
        <v>18.252068172659801</v>
      </c>
      <c r="BR34" s="31">
        <v>18.355595132086702</v>
      </c>
      <c r="BS34" s="31">
        <v>18.324700416039398</v>
      </c>
      <c r="BT34" s="31">
        <v>18.434980286292799</v>
      </c>
      <c r="BU34" s="31">
        <v>18.545376732685</v>
      </c>
      <c r="BV34" s="31">
        <v>18.584260560863498</v>
      </c>
      <c r="BW34" s="31">
        <v>18.500869648090301</v>
      </c>
      <c r="BX34" s="31">
        <v>18.6966195363526</v>
      </c>
      <c r="BY34" s="31">
        <v>19.120664153824102</v>
      </c>
      <c r="BZ34" s="31">
        <v>19.299939649969801</v>
      </c>
      <c r="CA34" s="31">
        <v>19.262920694919</v>
      </c>
      <c r="CB34" s="31">
        <v>19.3876559996115</v>
      </c>
      <c r="CC34" s="31">
        <v>19.004217772821999</v>
      </c>
      <c r="CD34" s="31">
        <v>19.397021431165999</v>
      </c>
      <c r="CE34" s="31">
        <v>19.4220576490235</v>
      </c>
      <c r="CF34" s="31">
        <v>19.2691029900332</v>
      </c>
      <c r="CG34" s="31">
        <v>19.357031031929999</v>
      </c>
      <c r="CH34" s="31">
        <v>19.232166646481801</v>
      </c>
      <c r="CI34" s="31">
        <v>18.845929667767599</v>
      </c>
      <c r="CJ34" s="31">
        <v>18.846144499258799</v>
      </c>
      <c r="CK34" s="31">
        <v>19.039603839633099</v>
      </c>
      <c r="CL34" s="31">
        <v>19.294458209650902</v>
      </c>
      <c r="CM34" s="31">
        <v>18.872780303680202</v>
      </c>
      <c r="CN34" s="31">
        <v>19.1342457703891</v>
      </c>
      <c r="CO34" s="31">
        <v>18.959017390246899</v>
      </c>
      <c r="CP34" s="31">
        <v>19.045182044158501</v>
      </c>
      <c r="CQ34" s="31">
        <v>18.973690303554701</v>
      </c>
      <c r="CR34" s="31">
        <v>19.0017085672443</v>
      </c>
      <c r="CS34" s="31">
        <v>19.0294724756635</v>
      </c>
      <c r="CT34" s="31">
        <v>19.044003282181901</v>
      </c>
      <c r="CU34" s="31">
        <v>19.290825485037001</v>
      </c>
      <c r="CV34" s="31">
        <v>19.174401563263299</v>
      </c>
    </row>
    <row r="35" spans="1:100" x14ac:dyDescent="0.2">
      <c r="A35" t="str">
        <f>IFERROR(INDEX(exit_newbonds,MATCH('NBs Prices'!G35,'NBs List'!$B$3:$B$14,0)),"")</f>
        <v/>
      </c>
      <c r="B35" t="s">
        <v>97</v>
      </c>
      <c r="C35">
        <v>2038</v>
      </c>
      <c r="D35" t="s">
        <v>0</v>
      </c>
      <c r="F35" s="23" t="str">
        <f>IFERROR(INDEX('NBs List'!$E$3:$E$14,MATCH('NBs Prices'!G35,'NBs List'!$B$3:$B$14,0)),"")</f>
        <v/>
      </c>
      <c r="G35" t="s">
        <v>72</v>
      </c>
      <c r="H35" s="31" t="s">
        <v>166</v>
      </c>
      <c r="I35" s="31" t="s">
        <v>166</v>
      </c>
      <c r="J35" s="31" t="s">
        <v>166</v>
      </c>
      <c r="K35" s="31" t="s">
        <v>166</v>
      </c>
      <c r="L35" s="31" t="s">
        <v>166</v>
      </c>
      <c r="M35" s="31" t="s">
        <v>166</v>
      </c>
      <c r="N35" s="31" t="s">
        <v>166</v>
      </c>
      <c r="O35" s="31" t="s">
        <v>166</v>
      </c>
      <c r="P35" s="31" t="s">
        <v>166</v>
      </c>
      <c r="Q35" s="31" t="s">
        <v>166</v>
      </c>
      <c r="R35" s="31" t="s">
        <v>166</v>
      </c>
      <c r="S35" s="31" t="s">
        <v>166</v>
      </c>
      <c r="T35" s="31" t="s">
        <v>166</v>
      </c>
      <c r="U35" s="31" t="s">
        <v>166</v>
      </c>
      <c r="V35" s="31" t="s">
        <v>166</v>
      </c>
      <c r="W35" s="228" t="s">
        <v>166</v>
      </c>
      <c r="X35" s="31" t="s">
        <v>166</v>
      </c>
      <c r="Y35" s="31" t="s">
        <v>166</v>
      </c>
      <c r="Z35" s="31" t="s">
        <v>166</v>
      </c>
      <c r="AA35" s="31" t="s">
        <v>166</v>
      </c>
      <c r="AB35" s="31" t="s">
        <v>166</v>
      </c>
      <c r="AC35" s="31" t="s">
        <v>166</v>
      </c>
      <c r="AD35" s="31" t="s">
        <v>166</v>
      </c>
      <c r="AE35" s="31" t="s">
        <v>166</v>
      </c>
      <c r="AF35" s="31">
        <v>14.27</v>
      </c>
      <c r="AG35" s="31">
        <v>14.59</v>
      </c>
      <c r="AH35" s="31">
        <v>14.75</v>
      </c>
      <c r="AI35" s="31">
        <v>14.93</v>
      </c>
      <c r="AJ35" s="31">
        <v>15.28</v>
      </c>
      <c r="AK35" s="31">
        <v>15.11</v>
      </c>
      <c r="AL35" s="31">
        <v>15.11</v>
      </c>
      <c r="AM35" s="31">
        <v>15.29</v>
      </c>
      <c r="AN35" s="31">
        <v>15.14</v>
      </c>
      <c r="AO35" s="31">
        <v>15.15</v>
      </c>
      <c r="AP35" s="31">
        <v>15.15</v>
      </c>
      <c r="AQ35" s="31">
        <v>15.15</v>
      </c>
      <c r="AR35" s="31">
        <v>15.15</v>
      </c>
      <c r="AS35" s="31">
        <v>16.059999999999999</v>
      </c>
      <c r="AT35" s="31">
        <v>15.89</v>
      </c>
      <c r="AU35" s="31">
        <v>15.89</v>
      </c>
      <c r="AV35" s="31">
        <v>15.89</v>
      </c>
      <c r="AW35" s="31">
        <v>16.37</v>
      </c>
      <c r="AX35" s="31">
        <v>16.579999999999998</v>
      </c>
      <c r="AY35" s="31">
        <v>16.489999999999998</v>
      </c>
      <c r="AZ35" s="31">
        <v>16.489999999999998</v>
      </c>
      <c r="BA35" s="31">
        <v>16.5</v>
      </c>
      <c r="BB35" s="31">
        <v>16.600000000000001</v>
      </c>
      <c r="BC35" s="31">
        <v>16.66</v>
      </c>
      <c r="BD35" s="31">
        <v>16.72</v>
      </c>
      <c r="BE35" s="31">
        <v>16.68</v>
      </c>
      <c r="BF35" s="31">
        <v>16.489999999999998</v>
      </c>
      <c r="BG35" s="31">
        <v>16.41</v>
      </c>
      <c r="BH35" s="31">
        <v>16.37</v>
      </c>
      <c r="BI35" s="31">
        <v>16.57</v>
      </c>
      <c r="BJ35" s="31">
        <v>16.38</v>
      </c>
      <c r="BK35" s="31">
        <v>16.579999999999998</v>
      </c>
      <c r="BL35" s="31">
        <v>16.579999999999998</v>
      </c>
      <c r="BM35" s="31">
        <v>16.41</v>
      </c>
      <c r="BN35" s="31">
        <v>16.22</v>
      </c>
      <c r="BO35" s="31">
        <v>16.23</v>
      </c>
      <c r="BP35" s="31">
        <v>14.59</v>
      </c>
      <c r="BQ35" s="31">
        <v>14.47</v>
      </c>
      <c r="BR35" s="31">
        <v>14.69</v>
      </c>
      <c r="BS35" s="31">
        <v>14.7</v>
      </c>
      <c r="BT35" s="31">
        <v>14.7</v>
      </c>
      <c r="BU35" s="31">
        <v>14.74</v>
      </c>
      <c r="BV35" s="31">
        <v>14.79</v>
      </c>
      <c r="BW35" s="31">
        <v>14.76</v>
      </c>
      <c r="BX35" s="31">
        <v>15.4</v>
      </c>
      <c r="BY35" s="31">
        <v>15.94</v>
      </c>
      <c r="BZ35" s="31">
        <v>16.329999999999998</v>
      </c>
      <c r="CA35" s="31">
        <v>15.17</v>
      </c>
      <c r="CB35" s="31">
        <v>15.9</v>
      </c>
      <c r="CC35" s="31">
        <v>16.47</v>
      </c>
      <c r="CD35" s="31">
        <v>16.47</v>
      </c>
      <c r="CE35" s="31">
        <v>16.47</v>
      </c>
      <c r="CF35" s="31">
        <v>16.77</v>
      </c>
      <c r="CG35" s="31">
        <v>16.59</v>
      </c>
      <c r="CH35" s="31">
        <v>16.309999999999999</v>
      </c>
      <c r="CI35" s="31">
        <v>16.41</v>
      </c>
      <c r="CJ35" s="31">
        <v>14.91</v>
      </c>
      <c r="CK35" s="31">
        <v>14.87</v>
      </c>
      <c r="CL35" s="31">
        <v>14.85</v>
      </c>
      <c r="CM35" s="31">
        <v>14.85</v>
      </c>
      <c r="CN35" s="31">
        <v>15.54</v>
      </c>
      <c r="CO35" s="31">
        <v>16.170000000000002</v>
      </c>
      <c r="CP35" s="31">
        <v>16.2</v>
      </c>
      <c r="CQ35" s="31">
        <v>16.2</v>
      </c>
      <c r="CR35" s="31">
        <v>16.2</v>
      </c>
      <c r="CS35" s="31">
        <v>15.36</v>
      </c>
      <c r="CT35" s="31">
        <v>14.69</v>
      </c>
      <c r="CU35" s="31">
        <v>15.42</v>
      </c>
      <c r="CV35" s="31">
        <v>15.42</v>
      </c>
    </row>
    <row r="36" spans="1:100" x14ac:dyDescent="0.2">
      <c r="A36" t="str">
        <f>IFERROR(INDEX(exit_newbonds,MATCH('NBs Prices'!G36,'NBs List'!$B$3:$B$14,0)),"")</f>
        <v>41_USD</v>
      </c>
      <c r="B36" t="s">
        <v>3</v>
      </c>
      <c r="C36">
        <v>2041</v>
      </c>
      <c r="D36" t="s">
        <v>0</v>
      </c>
      <c r="E36" t="s">
        <v>5</v>
      </c>
      <c r="F36" s="23">
        <f>IFERROR(INDEX('NBs List'!$E$3:$E$14,MATCH('NBs Prices'!G36,'NBs List'!$B$3:$B$14,0)),"")</f>
        <v>10482111279</v>
      </c>
      <c r="G36" t="s">
        <v>65</v>
      </c>
      <c r="H36" s="31" t="s">
        <v>166</v>
      </c>
      <c r="I36" s="31" t="s">
        <v>166</v>
      </c>
      <c r="J36" s="31" t="s">
        <v>166</v>
      </c>
      <c r="K36" s="31" t="s">
        <v>166</v>
      </c>
      <c r="L36" s="31" t="s">
        <v>166</v>
      </c>
      <c r="M36" s="31" t="s">
        <v>166</v>
      </c>
      <c r="N36" s="31" t="s">
        <v>166</v>
      </c>
      <c r="O36" s="31" t="s">
        <v>166</v>
      </c>
      <c r="P36" s="31" t="s">
        <v>166</v>
      </c>
      <c r="Q36" s="31" t="s">
        <v>166</v>
      </c>
      <c r="R36" s="31" t="s">
        <v>166</v>
      </c>
      <c r="S36" s="31" t="s">
        <v>166</v>
      </c>
      <c r="T36" s="31">
        <v>11.103350000000001</v>
      </c>
      <c r="U36" s="31">
        <v>11.103350000000001</v>
      </c>
      <c r="V36" s="31">
        <v>11.1839</v>
      </c>
      <c r="W36" s="228">
        <v>11.1838</v>
      </c>
      <c r="X36" s="31">
        <v>11.64345</v>
      </c>
      <c r="Y36" s="31">
        <v>11.8452</v>
      </c>
      <c r="Z36" s="31">
        <v>11.975099999999999</v>
      </c>
      <c r="AA36" s="31">
        <v>12.380699999999999</v>
      </c>
      <c r="AB36" s="31">
        <v>12.6195</v>
      </c>
      <c r="AC36" s="31">
        <v>12.73385</v>
      </c>
      <c r="AD36" s="31">
        <v>13.0121</v>
      </c>
      <c r="AE36" s="31">
        <v>12.7841</v>
      </c>
      <c r="AF36" s="31">
        <v>12.432449999999999</v>
      </c>
      <c r="AG36" s="31">
        <v>12.530749999999999</v>
      </c>
      <c r="AH36" s="31">
        <v>12.464</v>
      </c>
      <c r="AI36" s="31">
        <v>12.589</v>
      </c>
      <c r="AJ36" s="31">
        <v>13.2706</v>
      </c>
      <c r="AK36" s="31">
        <v>13.284649999999999</v>
      </c>
      <c r="AL36" s="31">
        <v>13.556699999999999</v>
      </c>
      <c r="AM36" s="31">
        <v>13.662699999999999</v>
      </c>
      <c r="AN36" s="31">
        <v>13.591749999999999</v>
      </c>
      <c r="AO36" s="31">
        <v>13.422800000000001</v>
      </c>
      <c r="AP36" s="31">
        <v>13.351000000000001</v>
      </c>
      <c r="AQ36" s="31">
        <v>13.4887</v>
      </c>
      <c r="AR36" s="31">
        <v>13.7484</v>
      </c>
      <c r="AS36" s="31">
        <v>13.878550000000001</v>
      </c>
      <c r="AT36" s="31">
        <v>13.709350000000001</v>
      </c>
      <c r="AU36" s="31">
        <v>14.207700000000001</v>
      </c>
      <c r="AV36" s="31">
        <v>14.229649999999999</v>
      </c>
      <c r="AW36" s="31">
        <v>14.343299999999999</v>
      </c>
      <c r="AX36" s="31">
        <v>14.2981</v>
      </c>
      <c r="AY36" s="31">
        <v>13.915749999999999</v>
      </c>
      <c r="AZ36" s="31">
        <v>14.2765</v>
      </c>
      <c r="BA36" s="31">
        <v>14.337350000000001</v>
      </c>
      <c r="BB36" s="31">
        <v>14.476000000000001</v>
      </c>
      <c r="BC36" s="31">
        <v>14.577500000000001</v>
      </c>
      <c r="BD36" s="31">
        <v>14.707549999999999</v>
      </c>
      <c r="BE36" s="31">
        <v>14.53945</v>
      </c>
      <c r="BF36" s="31">
        <v>14.34435</v>
      </c>
      <c r="BG36" s="31">
        <v>14.160550000000001</v>
      </c>
      <c r="BH36" s="31">
        <v>14.0388</v>
      </c>
      <c r="BI36" s="31">
        <v>13.95115</v>
      </c>
      <c r="BJ36" s="31">
        <v>13.66095</v>
      </c>
      <c r="BK36" s="31">
        <v>13.82395</v>
      </c>
      <c r="BL36" s="31">
        <v>13.82395</v>
      </c>
      <c r="BM36" s="31">
        <v>13.60685</v>
      </c>
      <c r="BN36" s="31">
        <v>13.478149999999999</v>
      </c>
      <c r="BO36" s="31">
        <v>13.216100000000001</v>
      </c>
      <c r="BP36" s="31">
        <v>13.491400000000001</v>
      </c>
      <c r="BQ36" s="31">
        <v>13.41455</v>
      </c>
      <c r="BR36" s="31">
        <v>13.53505</v>
      </c>
      <c r="BS36" s="31">
        <v>13.5944</v>
      </c>
      <c r="BT36" s="31">
        <v>14.1623</v>
      </c>
      <c r="BU36" s="31">
        <v>13.6463</v>
      </c>
      <c r="BV36" s="31">
        <v>13.714549999999999</v>
      </c>
      <c r="BW36" s="31">
        <v>13.70715</v>
      </c>
      <c r="BX36" s="31">
        <v>14.189249999999999</v>
      </c>
      <c r="BY36" s="31">
        <v>13.97725</v>
      </c>
      <c r="BZ36" s="31">
        <v>13.951499999999999</v>
      </c>
      <c r="CA36" s="31">
        <v>14.171250000000001</v>
      </c>
      <c r="CB36" s="31">
        <v>14.17465</v>
      </c>
      <c r="CC36" s="31">
        <v>14.262700000000001</v>
      </c>
      <c r="CD36" s="31">
        <v>14.267300000000001</v>
      </c>
      <c r="CE36" s="31">
        <v>14.3988</v>
      </c>
      <c r="CF36" s="31">
        <v>14.276400000000001</v>
      </c>
      <c r="CG36" s="31">
        <v>14.226749999999999</v>
      </c>
      <c r="CH36" s="31">
        <v>13.923349999999999</v>
      </c>
      <c r="CI36" s="31">
        <v>13.720549999999999</v>
      </c>
      <c r="CJ36" s="31">
        <v>13.831049999999999</v>
      </c>
      <c r="CK36" s="31">
        <v>13.806850000000001</v>
      </c>
      <c r="CL36" s="31">
        <v>13.79205</v>
      </c>
      <c r="CM36" s="31">
        <v>13.7485</v>
      </c>
      <c r="CN36" s="31">
        <v>13.52345</v>
      </c>
      <c r="CO36" s="31">
        <v>13.627750000000001</v>
      </c>
      <c r="CP36" s="31">
        <v>13.62125</v>
      </c>
      <c r="CQ36" s="31">
        <v>13.54895</v>
      </c>
      <c r="CR36" s="31">
        <v>13.54895</v>
      </c>
      <c r="CS36" s="31">
        <v>13.59205</v>
      </c>
      <c r="CT36" s="31">
        <v>13.679650000000001</v>
      </c>
      <c r="CU36" s="31">
        <v>13.7164</v>
      </c>
      <c r="CV36" s="31">
        <v>13.691850000000001</v>
      </c>
    </row>
    <row r="37" spans="1:100" x14ac:dyDescent="0.2">
      <c r="A37" t="str">
        <f>IFERROR(INDEX(exit_newbonds,MATCH('NBs Prices'!G37,'NBs List'!$B$3:$B$14,0)),"")</f>
        <v>41_EUR</v>
      </c>
      <c r="B37" t="s">
        <v>173</v>
      </c>
      <c r="C37">
        <v>2041</v>
      </c>
      <c r="D37" t="s">
        <v>1</v>
      </c>
      <c r="E37" t="s">
        <v>5</v>
      </c>
      <c r="F37" s="23">
        <f>IFERROR(INDEX('NBs List'!$E$3:$E$14,MATCH('NBs Prices'!G37,'NBs List'!$B$3:$B$14,0)),"")</f>
        <v>1572601941</v>
      </c>
      <c r="G37" t="s">
        <v>66</v>
      </c>
      <c r="H37" s="31" t="s">
        <v>166</v>
      </c>
      <c r="I37" s="31" t="s">
        <v>166</v>
      </c>
      <c r="J37" s="31" t="s">
        <v>166</v>
      </c>
      <c r="K37" s="31" t="s">
        <v>166</v>
      </c>
      <c r="L37" s="31" t="s">
        <v>166</v>
      </c>
      <c r="M37" s="31" t="s">
        <v>166</v>
      </c>
      <c r="N37" s="31" t="s">
        <v>166</v>
      </c>
      <c r="O37" s="31" t="s">
        <v>166</v>
      </c>
      <c r="P37" s="31" t="s">
        <v>166</v>
      </c>
      <c r="Q37" s="31" t="s">
        <v>166</v>
      </c>
      <c r="R37" s="31" t="s">
        <v>166</v>
      </c>
      <c r="S37" s="31" t="s">
        <v>166</v>
      </c>
      <c r="T37" s="31" t="s">
        <v>166</v>
      </c>
      <c r="U37" s="31" t="s">
        <v>166</v>
      </c>
      <c r="V37" s="31">
        <v>12.8174697365298</v>
      </c>
      <c r="W37" s="228">
        <v>13.124230076755399</v>
      </c>
      <c r="X37" s="31">
        <v>13.432571327308199</v>
      </c>
      <c r="Y37" s="31">
        <v>13.9912332662007</v>
      </c>
      <c r="Z37" s="31">
        <v>14.559486748499699</v>
      </c>
      <c r="AA37" s="31">
        <v>16.641363320740499</v>
      </c>
      <c r="AB37" s="31">
        <v>15.604148619858099</v>
      </c>
      <c r="AC37" s="31">
        <v>16.707278683937499</v>
      </c>
      <c r="AD37" s="31">
        <v>17.251240151736202</v>
      </c>
      <c r="AE37" s="31">
        <v>16.665697505378802</v>
      </c>
      <c r="AF37" s="31">
        <v>16.399561434203498</v>
      </c>
      <c r="AG37" s="31">
        <v>16.7324221502043</v>
      </c>
      <c r="AH37" s="31">
        <v>16.287980876269899</v>
      </c>
      <c r="AI37" s="31">
        <v>16.316605582182099</v>
      </c>
      <c r="AJ37" s="31">
        <v>16.714494875549001</v>
      </c>
      <c r="AK37" s="31">
        <v>16.8115737140972</v>
      </c>
      <c r="AL37" s="31">
        <v>16.967449719556001</v>
      </c>
      <c r="AM37" s="31">
        <v>17.110802737728399</v>
      </c>
      <c r="AN37" s="31">
        <v>16.437776314551801</v>
      </c>
      <c r="AO37" s="31">
        <v>17.333932414217099</v>
      </c>
      <c r="AP37" s="31">
        <v>17.435885320071399</v>
      </c>
      <c r="AQ37" s="31">
        <v>17.228420434527301</v>
      </c>
      <c r="AR37" s="31">
        <v>17.689551888177601</v>
      </c>
      <c r="AS37" s="31">
        <v>17.875119986889199</v>
      </c>
      <c r="AT37" s="31">
        <v>18.022240710577801</v>
      </c>
      <c r="AU37" s="31">
        <v>18.248991069642699</v>
      </c>
      <c r="AV37" s="31">
        <v>18.428985164607798</v>
      </c>
      <c r="AW37" s="31">
        <v>18.4912821729332</v>
      </c>
      <c r="AX37" s="31">
        <v>18.078481880162101</v>
      </c>
      <c r="AY37" s="31">
        <v>17.800388975855</v>
      </c>
      <c r="AZ37" s="31">
        <v>18.0781220479879</v>
      </c>
      <c r="BA37" s="31">
        <v>18.081668278644099</v>
      </c>
      <c r="BB37" s="31">
        <v>18.7199060481503</v>
      </c>
      <c r="BC37" s="31">
        <v>18.1298155498482</v>
      </c>
      <c r="BD37" s="31">
        <v>18.122736113861102</v>
      </c>
      <c r="BE37" s="31">
        <v>18.053567063589099</v>
      </c>
      <c r="BF37" s="31">
        <v>17.859234102353899</v>
      </c>
      <c r="BG37" s="31">
        <v>17.747040206306401</v>
      </c>
      <c r="BH37" s="31">
        <v>17.719723387907099</v>
      </c>
      <c r="BI37" s="31">
        <v>17.558647544876099</v>
      </c>
      <c r="BJ37" s="31">
        <v>16.797987076654099</v>
      </c>
      <c r="BK37" s="31">
        <v>17.130368007561</v>
      </c>
      <c r="BL37" s="31">
        <v>17.076703842847198</v>
      </c>
      <c r="BM37" s="31">
        <v>16.7734929234982</v>
      </c>
      <c r="BN37" s="31">
        <v>16.8960090869293</v>
      </c>
      <c r="BO37" s="31">
        <v>16.712695722261099</v>
      </c>
      <c r="BP37" s="31">
        <v>16.854465662436201</v>
      </c>
      <c r="BQ37" s="31">
        <v>16.758717140351301</v>
      </c>
      <c r="BR37" s="31">
        <v>16.8714752151974</v>
      </c>
      <c r="BS37" s="31">
        <v>16.8667844062252</v>
      </c>
      <c r="BT37" s="31">
        <v>16.824731526539502</v>
      </c>
      <c r="BU37" s="31">
        <v>16.940488361587299</v>
      </c>
      <c r="BV37" s="31">
        <v>17.071311143408501</v>
      </c>
      <c r="BW37" s="31">
        <v>17.1070501060256</v>
      </c>
      <c r="BX37" s="31">
        <v>17.165482427809302</v>
      </c>
      <c r="BY37" s="31">
        <v>17.3553127534711</v>
      </c>
      <c r="BZ37" s="31">
        <v>17.598068799034401</v>
      </c>
      <c r="CA37" s="31">
        <v>17.615274648058001</v>
      </c>
      <c r="CB37" s="31">
        <v>17.809449813043301</v>
      </c>
      <c r="CC37" s="31">
        <v>17.671013719881699</v>
      </c>
      <c r="CD37" s="31">
        <v>17.883521007385902</v>
      </c>
      <c r="CE37" s="31">
        <v>17.8005276023137</v>
      </c>
      <c r="CF37" s="31">
        <v>17.795228027786202</v>
      </c>
      <c r="CG37" s="31">
        <v>17.7672059126931</v>
      </c>
      <c r="CH37" s="31">
        <v>17.6335230713334</v>
      </c>
      <c r="CI37" s="31">
        <v>17.364484165533302</v>
      </c>
      <c r="CJ37" s="31">
        <v>17.4001798342609</v>
      </c>
      <c r="CK37" s="31">
        <v>17.6003512752022</v>
      </c>
      <c r="CL37" s="31">
        <v>17.785737065475999</v>
      </c>
      <c r="CM37" s="31">
        <v>17.696295297736501</v>
      </c>
      <c r="CN37" s="31">
        <v>17.861077785667099</v>
      </c>
      <c r="CO37" s="31">
        <v>17.487534962908899</v>
      </c>
      <c r="CP37" s="31">
        <v>17.5951649851343</v>
      </c>
      <c r="CQ37" s="31">
        <v>17.401688987460499</v>
      </c>
      <c r="CR37" s="31">
        <v>17.401688987460499</v>
      </c>
      <c r="CS37" s="31">
        <v>17.453861468371699</v>
      </c>
      <c r="CT37" s="31">
        <v>17.611110430725098</v>
      </c>
      <c r="CU37" s="31">
        <v>17.7047729116974</v>
      </c>
      <c r="CV37" s="31">
        <v>17.7047729116974</v>
      </c>
    </row>
    <row r="38" spans="1:100" x14ac:dyDescent="0.2">
      <c r="A38" t="str">
        <f>IFERROR(INDEX(exit_newbonds,MATCH('NBs Prices'!G38,'NBs List'!$B$3:$B$14,0)),"")</f>
        <v/>
      </c>
      <c r="B38" t="s">
        <v>98</v>
      </c>
      <c r="C38">
        <v>2041</v>
      </c>
      <c r="D38" t="s">
        <v>0</v>
      </c>
      <c r="F38" s="23" t="str">
        <f>IFERROR(INDEX('NBs List'!$E$3:$E$14,MATCH('NBs Prices'!G38,'NBs List'!$B$3:$B$14,0)),"")</f>
        <v/>
      </c>
      <c r="G38" t="s">
        <v>73</v>
      </c>
      <c r="H38" s="31" t="s">
        <v>166</v>
      </c>
      <c r="I38" s="31" t="s">
        <v>166</v>
      </c>
      <c r="J38" s="31" t="s">
        <v>166</v>
      </c>
      <c r="K38" s="31" t="s">
        <v>166</v>
      </c>
      <c r="L38" s="31" t="s">
        <v>166</v>
      </c>
      <c r="M38" s="31" t="s">
        <v>166</v>
      </c>
      <c r="N38" s="31" t="s">
        <v>166</v>
      </c>
      <c r="O38" s="31" t="s">
        <v>166</v>
      </c>
      <c r="P38" s="31" t="s">
        <v>166</v>
      </c>
      <c r="Q38" s="31" t="s">
        <v>166</v>
      </c>
      <c r="R38" s="31" t="s">
        <v>166</v>
      </c>
      <c r="S38" s="31" t="s">
        <v>166</v>
      </c>
      <c r="T38" s="31" t="s">
        <v>166</v>
      </c>
      <c r="U38" s="31" t="s">
        <v>166</v>
      </c>
      <c r="V38" s="31" t="s">
        <v>166</v>
      </c>
      <c r="W38" s="228" t="s">
        <v>166</v>
      </c>
      <c r="X38" s="31" t="s">
        <v>166</v>
      </c>
      <c r="Y38" s="31" t="s">
        <v>166</v>
      </c>
      <c r="Z38" s="31" t="s">
        <v>166</v>
      </c>
      <c r="AA38" s="31" t="s">
        <v>166</v>
      </c>
      <c r="AB38" s="31" t="s">
        <v>166</v>
      </c>
      <c r="AC38" s="31" t="s">
        <v>166</v>
      </c>
      <c r="AD38" s="31" t="s">
        <v>166</v>
      </c>
      <c r="AE38" s="31" t="s">
        <v>166</v>
      </c>
      <c r="AF38" s="31">
        <v>12.74</v>
      </c>
      <c r="AG38" s="31">
        <v>13.03</v>
      </c>
      <c r="AH38" s="31">
        <v>12.89</v>
      </c>
      <c r="AI38" s="31">
        <v>13.05</v>
      </c>
      <c r="AJ38" s="31">
        <v>13.13</v>
      </c>
      <c r="AK38" s="31">
        <v>12.77</v>
      </c>
      <c r="AL38" s="31">
        <v>12.77</v>
      </c>
      <c r="AM38" s="31">
        <v>13.07</v>
      </c>
      <c r="AN38" s="31">
        <v>12.94</v>
      </c>
      <c r="AO38" s="31">
        <v>12.94</v>
      </c>
      <c r="AP38" s="31">
        <v>12.94</v>
      </c>
      <c r="AQ38" s="31">
        <v>12.94</v>
      </c>
      <c r="AR38" s="31">
        <v>12.94</v>
      </c>
      <c r="AS38" s="31">
        <v>13.41</v>
      </c>
      <c r="AT38" s="31">
        <v>13.33</v>
      </c>
      <c r="AU38" s="31">
        <v>13.33</v>
      </c>
      <c r="AV38" s="31">
        <v>13.33</v>
      </c>
      <c r="AW38" s="31">
        <v>14.22</v>
      </c>
      <c r="AX38" s="31">
        <v>14.41</v>
      </c>
      <c r="AY38" s="31">
        <v>14.33</v>
      </c>
      <c r="AZ38" s="31">
        <v>14.33</v>
      </c>
      <c r="BA38" s="31">
        <v>14.46</v>
      </c>
      <c r="BB38" s="31">
        <v>14.51</v>
      </c>
      <c r="BC38" s="31">
        <v>14.56</v>
      </c>
      <c r="BD38" s="31">
        <v>14.66</v>
      </c>
      <c r="BE38" s="31">
        <v>14.62</v>
      </c>
      <c r="BF38" s="31">
        <v>14.45</v>
      </c>
      <c r="BG38" s="31">
        <v>14.38</v>
      </c>
      <c r="BH38" s="31">
        <v>14.34</v>
      </c>
      <c r="BI38" s="31">
        <v>14.17</v>
      </c>
      <c r="BJ38" s="31">
        <v>13.69</v>
      </c>
      <c r="BK38" s="31">
        <v>13.86</v>
      </c>
      <c r="BL38" s="31">
        <v>13.86</v>
      </c>
      <c r="BM38" s="31">
        <v>13.71</v>
      </c>
      <c r="BN38" s="31">
        <v>13.56</v>
      </c>
      <c r="BO38" s="31">
        <v>13.11</v>
      </c>
      <c r="BP38" s="31">
        <v>13.45</v>
      </c>
      <c r="BQ38" s="31">
        <v>13.31</v>
      </c>
      <c r="BR38" s="31">
        <v>13.51</v>
      </c>
      <c r="BS38" s="31">
        <v>13.6</v>
      </c>
      <c r="BT38" s="31">
        <v>13.6</v>
      </c>
      <c r="BU38" s="31">
        <v>13.64</v>
      </c>
      <c r="BV38" s="31">
        <v>13.64</v>
      </c>
      <c r="BW38" s="31">
        <v>13.66</v>
      </c>
      <c r="BX38" s="31">
        <v>14.19</v>
      </c>
      <c r="BY38" s="31">
        <v>14.4</v>
      </c>
      <c r="BZ38" s="31">
        <v>13.99</v>
      </c>
      <c r="CA38" s="31">
        <v>14.12</v>
      </c>
      <c r="CB38" s="31">
        <v>14.43</v>
      </c>
      <c r="CC38" s="31">
        <v>14.61</v>
      </c>
      <c r="CD38" s="31">
        <v>14.61</v>
      </c>
      <c r="CE38" s="31">
        <v>14.61</v>
      </c>
      <c r="CF38" s="31">
        <v>14.84</v>
      </c>
      <c r="CG38" s="31">
        <v>14.59</v>
      </c>
      <c r="CH38" s="31">
        <v>14.38</v>
      </c>
      <c r="CI38" s="31">
        <v>13.61</v>
      </c>
      <c r="CJ38" s="31">
        <v>13.77</v>
      </c>
      <c r="CK38" s="31">
        <v>13.73</v>
      </c>
      <c r="CL38" s="31">
        <v>13.71</v>
      </c>
      <c r="CM38" s="31">
        <v>13.71</v>
      </c>
      <c r="CN38" s="31">
        <v>14</v>
      </c>
      <c r="CO38" s="31">
        <v>13.6</v>
      </c>
      <c r="CP38" s="31">
        <v>13.54</v>
      </c>
      <c r="CQ38" s="31">
        <v>13.54</v>
      </c>
      <c r="CR38" s="31">
        <v>13.54</v>
      </c>
      <c r="CS38" s="31">
        <v>13.59</v>
      </c>
      <c r="CT38" s="31">
        <v>13.59</v>
      </c>
      <c r="CU38" s="31">
        <v>14.21</v>
      </c>
      <c r="CV38" s="31">
        <v>14.21</v>
      </c>
    </row>
    <row r="39" spans="1:100" x14ac:dyDescent="0.2">
      <c r="A39" t="str">
        <f>IFERROR(INDEX(exit_newbonds,MATCH('NBs Prices'!G39,'NBs List'!$B$3:$B$14,0)),"")</f>
        <v>46_USD</v>
      </c>
      <c r="B39" t="s">
        <v>4</v>
      </c>
      <c r="C39">
        <v>2046</v>
      </c>
      <c r="D39" t="s">
        <v>0</v>
      </c>
      <c r="E39" t="s">
        <v>6</v>
      </c>
      <c r="F39" s="23">
        <f>IFERROR(INDEX('NBs List'!$E$3:$E$14,MATCH('NBs Prices'!G39,'NBs List'!$B$3:$B$14,0)),"")</f>
        <v>2091997126</v>
      </c>
      <c r="G39" t="s">
        <v>67</v>
      </c>
      <c r="H39" s="31" t="s">
        <v>166</v>
      </c>
      <c r="I39" s="31" t="s">
        <v>166</v>
      </c>
      <c r="J39" s="31" t="s">
        <v>166</v>
      </c>
      <c r="K39" s="31" t="s">
        <v>166</v>
      </c>
      <c r="L39" s="31" t="s">
        <v>166</v>
      </c>
      <c r="M39" s="31" t="s">
        <v>166</v>
      </c>
      <c r="N39" s="31" t="s">
        <v>166</v>
      </c>
      <c r="O39" s="31" t="s">
        <v>166</v>
      </c>
      <c r="P39" s="31" t="s">
        <v>166</v>
      </c>
      <c r="Q39" s="31" t="s">
        <v>166</v>
      </c>
      <c r="R39" s="31" t="s">
        <v>166</v>
      </c>
      <c r="S39" s="31" t="s">
        <v>166</v>
      </c>
      <c r="T39" s="31">
        <v>10.3146</v>
      </c>
      <c r="U39" s="31">
        <v>9.9617500000000003</v>
      </c>
      <c r="V39" s="31">
        <v>10.42295</v>
      </c>
      <c r="W39" s="228">
        <v>10.64865</v>
      </c>
      <c r="X39" s="31">
        <v>11.7819</v>
      </c>
      <c r="Y39" s="31">
        <v>12.0258</v>
      </c>
      <c r="Z39" s="31">
        <v>12.2501</v>
      </c>
      <c r="AA39" s="31">
        <v>12.719150000000001</v>
      </c>
      <c r="AB39" s="31">
        <v>12.75855</v>
      </c>
      <c r="AC39" s="31">
        <v>12.89465</v>
      </c>
      <c r="AD39" s="31">
        <v>13.321899999999999</v>
      </c>
      <c r="AE39" s="31">
        <v>13.0625</v>
      </c>
      <c r="AF39" s="31">
        <v>12.8386</v>
      </c>
      <c r="AG39" s="31">
        <v>12.794600000000001</v>
      </c>
      <c r="AH39" s="31">
        <v>12.756550000000001</v>
      </c>
      <c r="AI39" s="31">
        <v>12.8428</v>
      </c>
      <c r="AJ39" s="31">
        <v>13.557499999999999</v>
      </c>
      <c r="AK39" s="31">
        <v>13.350949999999999</v>
      </c>
      <c r="AL39" s="31">
        <v>13.791550000000001</v>
      </c>
      <c r="AM39" s="31">
        <v>13.8194</v>
      </c>
      <c r="AN39" s="31">
        <v>13.73875</v>
      </c>
      <c r="AO39" s="31">
        <v>13.64195</v>
      </c>
      <c r="AP39" s="31">
        <v>13.41915</v>
      </c>
      <c r="AQ39" s="31">
        <v>13.662850000000001</v>
      </c>
      <c r="AR39" s="31">
        <v>13.897500000000001</v>
      </c>
      <c r="AS39" s="31">
        <v>14.328250000000001</v>
      </c>
      <c r="AT39" s="31">
        <v>14.21095</v>
      </c>
      <c r="AU39" s="31">
        <v>14.46035</v>
      </c>
      <c r="AV39" s="31">
        <v>14.55165</v>
      </c>
      <c r="AW39" s="31">
        <v>14.68825</v>
      </c>
      <c r="AX39" s="31">
        <v>14.7339</v>
      </c>
      <c r="AY39" s="31">
        <v>14.47185</v>
      </c>
      <c r="AZ39" s="31">
        <v>14.7128</v>
      </c>
      <c r="BA39" s="31">
        <v>14.77575</v>
      </c>
      <c r="BB39" s="31">
        <v>14.954750000000001</v>
      </c>
      <c r="BC39" s="31">
        <v>15.040100000000001</v>
      </c>
      <c r="BD39" s="31">
        <v>15.1913</v>
      </c>
      <c r="BE39" s="31">
        <v>15.058249999999999</v>
      </c>
      <c r="BF39" s="31">
        <v>14.84205</v>
      </c>
      <c r="BG39" s="31">
        <v>14.6928</v>
      </c>
      <c r="BH39" s="31">
        <v>14.54955</v>
      </c>
      <c r="BI39" s="31">
        <v>14.4184</v>
      </c>
      <c r="BJ39" s="31">
        <v>13.77875</v>
      </c>
      <c r="BK39" s="31">
        <v>13.94735</v>
      </c>
      <c r="BL39" s="31">
        <v>13.94735</v>
      </c>
      <c r="BM39" s="31">
        <v>13.8325</v>
      </c>
      <c r="BN39" s="31">
        <v>13.723050000000001</v>
      </c>
      <c r="BO39" s="31">
        <v>13.706899999999999</v>
      </c>
      <c r="BP39" s="31">
        <v>13.794650000000001</v>
      </c>
      <c r="BQ39" s="31">
        <v>13.84745</v>
      </c>
      <c r="BR39" s="31">
        <v>14.202999999999999</v>
      </c>
      <c r="BS39" s="31">
        <v>14.207599999999999</v>
      </c>
      <c r="BT39" s="31">
        <v>13.91845</v>
      </c>
      <c r="BU39" s="31">
        <v>14.010450000000001</v>
      </c>
      <c r="BV39" s="31">
        <v>14.179449999999999</v>
      </c>
      <c r="BW39" s="31">
        <v>14.321350000000001</v>
      </c>
      <c r="BX39" s="31">
        <v>13.945449999999999</v>
      </c>
      <c r="BY39" s="31">
        <v>14.236050000000001</v>
      </c>
      <c r="BZ39" s="31">
        <v>14.2066</v>
      </c>
      <c r="CA39" s="31">
        <v>14.6404</v>
      </c>
      <c r="CB39" s="31">
        <v>14.573449999999999</v>
      </c>
      <c r="CC39" s="31">
        <v>14.489850000000001</v>
      </c>
      <c r="CD39" s="31">
        <v>14.67235</v>
      </c>
      <c r="CE39" s="31">
        <v>14.858599999999999</v>
      </c>
      <c r="CF39" s="31">
        <v>14.8636</v>
      </c>
      <c r="CG39" s="31">
        <v>14.79025</v>
      </c>
      <c r="CH39" s="31">
        <v>14.4793</v>
      </c>
      <c r="CI39" s="31">
        <v>14.32635</v>
      </c>
      <c r="CJ39" s="31">
        <v>14.16235</v>
      </c>
      <c r="CK39" s="31">
        <v>14.24325</v>
      </c>
      <c r="CL39" s="31">
        <v>14.27275</v>
      </c>
      <c r="CM39" s="31">
        <v>14.23465</v>
      </c>
      <c r="CN39" s="31">
        <v>14.25695</v>
      </c>
      <c r="CO39" s="31">
        <v>14.13775</v>
      </c>
      <c r="CP39" s="31">
        <v>14.0783</v>
      </c>
      <c r="CQ39" s="31">
        <v>13.94805</v>
      </c>
      <c r="CR39" s="31">
        <v>13.94805</v>
      </c>
      <c r="CS39" s="31">
        <v>14.03575</v>
      </c>
      <c r="CT39" s="31">
        <v>14.09915</v>
      </c>
      <c r="CU39" s="31">
        <v>14.158200000000001</v>
      </c>
      <c r="CV39" s="31">
        <v>14.1007</v>
      </c>
    </row>
    <row r="40" spans="1:100" x14ac:dyDescent="0.2">
      <c r="A40" t="str">
        <f>IFERROR(INDEX(exit_newbonds,MATCH('NBs Prices'!G40,'NBs List'!$B$3:$B$14,0)),"")</f>
        <v>46_EUR</v>
      </c>
      <c r="B40" t="s">
        <v>174</v>
      </c>
      <c r="C40">
        <v>2046</v>
      </c>
      <c r="D40" t="s">
        <v>1</v>
      </c>
      <c r="E40" t="s">
        <v>6</v>
      </c>
      <c r="F40" s="23">
        <f>IFERROR(INDEX('NBs List'!$E$3:$E$14,MATCH('NBs Prices'!G40,'NBs List'!$B$3:$B$14,0)),"")</f>
        <v>248126086</v>
      </c>
      <c r="G40" t="s">
        <v>68</v>
      </c>
      <c r="H40" s="31" t="s">
        <v>166</v>
      </c>
      <c r="I40" s="31" t="s">
        <v>166</v>
      </c>
      <c r="J40" s="31" t="s">
        <v>166</v>
      </c>
      <c r="K40" s="31" t="s">
        <v>166</v>
      </c>
      <c r="L40" s="31" t="s">
        <v>166</v>
      </c>
      <c r="M40" s="31" t="s">
        <v>166</v>
      </c>
      <c r="N40" s="31" t="s">
        <v>166</v>
      </c>
      <c r="O40" s="31" t="s">
        <v>166</v>
      </c>
      <c r="P40" s="31" t="s">
        <v>166</v>
      </c>
      <c r="Q40" s="31" t="s">
        <v>166</v>
      </c>
      <c r="R40" s="31" t="s">
        <v>166</v>
      </c>
      <c r="S40" s="31" t="s">
        <v>166</v>
      </c>
      <c r="T40" s="31" t="s">
        <v>166</v>
      </c>
      <c r="U40" s="31" t="s">
        <v>166</v>
      </c>
      <c r="V40" s="31">
        <v>13.897460242107799</v>
      </c>
      <c r="W40" s="228">
        <v>13.6809438074481</v>
      </c>
      <c r="X40" s="31">
        <v>14.200484375923001</v>
      </c>
      <c r="Y40" s="31">
        <v>14.6191209572326</v>
      </c>
      <c r="Z40" s="31">
        <v>14.606834672885</v>
      </c>
      <c r="AA40" s="31">
        <v>15.3467735291695</v>
      </c>
      <c r="AB40" s="31">
        <v>15.5339123920118</v>
      </c>
      <c r="AC40" s="31">
        <v>16.3924869711208</v>
      </c>
      <c r="AD40" s="31">
        <v>16.714327400058401</v>
      </c>
      <c r="AE40" s="31">
        <v>15.6306332499855</v>
      </c>
      <c r="AF40" s="31">
        <v>16.504537289756701</v>
      </c>
      <c r="AG40" s="31">
        <v>16.615001643887101</v>
      </c>
      <c r="AH40" s="31">
        <v>16.592648144459201</v>
      </c>
      <c r="AI40" s="31">
        <v>16.2461234846349</v>
      </c>
      <c r="AJ40" s="31">
        <v>16.819912152269399</v>
      </c>
      <c r="AK40" s="31">
        <v>16.917603260997598</v>
      </c>
      <c r="AL40" s="31">
        <v>17.084790312360699</v>
      </c>
      <c r="AM40" s="31">
        <v>17.357762777242002</v>
      </c>
      <c r="AN40" s="31">
        <v>16.861066691750501</v>
      </c>
      <c r="AO40" s="31">
        <v>17.594059640078498</v>
      </c>
      <c r="AP40" s="31">
        <v>17.695769789611699</v>
      </c>
      <c r="AQ40" s="31">
        <v>17.2519083969466</v>
      </c>
      <c r="AR40" s="31">
        <v>17.971457097550999</v>
      </c>
      <c r="AS40" s="31">
        <v>18.1209467843514</v>
      </c>
      <c r="AT40" s="31">
        <v>18.198010288379301</v>
      </c>
      <c r="AU40" s="31">
        <v>18.248991069642699</v>
      </c>
      <c r="AV40" s="31">
        <v>18.7481529641232</v>
      </c>
      <c r="AW40" s="31">
        <v>18.8233898707152</v>
      </c>
      <c r="AX40" s="31">
        <v>18.846521960038299</v>
      </c>
      <c r="AY40" s="31">
        <v>18.583084293913998</v>
      </c>
      <c r="AZ40" s="31">
        <v>18.644908369544702</v>
      </c>
      <c r="BA40" s="31">
        <v>18.624236276568102</v>
      </c>
      <c r="BB40" s="31">
        <v>18.943041691133299</v>
      </c>
      <c r="BC40" s="31">
        <v>18.585103899136101</v>
      </c>
      <c r="BD40" s="31">
        <v>18.809909269849399</v>
      </c>
      <c r="BE40" s="31">
        <v>18.542445088521799</v>
      </c>
      <c r="BF40" s="31">
        <v>18.5267595737206</v>
      </c>
      <c r="BG40" s="31">
        <v>18.426913609189999</v>
      </c>
      <c r="BH40" s="31">
        <v>18.4053431053845</v>
      </c>
      <c r="BI40" s="31">
        <v>18.247221958400601</v>
      </c>
      <c r="BJ40" s="31">
        <v>17.613079276576102</v>
      </c>
      <c r="BK40" s="31">
        <v>17.744698446452801</v>
      </c>
      <c r="BL40" s="31">
        <v>17.5713394024331</v>
      </c>
      <c r="BM40" s="31">
        <v>17.517145319121301</v>
      </c>
      <c r="BN40" s="31">
        <v>17.3929505306625</v>
      </c>
      <c r="BO40" s="31">
        <v>17.364609385186199</v>
      </c>
      <c r="BP40" s="31">
        <v>17.850788755782201</v>
      </c>
      <c r="BQ40" s="31">
        <v>17.6120605873847</v>
      </c>
      <c r="BR40" s="31">
        <v>17.773820124666099</v>
      </c>
      <c r="BS40" s="31">
        <v>17.7557575829412</v>
      </c>
      <c r="BT40" s="31">
        <v>17.618015842006201</v>
      </c>
      <c r="BU40" s="31">
        <v>17.5824437100264</v>
      </c>
      <c r="BV40" s="31">
        <v>17.690786495437301</v>
      </c>
      <c r="BW40" s="31">
        <v>17.845655333444501</v>
      </c>
      <c r="BX40" s="31">
        <v>17.715734826192001</v>
      </c>
      <c r="BY40" s="31">
        <v>17.7608664535522</v>
      </c>
      <c r="BZ40" s="31">
        <v>17.887748943874499</v>
      </c>
      <c r="CA40" s="31">
        <v>18.1119914710087</v>
      </c>
      <c r="CB40" s="31">
        <v>18.331471859369699</v>
      </c>
      <c r="CC40" s="31">
        <v>18.313375672662001</v>
      </c>
      <c r="CD40" s="31">
        <v>18.222545102312601</v>
      </c>
      <c r="CE40" s="31">
        <v>18.224061569737898</v>
      </c>
      <c r="CF40" s="31">
        <v>18.0126849894292</v>
      </c>
      <c r="CG40" s="31">
        <v>18.082743722618002</v>
      </c>
      <c r="CH40" s="31">
        <v>18.0210730289451</v>
      </c>
      <c r="CI40" s="31">
        <v>17.704488051292</v>
      </c>
      <c r="CJ40" s="31">
        <v>17.801161632117399</v>
      </c>
      <c r="CK40" s="31">
        <v>17.8442923878176</v>
      </c>
      <c r="CL40" s="31">
        <v>18.018791551161598</v>
      </c>
      <c r="CM40" s="31">
        <v>17.978161497077199</v>
      </c>
      <c r="CN40" s="31">
        <v>18.252821780966102</v>
      </c>
      <c r="CO40" s="31">
        <v>17.828043293202001</v>
      </c>
      <c r="CP40" s="31">
        <v>17.997270556124199</v>
      </c>
      <c r="CQ40" s="31">
        <v>18.0962942201533</v>
      </c>
      <c r="CR40" s="31">
        <v>18.123016841591401</v>
      </c>
      <c r="CS40" s="31">
        <v>18.150061680895998</v>
      </c>
      <c r="CT40" s="31">
        <v>18.100988328659099</v>
      </c>
      <c r="CU40" s="31">
        <v>18.233457102810601</v>
      </c>
      <c r="CV40" s="31">
        <v>18.295065950171001</v>
      </c>
    </row>
    <row r="42" spans="1:100" x14ac:dyDescent="0.2">
      <c r="E42" t="s">
        <v>181</v>
      </c>
      <c r="G42" s="238">
        <f>W2</f>
        <v>44089</v>
      </c>
    </row>
    <row r="43" spans="1:100" x14ac:dyDescent="0.2">
      <c r="E43" t="s">
        <v>0</v>
      </c>
      <c r="F43" t="s">
        <v>5</v>
      </c>
      <c r="G43" s="67">
        <f>AVERAGE(W33,W36)</f>
        <v>11.33545</v>
      </c>
    </row>
    <row r="44" spans="1:100" x14ac:dyDescent="0.2">
      <c r="E44" t="s">
        <v>1</v>
      </c>
      <c r="F44" t="s">
        <v>5</v>
      </c>
      <c r="G44" s="67">
        <f>AVERAGE(W34,W37)</f>
        <v>13.521036672036399</v>
      </c>
    </row>
    <row r="45" spans="1:100" x14ac:dyDescent="0.2">
      <c r="E45" t="s">
        <v>0</v>
      </c>
      <c r="F45" t="s">
        <v>6</v>
      </c>
      <c r="G45" s="67">
        <f>AVERAGE(W24,W27,W30,W39)</f>
        <v>11.188124999999999</v>
      </c>
    </row>
    <row r="46" spans="1:100" x14ac:dyDescent="0.2">
      <c r="E46" t="s">
        <v>1</v>
      </c>
      <c r="F46" t="s">
        <v>6</v>
      </c>
      <c r="G46" s="67">
        <f>AVERAGE(W25,W28,W31,W40)</f>
        <v>13.07981142802995</v>
      </c>
    </row>
    <row r="48" spans="1:100" x14ac:dyDescent="0.2">
      <c r="E48" t="s">
        <v>182</v>
      </c>
    </row>
    <row r="49" spans="5:7" x14ac:dyDescent="0.2">
      <c r="E49" t="s">
        <v>0</v>
      </c>
      <c r="F49" t="s">
        <v>5</v>
      </c>
      <c r="G49" s="67">
        <f>(W33*$F33+W36*$F36)/($F33+$F36)</f>
        <v>11.341844884930985</v>
      </c>
    </row>
    <row r="50" spans="5:7" x14ac:dyDescent="0.2">
      <c r="E50" t="s">
        <v>1</v>
      </c>
      <c r="F50" t="s">
        <v>5</v>
      </c>
      <c r="G50" s="67">
        <f>(W34*$F34+W37*$F37)/($F34+$F37)</f>
        <v>13.393884519457522</v>
      </c>
    </row>
    <row r="51" spans="5:7" x14ac:dyDescent="0.2">
      <c r="E51" t="s">
        <v>0</v>
      </c>
      <c r="F51" t="s">
        <v>6</v>
      </c>
      <c r="G51" s="67">
        <f>($F24*W24+$F27*W27+$F30*W30+$F39*W39)/($F24+$F27+$F30+$F39)</f>
        <v>11.513868277078432</v>
      </c>
    </row>
    <row r="52" spans="5:7" x14ac:dyDescent="0.2">
      <c r="E52" t="s">
        <v>1</v>
      </c>
      <c r="F52" t="s">
        <v>6</v>
      </c>
      <c r="G52" s="67">
        <f>($F25*W25+$F28*W28+$F31*W31+$F40*W40)/($F25+$F28+$F31+$F40)</f>
        <v>14.151281290373376</v>
      </c>
    </row>
    <row r="54" spans="5:7" x14ac:dyDescent="0.2">
      <c r="E54" t="s">
        <v>223</v>
      </c>
      <c r="G54">
        <v>1.1841999999999999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57D326CB690D94F91993903A54242A8" ma:contentTypeVersion="2" ma:contentTypeDescription="Crear nuevo documento." ma:contentTypeScope="" ma:versionID="89211a8b21f0a14e2c06c64b387de8b0">
  <xsd:schema xmlns:xsd="http://www.w3.org/2001/XMLSchema" xmlns:xs="http://www.w3.org/2001/XMLSchema" xmlns:p="http://schemas.microsoft.com/office/2006/metadata/properties" xmlns:ns3="d4459967-1ecb-4a06-a3f9-af329f8544f5" targetNamespace="http://schemas.microsoft.com/office/2006/metadata/properties" ma:root="true" ma:fieldsID="e674e804ddd115de353880b031cca084" ns3:_="">
    <xsd:import namespace="d4459967-1ecb-4a06-a3f9-af329f8544f5"/>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459967-1ecb-4a06-a3f9-af329f8544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91D05A-CB3B-4479-813A-DE61976C08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459967-1ecb-4a06-a3f9-af329f854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0A4ED2-FAAB-4085-81AD-CC52A5CEB185}">
  <ds:schemaRefs>
    <ds:schemaRef ds:uri="http://schemas.microsoft.com/office/2006/documentManagement/types"/>
    <ds:schemaRef ds:uri="http://schemas.microsoft.com/office/2006/metadata/properties"/>
    <ds:schemaRef ds:uri="http://schemas.microsoft.com/office/infopath/2007/PartnerControls"/>
    <ds:schemaRef ds:uri="http://purl.org/dc/terms/"/>
    <ds:schemaRef ds:uri="http://purl.org/dc/dcmitype/"/>
    <ds:schemaRef ds:uri="http://purl.org/dc/elements/1.1/"/>
    <ds:schemaRef ds:uri="http://schemas.openxmlformats.org/package/2006/metadata/core-properties"/>
    <ds:schemaRef ds:uri="d4459967-1ecb-4a06-a3f9-af329f8544f5"/>
    <ds:schemaRef ds:uri="http://www.w3.org/XML/1998/namespace"/>
  </ds:schemaRefs>
</ds:datastoreItem>
</file>

<file path=customXml/itemProps3.xml><?xml version="1.0" encoding="utf-8"?>
<ds:datastoreItem xmlns:ds="http://schemas.openxmlformats.org/officeDocument/2006/customXml" ds:itemID="{AD0C8EFA-1903-47FE-B22E-C52E4FC37AF3}">
  <ds:schemaRefs>
    <ds:schemaRef ds:uri="http://schemas.microsoft.com/DataMashup"/>
  </ds:schemaRefs>
</ds:datastoreItem>
</file>

<file path=customXml/itemProps4.xml><?xml version="1.0" encoding="utf-8"?>
<ds:datastoreItem xmlns:ds="http://schemas.openxmlformats.org/officeDocument/2006/customXml" ds:itemID="{D661B78F-3B42-4904-951D-1D59E5ABB8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38</vt:i4>
      </vt:variant>
    </vt:vector>
  </HeadingPairs>
  <TitlesOfParts>
    <vt:vector size="48" baseType="lpstr">
      <vt:lpstr>README</vt:lpstr>
      <vt:lpstr>EBs List</vt:lpstr>
      <vt:lpstr>Kirchner EBs Cashflows</vt:lpstr>
      <vt:lpstr>EBs NPVs</vt:lpstr>
      <vt:lpstr>EBs Prices</vt:lpstr>
      <vt:lpstr>Exchange Offer</vt:lpstr>
      <vt:lpstr>Exchange Results</vt:lpstr>
      <vt:lpstr>NBs List</vt:lpstr>
      <vt:lpstr>NBs NPVs</vt:lpstr>
      <vt:lpstr>NBs Prices</vt:lpstr>
      <vt:lpstr>chfeur_exit</vt:lpstr>
      <vt:lpstr>chfeur_offer</vt:lpstr>
      <vt:lpstr>chfusd_exit</vt:lpstr>
      <vt:lpstr>chfusd_offer</vt:lpstr>
      <vt:lpstr>eurusd_exit</vt:lpstr>
      <vt:lpstr>eurusd_offer</vt:lpstr>
      <vt:lpstr>exit_newbonds</vt:lpstr>
      <vt:lpstr>exit_prices</vt:lpstr>
      <vt:lpstr>exit_yields</vt:lpstr>
      <vt:lpstr>NPVs_oldbonds_durations</vt:lpstr>
      <vt:lpstr>NPVs_oldbonds_names</vt:lpstr>
      <vt:lpstr>NPVs_oldbonds_vals</vt:lpstr>
      <vt:lpstr>offer_adj_newbonds</vt:lpstr>
      <vt:lpstr>offer_adj_notender_newbonds</vt:lpstr>
      <vt:lpstr>offer_adj_notender_vals</vt:lpstr>
      <vt:lpstr>offer_adj_oldbonds</vt:lpstr>
      <vt:lpstr>offer_adj_oldbonds_alt</vt:lpstr>
      <vt:lpstr>offer_adj_vals</vt:lpstr>
      <vt:lpstr>offer_raw_newbonds</vt:lpstr>
      <vt:lpstr>offer_raw_oldbonds</vt:lpstr>
      <vt:lpstr>offer_raw_vals</vt:lpstr>
      <vt:lpstr>orders_afterAPPs_newbonds</vt:lpstr>
      <vt:lpstr>orders_afterAPPs_vals</vt:lpstr>
      <vt:lpstr>orders_beforeAPPs_newbonds</vt:lpstr>
      <vt:lpstr>orders_beforeAPPs_vals</vt:lpstr>
      <vt:lpstr>orders_oldbonds</vt:lpstr>
      <vt:lpstr>results_names</vt:lpstr>
      <vt:lpstr>results_vals</vt:lpstr>
      <vt:lpstr>RRs_adj_oldbonds</vt:lpstr>
      <vt:lpstr>RRs_mkt_newbonds</vt:lpstr>
      <vt:lpstr>RRs_mkt_vals</vt:lpstr>
      <vt:lpstr>RRs_mktadj_newbonds</vt:lpstr>
      <vt:lpstr>RRs_mktadj_vals</vt:lpstr>
      <vt:lpstr>RRs_oldbonds</vt:lpstr>
      <vt:lpstr>RRs_sz_newbonds</vt:lpstr>
      <vt:lpstr>RRs_sz_vals</vt:lpstr>
      <vt:lpstr>RRs_szadj_newbonds</vt:lpstr>
      <vt:lpstr>RRs_szadj_vals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 Galli</dc:creator>
  <cp:lastModifiedBy>CARLO GALLI</cp:lastModifiedBy>
  <dcterms:created xsi:type="dcterms:W3CDTF">2022-05-15T10:19:28Z</dcterms:created>
  <dcterms:modified xsi:type="dcterms:W3CDTF">2026-07-07T16:05:59Z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0x010100557D326CB690D94F91993903A54242A8</vt:lpwstr>
  </property>
</Properties>
</file>