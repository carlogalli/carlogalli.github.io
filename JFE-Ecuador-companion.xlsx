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arlogalli/Library/CloudStorage/Dropbox/CACs/"/>
    </mc:Choice>
  </mc:AlternateContent>
  <xr:revisionPtr revIDLastSave="0" documentId="13_ncr:1_{0D98FB0B-05F8-5D4A-B823-4B5AEE3CA5B7}" xr6:coauthVersionLast="47" xr6:coauthVersionMax="47" xr10:uidLastSave="{00000000-0000-0000-0000-000000000000}"/>
  <bookViews>
    <workbookView xWindow="0" yWindow="600" windowWidth="38400" windowHeight="19800" tabRatio="753" xr2:uid="{584C67B1-E062-48F5-92E8-56338AA81D7F}"/>
  </bookViews>
  <sheets>
    <sheet name="README" sheetId="25" r:id="rId1"/>
    <sheet name="EBs List" sheetId="16" r:id="rId2"/>
    <sheet name="EBs NPVs" sheetId="19" r:id="rId3"/>
    <sheet name="Exchange Offer &amp; Results" sheetId="24" r:id="rId4"/>
    <sheet name="NBs List" sheetId="21" r:id="rId5"/>
    <sheet name="NBs NPVs" sheetId="26" r:id="rId6"/>
    <sheet name="EBs &amp; NBs Prices" sheetId="22" r:id="rId7"/>
  </sheets>
  <definedNames>
    <definedName name="CouponRate_bonds_0">#REF!</definedName>
    <definedName name="detailTableName_bonds">#REF!</definedName>
    <definedName name="Eurobonds_NewBonds_price_hdcp">'EBs &amp; NBs Prices'!$BW$14:$CA$313</definedName>
    <definedName name="Eurobonds_NewBonds_yield_hdcp">'EBs &amp; NBs Prices'!$BO$14:$BS$313</definedName>
    <definedName name="Eurobonds_OldBonds_price_hdcp">'EBs &amp; NBs Prices'!$AO$14:$AY$538</definedName>
    <definedName name="Eurobonds_OldBonds_yield_hdcp">'EBs &amp; NBs Prices'!$BB$14:$BL$538</definedName>
    <definedName name="NYBonds_NewBonds_prices">'EBs &amp; NBs Prices'!$AI$15:$AM$313</definedName>
    <definedName name="NYBonds_NewBonds_yields">'EBs &amp; NBs Prices'!$AA$14:$AE$313</definedName>
    <definedName name="orders_beforeAPPs_newbonds">#REF!</definedName>
    <definedName name="orders_beforeAPPs_vals">#REF!</definedName>
    <definedName name="orders_oldbonds">#REF!</definedName>
    <definedName name="results_names">#REF!</definedName>
    <definedName name="results_vals">#REF!</definedName>
    <definedName name="TRNR_00417e46395b4b4089ac3f82bfcf9370_5_5" hidden="1">#REF!</definedName>
    <definedName name="TRNR_017a25f7fa314ebdbaa6e80eb6423d5b_779_10" hidden="1">#REF!</definedName>
    <definedName name="TRNR_0193dac367c442aaab68ce2e670dd7c2_5_2" hidden="1">#REF!</definedName>
    <definedName name="TRNR_0435644f06764d478afbba36c61251b5_159_10" hidden="1">#REF!</definedName>
    <definedName name="TRNR_074dee54473a49c3b616e6b1d1d66ff7_266_10" hidden="1">#REF!</definedName>
    <definedName name="TRNR_0b0c4ef88e994dba98deaa86657e363d_779_10" hidden="1">#REF!</definedName>
    <definedName name="TRNR_0bcc7489a7ec44a791a8398c5b344fb5_779_10" hidden="1">#REF!</definedName>
    <definedName name="TRNR_0db2e917b30641d3b11e5002938e2b78_160_2" hidden="1">#REF!</definedName>
    <definedName name="TRNR_0ecad1ebedaf49b19cc3cba5e3b264aa_5_1" hidden="1">#REF!</definedName>
    <definedName name="TRNR_0ecd1ed7736c4a33bbe0df1312597c12_779_10" hidden="1">#REF!</definedName>
    <definedName name="TRNR_116222a3aea141e79c3e0678595d24c0_158_5" hidden="1">#REF!</definedName>
    <definedName name="TRNR_12329eec04b1495fae2f5bb5a5489e6a_266_10" hidden="1">#REF!</definedName>
    <definedName name="TRNR_1258929ea00f46f1a00da2577faec874_526_5" hidden="1">#REF!</definedName>
    <definedName name="TRNR_12b7d47bfbd34128a1fd2bf588da6309_319_2" hidden="1">#REF!</definedName>
    <definedName name="TRNR_12cf722958aa496ea33cfc46219e0c88_159_4" hidden="1">#REF!</definedName>
    <definedName name="TRNR_156a08e86ca24aed9091c0cc116c8da9_780_10" hidden="1">#REF!</definedName>
    <definedName name="TRNR_164bf30030674737942415f2ca818667_302_6" hidden="1">#REF!</definedName>
    <definedName name="TRNR_16bc7df1312849959f1d259a91a26502_159_10" hidden="1">#REF!</definedName>
    <definedName name="TRNR_1c763c00ba584dd99453e431fe548321_4_10" hidden="1">#REF!</definedName>
    <definedName name="TRNR_1e1a7a4bad1d403a85e457554814681e_159_10" hidden="1">#REF!</definedName>
    <definedName name="TRNR_1e93d52c725540209003d4e372d42f91_266_10" hidden="1">#REF!</definedName>
    <definedName name="TRNR_1f4b5f9a72c34b8c846ce7b7773d90c7_159_10" hidden="1">#REF!</definedName>
    <definedName name="TRNR_22aa9ae961c8408699db5623c3cd5452_201_10" hidden="1">#REF!</definedName>
    <definedName name="TRNR_23580ca2db56433ca4097a1e7c52fca0_736_5" hidden="1">#REF!</definedName>
    <definedName name="TRNR_269ef979d9d3489a8ce68d8f11c3b32a_527_10" hidden="1">#REF!</definedName>
    <definedName name="TRNR_29de7a3903204e79875556ea97847d2c_5_2" hidden="1">#REF!</definedName>
    <definedName name="TRNR_2c422e0a1d114ea3a6a0b1af94fc766c_5_10" hidden="1">#REF!</definedName>
    <definedName name="TRNR_2c7e32a0910e4c5daef79dfb47050324_5_1" hidden="1">#REF!</definedName>
    <definedName name="TRNR_2f2a6844671b40ecb3e2833cf0fa9870_5_1" hidden="1">#REF!</definedName>
    <definedName name="TRNR_2f61418d2a94497ba2b55f10050b8afd_17_2" hidden="1">#REF!</definedName>
    <definedName name="TRNR_33eb4ec41e2b4c5b84c24589c41f6398_5_1" hidden="1">#REF!</definedName>
    <definedName name="TRNR_36effc6a88114ed5b413d6a71f082377_779_10" hidden="1">#REF!</definedName>
    <definedName name="TRNR_3ae54dc13f824db4bf9928ff17e0eac3_302_4" hidden="1">#REF!</definedName>
    <definedName name="TRNR_3c2ba69007804a59b9b2822ae3b79837_302_4" hidden="1">#REF!</definedName>
    <definedName name="TRNR_3c4e4bc959d94e5cbffe82f173146531_302_5" hidden="1">#REF!</definedName>
    <definedName name="TRNR_3f9f2de6e9654447a4a10704aa9547c6_5_1" hidden="1">#REF!</definedName>
    <definedName name="TRNR_44250afc4c3f435e880031a0de609d7c_160_2" hidden="1">#REF!</definedName>
    <definedName name="TRNR_452ba5f8fae94c5486303bd0c4cd63c4_526_5" hidden="1">#REF!</definedName>
    <definedName name="TRNR_45afb43281904f9e9d93a75b2a52ac0e_780_10" hidden="1">#REF!</definedName>
    <definedName name="TRNR_46c440f93ba44dbab9009c29e58102d4_5_1" hidden="1">#REF!</definedName>
    <definedName name="TRNR_4745932ea64b47af9c3096a7bc61e8d2_780_10" hidden="1">#REF!</definedName>
    <definedName name="TRNR_4975411ab01e4b41a26fb9cde2c2526a_159_10" hidden="1">#REF!</definedName>
    <definedName name="TRNR_4b01581d865b4661912a6481ec7c9cc5_41_6" hidden="1">#REF!</definedName>
    <definedName name="TRNR_4c946f86d8b24d3da4e89b73c2565a4f_779_10" hidden="1">#REF!</definedName>
    <definedName name="TRNR_4ec83edead2a43389d945c7321d35435_302_6" hidden="1">#REF!</definedName>
    <definedName name="TRNR_4eebda000fda43e58736ecb49e73c8ce_4_10" hidden="1">#REF!</definedName>
    <definedName name="TRNR_4f8d441a04df4cd29cf64ac0b7049f40_5_5" hidden="1">#REF!</definedName>
    <definedName name="TRNR_4fae6d1805be4799aa202f9135813f43_160_2" hidden="1">#REF!</definedName>
    <definedName name="TRNR_5342091404874c98af3bfea42da5ee73_526_4" hidden="1">#REF!</definedName>
    <definedName name="TRNR_545d23a65695415c94ed71f4a06bbb59_5_1" hidden="1">#REF!</definedName>
    <definedName name="TRNR_54baa424ad7a4e2291cbb3d2048ccc3f_158_1" hidden="1">#REF!</definedName>
    <definedName name="TRNR_554bc89eb81047d2835970a9263fe457_154_1" hidden="1">#REF!</definedName>
    <definedName name="TRNR_571c05cf6c894df3b920f5ff66d22acf_14_2" hidden="1">#REF!</definedName>
    <definedName name="TRNR_5aa7204a6e7948ad9bddde9b2846a7e5_41_4" hidden="1">#REF!</definedName>
    <definedName name="TRNR_5d629ef5d85f451fa2b3b7ade0c143ef_527_10" hidden="1">#REF!</definedName>
    <definedName name="TRNR_5e73d092b0dd448bb51ddd20de27c873_159_10" hidden="1">#REF!</definedName>
    <definedName name="TRNR_610bed78b17046cc87f7ed1e212af511_319_6" hidden="1">#REF!</definedName>
    <definedName name="TRNR_61b19ed319c34fbab3d14739c311d93a_5_1" hidden="1">#REF!</definedName>
    <definedName name="TRNR_62ce4f45a6db43e092032d53fad8e232_779_10" hidden="1">#REF!</definedName>
    <definedName name="TRNR_65611fc2d4fd44269636a6325e82db08_266_10" hidden="1">#REF!</definedName>
    <definedName name="TRNR_65aa5977278041fe948ccec963499d65_779_10" hidden="1">#REF!</definedName>
    <definedName name="TRNR_67328ba2500b4e408c111716ba0c8c80_154_9" hidden="1">#REF!</definedName>
    <definedName name="TRNR_687b08a81543412293066bf7f86acec6_5_10" hidden="1">#REF!</definedName>
    <definedName name="TRNR_68f55ac6086b4edaa0f91fc15f34e31c_4_10" hidden="1">#REF!</definedName>
    <definedName name="TRNR_6967bec8ee4a4b858ff967ee223b861b_527_10" hidden="1">#REF!</definedName>
    <definedName name="TRNR_6c8a34852e9d422b99e3c36b4cfaca83_5_3" hidden="1">#REF!</definedName>
    <definedName name="TRNR_6d6215fff8864baeb2fa0fb15eed2d0c_159_2" hidden="1">#REF!</definedName>
    <definedName name="TRNR_6f2d7be508234fd88f895420ec6d4147_302_5" hidden="1">#REF!</definedName>
    <definedName name="TRNR_7770b8641b974a90bcf0fec40d2aff59_5_3" hidden="1">#REF!</definedName>
    <definedName name="TRNR_79d2c592a31f4ea38cdec4004d7a27ee_319_5" hidden="1">#REF!</definedName>
    <definedName name="TRNR_79fed5f9a3834409b9f57ccef800cb02_4_10" hidden="1">#REF!</definedName>
    <definedName name="TRNR_7a5cec74cde34e5c86018522014e6577_779_10" hidden="1">#REF!</definedName>
    <definedName name="TRNR_80f70bb5b13d420bb6894911442b0adf_5_3" hidden="1">#REF!</definedName>
    <definedName name="TRNR_83aea8d428b14286bba16920a334b65b_159_2" hidden="1">#REF!</definedName>
    <definedName name="TRNR_86416e4923d64278b80db05bf028d998_779_10" hidden="1">#REF!</definedName>
    <definedName name="TRNR_87576660fe38413c9873d016be2dbf07_5_1" hidden="1">#REF!</definedName>
    <definedName name="TRNR_8988eac79aac420e8d7c117bb2adf529_201_10" hidden="1">#REF!</definedName>
    <definedName name="TRNR_8c363ae08ba24162a26733d625dc0236_779_10" hidden="1">#REF!</definedName>
    <definedName name="TRNR_906001125e0a4ac48dc5c4d9c17b2b8a_4_10" hidden="1">#REF!</definedName>
    <definedName name="TRNR_90925d1c51ff45aaafc3df76587aaee0_5_3" hidden="1">#REF!</definedName>
    <definedName name="TRNR_90928344bc0d4e53962317c82ee78dc5_779_10" hidden="1">#REF!</definedName>
    <definedName name="TRNR_926dab2b673447d693d55213d11f4412_319_2" hidden="1">#REF!</definedName>
    <definedName name="TRNR_94b77a2849544854a3bf1398ea3af984_160_2" hidden="1">#REF!</definedName>
    <definedName name="TRNR_96f88ebbbce44b2f905f170dfbd043b9_160_2" hidden="1">#REF!</definedName>
    <definedName name="TRNR_9a6576bbde224e948344dbe91ef2dfa2_5_1" hidden="1">#REF!</definedName>
    <definedName name="TRNR_9aa216218fee4328b12e39478a9f30e4_526_5" hidden="1">#REF!</definedName>
    <definedName name="TRNR_9e56c14a52694406a92b7a2324abba72_160_2" hidden="1">#REF!</definedName>
    <definedName name="TRNR_9e65ad094701490e8439e92890e271c9_779_10" hidden="1">#REF!</definedName>
    <definedName name="TRNR_9f944e23bf334aac8780ed457962a5a9_319_4" hidden="1">#REF!</definedName>
    <definedName name="TRNR_a392802fc3464a028eba87dd2c76e904_158_2" hidden="1">#REF!</definedName>
    <definedName name="TRNR_a3e0a83b1ec04a58aa70c6da6f88efd8_319_5" hidden="1">#REF!</definedName>
    <definedName name="TRNR_a7ae38ebffdf45349468186100ada185_160_2" hidden="1">#REF!</definedName>
    <definedName name="TRNR_a838462d479c482a92ee1125336ead21_527_10" hidden="1">#REF!</definedName>
    <definedName name="TRNR_a8c18e6d93294a56ae7d8c0a3ebc9641_160_2" hidden="1">#REF!</definedName>
    <definedName name="TRNR_a9f556f62d4244b28f3b855d5f2c61d6_319_5" hidden="1">#REF!</definedName>
    <definedName name="TRNR_ab7ad265c96145c1a172e7996c734b05_266_10" hidden="1">#REF!</definedName>
    <definedName name="TRNR_ab8adba64f194871bb6ba05f79e44c54_780_10" hidden="1">#REF!</definedName>
    <definedName name="TRNR_af3bc2a4b46c4a0a873bc9f324467ee3_159_1" hidden="1">#REF!</definedName>
    <definedName name="TRNR_b11f0701cf80454baf35e6bf848eeb80_5_2" hidden="1">#REF!</definedName>
    <definedName name="TRNR_b23925d39ebf4d939a1db68e11e668cc_160_2" hidden="1">#REF!</definedName>
    <definedName name="TRNR_b3889d17158645c9ab66dce49f8b8160_5_3" hidden="1">#REF!</definedName>
    <definedName name="TRNR_b4ef99a406e3461081271ee1b76254b3_160_2" hidden="1">#REF!</definedName>
    <definedName name="TRNR_b4fbfce9b78e4f0e8b6bbb5020c5a82f_302_5" hidden="1">#REF!</definedName>
    <definedName name="TRNR_b539ad5771de47c6a66fd32087c65017_527_1" hidden="1">#REF!</definedName>
    <definedName name="TRNR_b5d1a4262a92407e887826e54d28da43_86_2" hidden="1">#REF!</definedName>
    <definedName name="TRNR_b5f7b9f047624a7fb58f5c1cddd21039_779_10" hidden="1">#REF!</definedName>
    <definedName name="TRNR_b658a2ce0c054f35b747bb4ec77817f5_302_6" hidden="1">#REF!</definedName>
    <definedName name="TRNR_b6ff150ac3a44effa41ead46446e9bb7_159_2" hidden="1">#REF!</definedName>
    <definedName name="TRNR_b7ed9867b8da40d08a45558b4d34133e_779_10" hidden="1">#REF!</definedName>
    <definedName name="TRNR_ba9d3046d808431084ccce5cf0ccc181_319_5" hidden="1">#REF!</definedName>
    <definedName name="TRNR_bc71d013fa2f4497bdb82b75b577f8c6_779_10" hidden="1">#REF!</definedName>
    <definedName name="TRNR_be96c3fe87664a7caa035dddc251db83_526_5" hidden="1">#REF!</definedName>
    <definedName name="TRNR_c24da4d63bc44e208f56ddebbab685f4_302_4" hidden="1">#REF!</definedName>
    <definedName name="TRNR_c3673c5caeb545dba30e595cd7ccd332_780_10" hidden="1">#REF!</definedName>
    <definedName name="TRNR_c370a64c6d5d4dbc8cfa13ed688bf8f5_302_5" hidden="1">#REF!</definedName>
    <definedName name="TRNR_c7a7fc9a9b2c4d378aea52293adfba5c_780_10" hidden="1">#REF!</definedName>
    <definedName name="TRNR_cdb4209304c4400ebfd43272c30a6cae_780_10" hidden="1">#REF!</definedName>
    <definedName name="TRNR_cf8ee65af40a4cf28678d2f84560efcc_779_10" hidden="1">#REF!</definedName>
    <definedName name="TRNR_d3ef724e588546dcac99be15359d52bc_780_10" hidden="1">#REF!</definedName>
    <definedName name="TRNR_d4ce6ab72da14abd835e1e854b87dde8_779_10" hidden="1">#REF!</definedName>
    <definedName name="TRNR_d72c0e37889f468c992fb8d85599f3bc_5_5" hidden="1">#REF!</definedName>
    <definedName name="TRNR_d951ad4945924307867ae939904c97e2_4_4" hidden="1">#REF!</definedName>
    <definedName name="TRNR_d9d5ce538a8948b3a9d515dc4e16123a_780_10" hidden="1">#REF!</definedName>
    <definedName name="TRNR_d9f67e5eb10f4a3aa561c2d7237d0370_5_1" hidden="1">#REF!</definedName>
    <definedName name="TRNR_e0c43b0a948948fabdd5cfc528d01f3e_779_10" hidden="1">#REF!</definedName>
    <definedName name="TRNR_e15e79c16e4d494496dfd20627cfedd2_5_3" hidden="1">#REF!</definedName>
    <definedName name="TRNR_e37f390878ce48abaeaaf1fd32926ee8_4_10" hidden="1">#REF!</definedName>
    <definedName name="TRNR_e3b731171b734ab78e017a926a641556_779_10" hidden="1">#REF!</definedName>
    <definedName name="TRNR_e79a3652bbe14b6fba8c9d3c67fa330e_527_2" hidden="1">#REF!</definedName>
    <definedName name="TRNR_e80035475577441d8c51d900d4c9e636_5_4" hidden="1">#REF!</definedName>
    <definedName name="TRNR_ecf4292c216e40129eb84296488c2caf_4_4" hidden="1">#REF!</definedName>
    <definedName name="TRNR_ed2677e953d8451ba0e661ad2cb02715_8_2" hidden="1">#REF!</definedName>
    <definedName name="TRNR_f28ef23a3cc5499480a91b2a178a8709_527_10" hidden="1">#REF!</definedName>
    <definedName name="TRNR_f2f9e85f5d8f48f8ac2ac9e93f1a7ae6_4_10" hidden="1">#REF!</definedName>
    <definedName name="TRNR_f7107d055be44efaa93cac76d860cc59_159_2" hidden="1">#REF!</definedName>
    <definedName name="TRNR_f7997473b63d40218201d6d9c5d56295_5_1" hidden="1">#REF!</definedName>
    <definedName name="TRNR_fe02a945f12e4b2a8b6a9d0e6ceffd3c_780_10" hidden="1">#REF!</definedName>
    <definedName name="TRNR_ffe7f4d157014ca2ac390128e091a4db_4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1" l="1"/>
  <c r="F2" i="21"/>
  <c r="B16" i="24"/>
  <c r="B2" i="19"/>
  <c r="B1" i="19"/>
  <c r="F16" i="24"/>
  <c r="E16" i="24"/>
  <c r="D16" i="24"/>
  <c r="C16" i="24"/>
  <c r="L12" i="24" s="1"/>
  <c r="E32" i="26"/>
  <c r="F32" i="26" s="1"/>
  <c r="G32" i="26" s="1"/>
  <c r="H32" i="26" s="1"/>
  <c r="I32" i="26" s="1"/>
  <c r="J32" i="26" s="1"/>
  <c r="K32" i="26" s="1"/>
  <c r="L32" i="26" s="1"/>
  <c r="M32" i="26" s="1"/>
  <c r="N32" i="26" s="1"/>
  <c r="O32" i="26" s="1"/>
  <c r="P32" i="26" s="1"/>
  <c r="Q32" i="26" s="1"/>
  <c r="R32" i="26" s="1"/>
  <c r="S32" i="26" s="1"/>
  <c r="T32" i="26" s="1"/>
  <c r="U32" i="26" s="1"/>
  <c r="V32" i="26" s="1"/>
  <c r="W32" i="26" s="1"/>
  <c r="X32" i="26" s="1"/>
  <c r="Y32" i="26" s="1"/>
  <c r="Z32" i="26" s="1"/>
  <c r="AA32" i="26" s="1"/>
  <c r="AB32" i="26" s="1"/>
  <c r="AC32" i="26" s="1"/>
  <c r="AD32" i="26" s="1"/>
  <c r="AE32" i="26" s="1"/>
  <c r="AF32" i="26" s="1"/>
  <c r="AG32" i="26" s="1"/>
  <c r="AH32" i="26" s="1"/>
  <c r="AI32" i="26" s="1"/>
  <c r="AJ32" i="26" s="1"/>
  <c r="AK32" i="26" s="1"/>
  <c r="AL32" i="26" s="1"/>
  <c r="AM32" i="26" s="1"/>
  <c r="AN32" i="26" s="1"/>
  <c r="AO32" i="26" s="1"/>
  <c r="AP32" i="26" s="1"/>
  <c r="AQ32" i="26" s="1"/>
  <c r="F26" i="26"/>
  <c r="E26" i="26"/>
  <c r="E23" i="26"/>
  <c r="E20" i="26"/>
  <c r="E22" i="26" s="1"/>
  <c r="E14" i="26"/>
  <c r="B2" i="26"/>
  <c r="F6" i="21"/>
  <c r="F5" i="21"/>
  <c r="F4" i="21"/>
  <c r="F3" i="21"/>
  <c r="F10" i="21" s="1"/>
  <c r="B1" i="26" s="1"/>
  <c r="E6" i="21"/>
  <c r="E5" i="21"/>
  <c r="E4" i="21"/>
  <c r="E3" i="21"/>
  <c r="E10" i="21" s="1"/>
  <c r="L13" i="24" l="1"/>
  <c r="N7" i="24"/>
  <c r="L5" i="24"/>
  <c r="L7" i="24"/>
  <c r="L8" i="24"/>
  <c r="L9" i="24"/>
  <c r="N13" i="24"/>
  <c r="N4" i="24"/>
  <c r="N5" i="24"/>
  <c r="N8" i="24"/>
  <c r="N9" i="24"/>
  <c r="N11" i="24"/>
  <c r="L10" i="24"/>
  <c r="L6" i="24"/>
  <c r="N12" i="24"/>
  <c r="L11" i="24"/>
  <c r="N6" i="24"/>
  <c r="L4" i="24"/>
  <c r="N10" i="24"/>
  <c r="F29" i="26"/>
  <c r="F28" i="26"/>
  <c r="F30" i="26"/>
  <c r="F27" i="26"/>
  <c r="G26" i="26"/>
  <c r="E27" i="26"/>
  <c r="E28" i="26"/>
  <c r="E30" i="26"/>
  <c r="E29" i="26"/>
  <c r="F20" i="26"/>
  <c r="E15" i="26"/>
  <c r="E16" i="26"/>
  <c r="E34" i="26" s="1"/>
  <c r="E17" i="26"/>
  <c r="E35" i="26" s="1"/>
  <c r="F14" i="26"/>
  <c r="E24" i="26"/>
  <c r="E21" i="26"/>
  <c r="F22" i="26" l="1"/>
  <c r="F23" i="26"/>
  <c r="F24" i="26"/>
  <c r="F36" i="26" s="1"/>
  <c r="G20" i="26"/>
  <c r="F21" i="26"/>
  <c r="F15" i="26"/>
  <c r="F33" i="26" s="1"/>
  <c r="F16" i="26"/>
  <c r="F34" i="26" s="1"/>
  <c r="G14" i="26"/>
  <c r="F17" i="26"/>
  <c r="F35" i="26" s="1"/>
  <c r="E33" i="26"/>
  <c r="G28" i="26"/>
  <c r="G29" i="26"/>
  <c r="G30" i="26"/>
  <c r="G27" i="26"/>
  <c r="H26" i="26"/>
  <c r="E36" i="26"/>
  <c r="G16" i="26" l="1"/>
  <c r="H14" i="26"/>
  <c r="G15" i="26"/>
  <c r="G17" i="26"/>
  <c r="G22" i="26"/>
  <c r="G23" i="26"/>
  <c r="H20" i="26"/>
  <c r="G21" i="26"/>
  <c r="G24" i="26"/>
  <c r="G36" i="26" s="1"/>
  <c r="H28" i="26"/>
  <c r="H29" i="26"/>
  <c r="I26" i="26"/>
  <c r="H27" i="26"/>
  <c r="H30" i="26"/>
  <c r="I29" i="26" l="1"/>
  <c r="I30" i="26"/>
  <c r="I27" i="26"/>
  <c r="J26" i="26"/>
  <c r="I28" i="26"/>
  <c r="H23" i="26"/>
  <c r="H21" i="26"/>
  <c r="H24" i="26"/>
  <c r="H36" i="26" s="1"/>
  <c r="H22" i="26"/>
  <c r="I20" i="26"/>
  <c r="G35" i="26"/>
  <c r="G33" i="26"/>
  <c r="H17" i="26"/>
  <c r="H35" i="26" s="1"/>
  <c r="H16" i="26"/>
  <c r="H34" i="26" s="1"/>
  <c r="H15" i="26"/>
  <c r="I14" i="26"/>
  <c r="G34" i="26"/>
  <c r="I23" i="26" l="1"/>
  <c r="I24" i="26"/>
  <c r="I36" i="26" s="1"/>
  <c r="I21" i="26"/>
  <c r="I22" i="26"/>
  <c r="J20" i="26"/>
  <c r="I16" i="26"/>
  <c r="I34" i="26" s="1"/>
  <c r="I17" i="26"/>
  <c r="I35" i="26" s="1"/>
  <c r="J14" i="26"/>
  <c r="I15" i="26"/>
  <c r="I33" i="26" s="1"/>
  <c r="J29" i="26"/>
  <c r="J30" i="26"/>
  <c r="J28" i="26"/>
  <c r="J27" i="26"/>
  <c r="K26" i="26"/>
  <c r="H33" i="26"/>
  <c r="K29" i="26" l="1"/>
  <c r="L26" i="26"/>
  <c r="K30" i="26"/>
  <c r="K27" i="26"/>
  <c r="K28" i="26"/>
  <c r="J23" i="26"/>
  <c r="K20" i="26"/>
  <c r="J24" i="26"/>
  <c r="J36" i="26" s="1"/>
  <c r="J22" i="26"/>
  <c r="J21" i="26"/>
  <c r="J17" i="26"/>
  <c r="J35" i="26" s="1"/>
  <c r="J15" i="26"/>
  <c r="J33" i="26" s="1"/>
  <c r="K14" i="26"/>
  <c r="J16" i="26"/>
  <c r="J34" i="26" s="1"/>
  <c r="K24" i="26" l="1"/>
  <c r="K36" i="26" s="1"/>
  <c r="L20" i="26"/>
  <c r="K21" i="26"/>
  <c r="K22" i="26"/>
  <c r="K23" i="26"/>
  <c r="L30" i="26"/>
  <c r="M26" i="26"/>
  <c r="L27" i="26"/>
  <c r="L29" i="26"/>
  <c r="L28" i="26"/>
  <c r="K17" i="26"/>
  <c r="K35" i="26" s="1"/>
  <c r="K16" i="26"/>
  <c r="K34" i="26" s="1"/>
  <c r="K15" i="26"/>
  <c r="K33" i="26" s="1"/>
  <c r="L14" i="26"/>
  <c r="L17" i="26" l="1"/>
  <c r="M14" i="26"/>
  <c r="L16" i="26"/>
  <c r="L15" i="26"/>
  <c r="M30" i="26"/>
  <c r="N26" i="26"/>
  <c r="M27" i="26"/>
  <c r="M29" i="26"/>
  <c r="M28" i="26"/>
  <c r="L24" i="26"/>
  <c r="L36" i="26" s="1"/>
  <c r="M20" i="26"/>
  <c r="L23" i="26"/>
  <c r="L22" i="26"/>
  <c r="L21" i="26"/>
  <c r="N30" i="26" l="1"/>
  <c r="O26" i="26"/>
  <c r="N29" i="26"/>
  <c r="N28" i="26"/>
  <c r="N27" i="26"/>
  <c r="L33" i="26"/>
  <c r="L34" i="26"/>
  <c r="N14" i="26"/>
  <c r="M15" i="26"/>
  <c r="M33" i="26" s="1"/>
  <c r="M16" i="26"/>
  <c r="M34" i="26" s="1"/>
  <c r="M17" i="26"/>
  <c r="M24" i="26"/>
  <c r="M36" i="26" s="1"/>
  <c r="N20" i="26"/>
  <c r="M23" i="26"/>
  <c r="M21" i="26"/>
  <c r="M22" i="26"/>
  <c r="L35" i="26"/>
  <c r="M35" i="26" l="1"/>
  <c r="O20" i="26"/>
  <c r="N21" i="26"/>
  <c r="N22" i="26"/>
  <c r="N24" i="26"/>
  <c r="N36" i="26" s="1"/>
  <c r="N23" i="26"/>
  <c r="O14" i="26"/>
  <c r="N17" i="26"/>
  <c r="N15" i="26"/>
  <c r="N33" i="26" s="1"/>
  <c r="N16" i="26"/>
  <c r="N34" i="26" s="1"/>
  <c r="P26" i="26"/>
  <c r="O27" i="26"/>
  <c r="O28" i="26"/>
  <c r="O29" i="26"/>
  <c r="O30" i="26"/>
  <c r="N35" i="26" l="1"/>
  <c r="P27" i="26"/>
  <c r="P29" i="26"/>
  <c r="P28" i="26"/>
  <c r="P30" i="26"/>
  <c r="Q26" i="26"/>
  <c r="P14" i="26"/>
  <c r="O17" i="26"/>
  <c r="O35" i="26" s="1"/>
  <c r="O15" i="26"/>
  <c r="O16" i="26"/>
  <c r="O21" i="26"/>
  <c r="O24" i="26"/>
  <c r="O36" i="26" s="1"/>
  <c r="O22" i="26"/>
  <c r="P20" i="26"/>
  <c r="O23" i="26"/>
  <c r="P21" i="26" l="1"/>
  <c r="P24" i="26"/>
  <c r="P36" i="26" s="1"/>
  <c r="P22" i="26"/>
  <c r="Q20" i="26"/>
  <c r="P23" i="26"/>
  <c r="Q14" i="26"/>
  <c r="P15" i="26"/>
  <c r="P33" i="26" s="1"/>
  <c r="P16" i="26"/>
  <c r="P34" i="26" s="1"/>
  <c r="P17" i="26"/>
  <c r="P35" i="26" s="1"/>
  <c r="O34" i="26"/>
  <c r="O33" i="26"/>
  <c r="Q27" i="26"/>
  <c r="Q28" i="26"/>
  <c r="Q29" i="26"/>
  <c r="R26" i="26"/>
  <c r="Q30" i="26"/>
  <c r="Q21" i="26" l="1"/>
  <c r="Q22" i="26"/>
  <c r="Q23" i="26"/>
  <c r="R20" i="26"/>
  <c r="Q24" i="26"/>
  <c r="Q36" i="26" s="1"/>
  <c r="Q15" i="26"/>
  <c r="Q33" i="26" s="1"/>
  <c r="Q16" i="26"/>
  <c r="Q34" i="26" s="1"/>
  <c r="R14" i="26"/>
  <c r="Q17" i="26"/>
  <c r="Q35" i="26" s="1"/>
  <c r="R28" i="26"/>
  <c r="R27" i="26"/>
  <c r="R29" i="26"/>
  <c r="R30" i="26"/>
  <c r="S26" i="26"/>
  <c r="R21" i="26" l="1"/>
  <c r="R22" i="26"/>
  <c r="R23" i="26"/>
  <c r="S20" i="26"/>
  <c r="R24" i="26"/>
  <c r="R36" i="26" s="1"/>
  <c r="S27" i="26"/>
  <c r="S28" i="26"/>
  <c r="T26" i="26"/>
  <c r="S30" i="26"/>
  <c r="S29" i="26"/>
  <c r="R15" i="26"/>
  <c r="R33" i="26" s="1"/>
  <c r="S14" i="26"/>
  <c r="R16" i="26"/>
  <c r="R34" i="26" s="1"/>
  <c r="R17" i="26"/>
  <c r="R35" i="26" s="1"/>
  <c r="S15" i="26" l="1"/>
  <c r="S16" i="26"/>
  <c r="S17" i="26"/>
  <c r="T14" i="26"/>
  <c r="T28" i="26"/>
  <c r="T29" i="26"/>
  <c r="U26" i="26"/>
  <c r="T30" i="26"/>
  <c r="T27" i="26"/>
  <c r="S22" i="26"/>
  <c r="T20" i="26"/>
  <c r="S23" i="26"/>
  <c r="S21" i="26"/>
  <c r="S24" i="26"/>
  <c r="S36" i="26" s="1"/>
  <c r="T23" i="26" l="1"/>
  <c r="T22" i="26"/>
  <c r="T24" i="26"/>
  <c r="T36" i="26" s="1"/>
  <c r="U20" i="26"/>
  <c r="T21" i="26"/>
  <c r="T15" i="26"/>
  <c r="T33" i="26" s="1"/>
  <c r="T16" i="26"/>
  <c r="T34" i="26" s="1"/>
  <c r="T17" i="26"/>
  <c r="T35" i="26" s="1"/>
  <c r="U14" i="26"/>
  <c r="U29" i="26"/>
  <c r="U28" i="26"/>
  <c r="U30" i="26"/>
  <c r="V26" i="26"/>
  <c r="U27" i="26"/>
  <c r="S35" i="26"/>
  <c r="S34" i="26"/>
  <c r="S33" i="26"/>
  <c r="U16" i="26" l="1"/>
  <c r="U15" i="26"/>
  <c r="V14" i="26"/>
  <c r="U17" i="26"/>
  <c r="U22" i="26"/>
  <c r="U23" i="26"/>
  <c r="V20" i="26"/>
  <c r="U21" i="26"/>
  <c r="U24" i="26"/>
  <c r="U36" i="26" s="1"/>
  <c r="V28" i="26"/>
  <c r="V29" i="26"/>
  <c r="W26" i="26"/>
  <c r="V30" i="26"/>
  <c r="V27" i="26"/>
  <c r="W30" i="26" l="1"/>
  <c r="W29" i="26"/>
  <c r="X26" i="26"/>
  <c r="W27" i="26"/>
  <c r="W28" i="26"/>
  <c r="U35" i="26"/>
  <c r="V23" i="26"/>
  <c r="V22" i="26"/>
  <c r="W20" i="26"/>
  <c r="V21" i="26"/>
  <c r="V24" i="26"/>
  <c r="V36" i="26" s="1"/>
  <c r="V16" i="26"/>
  <c r="V34" i="26" s="1"/>
  <c r="V17" i="26"/>
  <c r="V35" i="26" s="1"/>
  <c r="W14" i="26"/>
  <c r="V15" i="26"/>
  <c r="U33" i="26"/>
  <c r="U34" i="26"/>
  <c r="W16" i="26" l="1"/>
  <c r="W17" i="26"/>
  <c r="X14" i="26"/>
  <c r="W15" i="26"/>
  <c r="W23" i="26"/>
  <c r="W24" i="26"/>
  <c r="W36" i="26" s="1"/>
  <c r="W21" i="26"/>
  <c r="X20" i="26"/>
  <c r="W22" i="26"/>
  <c r="X30" i="26"/>
  <c r="X29" i="26"/>
  <c r="Y26" i="26"/>
  <c r="X28" i="26"/>
  <c r="X27" i="26"/>
  <c r="V33" i="26"/>
  <c r="X23" i="26" l="1"/>
  <c r="Y20" i="26"/>
  <c r="X24" i="26"/>
  <c r="X36" i="26" s="1"/>
  <c r="X21" i="26"/>
  <c r="X22" i="26"/>
  <c r="W33" i="26"/>
  <c r="X17" i="26"/>
  <c r="X35" i="26" s="1"/>
  <c r="X16" i="26"/>
  <c r="X34" i="26" s="1"/>
  <c r="Y14" i="26"/>
  <c r="X15" i="26"/>
  <c r="X33" i="26" s="1"/>
  <c r="Y29" i="26"/>
  <c r="Z26" i="26"/>
  <c r="Y30" i="26"/>
  <c r="Y28" i="26"/>
  <c r="Y27" i="26"/>
  <c r="W35" i="26"/>
  <c r="W34" i="26"/>
  <c r="Z30" i="26" l="1"/>
  <c r="AA26" i="26"/>
  <c r="Z27" i="26"/>
  <c r="Z28" i="26"/>
  <c r="Z29" i="26"/>
  <c r="Y17" i="26"/>
  <c r="Y16" i="26"/>
  <c r="Z14" i="26"/>
  <c r="Y15" i="26"/>
  <c r="Y24" i="26"/>
  <c r="Y36" i="26" s="1"/>
  <c r="Z20" i="26"/>
  <c r="Y21" i="26"/>
  <c r="Y23" i="26"/>
  <c r="Y22" i="26"/>
  <c r="Z24" i="26" l="1"/>
  <c r="Z36" i="26" s="1"/>
  <c r="AA20" i="26"/>
  <c r="Z21" i="26"/>
  <c r="Z23" i="26"/>
  <c r="Z22" i="26"/>
  <c r="Y35" i="26"/>
  <c r="Y33" i="26"/>
  <c r="AA30" i="26"/>
  <c r="AB26" i="26"/>
  <c r="AA29" i="26"/>
  <c r="AA28" i="26"/>
  <c r="AA27" i="26"/>
  <c r="Z17" i="26"/>
  <c r="Z35" i="26" s="1"/>
  <c r="AA14" i="26"/>
  <c r="Z16" i="26"/>
  <c r="Z15" i="26"/>
  <c r="Z33" i="26" s="1"/>
  <c r="Y34" i="26"/>
  <c r="AB14" i="26" l="1"/>
  <c r="AA15" i="26"/>
  <c r="AA16" i="26"/>
  <c r="AA17" i="26"/>
  <c r="AA24" i="26"/>
  <c r="AA36" i="26" s="1"/>
  <c r="AB20" i="26"/>
  <c r="AA22" i="26"/>
  <c r="AA23" i="26"/>
  <c r="AA21" i="26"/>
  <c r="AB30" i="26"/>
  <c r="AB27" i="26"/>
  <c r="AC26" i="26"/>
  <c r="AB28" i="26"/>
  <c r="AB29" i="26"/>
  <c r="Z34" i="26"/>
  <c r="AD26" i="26" l="1"/>
  <c r="AC27" i="26"/>
  <c r="AC28" i="26"/>
  <c r="AC30" i="26"/>
  <c r="AC29" i="26"/>
  <c r="AC20" i="26"/>
  <c r="AB21" i="26"/>
  <c r="AB22" i="26"/>
  <c r="AB23" i="26"/>
  <c r="AB24" i="26"/>
  <c r="AB36" i="26" s="1"/>
  <c r="AA34" i="26"/>
  <c r="AA35" i="26"/>
  <c r="AA33" i="26"/>
  <c r="AC14" i="26"/>
  <c r="AB16" i="26"/>
  <c r="AB17" i="26"/>
  <c r="AB15" i="26"/>
  <c r="AC21" i="26" l="1"/>
  <c r="AC23" i="26"/>
  <c r="AC22" i="26"/>
  <c r="AC24" i="26"/>
  <c r="AC36" i="26" s="1"/>
  <c r="AD20" i="26"/>
  <c r="AD14" i="26"/>
  <c r="AC17" i="26"/>
  <c r="AC35" i="26" s="1"/>
  <c r="AC15" i="26"/>
  <c r="AC33" i="26" s="1"/>
  <c r="AC16" i="26"/>
  <c r="AC34" i="26" s="1"/>
  <c r="AB33" i="26"/>
  <c r="AB35" i="26"/>
  <c r="AB34" i="26"/>
  <c r="AD27" i="26"/>
  <c r="AD30" i="26"/>
  <c r="AD29" i="26"/>
  <c r="AE26" i="26"/>
  <c r="AD28" i="26"/>
  <c r="AE14" i="26" l="1"/>
  <c r="AD15" i="26"/>
  <c r="AD16" i="26"/>
  <c r="AD17" i="26"/>
  <c r="AD21" i="26"/>
  <c r="AD24" i="26"/>
  <c r="AD36" i="26" s="1"/>
  <c r="AE20" i="26"/>
  <c r="AD22" i="26"/>
  <c r="AD23" i="26"/>
  <c r="AE27" i="26"/>
  <c r="AE28" i="26"/>
  <c r="AE30" i="26"/>
  <c r="AE29" i="26"/>
  <c r="AF26" i="26"/>
  <c r="AF27" i="26" l="1"/>
  <c r="AF28" i="26"/>
  <c r="AF29" i="26"/>
  <c r="AG26" i="26"/>
  <c r="AF30" i="26"/>
  <c r="AD35" i="26"/>
  <c r="AE21" i="26"/>
  <c r="AE22" i="26"/>
  <c r="AE23" i="26"/>
  <c r="AE24" i="26"/>
  <c r="AE36" i="26" s="1"/>
  <c r="AF20" i="26"/>
  <c r="AD34" i="26"/>
  <c r="AD33" i="26"/>
  <c r="AE15" i="26"/>
  <c r="AE33" i="26" s="1"/>
  <c r="AE17" i="26"/>
  <c r="AF14" i="26"/>
  <c r="AE16" i="26"/>
  <c r="AF21" i="26" l="1"/>
  <c r="AF22" i="26"/>
  <c r="AF24" i="26"/>
  <c r="AF36" i="26" s="1"/>
  <c r="AG20" i="26"/>
  <c r="AF23" i="26"/>
  <c r="AE34" i="26"/>
  <c r="AF15" i="26"/>
  <c r="AF33" i="26" s="1"/>
  <c r="AG14" i="26"/>
  <c r="AF17" i="26"/>
  <c r="AF35" i="26" s="1"/>
  <c r="AF16" i="26"/>
  <c r="AF34" i="26" s="1"/>
  <c r="AG27" i="26"/>
  <c r="AG28" i="26"/>
  <c r="AG30" i="26"/>
  <c r="AH26" i="26"/>
  <c r="AG29" i="26"/>
  <c r="AE35" i="26"/>
  <c r="AH29" i="26" l="1"/>
  <c r="AH28" i="26"/>
  <c r="AH30" i="26"/>
  <c r="AH27" i="26"/>
  <c r="AI26" i="26"/>
  <c r="AG15" i="26"/>
  <c r="AG16" i="26"/>
  <c r="AG17" i="26"/>
  <c r="AH14" i="26"/>
  <c r="AG22" i="26"/>
  <c r="AG21" i="26"/>
  <c r="AH20" i="26"/>
  <c r="AG24" i="26"/>
  <c r="AG36" i="26" s="1"/>
  <c r="AG23" i="26"/>
  <c r="AG34" i="26" l="1"/>
  <c r="AH22" i="26"/>
  <c r="AH23" i="26"/>
  <c r="AH24" i="26"/>
  <c r="AH36" i="26" s="1"/>
  <c r="AH21" i="26"/>
  <c r="AI20" i="26"/>
  <c r="AH15" i="26"/>
  <c r="AH33" i="26" s="1"/>
  <c r="AH16" i="26"/>
  <c r="AH34" i="26" s="1"/>
  <c r="AH17" i="26"/>
  <c r="AH35" i="26" s="1"/>
  <c r="AI14" i="26"/>
  <c r="AG33" i="26"/>
  <c r="AG35" i="26"/>
  <c r="AI29" i="26"/>
  <c r="AI28" i="26"/>
  <c r="AI30" i="26"/>
  <c r="AI27" i="26"/>
  <c r="AJ26" i="26"/>
  <c r="AI22" i="26" l="1"/>
  <c r="AI23" i="26"/>
  <c r="AJ20" i="26"/>
  <c r="AI21" i="26"/>
  <c r="AI24" i="26"/>
  <c r="AI36" i="26" s="1"/>
  <c r="AI16" i="26"/>
  <c r="AI34" i="26" s="1"/>
  <c r="AI17" i="26"/>
  <c r="AI35" i="26" s="1"/>
  <c r="AI15" i="26"/>
  <c r="AI33" i="26" s="1"/>
  <c r="AJ14" i="26"/>
  <c r="AJ28" i="26"/>
  <c r="AJ29" i="26"/>
  <c r="AK26" i="26"/>
  <c r="AJ27" i="26"/>
  <c r="AJ30" i="26"/>
  <c r="AK29" i="26" l="1"/>
  <c r="AK30" i="26"/>
  <c r="AK27" i="26"/>
  <c r="AL26" i="26"/>
  <c r="AK28" i="26"/>
  <c r="AJ16" i="26"/>
  <c r="AJ17" i="26"/>
  <c r="AJ15" i="26"/>
  <c r="AK14" i="26"/>
  <c r="AJ23" i="26"/>
  <c r="AJ24" i="26"/>
  <c r="AJ36" i="26" s="1"/>
  <c r="AK20" i="26"/>
  <c r="AJ22" i="26"/>
  <c r="AJ21" i="26"/>
  <c r="AJ35" i="26" l="1"/>
  <c r="AK24" i="26"/>
  <c r="AK36" i="26" s="1"/>
  <c r="AK23" i="26"/>
  <c r="AK22" i="26"/>
  <c r="AL20" i="26"/>
  <c r="AK21" i="26"/>
  <c r="AK16" i="26"/>
  <c r="AK34" i="26" s="1"/>
  <c r="AK17" i="26"/>
  <c r="AK35" i="26" s="1"/>
  <c r="AL14" i="26"/>
  <c r="AK15" i="26"/>
  <c r="AK33" i="26" s="1"/>
  <c r="AJ34" i="26"/>
  <c r="AJ33" i="26"/>
  <c r="AL30" i="26"/>
  <c r="AL29" i="26"/>
  <c r="AM26" i="26"/>
  <c r="AL27" i="26"/>
  <c r="AL28" i="26"/>
  <c r="AL17" i="26" l="1"/>
  <c r="AL15" i="26"/>
  <c r="AL16" i="26"/>
  <c r="AM14" i="26"/>
  <c r="AL23" i="26"/>
  <c r="AM20" i="26"/>
  <c r="AL24" i="26"/>
  <c r="AL36" i="26" s="1"/>
  <c r="AL22" i="26"/>
  <c r="AL21" i="26"/>
  <c r="AM29" i="26"/>
  <c r="AN26" i="26"/>
  <c r="AM30" i="26"/>
  <c r="AM27" i="26"/>
  <c r="AM28" i="26"/>
  <c r="AN30" i="26" l="1"/>
  <c r="AO26" i="26"/>
  <c r="AN27" i="26"/>
  <c r="AN29" i="26"/>
  <c r="AN28" i="26"/>
  <c r="AM17" i="26"/>
  <c r="AM35" i="26" s="1"/>
  <c r="AM15" i="26"/>
  <c r="AM16" i="26"/>
  <c r="AN14" i="26"/>
  <c r="AL34" i="26"/>
  <c r="AM24" i="26"/>
  <c r="AM36" i="26" s="1"/>
  <c r="AN20" i="26"/>
  <c r="AM21" i="26"/>
  <c r="AM22" i="26"/>
  <c r="AM23" i="26"/>
  <c r="AL33" i="26"/>
  <c r="AL35" i="26"/>
  <c r="AN24" i="26" l="1"/>
  <c r="AN36" i="26" s="1"/>
  <c r="AO20" i="26"/>
  <c r="AN21" i="26"/>
  <c r="AN22" i="26"/>
  <c r="AN23" i="26"/>
  <c r="AN17" i="26"/>
  <c r="AN35" i="26" s="1"/>
  <c r="AO14" i="26"/>
  <c r="AN15" i="26"/>
  <c r="AN33" i="26" s="1"/>
  <c r="AN16" i="26"/>
  <c r="AN34" i="26" s="1"/>
  <c r="AM34" i="26"/>
  <c r="AM33" i="26"/>
  <c r="AO30" i="26"/>
  <c r="AP26" i="26"/>
  <c r="AO29" i="26"/>
  <c r="AO28" i="26"/>
  <c r="AO27" i="26"/>
  <c r="AP14" i="26" l="1"/>
  <c r="AO15" i="26"/>
  <c r="AO17" i="26"/>
  <c r="AO16" i="26"/>
  <c r="AO24" i="26"/>
  <c r="AO36" i="26" s="1"/>
  <c r="AP20" i="26"/>
  <c r="AO22" i="26"/>
  <c r="AO23" i="26"/>
  <c r="AO21" i="26"/>
  <c r="AP30" i="26"/>
  <c r="AQ26" i="26"/>
  <c r="AP27" i="26"/>
  <c r="AP29" i="26"/>
  <c r="AP28" i="26"/>
  <c r="AO34" i="26" l="1"/>
  <c r="AQ27" i="26"/>
  <c r="AQ28" i="26"/>
  <c r="AQ29" i="26"/>
  <c r="AQ30" i="26"/>
  <c r="AO33" i="26"/>
  <c r="AQ20" i="26"/>
  <c r="AP21" i="26"/>
  <c r="AP22" i="26"/>
  <c r="AP24" i="26"/>
  <c r="AP36" i="26" s="1"/>
  <c r="AP23" i="26"/>
  <c r="AO35" i="26"/>
  <c r="AQ14" i="26"/>
  <c r="AP15" i="26"/>
  <c r="AP33" i="26" s="1"/>
  <c r="AP16" i="26"/>
  <c r="AP17" i="26"/>
  <c r="AQ16" i="26" l="1"/>
  <c r="AQ17" i="26"/>
  <c r="AQ15" i="26"/>
  <c r="AQ33" i="26" s="1"/>
  <c r="AQ21" i="26"/>
  <c r="AQ24" i="26"/>
  <c r="AQ36" i="26" s="1"/>
  <c r="AQ22" i="26"/>
  <c r="AQ23" i="26"/>
  <c r="AP35" i="26"/>
  <c r="AP34" i="26"/>
  <c r="AQ35" i="26" l="1"/>
  <c r="AQ34" i="26"/>
  <c r="A11" i="16" l="1"/>
  <c r="A10" i="16"/>
  <c r="A9" i="16"/>
  <c r="A6" i="16"/>
  <c r="A5" i="16"/>
  <c r="A4" i="16"/>
  <c r="A3" i="16"/>
  <c r="A2" i="16"/>
  <c r="B29" i="19"/>
  <c r="B30" i="19"/>
  <c r="B31" i="19"/>
  <c r="B32" i="19"/>
  <c r="B33" i="19"/>
  <c r="B34" i="19"/>
  <c r="B35" i="19"/>
  <c r="B36" i="19"/>
  <c r="B37" i="19"/>
  <c r="B38" i="19"/>
  <c r="B64" i="19" l="1"/>
  <c r="B63" i="19"/>
  <c r="B62" i="19"/>
  <c r="B61" i="19"/>
  <c r="B60" i="19"/>
  <c r="B59" i="19"/>
  <c r="B58" i="19"/>
  <c r="B57" i="19"/>
  <c r="B56" i="19"/>
  <c r="B55" i="19"/>
  <c r="B50" i="19"/>
  <c r="B49" i="19"/>
  <c r="B48" i="19"/>
  <c r="B47" i="19"/>
  <c r="B46" i="19"/>
  <c r="B45" i="19"/>
  <c r="B44" i="19"/>
  <c r="B43" i="19"/>
  <c r="B42" i="19"/>
  <c r="B41" i="19"/>
  <c r="B26" i="19" l="1"/>
  <c r="B25" i="19"/>
  <c r="B24" i="19"/>
  <c r="B23" i="19"/>
  <c r="B22" i="19"/>
  <c r="B21" i="19"/>
  <c r="B20" i="19"/>
  <c r="B19" i="19"/>
  <c r="B18" i="19"/>
  <c r="B17" i="19"/>
  <c r="E26" i="19" l="1"/>
  <c r="E22" i="19"/>
  <c r="E18" i="19"/>
  <c r="E25" i="19"/>
  <c r="E21" i="19"/>
  <c r="E17" i="19"/>
  <c r="E24" i="19"/>
  <c r="E20" i="19"/>
  <c r="E23" i="19"/>
  <c r="E19" i="19"/>
  <c r="B14" i="19"/>
  <c r="B13" i="19"/>
  <c r="B12" i="19"/>
  <c r="B11" i="19"/>
  <c r="B10" i="19"/>
  <c r="B9" i="19"/>
  <c r="B8" i="19"/>
  <c r="B7" i="19"/>
  <c r="B6" i="19"/>
  <c r="B5" i="19"/>
  <c r="F25" i="19" l="1"/>
  <c r="F21" i="19"/>
  <c r="F17" i="19"/>
  <c r="F24" i="19"/>
  <c r="F20" i="19"/>
  <c r="F26" i="19"/>
  <c r="F18" i="19"/>
  <c r="E30" i="19" l="1"/>
  <c r="F19" i="19"/>
  <c r="F23" i="19"/>
  <c r="F22" i="19"/>
  <c r="D38" i="19" l="1"/>
  <c r="D32" i="19"/>
  <c r="F38" i="19"/>
  <c r="F32" i="19"/>
  <c r="F30" i="19"/>
  <c r="D18" i="19"/>
  <c r="D34" i="19"/>
  <c r="D21" i="19"/>
  <c r="D20" i="19"/>
  <c r="D25" i="19"/>
  <c r="D33" i="19"/>
  <c r="D17" i="19"/>
  <c r="F29" i="19"/>
  <c r="E33" i="19"/>
  <c r="D31" i="19"/>
  <c r="D23" i="19"/>
  <c r="E36" i="19"/>
  <c r="D37" i="19"/>
  <c r="D19" i="19"/>
  <c r="F37" i="19"/>
  <c r="D30" i="19"/>
  <c r="F35" i="19"/>
  <c r="E38" i="19"/>
  <c r="D24" i="19"/>
  <c r="E37" i="19"/>
  <c r="F33" i="19"/>
  <c r="F31" i="19"/>
  <c r="E35" i="19"/>
  <c r="E29" i="19"/>
  <c r="E34" i="19"/>
  <c r="D22" i="19"/>
  <c r="D29" i="19"/>
  <c r="D35" i="19"/>
  <c r="F34" i="19"/>
  <c r="E31" i="19"/>
  <c r="D26" i="19"/>
  <c r="D36" i="19"/>
  <c r="F36" i="19"/>
  <c r="E32" i="19"/>
  <c r="E9" i="21"/>
  <c r="G30" i="19"/>
  <c r="G18" i="19"/>
  <c r="G37" i="19"/>
  <c r="G25" i="19"/>
  <c r="G34" i="19"/>
  <c r="G22" i="19"/>
  <c r="G38" i="19"/>
  <c r="G26" i="19"/>
  <c r="G36" i="19"/>
  <c r="G24" i="19"/>
  <c r="G35" i="19"/>
  <c r="G23" i="19"/>
  <c r="G29" i="19"/>
  <c r="G17" i="19"/>
  <c r="G31" i="19"/>
  <c r="G19" i="19"/>
  <c r="G32" i="19"/>
  <c r="G20" i="19"/>
  <c r="G33" i="19"/>
  <c r="G21" i="19"/>
  <c r="H30" i="19" l="1"/>
  <c r="H18" i="19"/>
  <c r="H31" i="19"/>
  <c r="H19" i="19"/>
  <c r="H36" i="19"/>
  <c r="H24" i="19"/>
  <c r="H29" i="19"/>
  <c r="H41" i="19" s="1"/>
  <c r="H17" i="19"/>
  <c r="H34" i="19"/>
  <c r="H22" i="19"/>
  <c r="H32" i="19"/>
  <c r="H20" i="19"/>
  <c r="H33" i="19"/>
  <c r="H21" i="19"/>
  <c r="H38" i="19"/>
  <c r="H26" i="19"/>
  <c r="H35" i="19"/>
  <c r="H23" i="19"/>
  <c r="H37" i="19"/>
  <c r="H25" i="19"/>
  <c r="E42" i="19" l="1"/>
  <c r="I33" i="19"/>
  <c r="I21" i="19"/>
  <c r="I30" i="19"/>
  <c r="I18" i="19"/>
  <c r="I35" i="19"/>
  <c r="I23" i="19"/>
  <c r="I38" i="19"/>
  <c r="I26" i="19"/>
  <c r="I29" i="19"/>
  <c r="I41" i="19" s="1"/>
  <c r="I17" i="19"/>
  <c r="I31" i="19"/>
  <c r="I19" i="19"/>
  <c r="I36" i="19"/>
  <c r="I24" i="19"/>
  <c r="I37" i="19"/>
  <c r="I25" i="19"/>
  <c r="I34" i="19"/>
  <c r="I22" i="19"/>
  <c r="I32" i="19"/>
  <c r="I20" i="19"/>
  <c r="H42" i="19" l="1"/>
  <c r="F45" i="19"/>
  <c r="E45" i="19"/>
  <c r="E50" i="19"/>
  <c r="D48" i="19"/>
  <c r="F49" i="19"/>
  <c r="H45" i="19"/>
  <c r="D45" i="19"/>
  <c r="G45" i="19"/>
  <c r="E49" i="19"/>
  <c r="G48" i="19"/>
  <c r="E48" i="19"/>
  <c r="H50" i="19"/>
  <c r="F41" i="19"/>
  <c r="F44" i="19"/>
  <c r="G46" i="19"/>
  <c r="G47" i="19"/>
  <c r="H49" i="19"/>
  <c r="E43" i="19"/>
  <c r="G41" i="19"/>
  <c r="E41" i="19"/>
  <c r="F48" i="19"/>
  <c r="D50" i="19"/>
  <c r="H47" i="19"/>
  <c r="G42" i="19"/>
  <c r="E44" i="19"/>
  <c r="E46" i="19"/>
  <c r="F43" i="19"/>
  <c r="E47" i="19"/>
  <c r="H44" i="19"/>
  <c r="D42" i="19"/>
  <c r="H43" i="19"/>
  <c r="F46" i="19"/>
  <c r="F42" i="19"/>
  <c r="F50" i="19"/>
  <c r="D43" i="19"/>
  <c r="F47" i="19"/>
  <c r="H46" i="19"/>
  <c r="G50" i="19"/>
  <c r="G44" i="19"/>
  <c r="D47" i="19"/>
  <c r="G43" i="19"/>
  <c r="D46" i="19"/>
  <c r="H48" i="19"/>
  <c r="D49" i="19"/>
  <c r="G49" i="19"/>
  <c r="D41" i="19"/>
  <c r="D44" i="19"/>
  <c r="I48" i="19"/>
  <c r="I46" i="19"/>
  <c r="J32" i="19"/>
  <c r="J20" i="19"/>
  <c r="J30" i="19"/>
  <c r="J42" i="19" s="1"/>
  <c r="J18" i="19"/>
  <c r="J36" i="19"/>
  <c r="J24" i="19"/>
  <c r="J29" i="19"/>
  <c r="J41" i="19" s="1"/>
  <c r="J17" i="19"/>
  <c r="J34" i="19"/>
  <c r="J22" i="19"/>
  <c r="J33" i="19"/>
  <c r="J21" i="19"/>
  <c r="J35" i="19"/>
  <c r="J23" i="19"/>
  <c r="J38" i="19"/>
  <c r="J26" i="19"/>
  <c r="J37" i="19"/>
  <c r="J25" i="19"/>
  <c r="J31" i="19"/>
  <c r="J19" i="19"/>
  <c r="I42" i="19"/>
  <c r="I43" i="19"/>
  <c r="I45" i="19"/>
  <c r="I50" i="19"/>
  <c r="I49" i="19"/>
  <c r="I47" i="19"/>
  <c r="I44" i="19"/>
  <c r="K32" i="19" l="1"/>
  <c r="K20" i="19"/>
  <c r="K38" i="19"/>
  <c r="K26" i="19"/>
  <c r="K33" i="19"/>
  <c r="K21" i="19"/>
  <c r="K30" i="19"/>
  <c r="K42" i="19" s="1"/>
  <c r="K18" i="19"/>
  <c r="K37" i="19"/>
  <c r="K25" i="19"/>
  <c r="K31" i="19"/>
  <c r="K19" i="19"/>
  <c r="K36" i="19"/>
  <c r="K24" i="19"/>
  <c r="K29" i="19"/>
  <c r="K41" i="19" s="1"/>
  <c r="K17" i="19"/>
  <c r="K34" i="19"/>
  <c r="K22" i="19"/>
  <c r="K35" i="19"/>
  <c r="K23" i="19"/>
  <c r="J46" i="19"/>
  <c r="J48" i="19"/>
  <c r="J50" i="19"/>
  <c r="J47" i="19"/>
  <c r="J45" i="19"/>
  <c r="J43" i="19"/>
  <c r="J49" i="19"/>
  <c r="J44" i="19"/>
  <c r="L31" i="19" l="1"/>
  <c r="L43" i="19" s="1"/>
  <c r="L19" i="19"/>
  <c r="L32" i="19"/>
  <c r="L20" i="19"/>
  <c r="L29" i="19"/>
  <c r="L41" i="19" s="1"/>
  <c r="L17" i="19"/>
  <c r="L30" i="19"/>
  <c r="L42" i="19" s="1"/>
  <c r="L18" i="19"/>
  <c r="L37" i="19"/>
  <c r="L25" i="19"/>
  <c r="L34" i="19"/>
  <c r="L22" i="19"/>
  <c r="L35" i="19"/>
  <c r="L23" i="19"/>
  <c r="L38" i="19"/>
  <c r="L26" i="19"/>
  <c r="L36" i="19"/>
  <c r="L24" i="19"/>
  <c r="L33" i="19"/>
  <c r="L21" i="19"/>
  <c r="K48" i="19"/>
  <c r="K50" i="19"/>
  <c r="K45" i="19"/>
  <c r="K47" i="19"/>
  <c r="K44" i="19"/>
  <c r="K49" i="19"/>
  <c r="K43" i="19"/>
  <c r="K46" i="19"/>
  <c r="M31" i="19" l="1"/>
  <c r="M43" i="19" s="1"/>
  <c r="M19" i="19"/>
  <c r="M33" i="19"/>
  <c r="M21" i="19"/>
  <c r="M37" i="19"/>
  <c r="M25" i="19"/>
  <c r="M32" i="19"/>
  <c r="M20" i="19"/>
  <c r="M34" i="19"/>
  <c r="M22" i="19"/>
  <c r="M36" i="19"/>
  <c r="M24" i="19"/>
  <c r="M38" i="19"/>
  <c r="M26" i="19"/>
  <c r="M35" i="19"/>
  <c r="M23" i="19"/>
  <c r="M29" i="19"/>
  <c r="M41" i="19" s="1"/>
  <c r="M17" i="19"/>
  <c r="M30" i="19"/>
  <c r="M42" i="19" s="1"/>
  <c r="M18" i="19"/>
  <c r="L44" i="19"/>
  <c r="L47" i="19"/>
  <c r="L49" i="19"/>
  <c r="L45" i="19"/>
  <c r="L48" i="19"/>
  <c r="L50" i="19"/>
  <c r="L46" i="19"/>
  <c r="M47" i="19" l="1"/>
  <c r="N31" i="19"/>
  <c r="N43" i="19" s="1"/>
  <c r="N19" i="19"/>
  <c r="N30" i="19"/>
  <c r="N42" i="19" s="1"/>
  <c r="N18" i="19"/>
  <c r="N32" i="19"/>
  <c r="N44" i="19" s="1"/>
  <c r="N20" i="19"/>
  <c r="N29" i="19"/>
  <c r="N41" i="19" s="1"/>
  <c r="N17" i="19"/>
  <c r="N35" i="19"/>
  <c r="N23" i="19"/>
  <c r="N33" i="19"/>
  <c r="N21" i="19"/>
  <c r="N38" i="19"/>
  <c r="N26" i="19"/>
  <c r="N37" i="19"/>
  <c r="N25" i="19"/>
  <c r="N34" i="19"/>
  <c r="N22" i="19"/>
  <c r="N36" i="19"/>
  <c r="N24" i="19"/>
  <c r="M48" i="19"/>
  <c r="M50" i="19"/>
  <c r="M44" i="19"/>
  <c r="M49" i="19"/>
  <c r="M46" i="19"/>
  <c r="M45" i="19"/>
  <c r="O35" i="19" l="1"/>
  <c r="O23" i="19"/>
  <c r="O36" i="19"/>
  <c r="O24" i="19"/>
  <c r="O30" i="19"/>
  <c r="O42" i="19" s="1"/>
  <c r="O18" i="19"/>
  <c r="O31" i="19"/>
  <c r="O43" i="19" s="1"/>
  <c r="O19" i="19"/>
  <c r="O29" i="19"/>
  <c r="O41" i="19" s="1"/>
  <c r="O17" i="19"/>
  <c r="O38" i="19"/>
  <c r="O26" i="19"/>
  <c r="O33" i="19"/>
  <c r="O21" i="19"/>
  <c r="O34" i="19"/>
  <c r="O22" i="19"/>
  <c r="O32" i="19"/>
  <c r="O44" i="19" s="1"/>
  <c r="O20" i="19"/>
  <c r="O37" i="19"/>
  <c r="O25" i="19"/>
  <c r="N49" i="19"/>
  <c r="N47" i="19"/>
  <c r="N45" i="19"/>
  <c r="N48" i="19"/>
  <c r="N50" i="19"/>
  <c r="N46" i="19"/>
  <c r="P29" i="19" l="1"/>
  <c r="P41" i="19" s="1"/>
  <c r="P17" i="19"/>
  <c r="P38" i="19"/>
  <c r="P26" i="19"/>
  <c r="P30" i="19"/>
  <c r="P42" i="19" s="1"/>
  <c r="P18" i="19"/>
  <c r="P31" i="19"/>
  <c r="P43" i="19" s="1"/>
  <c r="P19" i="19"/>
  <c r="P32" i="19"/>
  <c r="P44" i="19" s="1"/>
  <c r="P20" i="19"/>
  <c r="P33" i="19"/>
  <c r="P21" i="19"/>
  <c r="P35" i="19"/>
  <c r="P23" i="19"/>
  <c r="P37" i="19"/>
  <c r="P25" i="19"/>
  <c r="P34" i="19"/>
  <c r="P22" i="19"/>
  <c r="P36" i="19"/>
  <c r="P24" i="19"/>
  <c r="O45" i="19"/>
  <c r="O49" i="19"/>
  <c r="O47" i="19"/>
  <c r="O50" i="19"/>
  <c r="O46" i="19"/>
  <c r="O48" i="19"/>
  <c r="Q33" i="19" l="1"/>
  <c r="Q45" i="19" s="1"/>
  <c r="Q21" i="19"/>
  <c r="Q30" i="19"/>
  <c r="Q42" i="19" s="1"/>
  <c r="Q18" i="19"/>
  <c r="Q29" i="19"/>
  <c r="Q41" i="19" s="1"/>
  <c r="Q17" i="19"/>
  <c r="Q38" i="19"/>
  <c r="Q26" i="19"/>
  <c r="Q36" i="19"/>
  <c r="Q24" i="19"/>
  <c r="Q37" i="19"/>
  <c r="Q25" i="19"/>
  <c r="Q31" i="19"/>
  <c r="Q43" i="19" s="1"/>
  <c r="Q19" i="19"/>
  <c r="Q32" i="19"/>
  <c r="Q44" i="19" s="1"/>
  <c r="Q20" i="19"/>
  <c r="Q34" i="19"/>
  <c r="Q22" i="19"/>
  <c r="Q35" i="19"/>
  <c r="Q23" i="19"/>
  <c r="P45" i="19"/>
  <c r="P50" i="19"/>
  <c r="P46" i="19"/>
  <c r="P48" i="19"/>
  <c r="P49" i="19"/>
  <c r="P47" i="19"/>
  <c r="R36" i="19" l="1"/>
  <c r="R24" i="19"/>
  <c r="R37" i="19"/>
  <c r="R25" i="19"/>
  <c r="R35" i="19"/>
  <c r="R23" i="19"/>
  <c r="R29" i="19"/>
  <c r="R41" i="19" s="1"/>
  <c r="R17" i="19"/>
  <c r="R33" i="19"/>
  <c r="R45" i="19" s="1"/>
  <c r="R21" i="19"/>
  <c r="R30" i="19"/>
  <c r="R42" i="19" s="1"/>
  <c r="R18" i="19"/>
  <c r="R31" i="19"/>
  <c r="R43" i="19" s="1"/>
  <c r="R19" i="19"/>
  <c r="R32" i="19"/>
  <c r="R44" i="19" s="1"/>
  <c r="R20" i="19"/>
  <c r="R34" i="19"/>
  <c r="R46" i="19" s="1"/>
  <c r="R22" i="19"/>
  <c r="R38" i="19"/>
  <c r="R26" i="19"/>
  <c r="Q49" i="19"/>
  <c r="Q46" i="19"/>
  <c r="Q48" i="19"/>
  <c r="Q47" i="19"/>
  <c r="Q50" i="19"/>
  <c r="S33" i="19" l="1"/>
  <c r="S45" i="19" s="1"/>
  <c r="S21" i="19"/>
  <c r="S30" i="19"/>
  <c r="S42" i="19" s="1"/>
  <c r="S18" i="19"/>
  <c r="S37" i="19"/>
  <c r="S25" i="19"/>
  <c r="S31" i="19"/>
  <c r="S43" i="19" s="1"/>
  <c r="S19" i="19"/>
  <c r="S32" i="19"/>
  <c r="S44" i="19" s="1"/>
  <c r="S20" i="19"/>
  <c r="S29" i="19"/>
  <c r="S41" i="19" s="1"/>
  <c r="S17" i="19"/>
  <c r="S34" i="19"/>
  <c r="S46" i="19" s="1"/>
  <c r="S22" i="19"/>
  <c r="S35" i="19"/>
  <c r="S47" i="19" s="1"/>
  <c r="S23" i="19"/>
  <c r="S36" i="19"/>
  <c r="S48" i="19" s="1"/>
  <c r="S24" i="19"/>
  <c r="S38" i="19"/>
  <c r="S26" i="19"/>
  <c r="R48" i="19"/>
  <c r="R50" i="19"/>
  <c r="R49" i="19"/>
  <c r="R47" i="19"/>
  <c r="T36" i="19" l="1"/>
  <c r="T48" i="19" s="1"/>
  <c r="T24" i="19"/>
  <c r="T29" i="19"/>
  <c r="T41" i="19" s="1"/>
  <c r="T17" i="19"/>
  <c r="T30" i="19"/>
  <c r="T42" i="19" s="1"/>
  <c r="T18" i="19"/>
  <c r="T31" i="19"/>
  <c r="T43" i="19" s="1"/>
  <c r="T19" i="19"/>
  <c r="T37" i="19"/>
  <c r="T25" i="19"/>
  <c r="T32" i="19"/>
  <c r="T44" i="19" s="1"/>
  <c r="T20" i="19"/>
  <c r="T33" i="19"/>
  <c r="T45" i="19" s="1"/>
  <c r="T21" i="19"/>
  <c r="T34" i="19"/>
  <c r="T46" i="19" s="1"/>
  <c r="T22" i="19"/>
  <c r="T35" i="19"/>
  <c r="T47" i="19" s="1"/>
  <c r="T23" i="19"/>
  <c r="T38" i="19"/>
  <c r="T26" i="19"/>
  <c r="S49" i="19"/>
  <c r="S50" i="19"/>
  <c r="V34" i="19" l="1"/>
  <c r="V46" i="19" s="1"/>
  <c r="V22" i="19"/>
  <c r="V32" i="19"/>
  <c r="V44" i="19" s="1"/>
  <c r="V20" i="19"/>
  <c r="V30" i="19"/>
  <c r="V42" i="19" s="1"/>
  <c r="V18" i="19"/>
  <c r="U32" i="19"/>
  <c r="U44" i="19" s="1"/>
  <c r="U20" i="19"/>
  <c r="V37" i="19"/>
  <c r="V49" i="19" s="1"/>
  <c r="V25" i="19"/>
  <c r="V29" i="19"/>
  <c r="V41" i="19" s="1"/>
  <c r="V17" i="19"/>
  <c r="U31" i="19"/>
  <c r="U43" i="19" s="1"/>
  <c r="U19" i="19"/>
  <c r="V33" i="19"/>
  <c r="V45" i="19" s="1"/>
  <c r="V21" i="19"/>
  <c r="U37" i="19"/>
  <c r="U49" i="19" s="1"/>
  <c r="U25" i="19"/>
  <c r="U38" i="19"/>
  <c r="U26" i="19"/>
  <c r="V36" i="19"/>
  <c r="V48" i="19" s="1"/>
  <c r="V24" i="19"/>
  <c r="V31" i="19"/>
  <c r="V43" i="19" s="1"/>
  <c r="V19" i="19"/>
  <c r="U36" i="19"/>
  <c r="U48" i="19" s="1"/>
  <c r="U24" i="19"/>
  <c r="U29" i="19"/>
  <c r="U41" i="19" s="1"/>
  <c r="U17" i="19"/>
  <c r="U30" i="19"/>
  <c r="U42" i="19" s="1"/>
  <c r="U18" i="19"/>
  <c r="V38" i="19"/>
  <c r="V26" i="19"/>
  <c r="U35" i="19"/>
  <c r="U47" i="19" s="1"/>
  <c r="U23" i="19"/>
  <c r="V35" i="19"/>
  <c r="V47" i="19" s="1"/>
  <c r="V23" i="19"/>
  <c r="U33" i="19"/>
  <c r="U45" i="19" s="1"/>
  <c r="U21" i="19"/>
  <c r="U34" i="19"/>
  <c r="U46" i="19" s="1"/>
  <c r="U22" i="19"/>
  <c r="T50" i="19"/>
  <c r="T49" i="19"/>
  <c r="W35" i="19" l="1"/>
  <c r="W23" i="19"/>
  <c r="W31" i="19"/>
  <c r="W19" i="19"/>
  <c r="W38" i="19"/>
  <c r="W26" i="19"/>
  <c r="W37" i="19"/>
  <c r="W25" i="19"/>
  <c r="W34" i="19"/>
  <c r="W22" i="19"/>
  <c r="W29" i="19"/>
  <c r="W17" i="19"/>
  <c r="W33" i="19"/>
  <c r="W21" i="19"/>
  <c r="W30" i="19"/>
  <c r="W18" i="19"/>
  <c r="W32" i="19"/>
  <c r="W20" i="19"/>
  <c r="W36" i="19"/>
  <c r="W24" i="19"/>
  <c r="V50" i="19"/>
  <c r="U50" i="19"/>
  <c r="W43" i="19" l="1"/>
  <c r="D57" i="19" s="1"/>
  <c r="W48" i="19"/>
  <c r="D62" i="19" s="1"/>
  <c r="W50" i="19"/>
  <c r="D64" i="19" s="1"/>
  <c r="W44" i="19"/>
  <c r="D58" i="19" s="1"/>
  <c r="W46" i="19"/>
  <c r="W49" i="19"/>
  <c r="D63" i="19" s="1"/>
  <c r="W45" i="19"/>
  <c r="D59" i="19" s="1"/>
  <c r="W42" i="19"/>
  <c r="W47" i="19"/>
  <c r="W41" i="19"/>
  <c r="D55" i="19" s="1"/>
  <c r="O7" i="24" l="1"/>
  <c r="M7" i="24"/>
  <c r="O12" i="24"/>
  <c r="M12" i="24"/>
  <c r="M11" i="24"/>
  <c r="O11" i="24"/>
  <c r="M4" i="24"/>
  <c r="O4" i="24"/>
  <c r="M8" i="24"/>
  <c r="O8" i="24"/>
  <c r="O13" i="24"/>
  <c r="M13" i="24"/>
  <c r="M6" i="24"/>
  <c r="O6" i="24"/>
  <c r="E58" i="19"/>
  <c r="E62" i="19"/>
  <c r="E64" i="19"/>
  <c r="E57" i="19"/>
  <c r="D56" i="19"/>
  <c r="E59" i="19"/>
  <c r="D60" i="19"/>
  <c r="E55" i="19"/>
  <c r="E63" i="19"/>
  <c r="D61" i="19"/>
  <c r="O10" i="24" l="1"/>
  <c r="M10" i="24"/>
  <c r="O9" i="24"/>
  <c r="M9" i="24"/>
  <c r="O5" i="24"/>
  <c r="M5" i="24"/>
  <c r="E61" i="19"/>
  <c r="E60" i="19"/>
  <c r="E56" i="19"/>
  <c r="F9" i="21" l="1"/>
  <c r="H6" i="21" l="1"/>
  <c r="H3" i="21" l="1"/>
  <c r="H5" i="21"/>
  <c r="H4" i="21"/>
</calcChain>
</file>

<file path=xl/sharedStrings.xml><?xml version="1.0" encoding="utf-8"?>
<sst xmlns="http://schemas.openxmlformats.org/spreadsheetml/2006/main" count="750" uniqueCount="166">
  <si>
    <t>10.750% Notes due March 28, 2022</t>
  </si>
  <si>
    <t>Amortization terms</t>
  </si>
  <si>
    <t>Issue date</t>
  </si>
  <si>
    <t>Maturity date</t>
  </si>
  <si>
    <t>8.750% Notes due June 2, 2023</t>
  </si>
  <si>
    <t>7.950% Notes due June 20, 2024</t>
  </si>
  <si>
    <t>7.875% Notes due March 27, 2025</t>
  </si>
  <si>
    <t>9.650% Notes due December 13, 2026</t>
  </si>
  <si>
    <t>9.625% Notes due June 2, 2027</t>
  </si>
  <si>
    <t>8.875% Notes due October 23, 2027</t>
  </si>
  <si>
    <t>7.875% Notes due January 23, 2028</t>
  </si>
  <si>
    <t>10.750% Notes due January 31, 2029</t>
  </si>
  <si>
    <t>9.500% Notes due March 27, 2030</t>
  </si>
  <si>
    <t>XS2214239506</t>
  </si>
  <si>
    <t>XS2214239688</t>
  </si>
  <si>
    <t>XS2214239175</t>
  </si>
  <si>
    <t>XS2214239258</t>
  </si>
  <si>
    <t>XS2214237807</t>
  </si>
  <si>
    <t>XS2214238102</t>
  </si>
  <si>
    <t>XS2214238441</t>
  </si>
  <si>
    <t>XS2214238524</t>
  </si>
  <si>
    <t>ISINs</t>
  </si>
  <si>
    <t>XS1458516967</t>
  </si>
  <si>
    <t>XS1458514673</t>
  </si>
  <si>
    <t>XS1626768656</t>
  </si>
  <si>
    <t>XS1626768730</t>
  </si>
  <si>
    <t>XS1080331181</t>
  </si>
  <si>
    <t>XS1080330704</t>
  </si>
  <si>
    <t>XS2058848826</t>
  </si>
  <si>
    <t>XS2058845210</t>
  </si>
  <si>
    <t>XS1535072109</t>
  </si>
  <si>
    <t>XS1535071986</t>
  </si>
  <si>
    <t>XS1626529157</t>
  </si>
  <si>
    <t>XS1626530320</t>
  </si>
  <si>
    <t>XS1707041429</t>
  </si>
  <si>
    <t>XS1707041262</t>
  </si>
  <si>
    <t>XS1755432363</t>
  </si>
  <si>
    <t>XS1755429732</t>
  </si>
  <si>
    <t>XS1929377015</t>
  </si>
  <si>
    <t>XS1929376710</t>
  </si>
  <si>
    <t>XS2058866307</t>
  </si>
  <si>
    <t>XS2058864948</t>
  </si>
  <si>
    <t>Maturity Date</t>
  </si>
  <si>
    <t>Currency</t>
  </si>
  <si>
    <t xml:space="preserve">ECUAD / ECGV 5.500  31-Jul-2030 </t>
  </si>
  <si>
    <t xml:space="preserve">ECUAD / ECGV 31-Jul-2030 </t>
  </si>
  <si>
    <t xml:space="preserve">ECUAD / ECGV 2.500  31-Jul-2035 </t>
  </si>
  <si>
    <t xml:space="preserve">ECUAD / ECGV 1.500  31-Jul-2040 </t>
  </si>
  <si>
    <t>D</t>
  </si>
  <si>
    <t>New 2030</t>
  </si>
  <si>
    <t>New 2035</t>
  </si>
  <si>
    <t>New 2040</t>
  </si>
  <si>
    <t>New PDI 2030</t>
  </si>
  <si>
    <t>Frequency</t>
  </si>
  <si>
    <t>Data Item</t>
  </si>
  <si>
    <t>Sdate</t>
  </si>
  <si>
    <t>Edate</t>
  </si>
  <si>
    <t>USD</t>
  </si>
  <si>
    <t>Null Handling</t>
  </si>
  <si>
    <t>'NA'</t>
  </si>
  <si>
    <t>TR.MidPrice</t>
  </si>
  <si>
    <t>Row Header</t>
  </si>
  <si>
    <t>Column Header</t>
  </si>
  <si>
    <t>CalcDate</t>
  </si>
  <si>
    <t>In</t>
  </si>
  <si>
    <t>PA of NB per USD 1,000 PA of EB</t>
  </si>
  <si>
    <t>PA of NB per USD 1,000 of accrued &amp; unpaid interest of EB (up to, but excluding, the SD)</t>
  </si>
  <si>
    <t>Any EB not consenting</t>
  </si>
  <si>
    <t>TR.MidYield</t>
  </si>
  <si>
    <t>NA</t>
  </si>
  <si>
    <t>ZC bond</t>
  </si>
  <si>
    <t>Eligible Bonds</t>
  </si>
  <si>
    <t>10.75 | 2022</t>
  </si>
  <si>
    <t>8.75 | 2023</t>
  </si>
  <si>
    <t>7.88 | 2025</t>
  </si>
  <si>
    <t>9.65 | 2026</t>
  </si>
  <si>
    <t>9.63 | 2027</t>
  </si>
  <si>
    <t>8.88 | 2027</t>
  </si>
  <si>
    <t>7.88 | 2028</t>
  </si>
  <si>
    <t>10.75 | 2029</t>
  </si>
  <si>
    <t>9.5 | 2030</t>
  </si>
  <si>
    <t>Payment dates</t>
  </si>
  <si>
    <t>NPV of Old Bond at New Bond Basket Exit Yield</t>
  </si>
  <si>
    <t>NPV of Old Bond at Average Exit Yield</t>
  </si>
  <si>
    <t>New Bonds</t>
  </si>
  <si>
    <t>Bond Name</t>
  </si>
  <si>
    <t>Cash Flow</t>
  </si>
  <si>
    <t>Valuation date</t>
  </si>
  <si>
    <t>Exit yield</t>
  </si>
  <si>
    <t>Time (years)</t>
  </si>
  <si>
    <t>Discounted Cash Flow</t>
  </si>
  <si>
    <t>NPV @ Exit yield</t>
  </si>
  <si>
    <t>Macaulay duration</t>
  </si>
  <si>
    <t>Coupon Rate</t>
  </si>
  <si>
    <t>Macaulay Duration</t>
  </si>
  <si>
    <t>Consent Share</t>
  </si>
  <si>
    <t>SZ recovery</t>
  </si>
  <si>
    <t>Coupon dates &amp; rates</t>
  </si>
  <si>
    <t>Principal repayment start date</t>
  </si>
  <si>
    <t>Exchange Offer</t>
  </si>
  <si>
    <t>USD 9.625% 2027</t>
  </si>
  <si>
    <t>USD 8.875% 2027</t>
  </si>
  <si>
    <t>PA Controlled by Ecuador</t>
  </si>
  <si>
    <t>Without Arrear Bond</t>
  </si>
  <si>
    <t>With Arrear Bond</t>
  </si>
  <si>
    <t>SZ Recovery</t>
  </si>
  <si>
    <t>Issued Amount
(USD mm)</t>
  </si>
  <si>
    <t>Principal Amortization</t>
  </si>
  <si>
    <t>Annual Coupon</t>
  </si>
  <si>
    <t>Time</t>
  </si>
  <si>
    <t>Exit Yield</t>
  </si>
  <si>
    <t>Discounted Cashflows</t>
  </si>
  <si>
    <t>Updated at 19:14:14</t>
  </si>
  <si>
    <t>NY Bonds</t>
  </si>
  <si>
    <t>Euro (Luxembourg) Bonds</t>
  </si>
  <si>
    <t>Value of exchange basket 
(with FV reduction)</t>
  </si>
  <si>
    <t/>
  </si>
  <si>
    <t>Note on below: First column is in the past so assuming no CF there. Second column is in less than 1 payment period, so we compute the accrued coupon.</t>
  </si>
  <si>
    <t>ISIN (NY listed)</t>
  </si>
  <si>
    <t>ISIN (Euro listed)</t>
  </si>
  <si>
    <t>Total PA Oustanding</t>
  </si>
  <si>
    <t>Bond Description (Exchange Offer terminology)</t>
  </si>
  <si>
    <t>bullet</t>
  </si>
  <si>
    <t>USD 2022</t>
  </si>
  <si>
    <t>USD 2023</t>
  </si>
  <si>
    <t>USD 2024</t>
  </si>
  <si>
    <t>USD 2025</t>
  </si>
  <si>
    <t>USD 2026</t>
  </si>
  <si>
    <t>USD 2028</t>
  </si>
  <si>
    <t>USD 2029</t>
  </si>
  <si>
    <t>USD 2030</t>
  </si>
  <si>
    <t>Companion Spreadsheet for</t>
  </si>
  <si>
    <t>"Majority Voting in Sovereign Restructurings: The Aggregation Dilemma"</t>
  </si>
  <si>
    <t>by Carlo Galli and Stephane Guibaud</t>
  </si>
  <si>
    <t>Abbreviations</t>
  </si>
  <si>
    <t>EB</t>
  </si>
  <si>
    <t>NB</t>
  </si>
  <si>
    <t>NPV</t>
  </si>
  <si>
    <t>Net Present Value</t>
  </si>
  <si>
    <t>PA</t>
  </si>
  <si>
    <t>Principal Amount</t>
  </si>
  <si>
    <t>FV</t>
  </si>
  <si>
    <t>Face Value</t>
  </si>
  <si>
    <t>List of Sheets</t>
  </si>
  <si>
    <t>Description</t>
  </si>
  <si>
    <t>EBs List</t>
  </si>
  <si>
    <t>EBs NPVs</t>
  </si>
  <si>
    <t>NPV and duration calculations for the EBs</t>
  </si>
  <si>
    <t>Exchange Results</t>
  </si>
  <si>
    <t>NBs List</t>
  </si>
  <si>
    <t>Details on the New Bonds</t>
  </si>
  <si>
    <t>NBs NPVs</t>
  </si>
  <si>
    <t>NPV and duration calculations for the NBs</t>
  </si>
  <si>
    <t>SD</t>
  </si>
  <si>
    <t>Settlement Date</t>
  </si>
  <si>
    <t>Details on EBs</t>
  </si>
  <si>
    <t>Exchange Offer &amp; Results</t>
  </si>
  <si>
    <t>Details on the exchange conversion rates and recovery rates</t>
  </si>
  <si>
    <t>EBs &amp; NBs Prices</t>
  </si>
  <si>
    <t>Historical prices and yields of the Ebs and NBs. Source: LSEG Workspace</t>
  </si>
  <si>
    <t>Name</t>
  </si>
  <si>
    <t>Avg Exit Price</t>
  </si>
  <si>
    <t>Avg Exit Yield</t>
  </si>
  <si>
    <t>Consents Delivered and Accepted</t>
  </si>
  <si>
    <t>Weighted average without PDI bond</t>
  </si>
  <si>
    <t>Weighted average with PDI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</si>
</sst>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0.000"/>
    <numFmt numFmtId="166" formatCode="_-* #,##0_-;\-* #,##0_-;_-* &quot;-&quot;??_-;_-@_-"/>
    <numFmt numFmtId="167" formatCode="#,##0_ ;\-#,##0\ "/>
    <numFmt numFmtId="168" formatCode="0.0%"/>
    <numFmt numFmtId="169" formatCode="_-* #,##0.000_-;\-* #,##0.000_-;_-* &quot;-&quot;??_-;_-@_-"/>
    <numFmt numFmtId="170" formatCode="0.0000"/>
    <numFmt numFmtId="171" formatCode="0.00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1"/>
      <color rgb="FFFFFFFF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DBA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rgb="FFFF9933"/>
      </left>
      <right style="thin">
        <color rgb="FFFF9933"/>
      </right>
      <top style="thin">
        <color rgb="FFFF9933"/>
      </top>
      <bottom style="thin">
        <color rgb="FFFF9933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Border="0" applyAlignment="0"/>
    <xf numFmtId="0" fontId="2" fillId="2" borderId="1" applyNumberFormat="0" applyAlignment="0" applyProtection="0"/>
    <xf numFmtId="0" fontId="4" fillId="3" borderId="0" applyNumberFormat="0" applyAlignment="0" applyProtection="0"/>
    <xf numFmtId="0" fontId="7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13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quotePrefix="1" applyNumberFormat="1"/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0" fillId="4" borderId="0" xfId="0" applyFill="1"/>
    <xf numFmtId="0" fontId="6" fillId="0" borderId="0" xfId="0" applyFont="1"/>
    <xf numFmtId="0" fontId="5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4" fontId="6" fillId="0" borderId="0" xfId="0" applyNumberFormat="1" applyFont="1"/>
    <xf numFmtId="14" fontId="0" fillId="0" borderId="0" xfId="0" applyNumberFormat="1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0" borderId="0" xfId="0" applyFont="1" applyAlignment="1">
      <alignment vertical="center" wrapText="1"/>
    </xf>
    <xf numFmtId="0" fontId="10" fillId="0" borderId="0" xfId="0" applyFont="1"/>
    <xf numFmtId="0" fontId="0" fillId="0" borderId="0" xfId="0" applyAlignment="1">
      <alignment horizontal="left" vertical="center"/>
    </xf>
    <xf numFmtId="14" fontId="10" fillId="0" borderId="0" xfId="0" applyNumberFormat="1" applyFont="1"/>
    <xf numFmtId="169" fontId="10" fillId="0" borderId="0" xfId="6" applyNumberFormat="1" applyFont="1"/>
    <xf numFmtId="43" fontId="0" fillId="0" borderId="0" xfId="0" applyNumberFormat="1"/>
    <xf numFmtId="0" fontId="0" fillId="0" borderId="0" xfId="0" applyAlignment="1">
      <alignment horizontal="center" wrapText="1"/>
    </xf>
    <xf numFmtId="168" fontId="0" fillId="0" borderId="0" xfId="7" applyNumberFormat="1" applyFont="1"/>
    <xf numFmtId="0" fontId="1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4" borderId="0" xfId="0" applyFont="1" applyFill="1"/>
    <xf numFmtId="10" fontId="6" fillId="4" borderId="0" xfId="0" applyNumberFormat="1" applyFont="1" applyFill="1"/>
    <xf numFmtId="169" fontId="10" fillId="5" borderId="0" xfId="6" applyNumberFormat="1" applyFont="1" applyFill="1"/>
    <xf numFmtId="0" fontId="12" fillId="0" borderId="0" xfId="0" applyFont="1" applyAlignment="1">
      <alignment horizontal="center"/>
    </xf>
    <xf numFmtId="14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wrapText="1"/>
    </xf>
    <xf numFmtId="14" fontId="12" fillId="0" borderId="0" xfId="0" applyNumberFormat="1" applyFont="1" applyAlignment="1">
      <alignment vertical="center" wrapText="1"/>
    </xf>
    <xf numFmtId="2" fontId="12" fillId="0" borderId="0" xfId="0" applyNumberFormat="1" applyFont="1"/>
    <xf numFmtId="17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6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15" fontId="0" fillId="4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70" fontId="0" fillId="4" borderId="0" xfId="0" applyNumberFormat="1" applyFill="1" applyAlignment="1">
      <alignment horizont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4" applyFill="1" applyAlignment="1">
      <alignment vertical="center"/>
    </xf>
    <xf numFmtId="14" fontId="0" fillId="0" borderId="0" xfId="0" quotePrefix="1" applyNumberFormat="1" applyAlignment="1">
      <alignment horizontal="center"/>
    </xf>
    <xf numFmtId="164" fontId="0" fillId="0" borderId="0" xfId="0" quotePrefix="1" applyNumberFormat="1"/>
    <xf numFmtId="2" fontId="0" fillId="0" borderId="0" xfId="0" quotePrefix="1" applyNumberFormat="1"/>
    <xf numFmtId="2" fontId="6" fillId="0" borderId="0" xfId="0" applyNumberFormat="1" applyFont="1"/>
    <xf numFmtId="2" fontId="6" fillId="0" borderId="0" xfId="0" quotePrefix="1" applyNumberFormat="1" applyFont="1"/>
    <xf numFmtId="171" fontId="0" fillId="0" borderId="0" xfId="7" applyNumberFormat="1" applyFont="1" applyAlignment="1">
      <alignment vertical="center"/>
    </xf>
    <xf numFmtId="14" fontId="5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vertical="center"/>
    </xf>
    <xf numFmtId="167" fontId="14" fillId="0" borderId="0" xfId="6" applyNumberFormat="1" applyFont="1" applyFill="1" applyAlignment="1">
      <alignment horizontal="right" vertical="center"/>
    </xf>
    <xf numFmtId="10" fontId="14" fillId="0" borderId="0" xfId="7" applyNumberFormat="1" applyFont="1" applyFill="1" applyAlignment="1">
      <alignment horizontal="right" vertical="center"/>
    </xf>
    <xf numFmtId="10" fontId="14" fillId="0" borderId="0" xfId="0" applyNumberFormat="1" applyFont="1"/>
    <xf numFmtId="167" fontId="14" fillId="0" borderId="0" xfId="0" applyNumberFormat="1" applyFont="1"/>
    <xf numFmtId="0" fontId="14" fillId="0" borderId="0" xfId="0" applyFont="1" applyAlignment="1">
      <alignment vertical="center"/>
    </xf>
    <xf numFmtId="168" fontId="0" fillId="0" borderId="0" xfId="7" applyNumberFormat="1" applyFont="1" applyFill="1"/>
    <xf numFmtId="0" fontId="15" fillId="0" borderId="0" xfId="0" applyFont="1"/>
    <xf numFmtId="0" fontId="0" fillId="0" borderId="3" xfId="0" applyBorder="1" applyAlignment="1">
      <alignment horizontal="center" vertical="center" wrapText="1"/>
    </xf>
    <xf numFmtId="14" fontId="6" fillId="0" borderId="0" xfId="0" applyNumberFormat="1" applyFont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2" fillId="0" borderId="2" xfId="0" applyFont="1" applyBorder="1" applyAlignment="1">
      <alignment horizontal="left"/>
    </xf>
    <xf numFmtId="0" fontId="12" fillId="0" borderId="0" xfId="0" applyFont="1" applyAlignment="1">
      <alignment horizontal="center" wrapText="1"/>
    </xf>
    <xf numFmtId="166" fontId="0" fillId="0" borderId="0" xfId="6" applyNumberFormat="1" applyFont="1" applyBorder="1" applyAlignment="1">
      <alignment horizontal="center"/>
    </xf>
    <xf numFmtId="0" fontId="0" fillId="0" borderId="5" xfId="0" applyBorder="1"/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center"/>
    </xf>
    <xf numFmtId="166" fontId="0" fillId="0" borderId="7" xfId="6" applyNumberFormat="1" applyFon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center"/>
    </xf>
    <xf numFmtId="0" fontId="0" fillId="0" borderId="8" xfId="0" applyBorder="1"/>
    <xf numFmtId="0" fontId="12" fillId="0" borderId="9" xfId="0" applyFont="1" applyBorder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0" fontId="0" fillId="0" borderId="0" xfId="7" applyNumberFormat="1" applyFont="1" applyFill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7" fontId="0" fillId="0" borderId="2" xfId="6" applyNumberFormat="1" applyFont="1" applyFill="1" applyBorder="1" applyAlignment="1">
      <alignment horizontal="right" vertical="center"/>
    </xf>
    <xf numFmtId="167" fontId="0" fillId="0" borderId="6" xfId="6" applyNumberFormat="1" applyFont="1" applyFill="1" applyBorder="1" applyAlignment="1">
      <alignment horizontal="right" vertical="center"/>
    </xf>
    <xf numFmtId="167" fontId="14" fillId="0" borderId="7" xfId="0" applyNumberFormat="1" applyFont="1" applyBorder="1"/>
    <xf numFmtId="3" fontId="14" fillId="0" borderId="7" xfId="0" applyNumberFormat="1" applyFont="1" applyBorder="1" applyAlignment="1">
      <alignment vertical="center"/>
    </xf>
    <xf numFmtId="10" fontId="0" fillId="0" borderId="7" xfId="7" applyNumberFormat="1" applyFont="1" applyFill="1" applyBorder="1" applyAlignment="1">
      <alignment horizontal="right" vertical="center"/>
    </xf>
    <xf numFmtId="0" fontId="0" fillId="0" borderId="13" xfId="0" applyBorder="1"/>
    <xf numFmtId="0" fontId="0" fillId="0" borderId="6" xfId="0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7" fontId="8" fillId="0" borderId="2" xfId="6" applyNumberFormat="1" applyFont="1" applyFill="1" applyBorder="1" applyAlignment="1">
      <alignment horizontal="right" vertical="center"/>
    </xf>
    <xf numFmtId="15" fontId="10" fillId="0" borderId="0" xfId="0" applyNumberFormat="1" applyFont="1"/>
    <xf numFmtId="15" fontId="6" fillId="4" borderId="0" xfId="0" applyNumberFormat="1" applyFont="1" applyFill="1"/>
    <xf numFmtId="15" fontId="0" fillId="0" borderId="0" xfId="0" applyNumberFormat="1" applyAlignment="1">
      <alignment vertical="center"/>
    </xf>
    <xf numFmtId="15" fontId="12" fillId="0" borderId="0" xfId="0" applyNumberFormat="1" applyFont="1" applyAlignment="1">
      <alignment horizontal="center" vertical="center" wrapText="1"/>
    </xf>
    <xf numFmtId="15" fontId="12" fillId="0" borderId="0" xfId="0" applyNumberFormat="1" applyFont="1" applyAlignment="1">
      <alignment horizontal="center"/>
    </xf>
    <xf numFmtId="15" fontId="12" fillId="0" borderId="7" xfId="0" applyNumberFormat="1" applyFont="1" applyBorder="1" applyAlignment="1">
      <alignment horizontal="center" vertical="center" wrapText="1"/>
    </xf>
    <xf numFmtId="15" fontId="0" fillId="0" borderId="0" xfId="0" applyNumberFormat="1"/>
    <xf numFmtId="15" fontId="0" fillId="0" borderId="7" xfId="0" applyNumberFormat="1" applyBorder="1"/>
    <xf numFmtId="15" fontId="12" fillId="0" borderId="0" xfId="0" applyNumberFormat="1" applyFont="1"/>
    <xf numFmtId="15" fontId="12" fillId="0" borderId="0" xfId="0" applyNumberFormat="1" applyFont="1" applyAlignment="1">
      <alignment wrapText="1"/>
    </xf>
    <xf numFmtId="15" fontId="0" fillId="0" borderId="0" xfId="0" quotePrefix="1" applyNumberFormat="1"/>
    <xf numFmtId="15" fontId="6" fillId="0" borderId="0" xfId="0" applyNumberFormat="1" applyFont="1"/>
    <xf numFmtId="15" fontId="6" fillId="0" borderId="0" xfId="0" quotePrefix="1" applyNumberFormat="1" applyFont="1"/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</cellXfs>
  <cellStyles count="9">
    <cellStyle name="Comma" xfId="6" builtinId="3"/>
    <cellStyle name="Normal" xfId="0" builtinId="0"/>
    <cellStyle name="Normal 2" xfId="1" xr:uid="{47C235B0-3317-4E08-802F-F6CDB74A006B}"/>
    <cellStyle name="Normal 3" xfId="2" xr:uid="{86A9B00B-22FA-4ADB-BFAC-593B29A9090F}"/>
    <cellStyle name="Normal 4" xfId="5" xr:uid="{D936A26F-3D50-4525-894B-DA96BC5563E0}"/>
    <cellStyle name="Per cent" xfId="7" builtinId="5"/>
    <cellStyle name="Standard 5" xfId="8" xr:uid="{A7898A82-9CD7-448D-BB43-EE217143A819}"/>
    <cellStyle name="TR_InputData" xfId="3" xr:uid="{F13B2436-10D8-4CCC-9E9A-AB5C999ABDAB}"/>
    <cellStyle name="TR_Title1" xfId="4" xr:uid="{9B73CB47-84E4-4D26-AD4B-F710291B9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'EBs List'!#REF!</c:f>
            </c:numRef>
          </c:xVal>
          <c:yVal>
            <c:numRef>
              <c:f>'EBs List'!#REF!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'EBs List'!#REF!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0EFA-461A-B537-A7C248162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10799"/>
        <c:axId val="672896095"/>
      </c:scatterChart>
      <c:valAx>
        <c:axId val="677410799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Bond Coupon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896095"/>
        <c:crosses val="autoZero"/>
        <c:crossBetween val="midCat"/>
      </c:valAx>
      <c:valAx>
        <c:axId val="6728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Consent Shares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1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'EBs List'!$E$119</c:f>
              <c:strCache>
                <c:ptCount val="1"/>
                <c:pt idx="0">
                  <c:v>NPV of Old Bond at Average Exit Yield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211A163-6A7E-2E4E-8816-3ED6236F028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860-4D93-BF81-4309E0AADE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2D5FAB-BAA5-BF4C-A63D-2E5181163B9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860-4D93-BF81-4309E0AADE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982032-C8F3-4C4D-AABF-01EB6208C85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860-4D93-BF81-4309E0AADE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761E1C0-4586-5642-9A04-25058D241F6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860-4D93-BF81-4309E0AADE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D94AFC-AEBE-B243-BD4D-54BE14595B1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860-4D93-BF81-4309E0AADE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E07C3C-2542-9247-AC5E-E889078F26C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860-4D93-BF81-4309E0AADE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4851881-CA86-984C-849E-3C34930632D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860-4D93-BF81-4309E0AADE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4110A18-E332-F84C-9990-257E7117264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860-4D93-BF81-4309E0AADE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6711AB-4369-8D40-9F31-837573DF858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860-4D93-BF81-4309E0AADE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'EBs List'!#REF!</c:f>
            </c:numRef>
          </c:xVal>
          <c:yVal>
            <c:numRef>
              <c:f>'EBs List'!$E$120:$E$128</c:f>
              <c:numCache>
                <c:formatCode>General</c:formatCode>
                <c:ptCount val="9"/>
                <c:pt idx="0">
                  <c:v>0.62022250758969499</c:v>
                </c:pt>
                <c:pt idx="1">
                  <c:v>0.63875130702327554</c:v>
                </c:pt>
                <c:pt idx="2">
                  <c:v>0.64490939770475364</c:v>
                </c:pt>
                <c:pt idx="3">
                  <c:v>0.6088923045026351</c:v>
                </c:pt>
                <c:pt idx="4">
                  <c:v>0.60698901291848995</c:v>
                </c:pt>
                <c:pt idx="5">
                  <c:v>0.62463011683276881</c:v>
                </c:pt>
                <c:pt idx="6">
                  <c:v>0.67516416569778015</c:v>
                </c:pt>
                <c:pt idx="7">
                  <c:v>0.57661478254476217</c:v>
                </c:pt>
                <c:pt idx="8">
                  <c:v>0.5972030587126721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'EBs List'!$B$120:$B$128</c15:f>
                <c15:dlblRangeCache>
                  <c:ptCount val="9"/>
                  <c:pt idx="0">
                    <c:v>10.75 | 2022</c:v>
                  </c:pt>
                  <c:pt idx="1">
                    <c:v>8.75 | 2023</c:v>
                  </c:pt>
                  <c:pt idx="2">
                    <c:v>7.88 | 2025</c:v>
                  </c:pt>
                  <c:pt idx="3">
                    <c:v>9.65 | 2026</c:v>
                  </c:pt>
                  <c:pt idx="4">
                    <c:v>9.63 | 2027</c:v>
                  </c:pt>
                  <c:pt idx="5">
                    <c:v>8.88 | 2027</c:v>
                  </c:pt>
                  <c:pt idx="6">
                    <c:v>7.88 | 2028</c:v>
                  </c:pt>
                  <c:pt idx="7">
                    <c:v>10.75 | 2029</c:v>
                  </c:pt>
                  <c:pt idx="8">
                    <c:v>9.5 | 2030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1860-4D93-BF81-4309E0AAD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245023"/>
        <c:axId val="1080791327"/>
      </c:scatterChart>
      <c:valAx>
        <c:axId val="1105245023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Bond Coupon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1327"/>
        <c:crosses val="autoZero"/>
        <c:crossBetween val="midCat"/>
      </c:valAx>
      <c:valAx>
        <c:axId val="10807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SZ Recovery</a:t>
                </a:r>
                <a:r>
                  <a:rPr lang="en-GB" baseline="0"/>
                  <a:t>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4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'Exchange Offer &amp; Results'!#REF!</c:f>
            </c:numRef>
          </c:xVal>
          <c:yVal>
            <c:numRef>
              <c:f>'Exchange Offer &amp; 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'Exchange Offer &amp; Results'!#REF!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4147-3647-936A-88655B10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10799"/>
        <c:axId val="672896095"/>
      </c:scatterChart>
      <c:valAx>
        <c:axId val="677410799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Bond Coupon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896095"/>
        <c:crosses val="autoZero"/>
        <c:crossBetween val="midCat"/>
      </c:valAx>
      <c:valAx>
        <c:axId val="6728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Consent Shares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1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'Exchange Offer &amp; Results'!#REF!</c:f>
            </c:numRef>
          </c:xVal>
          <c:yVal>
            <c:numRef>
              <c:f>'Exchange Offer &amp; 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'Exchange Offer &amp; Results'!#REF!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E928-D448-A13E-0E3E58408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245023"/>
        <c:axId val="1080791327"/>
      </c:scatterChart>
      <c:valAx>
        <c:axId val="1105245023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Bond Coupon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1327"/>
        <c:crosses val="autoZero"/>
        <c:crossBetween val="midCat"/>
      </c:valAx>
      <c:valAx>
        <c:axId val="10807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SZ Recovery</a:t>
                </a:r>
                <a:r>
                  <a:rPr lang="en-GB" baseline="0"/>
                  <a:t>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4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112</xdr:row>
      <xdr:rowOff>37912</xdr:rowOff>
    </xdr:from>
    <xdr:to>
      <xdr:col>15</xdr:col>
      <xdr:colOff>0</xdr:colOff>
      <xdr:row>127</xdr:row>
      <xdr:rowOff>88526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6159F4-AD3E-4CA5-9EFC-D06C851AB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128</xdr:row>
      <xdr:rowOff>82737</xdr:rowOff>
    </xdr:from>
    <xdr:to>
      <xdr:col>15</xdr:col>
      <xdr:colOff>0</xdr:colOff>
      <xdr:row>143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BE4792-5C4A-4518-8790-548525A80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114</xdr:row>
      <xdr:rowOff>37912</xdr:rowOff>
    </xdr:from>
    <xdr:to>
      <xdr:col>13</xdr:col>
      <xdr:colOff>0</xdr:colOff>
      <xdr:row>129</xdr:row>
      <xdr:rowOff>88526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2E454-2B22-5244-8A64-95A1BF8BF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130</xdr:row>
      <xdr:rowOff>82737</xdr:rowOff>
    </xdr:from>
    <xdr:to>
      <xdr:col>13</xdr:col>
      <xdr:colOff>0</xdr:colOff>
      <xdr:row>145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3043D1-0E9B-F94E-A4C5-33D228D82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E86723-D557-4CF9-8703-7E4E021FBF48}">
  <we:reference id="wa200000565" version="1.0.0.79" store="en-US" storeType="OMEX"/>
  <we:alternateReferences>
    <we:reference id="WA200000565" version="1.0.0.79" store="WA200000565" storeType="OMEX"/>
  </we:alternateReferences>
  <we:properties>
    <we:property name="userSettings_GEDTC-904487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true,\&quot;headerPosition\&quot;:\&quot;Column\&quot;},\&quot;commonUserFundamentalsType\&quot;:\&quot;PLATFORM_DEFAULT\&quot;,\&quot;pauseMode\&quot;:fals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D88B-435E-EE4D-A390-C7628849F692}">
  <dimension ref="A1:B19"/>
  <sheetViews>
    <sheetView showGridLines="0" tabSelected="1" workbookViewId="0"/>
  </sheetViews>
  <sheetFormatPr baseColWidth="10" defaultRowHeight="15" x14ac:dyDescent="0.2"/>
  <cols>
    <col min="1" max="1" width="20.6640625" customWidth="1"/>
  </cols>
  <sheetData>
    <row r="1" spans="1:2" x14ac:dyDescent="0.2">
      <c r="A1" t="s">
        <v>131</v>
      </c>
    </row>
    <row r="2" spans="1:2" x14ac:dyDescent="0.2">
      <c r="A2" s="9" t="s">
        <v>132</v>
      </c>
    </row>
    <row r="3" spans="1:2" x14ac:dyDescent="0.2">
      <c r="A3" s="70" t="s">
        <v>133</v>
      </c>
    </row>
    <row r="5" spans="1:2" x14ac:dyDescent="0.2">
      <c r="A5" s="10" t="s">
        <v>134</v>
      </c>
    </row>
    <row r="6" spans="1:2" x14ac:dyDescent="0.2">
      <c r="A6" t="s">
        <v>135</v>
      </c>
      <c r="B6" t="s">
        <v>71</v>
      </c>
    </row>
    <row r="7" spans="1:2" x14ac:dyDescent="0.2">
      <c r="A7" t="s">
        <v>136</v>
      </c>
      <c r="B7" t="s">
        <v>84</v>
      </c>
    </row>
    <row r="8" spans="1:2" x14ac:dyDescent="0.2">
      <c r="A8" t="s">
        <v>137</v>
      </c>
      <c r="B8" t="s">
        <v>138</v>
      </c>
    </row>
    <row r="9" spans="1:2" x14ac:dyDescent="0.2">
      <c r="A9" t="s">
        <v>139</v>
      </c>
      <c r="B9" t="s">
        <v>140</v>
      </c>
    </row>
    <row r="10" spans="1:2" x14ac:dyDescent="0.2">
      <c r="A10" t="s">
        <v>141</v>
      </c>
      <c r="B10" t="s">
        <v>142</v>
      </c>
    </row>
    <row r="11" spans="1:2" x14ac:dyDescent="0.2">
      <c r="A11" t="s">
        <v>153</v>
      </c>
      <c r="B11" t="s">
        <v>154</v>
      </c>
    </row>
    <row r="13" spans="1:2" x14ac:dyDescent="0.2">
      <c r="A13" s="10" t="s">
        <v>143</v>
      </c>
      <c r="B13" s="10" t="s">
        <v>144</v>
      </c>
    </row>
    <row r="14" spans="1:2" x14ac:dyDescent="0.2">
      <c r="A14" t="s">
        <v>145</v>
      </c>
      <c r="B14" t="s">
        <v>155</v>
      </c>
    </row>
    <row r="15" spans="1:2" x14ac:dyDescent="0.2">
      <c r="A15" t="s">
        <v>146</v>
      </c>
      <c r="B15" t="s">
        <v>147</v>
      </c>
    </row>
    <row r="16" spans="1:2" x14ac:dyDescent="0.2">
      <c r="A16" t="s">
        <v>156</v>
      </c>
      <c r="B16" t="s">
        <v>157</v>
      </c>
    </row>
    <row r="17" spans="1:2" x14ac:dyDescent="0.2">
      <c r="A17" t="s">
        <v>149</v>
      </c>
      <c r="B17" t="s">
        <v>150</v>
      </c>
    </row>
    <row r="18" spans="1:2" x14ac:dyDescent="0.2">
      <c r="A18" t="s">
        <v>151</v>
      </c>
      <c r="B18" t="s">
        <v>152</v>
      </c>
    </row>
    <row r="19" spans="1:2" x14ac:dyDescent="0.2">
      <c r="A19" t="s">
        <v>158</v>
      </c>
      <c r="B19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4ACB-C753-4BF8-BD64-43B20B3897A9}">
  <dimension ref="A1:V128"/>
  <sheetViews>
    <sheetView showGridLines="0" zoomScaleNormal="100" workbookViewId="0"/>
  </sheetViews>
  <sheetFormatPr baseColWidth="10" defaultColWidth="8.83203125" defaultRowHeight="15" x14ac:dyDescent="0.2"/>
  <cols>
    <col min="1" max="1" width="17.1640625" customWidth="1"/>
    <col min="2" max="2" width="37.6640625" bestFit="1" customWidth="1"/>
    <col min="3" max="3" width="15.5" customWidth="1"/>
    <col min="4" max="4" width="14.5" customWidth="1"/>
    <col min="5" max="5" width="15.83203125" customWidth="1"/>
    <col min="6" max="6" width="15.5" customWidth="1"/>
    <col min="7" max="7" width="13" customWidth="1"/>
    <col min="8" max="10" width="13.5" customWidth="1"/>
    <col min="11" max="11" width="17.5" customWidth="1"/>
    <col min="12" max="12" width="18.5" customWidth="1"/>
    <col min="13" max="13" width="8.6640625" customWidth="1"/>
    <col min="14" max="14" width="12" customWidth="1"/>
    <col min="15" max="15" width="11.6640625" customWidth="1"/>
    <col min="16" max="16" width="10" bestFit="1" customWidth="1"/>
    <col min="17" max="17" width="10" customWidth="1"/>
    <col min="18" max="18" width="11.6640625" customWidth="1"/>
  </cols>
  <sheetData>
    <row r="1" spans="1:22" ht="32" x14ac:dyDescent="0.2">
      <c r="A1" s="28" t="s">
        <v>85</v>
      </c>
      <c r="B1" s="28" t="s">
        <v>121</v>
      </c>
      <c r="C1" s="28" t="s">
        <v>2</v>
      </c>
      <c r="D1" s="28" t="s">
        <v>118</v>
      </c>
      <c r="E1" s="28" t="s">
        <v>119</v>
      </c>
      <c r="F1" s="28" t="s">
        <v>93</v>
      </c>
      <c r="G1" s="28" t="s">
        <v>1</v>
      </c>
      <c r="H1" s="28" t="s">
        <v>3</v>
      </c>
      <c r="I1" s="62" t="s">
        <v>120</v>
      </c>
      <c r="J1" s="62" t="s">
        <v>102</v>
      </c>
      <c r="K1" s="62"/>
      <c r="L1" s="62"/>
      <c r="M1" s="62"/>
      <c r="O1" s="28"/>
      <c r="P1" s="28"/>
      <c r="Q1" s="28"/>
      <c r="R1" s="28"/>
      <c r="S1" s="28"/>
      <c r="T1" s="28"/>
      <c r="U1" s="28"/>
      <c r="V1" s="28"/>
    </row>
    <row r="2" spans="1:22" x14ac:dyDescent="0.2">
      <c r="A2" s="3" t="str">
        <f>"USD "&amp;YEAR(H2)</f>
        <v>USD 2022</v>
      </c>
      <c r="B2" s="3" t="s">
        <v>0</v>
      </c>
      <c r="C2" s="120">
        <v>42579</v>
      </c>
      <c r="D2" s="40" t="s">
        <v>22</v>
      </c>
      <c r="E2" s="27" t="s">
        <v>23</v>
      </c>
      <c r="F2" s="59">
        <v>0.1075</v>
      </c>
      <c r="G2" s="40" t="s">
        <v>122</v>
      </c>
      <c r="H2" s="120">
        <v>44648</v>
      </c>
      <c r="I2" s="63">
        <v>2000000000</v>
      </c>
      <c r="J2" s="67">
        <v>0</v>
      </c>
      <c r="K2" s="64"/>
      <c r="L2" s="65"/>
      <c r="M2" s="66"/>
      <c r="O2" s="2"/>
      <c r="P2" s="2"/>
      <c r="Q2" s="2"/>
      <c r="R2" s="2"/>
      <c r="S2" s="2"/>
      <c r="T2" s="2"/>
      <c r="U2" s="25"/>
      <c r="V2" s="2"/>
    </row>
    <row r="3" spans="1:22" x14ac:dyDescent="0.2">
      <c r="A3" s="3" t="str">
        <f>"USD "&amp;YEAR(H3)</f>
        <v>USD 2023</v>
      </c>
      <c r="B3" s="3" t="s">
        <v>4</v>
      </c>
      <c r="C3" s="120">
        <v>42888</v>
      </c>
      <c r="D3" s="40" t="s">
        <v>24</v>
      </c>
      <c r="E3" s="27" t="s">
        <v>25</v>
      </c>
      <c r="F3" s="59">
        <v>8.7499999999999994E-2</v>
      </c>
      <c r="G3" s="40" t="s">
        <v>122</v>
      </c>
      <c r="H3" s="120">
        <v>45079</v>
      </c>
      <c r="I3" s="63">
        <v>1000000000</v>
      </c>
      <c r="J3" s="67">
        <v>0</v>
      </c>
      <c r="K3" s="64"/>
      <c r="L3" s="65"/>
      <c r="M3" s="66"/>
      <c r="O3" s="2"/>
      <c r="P3" s="2"/>
      <c r="Q3" s="2"/>
      <c r="R3" s="2"/>
      <c r="S3" s="2"/>
      <c r="T3" s="2"/>
      <c r="U3" s="25"/>
      <c r="V3" s="2"/>
    </row>
    <row r="4" spans="1:22" x14ac:dyDescent="0.2">
      <c r="A4" s="3" t="str">
        <f>"USD "&amp;YEAR(H4)</f>
        <v>USD 2024</v>
      </c>
      <c r="B4" s="3" t="s">
        <v>5</v>
      </c>
      <c r="C4" s="120">
        <v>41810</v>
      </c>
      <c r="D4" s="40" t="s">
        <v>26</v>
      </c>
      <c r="E4" s="27" t="s">
        <v>27</v>
      </c>
      <c r="F4" s="59">
        <v>7.9500000000000001E-2</v>
      </c>
      <c r="G4" s="40" t="s">
        <v>122</v>
      </c>
      <c r="H4" s="120">
        <v>45463</v>
      </c>
      <c r="I4" s="63">
        <v>2000000000</v>
      </c>
      <c r="J4" s="67">
        <v>105027000</v>
      </c>
      <c r="K4" s="64"/>
      <c r="L4" s="65"/>
      <c r="M4" s="66"/>
      <c r="O4" s="2"/>
      <c r="P4" s="2"/>
      <c r="Q4" s="2"/>
      <c r="R4" s="2"/>
      <c r="S4" s="2"/>
      <c r="T4" s="2"/>
      <c r="U4" s="25"/>
      <c r="V4" s="2"/>
    </row>
    <row r="5" spans="1:22" x14ac:dyDescent="0.2">
      <c r="A5" s="3" t="str">
        <f>"USD "&amp;YEAR(H5)</f>
        <v>USD 2025</v>
      </c>
      <c r="B5" s="3" t="s">
        <v>6</v>
      </c>
      <c r="C5" s="120">
        <v>43735</v>
      </c>
      <c r="D5" s="40" t="s">
        <v>28</v>
      </c>
      <c r="E5" s="27" t="s">
        <v>29</v>
      </c>
      <c r="F5" s="59">
        <v>7.8750000000000001E-2</v>
      </c>
      <c r="G5" s="40" t="s">
        <v>122</v>
      </c>
      <c r="H5" s="120">
        <v>45743</v>
      </c>
      <c r="I5" s="63">
        <v>600000000</v>
      </c>
      <c r="J5" s="67">
        <v>0</v>
      </c>
      <c r="K5" s="64"/>
      <c r="L5" s="65"/>
      <c r="M5" s="66"/>
      <c r="O5" s="2"/>
      <c r="P5" s="2"/>
      <c r="Q5" s="2"/>
      <c r="R5" s="2"/>
      <c r="S5" s="2"/>
      <c r="T5" s="2"/>
      <c r="U5" s="25"/>
      <c r="V5" s="2"/>
    </row>
    <row r="6" spans="1:22" x14ac:dyDescent="0.2">
      <c r="A6" s="3" t="str">
        <f>"USD "&amp;YEAR(H6)</f>
        <v>USD 2026</v>
      </c>
      <c r="B6" s="3" t="s">
        <v>7</v>
      </c>
      <c r="C6" s="120">
        <v>42717</v>
      </c>
      <c r="D6" s="40" t="s">
        <v>30</v>
      </c>
      <c r="E6" s="27" t="s">
        <v>31</v>
      </c>
      <c r="F6" s="59">
        <v>9.6500000000000002E-2</v>
      </c>
      <c r="G6" s="40" t="s">
        <v>122</v>
      </c>
      <c r="H6" s="120">
        <v>46369</v>
      </c>
      <c r="I6" s="63">
        <v>1750000000</v>
      </c>
      <c r="J6" s="67">
        <v>11750000</v>
      </c>
      <c r="K6" s="64"/>
      <c r="L6" s="65"/>
      <c r="M6" s="66"/>
      <c r="O6" s="2"/>
      <c r="P6" s="2"/>
      <c r="Q6" s="2"/>
      <c r="R6" s="2"/>
      <c r="S6" s="2"/>
      <c r="T6" s="2"/>
      <c r="U6" s="25"/>
      <c r="V6" s="2"/>
    </row>
    <row r="7" spans="1:22" x14ac:dyDescent="0.2">
      <c r="A7" s="3" t="s">
        <v>100</v>
      </c>
      <c r="B7" s="3" t="s">
        <v>8</v>
      </c>
      <c r="C7" s="120">
        <v>42888</v>
      </c>
      <c r="D7" s="40" t="s">
        <v>32</v>
      </c>
      <c r="E7" s="27" t="s">
        <v>33</v>
      </c>
      <c r="F7" s="59">
        <v>9.6250000000000002E-2</v>
      </c>
      <c r="G7" s="40" t="s">
        <v>122</v>
      </c>
      <c r="H7" s="120">
        <v>46540</v>
      </c>
      <c r="I7" s="63">
        <v>1000000000</v>
      </c>
      <c r="J7" s="67">
        <v>0</v>
      </c>
      <c r="K7" s="64"/>
      <c r="L7" s="65"/>
      <c r="M7" s="66"/>
      <c r="O7" s="2"/>
      <c r="P7" s="2"/>
      <c r="Q7" s="2"/>
      <c r="R7" s="2"/>
      <c r="S7" s="2"/>
      <c r="T7" s="2"/>
      <c r="U7" s="25"/>
      <c r="V7" s="2"/>
    </row>
    <row r="8" spans="1:22" x14ac:dyDescent="0.2">
      <c r="A8" s="3" t="s">
        <v>101</v>
      </c>
      <c r="B8" s="3" t="s">
        <v>9</v>
      </c>
      <c r="C8" s="120">
        <v>43031</v>
      </c>
      <c r="D8" s="40" t="s">
        <v>34</v>
      </c>
      <c r="E8" s="27" t="s">
        <v>35</v>
      </c>
      <c r="F8" s="59">
        <v>8.8749999999999996E-2</v>
      </c>
      <c r="G8" s="40" t="s">
        <v>122</v>
      </c>
      <c r="H8" s="120">
        <v>46683</v>
      </c>
      <c r="I8" s="63">
        <v>2500000000</v>
      </c>
      <c r="J8" s="67">
        <v>0</v>
      </c>
      <c r="K8" s="64"/>
      <c r="L8" s="65"/>
      <c r="M8" s="66"/>
      <c r="O8" s="2"/>
      <c r="P8" s="2"/>
      <c r="Q8" s="2"/>
      <c r="R8" s="2"/>
      <c r="S8" s="2"/>
      <c r="T8" s="2"/>
      <c r="U8" s="25"/>
      <c r="V8" s="2"/>
    </row>
    <row r="9" spans="1:22" x14ac:dyDescent="0.2">
      <c r="A9" s="3" t="str">
        <f>"USD "&amp;YEAR(H9)</f>
        <v>USD 2028</v>
      </c>
      <c r="B9" s="3" t="s">
        <v>10</v>
      </c>
      <c r="C9" s="120">
        <v>43123</v>
      </c>
      <c r="D9" s="40" t="s">
        <v>36</v>
      </c>
      <c r="E9" s="27" t="s">
        <v>37</v>
      </c>
      <c r="F9" s="59">
        <v>7.8750000000000001E-2</v>
      </c>
      <c r="G9" s="40" t="s">
        <v>122</v>
      </c>
      <c r="H9" s="120">
        <v>46775</v>
      </c>
      <c r="I9" s="63">
        <v>3000000000</v>
      </c>
      <c r="J9" s="67">
        <v>26000000</v>
      </c>
      <c r="K9" s="64"/>
      <c r="L9" s="65"/>
      <c r="M9" s="66"/>
      <c r="O9" s="2"/>
      <c r="P9" s="2"/>
      <c r="Q9" s="2"/>
      <c r="R9" s="2"/>
      <c r="S9" s="2"/>
      <c r="T9" s="2"/>
      <c r="U9" s="25"/>
      <c r="V9" s="2"/>
    </row>
    <row r="10" spans="1:22" x14ac:dyDescent="0.2">
      <c r="A10" s="3" t="str">
        <f>"USD "&amp;YEAR(H10)</f>
        <v>USD 2029</v>
      </c>
      <c r="B10" s="3" t="s">
        <v>11</v>
      </c>
      <c r="C10" s="120">
        <v>43496</v>
      </c>
      <c r="D10" s="40" t="s">
        <v>38</v>
      </c>
      <c r="E10" s="27" t="s">
        <v>39</v>
      </c>
      <c r="F10" s="59">
        <v>0.1075</v>
      </c>
      <c r="G10" s="40" t="s">
        <v>122</v>
      </c>
      <c r="H10" s="120">
        <v>47149</v>
      </c>
      <c r="I10" s="63">
        <v>2125000000</v>
      </c>
      <c r="J10" s="67">
        <v>19000000</v>
      </c>
      <c r="K10" s="64"/>
      <c r="L10" s="65"/>
      <c r="M10" s="66"/>
      <c r="O10" s="2"/>
      <c r="P10" s="2"/>
      <c r="Q10" s="2"/>
      <c r="R10" s="2"/>
      <c r="S10" s="2"/>
      <c r="T10" s="2"/>
      <c r="U10" s="25"/>
      <c r="V10" s="2"/>
    </row>
    <row r="11" spans="1:22" x14ac:dyDescent="0.2">
      <c r="A11" s="3" t="str">
        <f>"USD "&amp;YEAR(H11)</f>
        <v>USD 2030</v>
      </c>
      <c r="B11" s="3" t="s">
        <v>12</v>
      </c>
      <c r="C11" s="120">
        <v>43735</v>
      </c>
      <c r="D11" s="40" t="s">
        <v>40</v>
      </c>
      <c r="E11" s="27" t="s">
        <v>41</v>
      </c>
      <c r="F11" s="59">
        <v>9.5000000000000001E-2</v>
      </c>
      <c r="G11" s="40" t="s">
        <v>122</v>
      </c>
      <c r="H11" s="120">
        <v>47569</v>
      </c>
      <c r="I11" s="63">
        <v>1400000000</v>
      </c>
      <c r="J11" s="67">
        <v>0</v>
      </c>
      <c r="K11" s="64"/>
      <c r="L11" s="65"/>
      <c r="M11" s="66"/>
      <c r="O11" s="2"/>
      <c r="P11" s="2"/>
      <c r="Q11" s="2"/>
      <c r="R11" s="2"/>
      <c r="S11" s="2"/>
      <c r="T11" s="2"/>
      <c r="U11" s="25"/>
      <c r="V11" s="2"/>
    </row>
    <row r="12" spans="1:22" x14ac:dyDescent="0.2">
      <c r="A12" s="51"/>
      <c r="B12" s="51"/>
      <c r="C12" s="3"/>
      <c r="F12" s="3"/>
      <c r="G12" s="3"/>
      <c r="H12" s="3"/>
      <c r="I12" s="68"/>
      <c r="J12" s="61"/>
      <c r="K12" s="61"/>
      <c r="L12" s="61"/>
      <c r="M12" s="61"/>
      <c r="N12" s="61"/>
    </row>
    <row r="14" spans="1:22" x14ac:dyDescent="0.2">
      <c r="O14" s="7"/>
      <c r="P14" s="7"/>
      <c r="Q14" s="7"/>
      <c r="R14" s="7"/>
      <c r="S14" s="7"/>
      <c r="T14" s="7"/>
    </row>
    <row r="15" spans="1:22" x14ac:dyDescent="0.2">
      <c r="H15" s="60"/>
      <c r="O15" s="7"/>
      <c r="P15" s="7"/>
      <c r="Q15" s="7"/>
      <c r="R15" s="7"/>
      <c r="S15" s="7"/>
      <c r="T15" s="7"/>
    </row>
    <row r="16" spans="1:22" x14ac:dyDescent="0.2">
      <c r="H16" s="1"/>
      <c r="O16" s="2"/>
    </row>
    <row r="17" spans="3:15" x14ac:dyDescent="0.2">
      <c r="O17" s="2"/>
    </row>
    <row r="18" spans="3:15" x14ac:dyDescent="0.2">
      <c r="E18" s="16"/>
      <c r="H18" s="1"/>
    </row>
    <row r="19" spans="3:15" x14ac:dyDescent="0.2">
      <c r="D19" s="10"/>
      <c r="H19" s="1"/>
    </row>
    <row r="23" spans="3:15" x14ac:dyDescent="0.2">
      <c r="C23" s="16"/>
    </row>
    <row r="24" spans="3:15" x14ac:dyDescent="0.2">
      <c r="C24" s="16"/>
    </row>
    <row r="31" spans="3:15" x14ac:dyDescent="0.2">
      <c r="C31" s="1"/>
      <c r="F31" s="27"/>
      <c r="H31" s="1"/>
    </row>
    <row r="32" spans="3:15" x14ac:dyDescent="0.2">
      <c r="F32" s="27"/>
      <c r="J32" s="15"/>
    </row>
    <row r="33" spans="3:10" x14ac:dyDescent="0.2">
      <c r="D33" s="15"/>
      <c r="E33" s="2"/>
      <c r="F33" s="27"/>
    </row>
    <row r="34" spans="3:10" x14ac:dyDescent="0.2">
      <c r="C34" s="1"/>
      <c r="D34" s="15"/>
      <c r="E34" s="2"/>
      <c r="F34" s="27"/>
      <c r="H34" s="1"/>
    </row>
    <row r="35" spans="3:10" x14ac:dyDescent="0.2">
      <c r="D35" s="15"/>
      <c r="E35" s="2"/>
      <c r="F35" s="27"/>
      <c r="J35" s="1"/>
    </row>
    <row r="36" spans="3:10" x14ac:dyDescent="0.2">
      <c r="D36" s="15"/>
      <c r="E36" s="2"/>
      <c r="F36" s="27"/>
    </row>
    <row r="37" spans="3:10" x14ac:dyDescent="0.2">
      <c r="C37" s="1"/>
      <c r="D37" s="1"/>
      <c r="E37" s="1"/>
      <c r="F37" s="27"/>
      <c r="H37" s="1"/>
    </row>
    <row r="38" spans="3:10" x14ac:dyDescent="0.2">
      <c r="D38" s="12"/>
      <c r="E38" s="12"/>
      <c r="F38" s="27"/>
      <c r="J38" s="1"/>
    </row>
    <row r="39" spans="3:10" x14ac:dyDescent="0.2">
      <c r="D39" s="15"/>
      <c r="E39" s="2"/>
      <c r="F39" s="27"/>
    </row>
    <row r="40" spans="3:10" x14ac:dyDescent="0.2">
      <c r="F40" s="27"/>
    </row>
    <row r="41" spans="3:10" x14ac:dyDescent="0.2">
      <c r="D41" s="2"/>
      <c r="E41" s="2"/>
      <c r="F41" s="27"/>
      <c r="J41" s="15"/>
    </row>
    <row r="42" spans="3:10" x14ac:dyDescent="0.2">
      <c r="C42" s="4"/>
      <c r="D42" s="2"/>
      <c r="E42" s="2"/>
    </row>
    <row r="46" spans="3:10" x14ac:dyDescent="0.2">
      <c r="D46" s="12"/>
      <c r="E46" s="12"/>
    </row>
    <row r="47" spans="3:10" x14ac:dyDescent="0.2">
      <c r="D47" s="11"/>
      <c r="E47" s="11"/>
    </row>
    <row r="48" spans="3:10" x14ac:dyDescent="0.2">
      <c r="D48" s="11"/>
      <c r="E48" s="11"/>
    </row>
    <row r="49" spans="4:5" x14ac:dyDescent="0.2">
      <c r="D49" s="11"/>
      <c r="E49" s="11"/>
    </row>
    <row r="50" spans="4:5" x14ac:dyDescent="0.2">
      <c r="D50" s="11"/>
      <c r="E50" s="11"/>
    </row>
    <row r="51" spans="4:5" x14ac:dyDescent="0.2">
      <c r="D51" s="11"/>
      <c r="E51" s="11"/>
    </row>
    <row r="52" spans="4:5" x14ac:dyDescent="0.2">
      <c r="D52" s="11"/>
      <c r="E52" s="11"/>
    </row>
    <row r="53" spans="4:5" x14ac:dyDescent="0.2">
      <c r="D53" s="11"/>
      <c r="E53" s="11"/>
    </row>
    <row r="54" spans="4:5" x14ac:dyDescent="0.2">
      <c r="D54" s="11"/>
      <c r="E54" s="11"/>
    </row>
    <row r="55" spans="4:5" x14ac:dyDescent="0.2">
      <c r="D55" s="11"/>
      <c r="E55" s="11"/>
    </row>
    <row r="56" spans="4:5" x14ac:dyDescent="0.2">
      <c r="D56" s="11"/>
      <c r="E56" s="11"/>
    </row>
    <row r="59" spans="4:5" x14ac:dyDescent="0.2">
      <c r="D59" s="12"/>
      <c r="E59" s="12"/>
    </row>
    <row r="60" spans="4:5" x14ac:dyDescent="0.2">
      <c r="D60" s="11"/>
      <c r="E60" s="11"/>
    </row>
    <row r="61" spans="4:5" x14ac:dyDescent="0.2">
      <c r="D61" s="11"/>
      <c r="E61" s="11"/>
    </row>
    <row r="62" spans="4:5" x14ac:dyDescent="0.2">
      <c r="D62" s="11"/>
      <c r="E62" s="11"/>
    </row>
    <row r="63" spans="4:5" x14ac:dyDescent="0.2">
      <c r="D63" s="11"/>
      <c r="E63" s="11"/>
    </row>
    <row r="64" spans="4:5" x14ac:dyDescent="0.2">
      <c r="D64" s="11"/>
      <c r="E64" s="11"/>
    </row>
    <row r="65" spans="4:5" x14ac:dyDescent="0.2">
      <c r="D65" s="11"/>
      <c r="E65" s="11"/>
    </row>
    <row r="66" spans="4:5" x14ac:dyDescent="0.2">
      <c r="D66" s="11"/>
      <c r="E66" s="11"/>
    </row>
    <row r="67" spans="4:5" x14ac:dyDescent="0.2">
      <c r="D67" s="11"/>
      <c r="E67" s="11"/>
    </row>
    <row r="68" spans="4:5" x14ac:dyDescent="0.2">
      <c r="D68" s="11"/>
      <c r="E68" s="11"/>
    </row>
    <row r="85" spans="1:9" x14ac:dyDescent="0.2">
      <c r="A85" s="13"/>
      <c r="B85" s="13"/>
      <c r="C85" s="13"/>
      <c r="D85" s="11"/>
      <c r="E85" s="11"/>
      <c r="F85" s="13"/>
      <c r="G85" s="13"/>
      <c r="H85" s="13"/>
      <c r="I85" s="13"/>
    </row>
    <row r="86" spans="1:9" x14ac:dyDescent="0.2">
      <c r="A86" s="13"/>
      <c r="B86" s="13"/>
      <c r="C86" s="13"/>
      <c r="D86" s="11"/>
      <c r="E86" s="11"/>
      <c r="F86" s="13"/>
      <c r="G86" s="13"/>
      <c r="H86" s="13"/>
      <c r="I86" s="13"/>
    </row>
    <row r="87" spans="1:9" x14ac:dyDescent="0.2">
      <c r="A87" s="13"/>
      <c r="B87" s="13"/>
      <c r="C87" s="13"/>
      <c r="D87" s="11"/>
      <c r="E87" s="11"/>
      <c r="F87" s="13"/>
      <c r="G87" s="13"/>
      <c r="H87" s="13"/>
      <c r="I87" s="13"/>
    </row>
    <row r="88" spans="1:9" x14ac:dyDescent="0.2">
      <c r="A88" s="13"/>
      <c r="B88" s="13"/>
      <c r="C88" s="13"/>
      <c r="D88" s="11"/>
      <c r="E88" s="11"/>
      <c r="F88" s="13"/>
      <c r="G88" s="13"/>
      <c r="H88" s="13"/>
      <c r="I88" s="13"/>
    </row>
    <row r="89" spans="1:9" x14ac:dyDescent="0.2">
      <c r="A89" s="13"/>
      <c r="B89" s="13"/>
      <c r="C89" s="13"/>
      <c r="D89" s="11"/>
      <c r="E89" s="11"/>
      <c r="F89" s="13"/>
      <c r="G89" s="13"/>
      <c r="H89" s="13"/>
      <c r="I89" s="13"/>
    </row>
    <row r="90" spans="1:9" x14ac:dyDescent="0.2">
      <c r="A90" s="13"/>
      <c r="B90" s="13"/>
      <c r="C90" s="13"/>
      <c r="D90" s="11"/>
      <c r="E90" s="11"/>
      <c r="F90" s="13"/>
      <c r="G90" s="13"/>
      <c r="H90" s="13"/>
      <c r="I90" s="13"/>
    </row>
    <row r="91" spans="1:9" x14ac:dyDescent="0.2">
      <c r="A91" s="13"/>
      <c r="B91" s="13"/>
      <c r="C91" s="13"/>
      <c r="D91" s="11"/>
      <c r="E91" s="11"/>
      <c r="F91" s="13"/>
      <c r="G91" s="13"/>
      <c r="H91" s="13"/>
      <c r="I91" s="13"/>
    </row>
    <row r="119" spans="1:9" x14ac:dyDescent="0.2">
      <c r="D119" t="s">
        <v>82</v>
      </c>
      <c r="E119" t="s">
        <v>83</v>
      </c>
    </row>
    <row r="120" spans="1:9" x14ac:dyDescent="0.2">
      <c r="A120" s="13"/>
      <c r="B120" s="13" t="s">
        <v>72</v>
      </c>
      <c r="C120" s="13"/>
      <c r="D120">
        <v>0.62568323243367951</v>
      </c>
      <c r="E120">
        <v>0.62022250758969499</v>
      </c>
      <c r="F120" s="13"/>
      <c r="G120" s="13"/>
      <c r="H120" s="13"/>
      <c r="I120" s="13"/>
    </row>
    <row r="121" spans="1:9" x14ac:dyDescent="0.2">
      <c r="A121" s="13"/>
      <c r="B121" s="13" t="s">
        <v>73</v>
      </c>
      <c r="C121" s="13"/>
      <c r="D121">
        <v>0.64815109411674277</v>
      </c>
      <c r="E121">
        <v>0.63875130702327554</v>
      </c>
      <c r="F121" s="13"/>
      <c r="G121" s="13"/>
      <c r="H121" s="13"/>
      <c r="I121" s="13"/>
    </row>
    <row r="122" spans="1:9" x14ac:dyDescent="0.2">
      <c r="A122" s="13"/>
      <c r="B122" s="13" t="s">
        <v>74</v>
      </c>
      <c r="C122" s="13"/>
      <c r="D122">
        <v>0.65930932349633575</v>
      </c>
      <c r="E122">
        <v>0.64490939770475364</v>
      </c>
      <c r="F122" s="13"/>
      <c r="G122" s="13"/>
      <c r="H122" s="13"/>
      <c r="I122" s="13"/>
    </row>
    <row r="123" spans="1:9" x14ac:dyDescent="0.2">
      <c r="A123" s="13"/>
      <c r="B123" s="13" t="s">
        <v>75</v>
      </c>
      <c r="C123" s="13"/>
      <c r="D123">
        <v>0.62614711917532295</v>
      </c>
      <c r="E123">
        <v>0.6088923045026351</v>
      </c>
      <c r="F123" s="13"/>
      <c r="G123" s="13"/>
      <c r="H123" s="13"/>
      <c r="I123" s="13"/>
    </row>
    <row r="124" spans="1:9" x14ac:dyDescent="0.2">
      <c r="A124" s="13"/>
      <c r="B124" s="13" t="s">
        <v>76</v>
      </c>
      <c r="C124" s="13"/>
      <c r="D124">
        <v>0.62508634280919229</v>
      </c>
      <c r="E124">
        <v>0.60698901291848995</v>
      </c>
      <c r="F124" s="13"/>
      <c r="G124" s="13"/>
      <c r="H124" s="13"/>
      <c r="I124" s="13"/>
    </row>
    <row r="125" spans="1:9" x14ac:dyDescent="0.2">
      <c r="A125" s="13"/>
      <c r="B125" s="13" t="s">
        <v>77</v>
      </c>
      <c r="C125" s="13"/>
      <c r="D125">
        <v>0.64412815735340134</v>
      </c>
      <c r="E125">
        <v>0.62463011683276881</v>
      </c>
      <c r="F125" s="13"/>
      <c r="G125" s="13"/>
      <c r="H125" s="13"/>
      <c r="I125" s="13"/>
    </row>
    <row r="126" spans="1:9" x14ac:dyDescent="0.2">
      <c r="A126" s="13"/>
      <c r="B126" s="13" t="s">
        <v>78</v>
      </c>
      <c r="C126" s="13"/>
      <c r="D126">
        <v>0.69774114312862767</v>
      </c>
      <c r="E126">
        <v>0.67516416569778015</v>
      </c>
      <c r="F126" s="13"/>
      <c r="G126" s="13"/>
      <c r="H126" s="13"/>
      <c r="I126" s="13"/>
    </row>
    <row r="127" spans="1:9" x14ac:dyDescent="0.2">
      <c r="A127" s="13"/>
      <c r="B127" s="13" t="s">
        <v>79</v>
      </c>
      <c r="C127" s="13"/>
      <c r="D127">
        <v>0.59656454113000212</v>
      </c>
      <c r="E127">
        <v>0.57661478254476217</v>
      </c>
      <c r="F127" s="13"/>
      <c r="G127" s="13"/>
      <c r="H127" s="13"/>
      <c r="I127" s="13"/>
    </row>
    <row r="128" spans="1:9" x14ac:dyDescent="0.2">
      <c r="A128" s="13"/>
      <c r="B128" s="13" t="s">
        <v>80</v>
      </c>
      <c r="C128" s="13"/>
      <c r="D128">
        <v>0.61949120421389159</v>
      </c>
      <c r="E128">
        <v>0.5972030587126721</v>
      </c>
      <c r="F128" s="13"/>
      <c r="G128" s="13"/>
      <c r="H128" s="13"/>
      <c r="I128" s="1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2989-A41E-4A0C-BBCD-A798A410D40A}">
  <dimension ref="A1:Y64"/>
  <sheetViews>
    <sheetView showGridLines="0" zoomScale="90" zoomScaleNormal="90" workbookViewId="0"/>
  </sheetViews>
  <sheetFormatPr baseColWidth="10" defaultColWidth="8.83203125" defaultRowHeight="15" x14ac:dyDescent="0.2"/>
  <cols>
    <col min="1" max="1" width="16" bestFit="1" customWidth="1"/>
    <col min="2" max="2" width="30.5" bestFit="1" customWidth="1"/>
    <col min="3" max="3" width="15.1640625" customWidth="1"/>
    <col min="4" max="4" width="10.83203125" bestFit="1" customWidth="1"/>
    <col min="5" max="21" width="10.5" bestFit="1" customWidth="1"/>
  </cols>
  <sheetData>
    <row r="1" spans="1:25" x14ac:dyDescent="0.2">
      <c r="A1" s="29" t="s">
        <v>87</v>
      </c>
      <c r="B1" s="119">
        <f>'NBs List'!$E$1</f>
        <v>44081</v>
      </c>
    </row>
    <row r="2" spans="1:25" x14ac:dyDescent="0.2">
      <c r="A2" s="29" t="s">
        <v>88</v>
      </c>
      <c r="B2" s="30">
        <f>'NBs List'!F9/100</f>
        <v>9.7537112573411286E-2</v>
      </c>
    </row>
    <row r="4" spans="1:25" x14ac:dyDescent="0.2">
      <c r="A4" t="s">
        <v>21</v>
      </c>
      <c r="B4" t="s">
        <v>85</v>
      </c>
      <c r="D4" s="10" t="s">
        <v>81</v>
      </c>
    </row>
    <row r="5" spans="1:25" x14ac:dyDescent="0.2">
      <c r="A5" t="s">
        <v>22</v>
      </c>
      <c r="B5" s="20" t="str">
        <f>INDEX('EBs List'!$B$1:$M$11,MATCH(A5,'EBs List'!$D$1:$D$11,0),1)</f>
        <v>10.750% Notes due March 28, 2022</v>
      </c>
      <c r="C5" s="118">
        <v>43918</v>
      </c>
      <c r="D5" s="118">
        <v>44102</v>
      </c>
      <c r="E5" s="118">
        <v>44283</v>
      </c>
      <c r="F5" s="118">
        <v>44467</v>
      </c>
      <c r="G5" s="118">
        <v>44648</v>
      </c>
      <c r="H5" s="118" t="s">
        <v>116</v>
      </c>
      <c r="I5" s="118" t="s">
        <v>116</v>
      </c>
      <c r="J5" s="118" t="s">
        <v>116</v>
      </c>
      <c r="K5" s="118" t="s">
        <v>116</v>
      </c>
      <c r="L5" s="118" t="s">
        <v>116</v>
      </c>
      <c r="M5" s="118" t="s">
        <v>116</v>
      </c>
      <c r="N5" s="118" t="s">
        <v>116</v>
      </c>
      <c r="O5" s="118" t="s">
        <v>116</v>
      </c>
      <c r="P5" s="118" t="s">
        <v>116</v>
      </c>
      <c r="Q5" s="118" t="s">
        <v>116</v>
      </c>
      <c r="R5" s="118" t="s">
        <v>116</v>
      </c>
      <c r="S5" s="118" t="s">
        <v>116</v>
      </c>
      <c r="T5" s="118" t="s">
        <v>116</v>
      </c>
      <c r="U5" s="118" t="s">
        <v>116</v>
      </c>
      <c r="V5" s="118" t="s">
        <v>116</v>
      </c>
      <c r="W5" s="118" t="s">
        <v>116</v>
      </c>
      <c r="X5" s="21"/>
      <c r="Y5" s="21"/>
    </row>
    <row r="6" spans="1:25" x14ac:dyDescent="0.2">
      <c r="A6" t="s">
        <v>24</v>
      </c>
      <c r="B6" s="20" t="str">
        <f>INDEX('EBs List'!$B$1:$M$11,MATCH(A6,'EBs List'!$D$1:$D$11,0),1)</f>
        <v>8.750% Notes due June 2, 2023</v>
      </c>
      <c r="C6" s="118">
        <v>43984</v>
      </c>
      <c r="D6" s="118">
        <v>44167</v>
      </c>
      <c r="E6" s="118">
        <v>44349</v>
      </c>
      <c r="F6" s="118">
        <v>44532</v>
      </c>
      <c r="G6" s="118">
        <v>44714</v>
      </c>
      <c r="H6" s="118">
        <v>44897</v>
      </c>
      <c r="I6" s="118">
        <v>45079</v>
      </c>
      <c r="J6" s="118" t="s">
        <v>116</v>
      </c>
      <c r="K6" s="118" t="s">
        <v>116</v>
      </c>
      <c r="L6" s="118" t="s">
        <v>116</v>
      </c>
      <c r="M6" s="118" t="s">
        <v>116</v>
      </c>
      <c r="N6" s="118" t="s">
        <v>116</v>
      </c>
      <c r="O6" s="118" t="s">
        <v>116</v>
      </c>
      <c r="P6" s="118" t="s">
        <v>116</v>
      </c>
      <c r="Q6" s="118" t="s">
        <v>116</v>
      </c>
      <c r="R6" s="118" t="s">
        <v>116</v>
      </c>
      <c r="S6" s="118" t="s">
        <v>116</v>
      </c>
      <c r="T6" s="118" t="s">
        <v>116</v>
      </c>
      <c r="U6" s="118" t="s">
        <v>116</v>
      </c>
      <c r="V6" s="118" t="s">
        <v>116</v>
      </c>
      <c r="W6" s="118" t="s">
        <v>116</v>
      </c>
      <c r="X6" s="21"/>
      <c r="Y6" s="21"/>
    </row>
    <row r="7" spans="1:25" x14ac:dyDescent="0.2">
      <c r="A7" t="s">
        <v>26</v>
      </c>
      <c r="B7" s="20" t="str">
        <f>INDEX('EBs List'!$B$1:$M$11,MATCH(A7,'EBs List'!$D$1:$D$11,0),1)</f>
        <v>7.950% Notes due June 20, 2024</v>
      </c>
      <c r="C7" s="118">
        <v>44002</v>
      </c>
      <c r="D7" s="118">
        <v>44185</v>
      </c>
      <c r="E7" s="118">
        <v>44367</v>
      </c>
      <c r="F7" s="118">
        <v>44550</v>
      </c>
      <c r="G7" s="118">
        <v>44732</v>
      </c>
      <c r="H7" s="118">
        <v>44915</v>
      </c>
      <c r="I7" s="118">
        <v>45097</v>
      </c>
      <c r="J7" s="118">
        <v>45280</v>
      </c>
      <c r="K7" s="118">
        <v>45463</v>
      </c>
      <c r="L7" s="118" t="s">
        <v>116</v>
      </c>
      <c r="M7" s="118" t="s">
        <v>116</v>
      </c>
      <c r="N7" s="118" t="s">
        <v>116</v>
      </c>
      <c r="O7" s="118" t="s">
        <v>116</v>
      </c>
      <c r="P7" s="118" t="s">
        <v>116</v>
      </c>
      <c r="Q7" s="118" t="s">
        <v>116</v>
      </c>
      <c r="R7" s="118" t="s">
        <v>116</v>
      </c>
      <c r="S7" s="118" t="s">
        <v>116</v>
      </c>
      <c r="T7" s="118" t="s">
        <v>116</v>
      </c>
      <c r="U7" s="118" t="s">
        <v>116</v>
      </c>
      <c r="V7" s="118" t="s">
        <v>116</v>
      </c>
      <c r="W7" s="118" t="s">
        <v>116</v>
      </c>
      <c r="X7" s="21"/>
      <c r="Y7" s="21"/>
    </row>
    <row r="8" spans="1:25" x14ac:dyDescent="0.2">
      <c r="A8" t="s">
        <v>28</v>
      </c>
      <c r="B8" s="20" t="str">
        <f>INDEX('EBs List'!$B$1:$M$11,MATCH(A8,'EBs List'!$D$1:$D$11,0),1)</f>
        <v>7.875% Notes due March 27, 2025</v>
      </c>
      <c r="C8" s="118">
        <v>43917</v>
      </c>
      <c r="D8" s="118">
        <v>44101</v>
      </c>
      <c r="E8" s="118">
        <v>44282</v>
      </c>
      <c r="F8" s="118">
        <v>44466</v>
      </c>
      <c r="G8" s="118">
        <v>44647</v>
      </c>
      <c r="H8" s="118">
        <v>44831</v>
      </c>
      <c r="I8" s="118">
        <v>45012</v>
      </c>
      <c r="J8" s="118">
        <v>45196</v>
      </c>
      <c r="K8" s="118">
        <v>45378</v>
      </c>
      <c r="L8" s="118">
        <v>45562</v>
      </c>
      <c r="M8" s="118">
        <v>45743</v>
      </c>
      <c r="N8" s="118" t="s">
        <v>116</v>
      </c>
      <c r="O8" s="118" t="s">
        <v>116</v>
      </c>
      <c r="P8" s="118" t="s">
        <v>116</v>
      </c>
      <c r="Q8" s="118" t="s">
        <v>116</v>
      </c>
      <c r="R8" s="118" t="s">
        <v>116</v>
      </c>
      <c r="S8" s="118" t="s">
        <v>116</v>
      </c>
      <c r="T8" s="118" t="s">
        <v>116</v>
      </c>
      <c r="U8" s="118" t="s">
        <v>116</v>
      </c>
      <c r="V8" s="118" t="s">
        <v>116</v>
      </c>
      <c r="W8" s="118" t="s">
        <v>116</v>
      </c>
      <c r="X8" s="21"/>
      <c r="Y8" s="21"/>
    </row>
    <row r="9" spans="1:25" x14ac:dyDescent="0.2">
      <c r="A9" t="s">
        <v>30</v>
      </c>
      <c r="B9" s="20" t="str">
        <f>INDEX('EBs List'!$B$1:$M$11,MATCH(A9,'EBs List'!$D$1:$D$11,0),1)</f>
        <v>9.650% Notes due December 13, 2026</v>
      </c>
      <c r="C9" s="118">
        <v>43995</v>
      </c>
      <c r="D9" s="118">
        <v>44178</v>
      </c>
      <c r="E9" s="118">
        <v>44360</v>
      </c>
      <c r="F9" s="118">
        <v>44543</v>
      </c>
      <c r="G9" s="118">
        <v>44725</v>
      </c>
      <c r="H9" s="118">
        <v>44908</v>
      </c>
      <c r="I9" s="118">
        <v>45090</v>
      </c>
      <c r="J9" s="118">
        <v>45273</v>
      </c>
      <c r="K9" s="118">
        <v>45456</v>
      </c>
      <c r="L9" s="118">
        <v>45639</v>
      </c>
      <c r="M9" s="118">
        <v>45821</v>
      </c>
      <c r="N9" s="118">
        <v>46004</v>
      </c>
      <c r="O9" s="118">
        <v>46186</v>
      </c>
      <c r="P9" s="118">
        <v>46369</v>
      </c>
      <c r="Q9" s="118" t="s">
        <v>116</v>
      </c>
      <c r="R9" s="118" t="s">
        <v>116</v>
      </c>
      <c r="S9" s="118" t="s">
        <v>116</v>
      </c>
      <c r="T9" s="118" t="s">
        <v>116</v>
      </c>
      <c r="U9" s="118" t="s">
        <v>116</v>
      </c>
      <c r="V9" s="118" t="s">
        <v>116</v>
      </c>
      <c r="W9" s="118" t="s">
        <v>116</v>
      </c>
      <c r="X9" s="21"/>
      <c r="Y9" s="21"/>
    </row>
    <row r="10" spans="1:25" x14ac:dyDescent="0.2">
      <c r="A10" t="s">
        <v>32</v>
      </c>
      <c r="B10" s="20" t="str">
        <f>INDEX('EBs List'!$B$1:$M$11,MATCH(A10,'EBs List'!$D$1:$D$11,0),1)</f>
        <v>9.625% Notes due June 2, 2027</v>
      </c>
      <c r="C10" s="118">
        <v>43984</v>
      </c>
      <c r="D10" s="118">
        <v>44167</v>
      </c>
      <c r="E10" s="118">
        <v>44349</v>
      </c>
      <c r="F10" s="118">
        <v>44532</v>
      </c>
      <c r="G10" s="118">
        <v>44714</v>
      </c>
      <c r="H10" s="118">
        <v>44897</v>
      </c>
      <c r="I10" s="118">
        <v>45079</v>
      </c>
      <c r="J10" s="118">
        <v>45262</v>
      </c>
      <c r="K10" s="118">
        <v>45445</v>
      </c>
      <c r="L10" s="118">
        <v>45628</v>
      </c>
      <c r="M10" s="118">
        <v>45810</v>
      </c>
      <c r="N10" s="118">
        <v>45993</v>
      </c>
      <c r="O10" s="118">
        <v>46175</v>
      </c>
      <c r="P10" s="118">
        <v>46358</v>
      </c>
      <c r="Q10" s="118">
        <v>46540</v>
      </c>
      <c r="R10" s="118" t="s">
        <v>116</v>
      </c>
      <c r="S10" s="118" t="s">
        <v>116</v>
      </c>
      <c r="T10" s="118" t="s">
        <v>116</v>
      </c>
      <c r="U10" s="118" t="s">
        <v>116</v>
      </c>
      <c r="V10" s="118" t="s">
        <v>116</v>
      </c>
      <c r="W10" s="118" t="s">
        <v>116</v>
      </c>
      <c r="X10" s="21"/>
      <c r="Y10" s="21"/>
    </row>
    <row r="11" spans="1:25" x14ac:dyDescent="0.2">
      <c r="A11" t="s">
        <v>34</v>
      </c>
      <c r="B11" s="20" t="str">
        <f>INDEX('EBs List'!$B$1:$M$11,MATCH(A11,'EBs List'!$D$1:$D$11,0),1)</f>
        <v>8.875% Notes due October 23, 2027</v>
      </c>
      <c r="C11" s="118">
        <v>43944</v>
      </c>
      <c r="D11" s="118">
        <v>44127</v>
      </c>
      <c r="E11" s="118">
        <v>44309</v>
      </c>
      <c r="F11" s="118">
        <v>44492</v>
      </c>
      <c r="G11" s="118">
        <v>44674</v>
      </c>
      <c r="H11" s="118">
        <v>44857</v>
      </c>
      <c r="I11" s="118">
        <v>45039</v>
      </c>
      <c r="J11" s="118">
        <v>45222</v>
      </c>
      <c r="K11" s="118">
        <v>45405</v>
      </c>
      <c r="L11" s="118">
        <v>45588</v>
      </c>
      <c r="M11" s="118">
        <v>45770</v>
      </c>
      <c r="N11" s="118">
        <v>45953</v>
      </c>
      <c r="O11" s="118">
        <v>46135</v>
      </c>
      <c r="P11" s="118">
        <v>46318</v>
      </c>
      <c r="Q11" s="118">
        <v>46500</v>
      </c>
      <c r="R11" s="118">
        <v>46683</v>
      </c>
      <c r="S11" s="118" t="s">
        <v>116</v>
      </c>
      <c r="T11" s="118" t="s">
        <v>116</v>
      </c>
      <c r="U11" s="118" t="s">
        <v>116</v>
      </c>
      <c r="V11" s="118" t="s">
        <v>116</v>
      </c>
      <c r="W11" s="118" t="s">
        <v>116</v>
      </c>
      <c r="X11" s="21"/>
      <c r="Y11" s="21"/>
    </row>
    <row r="12" spans="1:25" x14ac:dyDescent="0.2">
      <c r="A12" t="s">
        <v>36</v>
      </c>
      <c r="B12" s="20" t="str">
        <f>INDEX('EBs List'!$B$1:$M$11,MATCH(A12,'EBs List'!$D$1:$D$11,0),1)</f>
        <v>7.875% Notes due January 23, 2028</v>
      </c>
      <c r="C12" s="118">
        <v>44035</v>
      </c>
      <c r="D12" s="118">
        <v>44219</v>
      </c>
      <c r="E12" s="118">
        <v>44400</v>
      </c>
      <c r="F12" s="118">
        <v>44584</v>
      </c>
      <c r="G12" s="118">
        <v>44765</v>
      </c>
      <c r="H12" s="118">
        <v>44949</v>
      </c>
      <c r="I12" s="118">
        <v>45130</v>
      </c>
      <c r="J12" s="118">
        <v>45314</v>
      </c>
      <c r="K12" s="118">
        <v>45496</v>
      </c>
      <c r="L12" s="118">
        <v>45680</v>
      </c>
      <c r="M12" s="118">
        <v>45861</v>
      </c>
      <c r="N12" s="118">
        <v>46045</v>
      </c>
      <c r="O12" s="118">
        <v>46226</v>
      </c>
      <c r="P12" s="118">
        <v>46410</v>
      </c>
      <c r="Q12" s="118">
        <v>46591</v>
      </c>
      <c r="R12" s="118">
        <v>46775</v>
      </c>
      <c r="S12" s="118" t="s">
        <v>116</v>
      </c>
      <c r="T12" s="118" t="s">
        <v>116</v>
      </c>
      <c r="U12" s="118" t="s">
        <v>116</v>
      </c>
      <c r="V12" s="118" t="s">
        <v>116</v>
      </c>
      <c r="W12" s="118" t="s">
        <v>116</v>
      </c>
      <c r="X12" s="21"/>
      <c r="Y12" s="21"/>
    </row>
    <row r="13" spans="1:25" x14ac:dyDescent="0.2">
      <c r="A13" t="s">
        <v>38</v>
      </c>
      <c r="B13" s="20" t="str">
        <f>INDEX('EBs List'!$B$1:$M$11,MATCH(A13,'EBs List'!$D$1:$D$11,0),1)</f>
        <v>10.750% Notes due January 31, 2029</v>
      </c>
      <c r="C13" s="118">
        <v>44043</v>
      </c>
      <c r="D13" s="118">
        <v>44227</v>
      </c>
      <c r="E13" s="118">
        <v>44408</v>
      </c>
      <c r="F13" s="118">
        <v>44592</v>
      </c>
      <c r="G13" s="118">
        <v>44773</v>
      </c>
      <c r="H13" s="118">
        <v>44957</v>
      </c>
      <c r="I13" s="118">
        <v>45138</v>
      </c>
      <c r="J13" s="118">
        <v>45322</v>
      </c>
      <c r="K13" s="118">
        <v>45504</v>
      </c>
      <c r="L13" s="118">
        <v>45688</v>
      </c>
      <c r="M13" s="118">
        <v>45869</v>
      </c>
      <c r="N13" s="118">
        <v>46053</v>
      </c>
      <c r="O13" s="118">
        <v>46234</v>
      </c>
      <c r="P13" s="118">
        <v>46418</v>
      </c>
      <c r="Q13" s="118">
        <v>46599</v>
      </c>
      <c r="R13" s="118">
        <v>46783</v>
      </c>
      <c r="S13" s="118">
        <v>46965</v>
      </c>
      <c r="T13" s="118">
        <v>47149</v>
      </c>
      <c r="U13" s="118" t="s">
        <v>116</v>
      </c>
      <c r="V13" s="118" t="s">
        <v>116</v>
      </c>
      <c r="W13" s="118" t="s">
        <v>116</v>
      </c>
      <c r="X13" s="21"/>
      <c r="Y13" s="21"/>
    </row>
    <row r="14" spans="1:25" x14ac:dyDescent="0.2">
      <c r="A14" t="s">
        <v>40</v>
      </c>
      <c r="B14" s="20" t="str">
        <f>INDEX('EBs List'!$B$1:$M$11,MATCH(A14,'EBs List'!$D$1:$D$11,0),1)</f>
        <v>9.500% Notes due March 27, 2030</v>
      </c>
      <c r="C14" s="118">
        <v>43917</v>
      </c>
      <c r="D14" s="118">
        <v>44101</v>
      </c>
      <c r="E14" s="118">
        <v>44282</v>
      </c>
      <c r="F14" s="118">
        <v>44466</v>
      </c>
      <c r="G14" s="118">
        <v>44647</v>
      </c>
      <c r="H14" s="118">
        <v>44831</v>
      </c>
      <c r="I14" s="118">
        <v>45012</v>
      </c>
      <c r="J14" s="118">
        <v>45196</v>
      </c>
      <c r="K14" s="118">
        <v>45378</v>
      </c>
      <c r="L14" s="118">
        <v>45562</v>
      </c>
      <c r="M14" s="118">
        <v>45743</v>
      </c>
      <c r="N14" s="118">
        <v>45927</v>
      </c>
      <c r="O14" s="118">
        <v>46108</v>
      </c>
      <c r="P14" s="118">
        <v>46292</v>
      </c>
      <c r="Q14" s="118">
        <v>46473</v>
      </c>
      <c r="R14" s="118">
        <v>46657</v>
      </c>
      <c r="S14" s="118">
        <v>46839</v>
      </c>
      <c r="T14" s="118">
        <v>47023</v>
      </c>
      <c r="U14" s="118">
        <v>47204</v>
      </c>
      <c r="V14" s="118">
        <v>47388</v>
      </c>
      <c r="W14" s="118">
        <v>47569</v>
      </c>
      <c r="X14" s="21"/>
      <c r="Y14" s="21"/>
    </row>
    <row r="16" spans="1:25" x14ac:dyDescent="0.2">
      <c r="D16" s="10" t="s">
        <v>86</v>
      </c>
      <c r="E16" s="26" t="s">
        <v>117</v>
      </c>
    </row>
    <row r="17" spans="1:25" x14ac:dyDescent="0.2">
      <c r="A17" t="s">
        <v>22</v>
      </c>
      <c r="B17" s="20" t="str">
        <f>INDEX('EBs List'!$B$1:$M$11,MATCH(A17,'EBs List'!$D$1:$D$11,0),1)</f>
        <v>10.750% Notes due March 28, 2022</v>
      </c>
      <c r="C17" s="20"/>
      <c r="D17" s="31">
        <f t="shared" ref="D17:D26" si="0">E17*(D5-$B$1)/(D5-C5)</f>
        <v>0.61345108695652173</v>
      </c>
      <c r="E17" s="22">
        <f>IF(E5="","",IF(E5='EBs List'!$H2,100+'EBs List'!$F2*100/2,'EBs List'!$F2*100/2))</f>
        <v>5.375</v>
      </c>
      <c r="F17" s="22">
        <f>IF(F5="","",IF(F5='EBs List'!$H2,100+'EBs List'!$F2*100/2,'EBs List'!$F2*100/2))</f>
        <v>5.375</v>
      </c>
      <c r="G17" s="22">
        <f>IF(G5="","",IF(G5='EBs List'!$H2,100+'EBs List'!$F2*100/2,'EBs List'!$F2*100/2))</f>
        <v>105.375</v>
      </c>
      <c r="H17" s="22" t="str">
        <f>IF(H5="","",IF(H5='EBs List'!$H2,100+'EBs List'!$F2*100/2,'EBs List'!$F2*100/2))</f>
        <v/>
      </c>
      <c r="I17" s="22" t="str">
        <f>IF(I5="","",IF(I5='EBs List'!$H2,100+'EBs List'!$F2*100/2,'EBs List'!$F2*100/2))</f>
        <v/>
      </c>
      <c r="J17" s="22" t="str">
        <f>IF(J5="","",IF(J5='EBs List'!$H2,100+'EBs List'!$F2*100/2,'EBs List'!$F2*100/2))</f>
        <v/>
      </c>
      <c r="K17" s="22" t="str">
        <f>IF(K5="","",IF(K5='EBs List'!$H2,100+'EBs List'!$F2*100/2,'EBs List'!$F2*100/2))</f>
        <v/>
      </c>
      <c r="L17" s="22" t="str">
        <f>IF(L5="","",IF(L5='EBs List'!$H2,100+'EBs List'!$F2*100/2,'EBs List'!$F2*100/2))</f>
        <v/>
      </c>
      <c r="M17" s="22" t="str">
        <f>IF(M5="","",IF(M5='EBs List'!$H2,100+'EBs List'!$F2*100/2,'EBs List'!$F2*100/2))</f>
        <v/>
      </c>
      <c r="N17" s="22" t="str">
        <f>IF(N5="","",IF(N5='EBs List'!$H2,100+'EBs List'!$F2*100/2,'EBs List'!$F2*100/2))</f>
        <v/>
      </c>
      <c r="O17" s="22" t="str">
        <f>IF(O5="","",IF(O5='EBs List'!$H2,100+'EBs List'!$F2*100/2,'EBs List'!$F2*100/2))</f>
        <v/>
      </c>
      <c r="P17" s="22" t="str">
        <f>IF(P5="","",IF(P5='EBs List'!$H2,100+'EBs List'!$F2*100/2,'EBs List'!$F2*100/2))</f>
        <v/>
      </c>
      <c r="Q17" s="22" t="str">
        <f>IF(Q5="","",IF(Q5='EBs List'!$H2,100+'EBs List'!$F2*100/2,'EBs List'!$F2*100/2))</f>
        <v/>
      </c>
      <c r="R17" s="22" t="str">
        <f>IF(R5="","",IF(R5='EBs List'!$H2,100+'EBs List'!$F2*100/2,'EBs List'!$F2*100/2))</f>
        <v/>
      </c>
      <c r="S17" s="22" t="str">
        <f>IF(S5="","",IF(S5='EBs List'!$H2,100+'EBs List'!$F2*100/2,'EBs List'!$F2*100/2))</f>
        <v/>
      </c>
      <c r="T17" s="22" t="str">
        <f>IF(T5="","",IF(T5='EBs List'!$H2,100+'EBs List'!$F2*100/2,'EBs List'!$F2*100/2))</f>
        <v/>
      </c>
      <c r="U17" s="22" t="str">
        <f>IF(U5="","",IF(U5='EBs List'!$H2,100+'EBs List'!$F2*100/2,'EBs List'!$F2*100/2))</f>
        <v/>
      </c>
      <c r="V17" s="22" t="str">
        <f>IF(V5="","",IF(V5='EBs List'!$H2,100+'EBs List'!$F2*100/2,'EBs List'!$F2*100/2))</f>
        <v/>
      </c>
      <c r="W17" s="22" t="str">
        <f>IF(W5="","",IF(W5='EBs List'!$H2,100+'EBs List'!$F2*100/2,'EBs List'!$F2*100/2))</f>
        <v/>
      </c>
      <c r="X17" s="22"/>
      <c r="Y17" s="22"/>
    </row>
    <row r="18" spans="1:25" x14ac:dyDescent="0.2">
      <c r="A18" t="s">
        <v>24</v>
      </c>
      <c r="B18" s="20" t="str">
        <f>INDEX('EBs List'!$B$1:$M$11,MATCH(A18,'EBs List'!$D$1:$D$11,0),1)</f>
        <v>8.750% Notes due June 2, 2023</v>
      </c>
      <c r="C18" s="20"/>
      <c r="D18" s="31">
        <f t="shared" si="0"/>
        <v>2.0560109289617485</v>
      </c>
      <c r="E18" s="22">
        <f>IF(E6="","",IF(E6='EBs List'!$H3,100+'EBs List'!$F3*100/2,'EBs List'!$F3*100/2))</f>
        <v>4.375</v>
      </c>
      <c r="F18" s="22">
        <f>IF(F6="","",IF(F6='EBs List'!$H3,100+'EBs List'!$F3*100/2,'EBs List'!$F3*100/2))</f>
        <v>4.375</v>
      </c>
      <c r="G18" s="22">
        <f>IF(G6="","",IF(G6='EBs List'!$H3,100+'EBs List'!$F3*100/2,'EBs List'!$F3*100/2))</f>
        <v>4.375</v>
      </c>
      <c r="H18" s="22">
        <f>IF(H6="","",IF(H6='EBs List'!$H3,100+'EBs List'!$F3*100/2,'EBs List'!$F3*100/2))</f>
        <v>4.375</v>
      </c>
      <c r="I18" s="22">
        <f>IF(I6="","",IF(I6='EBs List'!$H3,100+'EBs List'!$F3*100/2,'EBs List'!$F3*100/2))</f>
        <v>104.375</v>
      </c>
      <c r="J18" s="22" t="str">
        <f>IF(J6="","",IF(J6='EBs List'!$H3,100+'EBs List'!$F3*100/2,'EBs List'!$F3*100/2))</f>
        <v/>
      </c>
      <c r="K18" s="22" t="str">
        <f>IF(K6="","",IF(K6='EBs List'!$H3,100+'EBs List'!$F3*100/2,'EBs List'!$F3*100/2))</f>
        <v/>
      </c>
      <c r="L18" s="22" t="str">
        <f>IF(L6="","",IF(L6='EBs List'!$H3,100+'EBs List'!$F3*100/2,'EBs List'!$F3*100/2))</f>
        <v/>
      </c>
      <c r="M18" s="22" t="str">
        <f>IF(M6="","",IF(M6='EBs List'!$H3,100+'EBs List'!$F3*100/2,'EBs List'!$F3*100/2))</f>
        <v/>
      </c>
      <c r="N18" s="22" t="str">
        <f>IF(N6="","",IF(N6='EBs List'!$H3,100+'EBs List'!$F3*100/2,'EBs List'!$F3*100/2))</f>
        <v/>
      </c>
      <c r="O18" s="22" t="str">
        <f>IF(O6="","",IF(O6='EBs List'!$H3,100+'EBs List'!$F3*100/2,'EBs List'!$F3*100/2))</f>
        <v/>
      </c>
      <c r="P18" s="22" t="str">
        <f>IF(P6="","",IF(P6='EBs List'!$H3,100+'EBs List'!$F3*100/2,'EBs List'!$F3*100/2))</f>
        <v/>
      </c>
      <c r="Q18" s="22" t="str">
        <f>IF(Q6="","",IF(Q6='EBs List'!$H3,100+'EBs List'!$F3*100/2,'EBs List'!$F3*100/2))</f>
        <v/>
      </c>
      <c r="R18" s="22" t="str">
        <f>IF(R6="","",IF(R6='EBs List'!$H3,100+'EBs List'!$F3*100/2,'EBs List'!$F3*100/2))</f>
        <v/>
      </c>
      <c r="S18" s="22" t="str">
        <f>IF(S6="","",IF(S6='EBs List'!$H3,100+'EBs List'!$F3*100/2,'EBs List'!$F3*100/2))</f>
        <v/>
      </c>
      <c r="T18" s="22" t="str">
        <f>IF(T6="","",IF(T6='EBs List'!$H3,100+'EBs List'!$F3*100/2,'EBs List'!$F3*100/2))</f>
        <v/>
      </c>
      <c r="U18" s="22" t="str">
        <f>IF(U6="","",IF(U6='EBs List'!$H3,100+'EBs List'!$F3*100/2,'EBs List'!$F3*100/2))</f>
        <v/>
      </c>
      <c r="V18" s="22" t="str">
        <f>IF(V6="","",IF(V6='EBs List'!$H3,100+'EBs List'!$F3*100/2,'EBs List'!$F3*100/2))</f>
        <v/>
      </c>
      <c r="W18" s="22" t="str">
        <f>IF(W6="","",IF(W6='EBs List'!$H3,100+'EBs List'!$F3*100/2,'EBs List'!$F3*100/2))</f>
        <v/>
      </c>
      <c r="X18" s="22"/>
      <c r="Y18" s="22"/>
    </row>
    <row r="19" spans="1:25" x14ac:dyDescent="0.2">
      <c r="A19" t="s">
        <v>26</v>
      </c>
      <c r="B19" s="20" t="str">
        <f>INDEX('EBs List'!$B$1:$M$11,MATCH(A19,'EBs List'!$D$1:$D$11,0),1)</f>
        <v>7.950% Notes due June 20, 2024</v>
      </c>
      <c r="C19" s="20"/>
      <c r="D19" s="31">
        <f t="shared" si="0"/>
        <v>2.2590163934426233</v>
      </c>
      <c r="E19" s="22">
        <f>IF(E7="","",IF(E7='EBs List'!$H4,100+'EBs List'!$F4*100/2,'EBs List'!$F4*100/2))</f>
        <v>3.9750000000000001</v>
      </c>
      <c r="F19" s="22">
        <f>IF(F7="","",IF(F7='EBs List'!$H4,100+'EBs List'!$F4*100/2,'EBs List'!$F4*100/2))</f>
        <v>3.9750000000000001</v>
      </c>
      <c r="G19" s="22">
        <f>IF(G7="","",IF(G7='EBs List'!$H4,100+'EBs List'!$F4*100/2,'EBs List'!$F4*100/2))</f>
        <v>3.9750000000000001</v>
      </c>
      <c r="H19" s="22">
        <f>IF(H7="","",IF(H7='EBs List'!$H4,100+'EBs List'!$F4*100/2,'EBs List'!$F4*100/2))</f>
        <v>3.9750000000000001</v>
      </c>
      <c r="I19" s="22">
        <f>IF(I7="","",IF(I7='EBs List'!$H4,100+'EBs List'!$F4*100/2,'EBs List'!$F4*100/2))</f>
        <v>3.9750000000000001</v>
      </c>
      <c r="J19" s="22">
        <f>IF(J7="","",IF(J7='EBs List'!$H4,100+'EBs List'!$F4*100/2,'EBs List'!$F4*100/2))</f>
        <v>3.9750000000000001</v>
      </c>
      <c r="K19" s="22">
        <f>IF(K7="","",IF(K7='EBs List'!$H4,100+'EBs List'!$F4*100/2,'EBs List'!$F4*100/2))</f>
        <v>103.97499999999999</v>
      </c>
      <c r="L19" s="22" t="str">
        <f>IF(L7="","",IF(L7='EBs List'!$H4,100+'EBs List'!$F4*100/2,'EBs List'!$F4*100/2))</f>
        <v/>
      </c>
      <c r="M19" s="22" t="str">
        <f>IF(M7="","",IF(M7='EBs List'!$H4,100+'EBs List'!$F4*100/2,'EBs List'!$F4*100/2))</f>
        <v/>
      </c>
      <c r="N19" s="22" t="str">
        <f>IF(N7="","",IF(N7='EBs List'!$H4,100+'EBs List'!$F4*100/2,'EBs List'!$F4*100/2))</f>
        <v/>
      </c>
      <c r="O19" s="22" t="str">
        <f>IF(O7="","",IF(O7='EBs List'!$H4,100+'EBs List'!$F4*100/2,'EBs List'!$F4*100/2))</f>
        <v/>
      </c>
      <c r="P19" s="22" t="str">
        <f>IF(P7="","",IF(P7='EBs List'!$H4,100+'EBs List'!$F4*100/2,'EBs List'!$F4*100/2))</f>
        <v/>
      </c>
      <c r="Q19" s="22" t="str">
        <f>IF(Q7="","",IF(Q7='EBs List'!$H4,100+'EBs List'!$F4*100/2,'EBs List'!$F4*100/2))</f>
        <v/>
      </c>
      <c r="R19" s="22" t="str">
        <f>IF(R7="","",IF(R7='EBs List'!$H4,100+'EBs List'!$F4*100/2,'EBs List'!$F4*100/2))</f>
        <v/>
      </c>
      <c r="S19" s="22" t="str">
        <f>IF(S7="","",IF(S7='EBs List'!$H4,100+'EBs List'!$F4*100/2,'EBs List'!$F4*100/2))</f>
        <v/>
      </c>
      <c r="T19" s="22" t="str">
        <f>IF(T7="","",IF(T7='EBs List'!$H4,100+'EBs List'!$F4*100/2,'EBs List'!$F4*100/2))</f>
        <v/>
      </c>
      <c r="U19" s="22" t="str">
        <f>IF(U7="","",IF(U7='EBs List'!$H4,100+'EBs List'!$F4*100/2,'EBs List'!$F4*100/2))</f>
        <v/>
      </c>
      <c r="V19" s="22" t="str">
        <f>IF(V7="","",IF(V7='EBs List'!$H4,100+'EBs List'!$F4*100/2,'EBs List'!$F4*100/2))</f>
        <v/>
      </c>
      <c r="W19" s="22" t="str">
        <f>IF(W7="","",IF(W7='EBs List'!$H4,100+'EBs List'!$F4*100/2,'EBs List'!$F4*100/2))</f>
        <v/>
      </c>
      <c r="X19" s="22"/>
      <c r="Y19" s="22"/>
    </row>
    <row r="20" spans="1:25" x14ac:dyDescent="0.2">
      <c r="A20" t="s">
        <v>28</v>
      </c>
      <c r="B20" s="20" t="str">
        <f>INDEX('EBs List'!$B$1:$M$11,MATCH(A20,'EBs List'!$D$1:$D$11,0),1)</f>
        <v>7.875% Notes due March 27, 2025</v>
      </c>
      <c r="C20" s="20"/>
      <c r="D20" s="31">
        <f t="shared" si="0"/>
        <v>0.42798913043478259</v>
      </c>
      <c r="E20" s="22">
        <f>IF(E8="","",IF(E8='EBs List'!$H5,100+'EBs List'!$F5*100/2,'EBs List'!$F5*100/2))</f>
        <v>3.9375</v>
      </c>
      <c r="F20" s="22">
        <f>IF(F8="","",IF(F8='EBs List'!$H5,100+'EBs List'!$F5*100/2,'EBs List'!$F5*100/2))</f>
        <v>3.9375</v>
      </c>
      <c r="G20" s="22">
        <f>IF(G8="","",IF(G8='EBs List'!$H5,100+'EBs List'!$F5*100/2,'EBs List'!$F5*100/2))</f>
        <v>3.9375</v>
      </c>
      <c r="H20" s="22">
        <f>IF(H8="","",IF(H8='EBs List'!$H5,100+'EBs List'!$F5*100/2,'EBs List'!$F5*100/2))</f>
        <v>3.9375</v>
      </c>
      <c r="I20" s="22">
        <f>IF(I8="","",IF(I8='EBs List'!$H5,100+'EBs List'!$F5*100/2,'EBs List'!$F5*100/2))</f>
        <v>3.9375</v>
      </c>
      <c r="J20" s="22">
        <f>IF(J8="","",IF(J8='EBs List'!$H5,100+'EBs List'!$F5*100/2,'EBs List'!$F5*100/2))</f>
        <v>3.9375</v>
      </c>
      <c r="K20" s="22">
        <f>IF(K8="","",IF(K8='EBs List'!$H5,100+'EBs List'!$F5*100/2,'EBs List'!$F5*100/2))</f>
        <v>3.9375</v>
      </c>
      <c r="L20" s="22">
        <f>IF(L8="","",IF(L8='EBs List'!$H5,100+'EBs List'!$F5*100/2,'EBs List'!$F5*100/2))</f>
        <v>3.9375</v>
      </c>
      <c r="M20" s="22">
        <f>IF(M8="","",IF(M8='EBs List'!$H5,100+'EBs List'!$F5*100/2,'EBs List'!$F5*100/2))</f>
        <v>103.9375</v>
      </c>
      <c r="N20" s="22" t="str">
        <f>IF(N8="","",IF(N8='EBs List'!$H5,100+'EBs List'!$F5*100/2,'EBs List'!$F5*100/2))</f>
        <v/>
      </c>
      <c r="O20" s="22" t="str">
        <f>IF(O8="","",IF(O8='EBs List'!$H5,100+'EBs List'!$F5*100/2,'EBs List'!$F5*100/2))</f>
        <v/>
      </c>
      <c r="P20" s="22" t="str">
        <f>IF(P8="","",IF(P8='EBs List'!$H5,100+'EBs List'!$F5*100/2,'EBs List'!$F5*100/2))</f>
        <v/>
      </c>
      <c r="Q20" s="22" t="str">
        <f>IF(Q8="","",IF(Q8='EBs List'!$H5,100+'EBs List'!$F5*100/2,'EBs List'!$F5*100/2))</f>
        <v/>
      </c>
      <c r="R20" s="22" t="str">
        <f>IF(R8="","",IF(R8='EBs List'!$H5,100+'EBs List'!$F5*100/2,'EBs List'!$F5*100/2))</f>
        <v/>
      </c>
      <c r="S20" s="22" t="str">
        <f>IF(S8="","",IF(S8='EBs List'!$H5,100+'EBs List'!$F5*100/2,'EBs List'!$F5*100/2))</f>
        <v/>
      </c>
      <c r="T20" s="22" t="str">
        <f>IF(T8="","",IF(T8='EBs List'!$H5,100+'EBs List'!$F5*100/2,'EBs List'!$F5*100/2))</f>
        <v/>
      </c>
      <c r="U20" s="22" t="str">
        <f>IF(U8="","",IF(U8='EBs List'!$H5,100+'EBs List'!$F5*100/2,'EBs List'!$F5*100/2))</f>
        <v/>
      </c>
      <c r="V20" s="22" t="str">
        <f>IF(V8="","",IF(V8='EBs List'!$H5,100+'EBs List'!$F5*100/2,'EBs List'!$F5*100/2))</f>
        <v/>
      </c>
      <c r="W20" s="22" t="str">
        <f>IF(W8="","",IF(W8='EBs List'!$H5,100+'EBs List'!$F5*100/2,'EBs List'!$F5*100/2))</f>
        <v/>
      </c>
      <c r="X20" s="22"/>
      <c r="Y20" s="22"/>
    </row>
    <row r="21" spans="1:25" x14ac:dyDescent="0.2">
      <c r="A21" t="s">
        <v>30</v>
      </c>
      <c r="B21" s="20" t="str">
        <f>INDEX('EBs List'!$B$1:$M$11,MATCH(A21,'EBs List'!$D$1:$D$11,0),1)</f>
        <v>9.650% Notes due December 13, 2026</v>
      </c>
      <c r="C21" s="20"/>
      <c r="D21" s="31">
        <f t="shared" si="0"/>
        <v>2.557513661202186</v>
      </c>
      <c r="E21" s="22">
        <f>IF(E9="","",IF(E9='EBs List'!$H6,100+'EBs List'!$F6*100/2,'EBs List'!$F6*100/2))</f>
        <v>4.8250000000000002</v>
      </c>
      <c r="F21" s="22">
        <f>IF(F9="","",IF(F9='EBs List'!$H6,100+'EBs List'!$F6*100/2,'EBs List'!$F6*100/2))</f>
        <v>4.8250000000000002</v>
      </c>
      <c r="G21" s="22">
        <f>IF(G9="","",IF(G9='EBs List'!$H6,100+'EBs List'!$F6*100/2,'EBs List'!$F6*100/2))</f>
        <v>4.8250000000000002</v>
      </c>
      <c r="H21" s="22">
        <f>IF(H9="","",IF(H9='EBs List'!$H6,100+'EBs List'!$F6*100/2,'EBs List'!$F6*100/2))</f>
        <v>4.8250000000000002</v>
      </c>
      <c r="I21" s="22">
        <f>IF(I9="","",IF(I9='EBs List'!$H6,100+'EBs List'!$F6*100/2,'EBs List'!$F6*100/2))</f>
        <v>4.8250000000000002</v>
      </c>
      <c r="J21" s="22">
        <f>IF(J9="","",IF(J9='EBs List'!$H6,100+'EBs List'!$F6*100/2,'EBs List'!$F6*100/2))</f>
        <v>4.8250000000000002</v>
      </c>
      <c r="K21" s="22">
        <f>IF(K9="","",IF(K9='EBs List'!$H6,100+'EBs List'!$F6*100/2,'EBs List'!$F6*100/2))</f>
        <v>4.8250000000000002</v>
      </c>
      <c r="L21" s="22">
        <f>IF(L9="","",IF(L9='EBs List'!$H6,100+'EBs List'!$F6*100/2,'EBs List'!$F6*100/2))</f>
        <v>4.8250000000000002</v>
      </c>
      <c r="M21" s="22">
        <f>IF(M9="","",IF(M9='EBs List'!$H6,100+'EBs List'!$F6*100/2,'EBs List'!$F6*100/2))</f>
        <v>4.8250000000000002</v>
      </c>
      <c r="N21" s="22">
        <f>IF(N9="","",IF(N9='EBs List'!$H6,100+'EBs List'!$F6*100/2,'EBs List'!$F6*100/2))</f>
        <v>4.8250000000000002</v>
      </c>
      <c r="O21" s="22">
        <f>IF(O9="","",IF(O9='EBs List'!$H6,100+'EBs List'!$F6*100/2,'EBs List'!$F6*100/2))</f>
        <v>4.8250000000000002</v>
      </c>
      <c r="P21" s="22">
        <f>IF(P9="","",IF(P9='EBs List'!$H6,100+'EBs List'!$F6*100/2,'EBs List'!$F6*100/2))</f>
        <v>104.825</v>
      </c>
      <c r="Q21" s="22" t="str">
        <f>IF(Q9="","",IF(Q9='EBs List'!$H6,100+'EBs List'!$F6*100/2,'EBs List'!$F6*100/2))</f>
        <v/>
      </c>
      <c r="R21" s="22" t="str">
        <f>IF(R9="","",IF(R9='EBs List'!$H6,100+'EBs List'!$F6*100/2,'EBs List'!$F6*100/2))</f>
        <v/>
      </c>
      <c r="S21" s="22" t="str">
        <f>IF(S9="","",IF(S9='EBs List'!$H6,100+'EBs List'!$F6*100/2,'EBs List'!$F6*100/2))</f>
        <v/>
      </c>
      <c r="T21" s="22" t="str">
        <f>IF(T9="","",IF(T9='EBs List'!$H6,100+'EBs List'!$F6*100/2,'EBs List'!$F6*100/2))</f>
        <v/>
      </c>
      <c r="U21" s="22" t="str">
        <f>IF(U9="","",IF(U9='EBs List'!$H6,100+'EBs List'!$F6*100/2,'EBs List'!$F6*100/2))</f>
        <v/>
      </c>
      <c r="V21" s="22" t="str">
        <f>IF(V9="","",IF(V9='EBs List'!$H6,100+'EBs List'!$F6*100/2,'EBs List'!$F6*100/2))</f>
        <v/>
      </c>
      <c r="W21" s="22" t="str">
        <f>IF(W9="","",IF(W9='EBs List'!$H6,100+'EBs List'!$F6*100/2,'EBs List'!$F6*100/2))</f>
        <v/>
      </c>
      <c r="X21" s="22"/>
      <c r="Y21" s="22"/>
    </row>
    <row r="22" spans="1:25" x14ac:dyDescent="0.2">
      <c r="A22" t="s">
        <v>32</v>
      </c>
      <c r="B22" s="20" t="str">
        <f>INDEX('EBs List'!$B$1:$M$11,MATCH(A22,'EBs List'!$D$1:$D$11,0),1)</f>
        <v>9.625% Notes due June 2, 2027</v>
      </c>
      <c r="C22" s="20"/>
      <c r="D22" s="31">
        <f t="shared" si="0"/>
        <v>2.2616120218579234</v>
      </c>
      <c r="E22" s="22">
        <f>IF(E10="","",IF(E10='EBs List'!$H7,100+'EBs List'!$F7*100/2,'EBs List'!$F7*100/2))</f>
        <v>4.8125</v>
      </c>
      <c r="F22" s="22">
        <f>IF(F10="","",IF(F10='EBs List'!$H7,100+'EBs List'!$F7*100/2,'EBs List'!$F7*100/2))</f>
        <v>4.8125</v>
      </c>
      <c r="G22" s="22">
        <f>IF(G10="","",IF(G10='EBs List'!$H7,100+'EBs List'!$F7*100/2,'EBs List'!$F7*100/2))</f>
        <v>4.8125</v>
      </c>
      <c r="H22" s="22">
        <f>IF(H10="","",IF(H10='EBs List'!$H7,100+'EBs List'!$F7*100/2,'EBs List'!$F7*100/2))</f>
        <v>4.8125</v>
      </c>
      <c r="I22" s="22">
        <f>IF(I10="","",IF(I10='EBs List'!$H7,100+'EBs List'!$F7*100/2,'EBs List'!$F7*100/2))</f>
        <v>4.8125</v>
      </c>
      <c r="J22" s="22">
        <f>IF(J10="","",IF(J10='EBs List'!$H7,100+'EBs List'!$F7*100/2,'EBs List'!$F7*100/2))</f>
        <v>4.8125</v>
      </c>
      <c r="K22" s="22">
        <f>IF(K10="","",IF(K10='EBs List'!$H7,100+'EBs List'!$F7*100/2,'EBs List'!$F7*100/2))</f>
        <v>4.8125</v>
      </c>
      <c r="L22" s="22">
        <f>IF(L10="","",IF(L10='EBs List'!$H7,100+'EBs List'!$F7*100/2,'EBs List'!$F7*100/2))</f>
        <v>4.8125</v>
      </c>
      <c r="M22" s="22">
        <f>IF(M10="","",IF(M10='EBs List'!$H7,100+'EBs List'!$F7*100/2,'EBs List'!$F7*100/2))</f>
        <v>4.8125</v>
      </c>
      <c r="N22" s="22">
        <f>IF(N10="","",IF(N10='EBs List'!$H7,100+'EBs List'!$F7*100/2,'EBs List'!$F7*100/2))</f>
        <v>4.8125</v>
      </c>
      <c r="O22" s="22">
        <f>IF(O10="","",IF(O10='EBs List'!$H7,100+'EBs List'!$F7*100/2,'EBs List'!$F7*100/2))</f>
        <v>4.8125</v>
      </c>
      <c r="P22" s="22">
        <f>IF(P10="","",IF(P10='EBs List'!$H7,100+'EBs List'!$F7*100/2,'EBs List'!$F7*100/2))</f>
        <v>4.8125</v>
      </c>
      <c r="Q22" s="22">
        <f>IF(Q10="","",IF(Q10='EBs List'!$H7,100+'EBs List'!$F7*100/2,'EBs List'!$F7*100/2))</f>
        <v>104.8125</v>
      </c>
      <c r="R22" s="22" t="str">
        <f>IF(R10="","",IF(R10='EBs List'!$H7,100+'EBs List'!$F7*100/2,'EBs List'!$F7*100/2))</f>
        <v/>
      </c>
      <c r="S22" s="22" t="str">
        <f>IF(S10="","",IF(S10='EBs List'!$H7,100+'EBs List'!$F7*100/2,'EBs List'!$F7*100/2))</f>
        <v/>
      </c>
      <c r="T22" s="22" t="str">
        <f>IF(T10="","",IF(T10='EBs List'!$H7,100+'EBs List'!$F7*100/2,'EBs List'!$F7*100/2))</f>
        <v/>
      </c>
      <c r="U22" s="22" t="str">
        <f>IF(U10="","",IF(U10='EBs List'!$H7,100+'EBs List'!$F7*100/2,'EBs List'!$F7*100/2))</f>
        <v/>
      </c>
      <c r="V22" s="22" t="str">
        <f>IF(V10="","",IF(V10='EBs List'!$H7,100+'EBs List'!$F7*100/2,'EBs List'!$F7*100/2))</f>
        <v/>
      </c>
      <c r="W22" s="22" t="str">
        <f>IF(W10="","",IF(W10='EBs List'!$H7,100+'EBs List'!$F7*100/2,'EBs List'!$F7*100/2))</f>
        <v/>
      </c>
      <c r="X22" s="22"/>
      <c r="Y22" s="22"/>
    </row>
    <row r="23" spans="1:25" x14ac:dyDescent="0.2">
      <c r="A23" t="s">
        <v>34</v>
      </c>
      <c r="B23" s="20" t="str">
        <f>INDEX('EBs List'!$B$1:$M$11,MATCH(A23,'EBs List'!$D$1:$D$11,0),1)</f>
        <v>8.875% Notes due October 23, 2027</v>
      </c>
      <c r="C23" s="20"/>
      <c r="D23" s="31">
        <f t="shared" si="0"/>
        <v>1.1154371584699454</v>
      </c>
      <c r="E23" s="22">
        <f>IF(E11="","",IF(E11='EBs List'!$H8,100+'EBs List'!$F8*100/2,'EBs List'!$F8*100/2))</f>
        <v>4.4375</v>
      </c>
      <c r="F23" s="22">
        <f>IF(F11="","",IF(F11='EBs List'!$H8,100+'EBs List'!$F8*100/2,'EBs List'!$F8*100/2))</f>
        <v>4.4375</v>
      </c>
      <c r="G23" s="22">
        <f>IF(G11="","",IF(G11='EBs List'!$H8,100+'EBs List'!$F8*100/2,'EBs List'!$F8*100/2))</f>
        <v>4.4375</v>
      </c>
      <c r="H23" s="22">
        <f>IF(H11="","",IF(H11='EBs List'!$H8,100+'EBs List'!$F8*100/2,'EBs List'!$F8*100/2))</f>
        <v>4.4375</v>
      </c>
      <c r="I23" s="22">
        <f>IF(I11="","",IF(I11='EBs List'!$H8,100+'EBs List'!$F8*100/2,'EBs List'!$F8*100/2))</f>
        <v>4.4375</v>
      </c>
      <c r="J23" s="22">
        <f>IF(J11="","",IF(J11='EBs List'!$H8,100+'EBs List'!$F8*100/2,'EBs List'!$F8*100/2))</f>
        <v>4.4375</v>
      </c>
      <c r="K23" s="22">
        <f>IF(K11="","",IF(K11='EBs List'!$H8,100+'EBs List'!$F8*100/2,'EBs List'!$F8*100/2))</f>
        <v>4.4375</v>
      </c>
      <c r="L23" s="22">
        <f>IF(L11="","",IF(L11='EBs List'!$H8,100+'EBs List'!$F8*100/2,'EBs List'!$F8*100/2))</f>
        <v>4.4375</v>
      </c>
      <c r="M23" s="22">
        <f>IF(M11="","",IF(M11='EBs List'!$H8,100+'EBs List'!$F8*100/2,'EBs List'!$F8*100/2))</f>
        <v>4.4375</v>
      </c>
      <c r="N23" s="22">
        <f>IF(N11="","",IF(N11='EBs List'!$H8,100+'EBs List'!$F8*100/2,'EBs List'!$F8*100/2))</f>
        <v>4.4375</v>
      </c>
      <c r="O23" s="22">
        <f>IF(O11="","",IF(O11='EBs List'!$H8,100+'EBs List'!$F8*100/2,'EBs List'!$F8*100/2))</f>
        <v>4.4375</v>
      </c>
      <c r="P23" s="22">
        <f>IF(P11="","",IF(P11='EBs List'!$H8,100+'EBs List'!$F8*100/2,'EBs List'!$F8*100/2))</f>
        <v>4.4375</v>
      </c>
      <c r="Q23" s="22">
        <f>IF(Q11="","",IF(Q11='EBs List'!$H8,100+'EBs List'!$F8*100/2,'EBs List'!$F8*100/2))</f>
        <v>4.4375</v>
      </c>
      <c r="R23" s="22">
        <f>IF(R11="","",IF(R11='EBs List'!$H8,100+'EBs List'!$F8*100/2,'EBs List'!$F8*100/2))</f>
        <v>104.4375</v>
      </c>
      <c r="S23" s="22" t="str">
        <f>IF(S11="","",IF(S11='EBs List'!$H8,100+'EBs List'!$F8*100/2,'EBs List'!$F8*100/2))</f>
        <v/>
      </c>
      <c r="T23" s="22" t="str">
        <f>IF(T11="","",IF(T11='EBs List'!$H8,100+'EBs List'!$F8*100/2,'EBs List'!$F8*100/2))</f>
        <v/>
      </c>
      <c r="U23" s="22" t="str">
        <f>IF(U11="","",IF(U11='EBs List'!$H8,100+'EBs List'!$F8*100/2,'EBs List'!$F8*100/2))</f>
        <v/>
      </c>
      <c r="V23" s="22" t="str">
        <f>IF(V11="","",IF(V11='EBs List'!$H8,100+'EBs List'!$F8*100/2,'EBs List'!$F8*100/2))</f>
        <v/>
      </c>
      <c r="W23" s="22" t="str">
        <f>IF(W11="","",IF(W11='EBs List'!$H8,100+'EBs List'!$F8*100/2,'EBs List'!$F8*100/2))</f>
        <v/>
      </c>
      <c r="X23" s="22"/>
      <c r="Y23" s="22"/>
    </row>
    <row r="24" spans="1:25" x14ac:dyDescent="0.2">
      <c r="A24" t="s">
        <v>36</v>
      </c>
      <c r="B24" s="20" t="str">
        <f>INDEX('EBs List'!$B$1:$M$11,MATCH(A24,'EBs List'!$D$1:$D$11,0),1)</f>
        <v>7.875% Notes due January 23, 2028</v>
      </c>
      <c r="C24" s="20"/>
      <c r="D24" s="31">
        <f t="shared" si="0"/>
        <v>2.953125</v>
      </c>
      <c r="E24" s="22">
        <f>IF(E12="","",IF(E12='EBs List'!$H9,100+'EBs List'!$F9*100/2,'EBs List'!$F9*100/2))</f>
        <v>3.9375</v>
      </c>
      <c r="F24" s="22">
        <f>IF(F12="","",IF(F12='EBs List'!$H9,100+'EBs List'!$F9*100/2,'EBs List'!$F9*100/2))</f>
        <v>3.9375</v>
      </c>
      <c r="G24" s="22">
        <f>IF(G12="","",IF(G12='EBs List'!$H9,100+'EBs List'!$F9*100/2,'EBs List'!$F9*100/2))</f>
        <v>3.9375</v>
      </c>
      <c r="H24" s="22">
        <f>IF(H12="","",IF(H12='EBs List'!$H9,100+'EBs List'!$F9*100/2,'EBs List'!$F9*100/2))</f>
        <v>3.9375</v>
      </c>
      <c r="I24" s="22">
        <f>IF(I12="","",IF(I12='EBs List'!$H9,100+'EBs List'!$F9*100/2,'EBs List'!$F9*100/2))</f>
        <v>3.9375</v>
      </c>
      <c r="J24" s="22">
        <f>IF(J12="","",IF(J12='EBs List'!$H9,100+'EBs List'!$F9*100/2,'EBs List'!$F9*100/2))</f>
        <v>3.9375</v>
      </c>
      <c r="K24" s="22">
        <f>IF(K12="","",IF(K12='EBs List'!$H9,100+'EBs List'!$F9*100/2,'EBs List'!$F9*100/2))</f>
        <v>3.9375</v>
      </c>
      <c r="L24" s="22">
        <f>IF(L12="","",IF(L12='EBs List'!$H9,100+'EBs List'!$F9*100/2,'EBs List'!$F9*100/2))</f>
        <v>3.9375</v>
      </c>
      <c r="M24" s="22">
        <f>IF(M12="","",IF(M12='EBs List'!$H9,100+'EBs List'!$F9*100/2,'EBs List'!$F9*100/2))</f>
        <v>3.9375</v>
      </c>
      <c r="N24" s="22">
        <f>IF(N12="","",IF(N12='EBs List'!$H9,100+'EBs List'!$F9*100/2,'EBs List'!$F9*100/2))</f>
        <v>3.9375</v>
      </c>
      <c r="O24" s="22">
        <f>IF(O12="","",IF(O12='EBs List'!$H9,100+'EBs List'!$F9*100/2,'EBs List'!$F9*100/2))</f>
        <v>3.9375</v>
      </c>
      <c r="P24" s="22">
        <f>IF(P12="","",IF(P12='EBs List'!$H9,100+'EBs List'!$F9*100/2,'EBs List'!$F9*100/2))</f>
        <v>3.9375</v>
      </c>
      <c r="Q24" s="22">
        <f>IF(Q12="","",IF(Q12='EBs List'!$H9,100+'EBs List'!$F9*100/2,'EBs List'!$F9*100/2))</f>
        <v>3.9375</v>
      </c>
      <c r="R24" s="22">
        <f>IF(R12="","",IF(R12='EBs List'!$H9,100+'EBs List'!$F9*100/2,'EBs List'!$F9*100/2))</f>
        <v>103.9375</v>
      </c>
      <c r="S24" s="22" t="str">
        <f>IF(S12="","",IF(S12='EBs List'!$H9,100+'EBs List'!$F9*100/2,'EBs List'!$F9*100/2))</f>
        <v/>
      </c>
      <c r="T24" s="22" t="str">
        <f>IF(T12="","",IF(T12='EBs List'!$H9,100+'EBs List'!$F9*100/2,'EBs List'!$F9*100/2))</f>
        <v/>
      </c>
      <c r="U24" s="22" t="str">
        <f>IF(U12="","",IF(U12='EBs List'!$H9,100+'EBs List'!$F9*100/2,'EBs List'!$F9*100/2))</f>
        <v/>
      </c>
      <c r="V24" s="22" t="str">
        <f>IF(V12="","",IF(V12='EBs List'!$H9,100+'EBs List'!$F9*100/2,'EBs List'!$F9*100/2))</f>
        <v/>
      </c>
      <c r="W24" s="22" t="str">
        <f>IF(W12="","",IF(W12='EBs List'!$H9,100+'EBs List'!$F9*100/2,'EBs List'!$F9*100/2))</f>
        <v/>
      </c>
      <c r="X24" s="22"/>
      <c r="Y24" s="22"/>
    </row>
    <row r="25" spans="1:25" x14ac:dyDescent="0.2">
      <c r="A25" t="s">
        <v>38</v>
      </c>
      <c r="B25" s="20" t="str">
        <f>INDEX('EBs List'!$B$1:$M$11,MATCH(A25,'EBs List'!$D$1:$D$11,0),1)</f>
        <v>10.750% Notes due January 31, 2029</v>
      </c>
      <c r="C25" s="20"/>
      <c r="D25" s="31">
        <f t="shared" si="0"/>
        <v>4.2649456521739131</v>
      </c>
      <c r="E25" s="22">
        <f>IF(E13="","",IF(E13='EBs List'!$H10,100+'EBs List'!$F10*100/2,'EBs List'!$F10*100/2))</f>
        <v>5.375</v>
      </c>
      <c r="F25" s="22">
        <f>IF(F13="","",IF(F13='EBs List'!$H10,100+'EBs List'!$F10*100/2,'EBs List'!$F10*100/2))</f>
        <v>5.375</v>
      </c>
      <c r="G25" s="22">
        <f>IF(G13="","",IF(G13='EBs List'!$H10,100+'EBs List'!$F10*100/2,'EBs List'!$F10*100/2))</f>
        <v>5.375</v>
      </c>
      <c r="H25" s="22">
        <f>IF(H13="","",IF(H13='EBs List'!$H10,100+'EBs List'!$F10*100/2,'EBs List'!$F10*100/2))</f>
        <v>5.375</v>
      </c>
      <c r="I25" s="22">
        <f>IF(I13="","",IF(I13='EBs List'!$H10,100+'EBs List'!$F10*100/2,'EBs List'!$F10*100/2))</f>
        <v>5.375</v>
      </c>
      <c r="J25" s="22">
        <f>IF(J13="","",IF(J13='EBs List'!$H10,100+'EBs List'!$F10*100/2,'EBs List'!$F10*100/2))</f>
        <v>5.375</v>
      </c>
      <c r="K25" s="22">
        <f>IF(K13="","",IF(K13='EBs List'!$H10,100+'EBs List'!$F10*100/2,'EBs List'!$F10*100/2))</f>
        <v>5.375</v>
      </c>
      <c r="L25" s="22">
        <f>IF(L13="","",IF(L13='EBs List'!$H10,100+'EBs List'!$F10*100/2,'EBs List'!$F10*100/2))</f>
        <v>5.375</v>
      </c>
      <c r="M25" s="22">
        <f>IF(M13="","",IF(M13='EBs List'!$H10,100+'EBs List'!$F10*100/2,'EBs List'!$F10*100/2))</f>
        <v>5.375</v>
      </c>
      <c r="N25" s="22">
        <f>IF(N13="","",IF(N13='EBs List'!$H10,100+'EBs List'!$F10*100/2,'EBs List'!$F10*100/2))</f>
        <v>5.375</v>
      </c>
      <c r="O25" s="22">
        <f>IF(O13="","",IF(O13='EBs List'!$H10,100+'EBs List'!$F10*100/2,'EBs List'!$F10*100/2))</f>
        <v>5.375</v>
      </c>
      <c r="P25" s="22">
        <f>IF(P13="","",IF(P13='EBs List'!$H10,100+'EBs List'!$F10*100/2,'EBs List'!$F10*100/2))</f>
        <v>5.375</v>
      </c>
      <c r="Q25" s="22">
        <f>IF(Q13="","",IF(Q13='EBs List'!$H10,100+'EBs List'!$F10*100/2,'EBs List'!$F10*100/2))</f>
        <v>5.375</v>
      </c>
      <c r="R25" s="22">
        <f>IF(R13="","",IF(R13='EBs List'!$H10,100+'EBs List'!$F10*100/2,'EBs List'!$F10*100/2))</f>
        <v>5.375</v>
      </c>
      <c r="S25" s="22">
        <f>IF(S13="","",IF(S13='EBs List'!$H10,100+'EBs List'!$F10*100/2,'EBs List'!$F10*100/2))</f>
        <v>5.375</v>
      </c>
      <c r="T25" s="22">
        <f>IF(T13="","",IF(T13='EBs List'!$H10,100+'EBs List'!$F10*100/2,'EBs List'!$F10*100/2))</f>
        <v>105.375</v>
      </c>
      <c r="U25" s="22" t="str">
        <f>IF(U13="","",IF(U13='EBs List'!$H10,100+'EBs List'!$F10*100/2,'EBs List'!$F10*100/2))</f>
        <v/>
      </c>
      <c r="V25" s="22" t="str">
        <f>IF(V13="","",IF(V13='EBs List'!$H10,100+'EBs List'!$F10*100/2,'EBs List'!$F10*100/2))</f>
        <v/>
      </c>
      <c r="W25" s="22" t="str">
        <f>IF(W13="","",IF(W13='EBs List'!$H10,100+'EBs List'!$F10*100/2,'EBs List'!$F10*100/2))</f>
        <v/>
      </c>
      <c r="X25" s="22"/>
      <c r="Y25" s="22"/>
    </row>
    <row r="26" spans="1:25" x14ac:dyDescent="0.2">
      <c r="A26" t="s">
        <v>40</v>
      </c>
      <c r="B26" s="20" t="str">
        <f>INDEX('EBs List'!$B$1:$M$11,MATCH(A26,'EBs List'!$D$1:$D$11,0),1)</f>
        <v>9.500% Notes due March 27, 2030</v>
      </c>
      <c r="C26" s="20"/>
      <c r="D26" s="31">
        <f t="shared" si="0"/>
        <v>0.51630434782608692</v>
      </c>
      <c r="E26" s="22">
        <f>IF(E14="","",IF(E14='EBs List'!$H11,100+'EBs List'!$F11*100/2,'EBs List'!$F11*100/2))</f>
        <v>4.75</v>
      </c>
      <c r="F26" s="22">
        <f>IF(F14="","",IF(F14='EBs List'!$H11,100+'EBs List'!$F11*100/2,'EBs List'!$F11*100/2))</f>
        <v>4.75</v>
      </c>
      <c r="G26" s="22">
        <f>IF(G14="","",IF(G14='EBs List'!$H11,100+'EBs List'!$F11*100/2,'EBs List'!$F11*100/2))</f>
        <v>4.75</v>
      </c>
      <c r="H26" s="22">
        <f>IF(H14="","",IF(H14='EBs List'!$H11,100+'EBs List'!$F11*100/2,'EBs List'!$F11*100/2))</f>
        <v>4.75</v>
      </c>
      <c r="I26" s="22">
        <f>IF(I14="","",IF(I14='EBs List'!$H11,100+'EBs List'!$F11*100/2,'EBs List'!$F11*100/2))</f>
        <v>4.75</v>
      </c>
      <c r="J26" s="22">
        <f>IF(J14="","",IF(J14='EBs List'!$H11,100+'EBs List'!$F11*100/2,'EBs List'!$F11*100/2))</f>
        <v>4.75</v>
      </c>
      <c r="K26" s="22">
        <f>IF(K14="","",IF(K14='EBs List'!$H11,100+'EBs List'!$F11*100/2,'EBs List'!$F11*100/2))</f>
        <v>4.75</v>
      </c>
      <c r="L26" s="22">
        <f>IF(L14="","",IF(L14='EBs List'!$H11,100+'EBs List'!$F11*100/2,'EBs List'!$F11*100/2))</f>
        <v>4.75</v>
      </c>
      <c r="M26" s="22">
        <f>IF(M14="","",IF(M14='EBs List'!$H11,100+'EBs List'!$F11*100/2,'EBs List'!$F11*100/2))</f>
        <v>4.75</v>
      </c>
      <c r="N26" s="22">
        <f>IF(N14="","",IF(N14='EBs List'!$H11,100+'EBs List'!$F11*100/2,'EBs List'!$F11*100/2))</f>
        <v>4.75</v>
      </c>
      <c r="O26" s="22">
        <f>IF(O14="","",IF(O14='EBs List'!$H11,100+'EBs List'!$F11*100/2,'EBs List'!$F11*100/2))</f>
        <v>4.75</v>
      </c>
      <c r="P26" s="22">
        <f>IF(P14="","",IF(P14='EBs List'!$H11,100+'EBs List'!$F11*100/2,'EBs List'!$F11*100/2))</f>
        <v>4.75</v>
      </c>
      <c r="Q26" s="22">
        <f>IF(Q14="","",IF(Q14='EBs List'!$H11,100+'EBs List'!$F11*100/2,'EBs List'!$F11*100/2))</f>
        <v>4.75</v>
      </c>
      <c r="R26" s="22">
        <f>IF(R14="","",IF(R14='EBs List'!$H11,100+'EBs List'!$F11*100/2,'EBs List'!$F11*100/2))</f>
        <v>4.75</v>
      </c>
      <c r="S26" s="22">
        <f>IF(S14="","",IF(S14='EBs List'!$H11,100+'EBs List'!$F11*100/2,'EBs List'!$F11*100/2))</f>
        <v>4.75</v>
      </c>
      <c r="T26" s="22">
        <f>IF(T14="","",IF(T14='EBs List'!$H11,100+'EBs List'!$F11*100/2,'EBs List'!$F11*100/2))</f>
        <v>4.75</v>
      </c>
      <c r="U26" s="22">
        <f>IF(U14="","",IF(U14='EBs List'!$H11,100+'EBs List'!$F11*100/2,'EBs List'!$F11*100/2))</f>
        <v>4.75</v>
      </c>
      <c r="V26" s="22">
        <f>IF(V14="","",IF(V14='EBs List'!$H11,100+'EBs List'!$F11*100/2,'EBs List'!$F11*100/2))</f>
        <v>4.75</v>
      </c>
      <c r="W26" s="22">
        <f>IF(W14="","",IF(W14='EBs List'!$H11,100+'EBs List'!$F11*100/2,'EBs List'!$F11*100/2))</f>
        <v>104.75</v>
      </c>
      <c r="X26" s="22"/>
      <c r="Y26" s="22"/>
    </row>
    <row r="28" spans="1:25" x14ac:dyDescent="0.2">
      <c r="D28" s="10" t="s">
        <v>89</v>
      </c>
    </row>
    <row r="29" spans="1:25" x14ac:dyDescent="0.2">
      <c r="A29" t="s">
        <v>22</v>
      </c>
      <c r="B29" s="20" t="str">
        <f>INDEX('EBs List'!$B$1:$M$11,MATCH(A29,'EBs List'!$D$1:$D$11,0),1)</f>
        <v>10.750% Notes due March 28, 2022</v>
      </c>
      <c r="C29" s="20"/>
      <c r="D29" s="22">
        <f t="shared" ref="D29:W29" si="1">IF(D5="","",(MAX(D5-$B$1,0)/365))</f>
        <v>5.7534246575342465E-2</v>
      </c>
      <c r="E29" s="22">
        <f t="shared" si="1"/>
        <v>0.55342465753424652</v>
      </c>
      <c r="F29" s="22">
        <f t="shared" si="1"/>
        <v>1.0575342465753426</v>
      </c>
      <c r="G29" s="22">
        <f t="shared" si="1"/>
        <v>1.5534246575342465</v>
      </c>
      <c r="H29" s="22" t="str">
        <f t="shared" si="1"/>
        <v/>
      </c>
      <c r="I29" s="22" t="str">
        <f t="shared" si="1"/>
        <v/>
      </c>
      <c r="J29" s="22" t="str">
        <f t="shared" si="1"/>
        <v/>
      </c>
      <c r="K29" s="22" t="str">
        <f t="shared" si="1"/>
        <v/>
      </c>
      <c r="L29" s="22" t="str">
        <f t="shared" si="1"/>
        <v/>
      </c>
      <c r="M29" s="22" t="str">
        <f t="shared" si="1"/>
        <v/>
      </c>
      <c r="N29" s="22" t="str">
        <f t="shared" si="1"/>
        <v/>
      </c>
      <c r="O29" s="22" t="str">
        <f t="shared" si="1"/>
        <v/>
      </c>
      <c r="P29" s="22" t="str">
        <f t="shared" si="1"/>
        <v/>
      </c>
      <c r="Q29" s="22" t="str">
        <f t="shared" si="1"/>
        <v/>
      </c>
      <c r="R29" s="22" t="str">
        <f t="shared" si="1"/>
        <v/>
      </c>
      <c r="S29" s="22" t="str">
        <f t="shared" si="1"/>
        <v/>
      </c>
      <c r="T29" s="22" t="str">
        <f t="shared" si="1"/>
        <v/>
      </c>
      <c r="U29" s="22" t="str">
        <f t="shared" si="1"/>
        <v/>
      </c>
      <c r="V29" s="22" t="str">
        <f t="shared" si="1"/>
        <v/>
      </c>
      <c r="W29" s="22" t="str">
        <f t="shared" si="1"/>
        <v/>
      </c>
    </row>
    <row r="30" spans="1:25" x14ac:dyDescent="0.2">
      <c r="A30" t="s">
        <v>24</v>
      </c>
      <c r="B30" s="20" t="str">
        <f>INDEX('EBs List'!$B$1:$M$11,MATCH(A30,'EBs List'!$D$1:$D$11,0),1)</f>
        <v>8.750% Notes due June 2, 2023</v>
      </c>
      <c r="C30" s="20"/>
      <c r="D30" s="22">
        <f t="shared" ref="D30:W30" si="2">IF(D6="","",(MAX(D6-$B$1,0)/365))</f>
        <v>0.23561643835616439</v>
      </c>
      <c r="E30" s="22">
        <f t="shared" si="2"/>
        <v>0.73424657534246573</v>
      </c>
      <c r="F30" s="22">
        <f t="shared" si="2"/>
        <v>1.2356164383561643</v>
      </c>
      <c r="G30" s="22">
        <f t="shared" si="2"/>
        <v>1.7342465753424658</v>
      </c>
      <c r="H30" s="22">
        <f t="shared" si="2"/>
        <v>2.2356164383561645</v>
      </c>
      <c r="I30" s="22">
        <f t="shared" si="2"/>
        <v>2.7342465753424658</v>
      </c>
      <c r="J30" s="22" t="str">
        <f t="shared" si="2"/>
        <v/>
      </c>
      <c r="K30" s="22" t="str">
        <f t="shared" si="2"/>
        <v/>
      </c>
      <c r="L30" s="22" t="str">
        <f t="shared" si="2"/>
        <v/>
      </c>
      <c r="M30" s="22" t="str">
        <f t="shared" si="2"/>
        <v/>
      </c>
      <c r="N30" s="22" t="str">
        <f t="shared" si="2"/>
        <v/>
      </c>
      <c r="O30" s="22" t="str">
        <f t="shared" si="2"/>
        <v/>
      </c>
      <c r="P30" s="22" t="str">
        <f t="shared" si="2"/>
        <v/>
      </c>
      <c r="Q30" s="22" t="str">
        <f t="shared" si="2"/>
        <v/>
      </c>
      <c r="R30" s="22" t="str">
        <f t="shared" si="2"/>
        <v/>
      </c>
      <c r="S30" s="22" t="str">
        <f t="shared" si="2"/>
        <v/>
      </c>
      <c r="T30" s="22" t="str">
        <f t="shared" si="2"/>
        <v/>
      </c>
      <c r="U30" s="22" t="str">
        <f t="shared" si="2"/>
        <v/>
      </c>
      <c r="V30" s="22" t="str">
        <f t="shared" si="2"/>
        <v/>
      </c>
      <c r="W30" s="22" t="str">
        <f t="shared" si="2"/>
        <v/>
      </c>
    </row>
    <row r="31" spans="1:25" x14ac:dyDescent="0.2">
      <c r="A31" t="s">
        <v>26</v>
      </c>
      <c r="B31" s="20" t="str">
        <f>INDEX('EBs List'!$B$1:$M$11,MATCH(A31,'EBs List'!$D$1:$D$11,0),1)</f>
        <v>7.950% Notes due June 20, 2024</v>
      </c>
      <c r="C31" s="20"/>
      <c r="D31" s="22">
        <f t="shared" ref="D31:W31" si="3">IF(D7="","",(MAX(D7-$B$1,0)/365))</f>
        <v>0.28493150684931506</v>
      </c>
      <c r="E31" s="22">
        <f t="shared" si="3"/>
        <v>0.78356164383561644</v>
      </c>
      <c r="F31" s="22">
        <f t="shared" si="3"/>
        <v>1.284931506849315</v>
      </c>
      <c r="G31" s="22">
        <f t="shared" si="3"/>
        <v>1.7835616438356163</v>
      </c>
      <c r="H31" s="22">
        <f t="shared" si="3"/>
        <v>2.2849315068493152</v>
      </c>
      <c r="I31" s="22">
        <f t="shared" si="3"/>
        <v>2.7835616438356166</v>
      </c>
      <c r="J31" s="22">
        <f t="shared" si="3"/>
        <v>3.2849315068493152</v>
      </c>
      <c r="K31" s="22">
        <f t="shared" si="3"/>
        <v>3.7863013698630139</v>
      </c>
      <c r="L31" s="22" t="str">
        <f t="shared" si="3"/>
        <v/>
      </c>
      <c r="M31" s="22" t="str">
        <f t="shared" si="3"/>
        <v/>
      </c>
      <c r="N31" s="22" t="str">
        <f t="shared" si="3"/>
        <v/>
      </c>
      <c r="O31" s="22" t="str">
        <f t="shared" si="3"/>
        <v/>
      </c>
      <c r="P31" s="22" t="str">
        <f t="shared" si="3"/>
        <v/>
      </c>
      <c r="Q31" s="22" t="str">
        <f t="shared" si="3"/>
        <v/>
      </c>
      <c r="R31" s="22" t="str">
        <f t="shared" si="3"/>
        <v/>
      </c>
      <c r="S31" s="22" t="str">
        <f t="shared" si="3"/>
        <v/>
      </c>
      <c r="T31" s="22" t="str">
        <f t="shared" si="3"/>
        <v/>
      </c>
      <c r="U31" s="22" t="str">
        <f t="shared" si="3"/>
        <v/>
      </c>
      <c r="V31" s="22" t="str">
        <f t="shared" si="3"/>
        <v/>
      </c>
      <c r="W31" s="22" t="str">
        <f t="shared" si="3"/>
        <v/>
      </c>
    </row>
    <row r="32" spans="1:25" x14ac:dyDescent="0.2">
      <c r="A32" t="s">
        <v>28</v>
      </c>
      <c r="B32" s="20" t="str">
        <f>INDEX('EBs List'!$B$1:$M$11,MATCH(A32,'EBs List'!$D$1:$D$11,0),1)</f>
        <v>7.875% Notes due March 27, 2025</v>
      </c>
      <c r="C32" s="20"/>
      <c r="D32" s="22">
        <f t="shared" ref="D32:W32" si="4">IF(D8="","",(MAX(D8-$B$1,0)/365))</f>
        <v>5.4794520547945202E-2</v>
      </c>
      <c r="E32" s="22">
        <f t="shared" si="4"/>
        <v>0.55068493150684927</v>
      </c>
      <c r="F32" s="22">
        <f t="shared" si="4"/>
        <v>1.0547945205479452</v>
      </c>
      <c r="G32" s="22">
        <f t="shared" si="4"/>
        <v>1.5506849315068494</v>
      </c>
      <c r="H32" s="22">
        <f t="shared" si="4"/>
        <v>2.0547945205479454</v>
      </c>
      <c r="I32" s="22">
        <f t="shared" si="4"/>
        <v>2.5506849315068494</v>
      </c>
      <c r="J32" s="22">
        <f t="shared" si="4"/>
        <v>3.0547945205479454</v>
      </c>
      <c r="K32" s="22">
        <f t="shared" si="4"/>
        <v>3.5534246575342467</v>
      </c>
      <c r="L32" s="22">
        <f t="shared" si="4"/>
        <v>4.0575342465753428</v>
      </c>
      <c r="M32" s="22">
        <f t="shared" si="4"/>
        <v>4.5534246575342463</v>
      </c>
      <c r="N32" s="22" t="str">
        <f t="shared" si="4"/>
        <v/>
      </c>
      <c r="O32" s="22" t="str">
        <f t="shared" si="4"/>
        <v/>
      </c>
      <c r="P32" s="22" t="str">
        <f t="shared" si="4"/>
        <v/>
      </c>
      <c r="Q32" s="22" t="str">
        <f t="shared" si="4"/>
        <v/>
      </c>
      <c r="R32" s="22" t="str">
        <f t="shared" si="4"/>
        <v/>
      </c>
      <c r="S32" s="22" t="str">
        <f t="shared" si="4"/>
        <v/>
      </c>
      <c r="T32" s="22" t="str">
        <f t="shared" si="4"/>
        <v/>
      </c>
      <c r="U32" s="22" t="str">
        <f t="shared" si="4"/>
        <v/>
      </c>
      <c r="V32" s="22" t="str">
        <f t="shared" si="4"/>
        <v/>
      </c>
      <c r="W32" s="22" t="str">
        <f t="shared" si="4"/>
        <v/>
      </c>
    </row>
    <row r="33" spans="1:23" x14ac:dyDescent="0.2">
      <c r="A33" t="s">
        <v>30</v>
      </c>
      <c r="B33" s="20" t="str">
        <f>INDEX('EBs List'!$B$1:$M$11,MATCH(A33,'EBs List'!$D$1:$D$11,0),1)</f>
        <v>9.650% Notes due December 13, 2026</v>
      </c>
      <c r="C33" s="20"/>
      <c r="D33" s="22">
        <f t="shared" ref="D33:W33" si="5">IF(D9="","",(MAX(D9-$B$1,0)/365))</f>
        <v>0.26575342465753427</v>
      </c>
      <c r="E33" s="22">
        <f t="shared" si="5"/>
        <v>0.76438356164383559</v>
      </c>
      <c r="F33" s="22">
        <f t="shared" si="5"/>
        <v>1.2657534246575342</v>
      </c>
      <c r="G33" s="22">
        <f t="shared" si="5"/>
        <v>1.7643835616438357</v>
      </c>
      <c r="H33" s="22">
        <f t="shared" si="5"/>
        <v>2.2657534246575342</v>
      </c>
      <c r="I33" s="22">
        <f t="shared" si="5"/>
        <v>2.7643835616438355</v>
      </c>
      <c r="J33" s="22">
        <f t="shared" si="5"/>
        <v>3.2657534246575342</v>
      </c>
      <c r="K33" s="22">
        <f t="shared" si="5"/>
        <v>3.7671232876712328</v>
      </c>
      <c r="L33" s="22">
        <f t="shared" si="5"/>
        <v>4.2684931506849315</v>
      </c>
      <c r="M33" s="22">
        <f t="shared" si="5"/>
        <v>4.7671232876712333</v>
      </c>
      <c r="N33" s="22">
        <f t="shared" si="5"/>
        <v>5.2684931506849315</v>
      </c>
      <c r="O33" s="22">
        <f t="shared" si="5"/>
        <v>5.7671232876712333</v>
      </c>
      <c r="P33" s="22">
        <f t="shared" si="5"/>
        <v>6.2684931506849315</v>
      </c>
      <c r="Q33" s="22" t="str">
        <f t="shared" si="5"/>
        <v/>
      </c>
      <c r="R33" s="22" t="str">
        <f t="shared" si="5"/>
        <v/>
      </c>
      <c r="S33" s="22" t="str">
        <f t="shared" si="5"/>
        <v/>
      </c>
      <c r="T33" s="22" t="str">
        <f t="shared" si="5"/>
        <v/>
      </c>
      <c r="U33" s="22" t="str">
        <f t="shared" si="5"/>
        <v/>
      </c>
      <c r="V33" s="22" t="str">
        <f t="shared" si="5"/>
        <v/>
      </c>
      <c r="W33" s="22" t="str">
        <f t="shared" si="5"/>
        <v/>
      </c>
    </row>
    <row r="34" spans="1:23" x14ac:dyDescent="0.2">
      <c r="A34" t="s">
        <v>32</v>
      </c>
      <c r="B34" s="20" t="str">
        <f>INDEX('EBs List'!$B$1:$M$11,MATCH(A34,'EBs List'!$D$1:$D$11,0),1)</f>
        <v>9.625% Notes due June 2, 2027</v>
      </c>
      <c r="C34" s="20"/>
      <c r="D34" s="22">
        <f t="shared" ref="D34:W34" si="6">IF(D10="","",(MAX(D10-$B$1,0)/365))</f>
        <v>0.23561643835616439</v>
      </c>
      <c r="E34" s="22">
        <f t="shared" si="6"/>
        <v>0.73424657534246573</v>
      </c>
      <c r="F34" s="22">
        <f t="shared" si="6"/>
        <v>1.2356164383561643</v>
      </c>
      <c r="G34" s="22">
        <f t="shared" si="6"/>
        <v>1.7342465753424658</v>
      </c>
      <c r="H34" s="22">
        <f t="shared" si="6"/>
        <v>2.2356164383561645</v>
      </c>
      <c r="I34" s="22">
        <f t="shared" si="6"/>
        <v>2.7342465753424658</v>
      </c>
      <c r="J34" s="22">
        <f t="shared" si="6"/>
        <v>3.2356164383561645</v>
      </c>
      <c r="K34" s="22">
        <f t="shared" si="6"/>
        <v>3.7369863013698632</v>
      </c>
      <c r="L34" s="22">
        <f t="shared" si="6"/>
        <v>4.2383561643835614</v>
      </c>
      <c r="M34" s="22">
        <f t="shared" si="6"/>
        <v>4.7369863013698632</v>
      </c>
      <c r="N34" s="22">
        <f t="shared" si="6"/>
        <v>5.2383561643835614</v>
      </c>
      <c r="O34" s="22">
        <f t="shared" si="6"/>
        <v>5.7369863013698632</v>
      </c>
      <c r="P34" s="22">
        <f t="shared" si="6"/>
        <v>6.2383561643835614</v>
      </c>
      <c r="Q34" s="22">
        <f t="shared" si="6"/>
        <v>6.7369863013698632</v>
      </c>
      <c r="R34" s="22" t="str">
        <f t="shared" si="6"/>
        <v/>
      </c>
      <c r="S34" s="22" t="str">
        <f t="shared" si="6"/>
        <v/>
      </c>
      <c r="T34" s="22" t="str">
        <f t="shared" si="6"/>
        <v/>
      </c>
      <c r="U34" s="22" t="str">
        <f t="shared" si="6"/>
        <v/>
      </c>
      <c r="V34" s="22" t="str">
        <f t="shared" si="6"/>
        <v/>
      </c>
      <c r="W34" s="22" t="str">
        <f t="shared" si="6"/>
        <v/>
      </c>
    </row>
    <row r="35" spans="1:23" x14ac:dyDescent="0.2">
      <c r="A35" t="s">
        <v>34</v>
      </c>
      <c r="B35" s="20" t="str">
        <f>INDEX('EBs List'!$B$1:$M$11,MATCH(A35,'EBs List'!$D$1:$D$11,0),1)</f>
        <v>8.875% Notes due October 23, 2027</v>
      </c>
      <c r="C35" s="20"/>
      <c r="D35" s="22">
        <f t="shared" ref="D35:W35" si="7">IF(D11="","",(MAX(D11-$B$1,0)/365))</f>
        <v>0.12602739726027398</v>
      </c>
      <c r="E35" s="22">
        <f t="shared" si="7"/>
        <v>0.62465753424657533</v>
      </c>
      <c r="F35" s="22">
        <f t="shared" si="7"/>
        <v>1.1260273972602739</v>
      </c>
      <c r="G35" s="22">
        <f t="shared" si="7"/>
        <v>1.6246575342465754</v>
      </c>
      <c r="H35" s="22">
        <f t="shared" si="7"/>
        <v>2.1260273972602741</v>
      </c>
      <c r="I35" s="22">
        <f t="shared" si="7"/>
        <v>2.6246575342465754</v>
      </c>
      <c r="J35" s="22">
        <f t="shared" si="7"/>
        <v>3.1260273972602741</v>
      </c>
      <c r="K35" s="22">
        <f t="shared" si="7"/>
        <v>3.6273972602739728</v>
      </c>
      <c r="L35" s="22">
        <f t="shared" si="7"/>
        <v>4.1287671232876715</v>
      </c>
      <c r="M35" s="22">
        <f t="shared" si="7"/>
        <v>4.6273972602739724</v>
      </c>
      <c r="N35" s="22">
        <f t="shared" si="7"/>
        <v>5.1287671232876715</v>
      </c>
      <c r="O35" s="22">
        <f t="shared" si="7"/>
        <v>5.6273972602739724</v>
      </c>
      <c r="P35" s="22">
        <f t="shared" si="7"/>
        <v>6.1287671232876715</v>
      </c>
      <c r="Q35" s="22">
        <f t="shared" si="7"/>
        <v>6.6273972602739724</v>
      </c>
      <c r="R35" s="22">
        <f t="shared" si="7"/>
        <v>7.1287671232876715</v>
      </c>
      <c r="S35" s="22" t="str">
        <f t="shared" si="7"/>
        <v/>
      </c>
      <c r="T35" s="22" t="str">
        <f t="shared" si="7"/>
        <v/>
      </c>
      <c r="U35" s="22" t="str">
        <f t="shared" si="7"/>
        <v/>
      </c>
      <c r="V35" s="22" t="str">
        <f t="shared" si="7"/>
        <v/>
      </c>
      <c r="W35" s="22" t="str">
        <f t="shared" si="7"/>
        <v/>
      </c>
    </row>
    <row r="36" spans="1:23" x14ac:dyDescent="0.2">
      <c r="A36" t="s">
        <v>36</v>
      </c>
      <c r="B36" s="20" t="str">
        <f>INDEX('EBs List'!$B$1:$M$11,MATCH(A36,'EBs List'!$D$1:$D$11,0),1)</f>
        <v>7.875% Notes due January 23, 2028</v>
      </c>
      <c r="C36" s="20"/>
      <c r="D36" s="22">
        <f t="shared" ref="D36:W36" si="8">IF(D12="","",(MAX(D12-$B$1,0)/365))</f>
        <v>0.37808219178082192</v>
      </c>
      <c r="E36" s="22">
        <f t="shared" si="8"/>
        <v>0.87397260273972599</v>
      </c>
      <c r="F36" s="22">
        <f t="shared" si="8"/>
        <v>1.3780821917808219</v>
      </c>
      <c r="G36" s="22">
        <f t="shared" si="8"/>
        <v>1.8739726027397261</v>
      </c>
      <c r="H36" s="22">
        <f t="shared" si="8"/>
        <v>2.3780821917808219</v>
      </c>
      <c r="I36" s="22">
        <f t="shared" si="8"/>
        <v>2.8739726027397259</v>
      </c>
      <c r="J36" s="22">
        <f t="shared" si="8"/>
        <v>3.3780821917808219</v>
      </c>
      <c r="K36" s="22">
        <f t="shared" si="8"/>
        <v>3.8767123287671232</v>
      </c>
      <c r="L36" s="22">
        <f t="shared" si="8"/>
        <v>4.3808219178082188</v>
      </c>
      <c r="M36" s="22">
        <f t="shared" si="8"/>
        <v>4.8767123287671232</v>
      </c>
      <c r="N36" s="22">
        <f t="shared" si="8"/>
        <v>5.3808219178082188</v>
      </c>
      <c r="O36" s="22">
        <f t="shared" si="8"/>
        <v>5.8767123287671232</v>
      </c>
      <c r="P36" s="22">
        <f t="shared" si="8"/>
        <v>6.3808219178082188</v>
      </c>
      <c r="Q36" s="22">
        <f t="shared" si="8"/>
        <v>6.8767123287671232</v>
      </c>
      <c r="R36" s="22">
        <f t="shared" si="8"/>
        <v>7.3808219178082188</v>
      </c>
      <c r="S36" s="22" t="str">
        <f t="shared" si="8"/>
        <v/>
      </c>
      <c r="T36" s="22" t="str">
        <f t="shared" si="8"/>
        <v/>
      </c>
      <c r="U36" s="22" t="str">
        <f t="shared" si="8"/>
        <v/>
      </c>
      <c r="V36" s="22" t="str">
        <f t="shared" si="8"/>
        <v/>
      </c>
      <c r="W36" s="22" t="str">
        <f t="shared" si="8"/>
        <v/>
      </c>
    </row>
    <row r="37" spans="1:23" x14ac:dyDescent="0.2">
      <c r="A37" t="s">
        <v>38</v>
      </c>
      <c r="B37" s="20" t="str">
        <f>INDEX('EBs List'!$B$1:$M$11,MATCH(A37,'EBs List'!$D$1:$D$11,0),1)</f>
        <v>10.750% Notes due January 31, 2029</v>
      </c>
      <c r="C37" s="20"/>
      <c r="D37" s="22">
        <f t="shared" ref="D37:W37" si="9">IF(D13="","",(MAX(D13-$B$1,0)/365))</f>
        <v>0.4</v>
      </c>
      <c r="E37" s="22">
        <f t="shared" si="9"/>
        <v>0.89589041095890409</v>
      </c>
      <c r="F37" s="22">
        <f t="shared" si="9"/>
        <v>1.4</v>
      </c>
      <c r="G37" s="22">
        <f t="shared" si="9"/>
        <v>1.8958904109589041</v>
      </c>
      <c r="H37" s="22">
        <f t="shared" si="9"/>
        <v>2.4</v>
      </c>
      <c r="I37" s="22">
        <f t="shared" si="9"/>
        <v>2.8958904109589043</v>
      </c>
      <c r="J37" s="22">
        <f t="shared" si="9"/>
        <v>3.4</v>
      </c>
      <c r="K37" s="22">
        <f t="shared" si="9"/>
        <v>3.8986301369863012</v>
      </c>
      <c r="L37" s="22">
        <f t="shared" si="9"/>
        <v>4.4027397260273968</v>
      </c>
      <c r="M37" s="22">
        <f t="shared" si="9"/>
        <v>4.8986301369863012</v>
      </c>
      <c r="N37" s="22">
        <f t="shared" si="9"/>
        <v>5.4027397260273968</v>
      </c>
      <c r="O37" s="22">
        <f t="shared" si="9"/>
        <v>5.8986301369863012</v>
      </c>
      <c r="P37" s="22">
        <f t="shared" si="9"/>
        <v>6.4027397260273968</v>
      </c>
      <c r="Q37" s="22">
        <f t="shared" si="9"/>
        <v>6.8986301369863012</v>
      </c>
      <c r="R37" s="22">
        <f t="shared" si="9"/>
        <v>7.4027397260273968</v>
      </c>
      <c r="S37" s="22">
        <f t="shared" si="9"/>
        <v>7.9013698630136986</v>
      </c>
      <c r="T37" s="22">
        <f t="shared" si="9"/>
        <v>8.4054794520547951</v>
      </c>
      <c r="U37" s="22" t="str">
        <f t="shared" si="9"/>
        <v/>
      </c>
      <c r="V37" s="22" t="str">
        <f t="shared" si="9"/>
        <v/>
      </c>
      <c r="W37" s="22" t="str">
        <f t="shared" si="9"/>
        <v/>
      </c>
    </row>
    <row r="38" spans="1:23" x14ac:dyDescent="0.2">
      <c r="A38" t="s">
        <v>40</v>
      </c>
      <c r="B38" s="20" t="str">
        <f>INDEX('EBs List'!$B$1:$M$11,MATCH(A38,'EBs List'!$D$1:$D$11,0),1)</f>
        <v>9.500% Notes due March 27, 2030</v>
      </c>
      <c r="C38" s="20"/>
      <c r="D38" s="22">
        <f t="shared" ref="D38:W38" si="10">IF(D14="","",(MAX(D14-$B$1,0)/365))</f>
        <v>5.4794520547945202E-2</v>
      </c>
      <c r="E38" s="22">
        <f t="shared" si="10"/>
        <v>0.55068493150684927</v>
      </c>
      <c r="F38" s="22">
        <f t="shared" si="10"/>
        <v>1.0547945205479452</v>
      </c>
      <c r="G38" s="22">
        <f t="shared" si="10"/>
        <v>1.5506849315068494</v>
      </c>
      <c r="H38" s="22">
        <f t="shared" si="10"/>
        <v>2.0547945205479454</v>
      </c>
      <c r="I38" s="22">
        <f t="shared" si="10"/>
        <v>2.5506849315068494</v>
      </c>
      <c r="J38" s="22">
        <f t="shared" si="10"/>
        <v>3.0547945205479454</v>
      </c>
      <c r="K38" s="22">
        <f t="shared" si="10"/>
        <v>3.5534246575342467</v>
      </c>
      <c r="L38" s="22">
        <f t="shared" si="10"/>
        <v>4.0575342465753428</v>
      </c>
      <c r="M38" s="22">
        <f t="shared" si="10"/>
        <v>4.5534246575342463</v>
      </c>
      <c r="N38" s="22">
        <f t="shared" si="10"/>
        <v>5.0575342465753428</v>
      </c>
      <c r="O38" s="22">
        <f t="shared" si="10"/>
        <v>5.5534246575342463</v>
      </c>
      <c r="P38" s="22">
        <f t="shared" si="10"/>
        <v>6.0575342465753428</v>
      </c>
      <c r="Q38" s="22">
        <f t="shared" si="10"/>
        <v>6.5534246575342463</v>
      </c>
      <c r="R38" s="22">
        <f t="shared" si="10"/>
        <v>7.0575342465753428</v>
      </c>
      <c r="S38" s="22">
        <f t="shared" si="10"/>
        <v>7.5561643835616437</v>
      </c>
      <c r="T38" s="22">
        <f t="shared" si="10"/>
        <v>8.0602739726027401</v>
      </c>
      <c r="U38" s="22">
        <f t="shared" si="10"/>
        <v>8.5561643835616437</v>
      </c>
      <c r="V38" s="22">
        <f t="shared" si="10"/>
        <v>9.0602739726027401</v>
      </c>
      <c r="W38" s="22">
        <f t="shared" si="10"/>
        <v>9.5561643835616437</v>
      </c>
    </row>
    <row r="40" spans="1:23" x14ac:dyDescent="0.2">
      <c r="D40" s="10" t="s">
        <v>90</v>
      </c>
    </row>
    <row r="41" spans="1:23" x14ac:dyDescent="0.2">
      <c r="A41" t="s">
        <v>22</v>
      </c>
      <c r="B41" s="20" t="str">
        <f>INDEX('EBs List'!$B$1:$M$11,MATCH(A41,'EBs List'!$D$1:$D$11,0),1)</f>
        <v>10.750% Notes due March 28, 2022</v>
      </c>
      <c r="C41" s="20"/>
      <c r="D41" s="22">
        <f t="shared" ref="D41:W41" si="11">IF(D29="","",D17/(1+$B$2)^D29)</f>
        <v>0.61017505821216589</v>
      </c>
      <c r="E41" s="22">
        <f t="shared" si="11"/>
        <v>5.1051614201710738</v>
      </c>
      <c r="F41" s="22">
        <f t="shared" si="11"/>
        <v>4.8711753679191343</v>
      </c>
      <c r="G41" s="22">
        <f t="shared" si="11"/>
        <v>91.190455088594234</v>
      </c>
      <c r="H41" s="22" t="str">
        <f t="shared" si="11"/>
        <v/>
      </c>
      <c r="I41" s="22" t="str">
        <f t="shared" si="11"/>
        <v/>
      </c>
      <c r="J41" s="22" t="str">
        <f t="shared" si="11"/>
        <v/>
      </c>
      <c r="K41" s="22" t="str">
        <f t="shared" si="11"/>
        <v/>
      </c>
      <c r="L41" s="22" t="str">
        <f t="shared" si="11"/>
        <v/>
      </c>
      <c r="M41" s="22" t="str">
        <f t="shared" si="11"/>
        <v/>
      </c>
      <c r="N41" s="22" t="str">
        <f t="shared" si="11"/>
        <v/>
      </c>
      <c r="O41" s="22" t="str">
        <f t="shared" si="11"/>
        <v/>
      </c>
      <c r="P41" s="22" t="str">
        <f t="shared" si="11"/>
        <v/>
      </c>
      <c r="Q41" s="22" t="str">
        <f t="shared" si="11"/>
        <v/>
      </c>
      <c r="R41" s="22" t="str">
        <f t="shared" si="11"/>
        <v/>
      </c>
      <c r="S41" s="22" t="str">
        <f t="shared" si="11"/>
        <v/>
      </c>
      <c r="T41" s="22" t="str">
        <f t="shared" si="11"/>
        <v/>
      </c>
      <c r="U41" s="22" t="str">
        <f t="shared" si="11"/>
        <v/>
      </c>
      <c r="V41" s="22" t="str">
        <f t="shared" si="11"/>
        <v/>
      </c>
      <c r="W41" s="22" t="str">
        <f t="shared" si="11"/>
        <v/>
      </c>
    </row>
    <row r="42" spans="1:23" x14ac:dyDescent="0.2">
      <c r="A42" t="s">
        <v>24</v>
      </c>
      <c r="B42" s="20" t="str">
        <f>INDEX('EBs List'!$B$1:$M$11,MATCH(A42,'EBs List'!$D$1:$D$11,0),1)</f>
        <v>8.750% Notes due June 2, 2023</v>
      </c>
      <c r="C42" s="20"/>
      <c r="D42" s="22">
        <f t="shared" ref="D42:W42" si="12">IF(D30="","",D18/(1+$B$2)^D30)</f>
        <v>2.0114164031645902</v>
      </c>
      <c r="E42" s="22">
        <f t="shared" si="12"/>
        <v>4.0860190536893439</v>
      </c>
      <c r="F42" s="22">
        <f t="shared" si="12"/>
        <v>3.8997378297267771</v>
      </c>
      <c r="G42" s="22">
        <f t="shared" si="12"/>
        <v>3.7228983028271325</v>
      </c>
      <c r="H42" s="22">
        <f t="shared" si="12"/>
        <v>3.5531717197088715</v>
      </c>
      <c r="I42" s="22">
        <f t="shared" si="12"/>
        <v>80.924567958261918</v>
      </c>
      <c r="J42" s="22" t="str">
        <f t="shared" si="12"/>
        <v/>
      </c>
      <c r="K42" s="22" t="str">
        <f t="shared" si="12"/>
        <v/>
      </c>
      <c r="L42" s="22" t="str">
        <f t="shared" si="12"/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</row>
    <row r="43" spans="1:23" x14ac:dyDescent="0.2">
      <c r="A43" t="s">
        <v>26</v>
      </c>
      <c r="B43" s="20" t="str">
        <f>INDEX('EBs List'!$B$1:$M$11,MATCH(A43,'EBs List'!$D$1:$D$11,0),1)</f>
        <v>7.950% Notes due June 20, 2024</v>
      </c>
      <c r="C43" s="20"/>
      <c r="D43" s="22">
        <f t="shared" ref="D43:W43" si="13">IF(D31="","",D19/(1+$B$2)^D31)</f>
        <v>2.1998986583173936</v>
      </c>
      <c r="E43" s="22">
        <f t="shared" si="13"/>
        <v>3.6954402672598348</v>
      </c>
      <c r="F43" s="22">
        <f t="shared" si="13"/>
        <v>3.5269654933979373</v>
      </c>
      <c r="G43" s="22">
        <f t="shared" si="13"/>
        <v>3.36702989349953</v>
      </c>
      <c r="H43" s="22">
        <f t="shared" si="13"/>
        <v>3.2135273176578147</v>
      </c>
      <c r="I43" s="22">
        <f t="shared" si="13"/>
        <v>3.0678050472523939</v>
      </c>
      <c r="J43" s="22">
        <f t="shared" si="13"/>
        <v>2.9279441039793275</v>
      </c>
      <c r="K43" s="22">
        <f t="shared" si="13"/>
        <v>73.09532501655346</v>
      </c>
      <c r="L43" s="22" t="str">
        <f t="shared" si="13"/>
        <v/>
      </c>
      <c r="M43" s="22" t="str">
        <f t="shared" si="13"/>
        <v/>
      </c>
      <c r="N43" s="22" t="str">
        <f t="shared" si="13"/>
        <v/>
      </c>
      <c r="O43" s="22" t="str">
        <f t="shared" si="13"/>
        <v/>
      </c>
      <c r="P43" s="22" t="str">
        <f t="shared" si="13"/>
        <v/>
      </c>
      <c r="Q43" s="22" t="str">
        <f t="shared" si="13"/>
        <v/>
      </c>
      <c r="R43" s="22" t="str">
        <f t="shared" si="13"/>
        <v/>
      </c>
      <c r="S43" s="22" t="str">
        <f t="shared" si="13"/>
        <v/>
      </c>
      <c r="T43" s="22" t="str">
        <f t="shared" si="13"/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</row>
    <row r="44" spans="1:23" x14ac:dyDescent="0.2">
      <c r="A44" t="s">
        <v>28</v>
      </c>
      <c r="B44" s="20" t="str">
        <f>INDEX('EBs List'!$B$1:$M$11,MATCH(A44,'EBs List'!$D$1:$D$11,0),1)</f>
        <v>7.875% Notes due March 27, 2025</v>
      </c>
      <c r="C44" s="20"/>
      <c r="D44" s="22">
        <f t="shared" ref="D44:W44" si="14">IF(D32="","",D20/(1+$B$2)^D32)</f>
        <v>0.42581208985513086</v>
      </c>
      <c r="E44" s="22">
        <f t="shared" si="14"/>
        <v>3.7407812648508956</v>
      </c>
      <c r="F44" s="22">
        <f t="shared" si="14"/>
        <v>3.569329165992257</v>
      </c>
      <c r="G44" s="22">
        <f t="shared" si="14"/>
        <v>3.4083414783850281</v>
      </c>
      <c r="H44" s="22">
        <f t="shared" si="14"/>
        <v>3.2521261696774877</v>
      </c>
      <c r="I44" s="22">
        <f t="shared" si="14"/>
        <v>3.105445309629157</v>
      </c>
      <c r="J44" s="22">
        <f t="shared" si="14"/>
        <v>2.9631127115621445</v>
      </c>
      <c r="K44" s="22">
        <f t="shared" si="14"/>
        <v>2.8287458712918365</v>
      </c>
      <c r="L44" s="22">
        <f t="shared" si="14"/>
        <v>2.6990953030194298</v>
      </c>
      <c r="M44" s="22">
        <f t="shared" si="14"/>
        <v>68.034064635319453</v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</row>
    <row r="45" spans="1:23" x14ac:dyDescent="0.2">
      <c r="A45" t="s">
        <v>30</v>
      </c>
      <c r="B45" s="20" t="str">
        <f>INDEX('EBs List'!$B$1:$M$11,MATCH(A45,'EBs List'!$D$1:$D$11,0),1)</f>
        <v>9.650% Notes due December 13, 2026</v>
      </c>
      <c r="C45" s="20"/>
      <c r="D45" s="22">
        <f t="shared" ref="D45:W45" si="15">IF(D33="","",D21/(1+$B$2)^D33)</f>
        <v>2.4950337090700496</v>
      </c>
      <c r="E45" s="22">
        <f t="shared" si="15"/>
        <v>4.4936737079174556</v>
      </c>
      <c r="F45" s="22">
        <f t="shared" si="15"/>
        <v>4.2888075466489592</v>
      </c>
      <c r="G45" s="22">
        <f t="shared" si="15"/>
        <v>4.0943250633056714</v>
      </c>
      <c r="H45" s="22">
        <f t="shared" si="15"/>
        <v>3.9076651691467004</v>
      </c>
      <c r="I45" s="22">
        <f t="shared" si="15"/>
        <v>3.7304661650170967</v>
      </c>
      <c r="J45" s="22">
        <f t="shared" si="15"/>
        <v>3.5603945637741039</v>
      </c>
      <c r="K45" s="22">
        <f t="shared" si="15"/>
        <v>3.3980765108196862</v>
      </c>
      <c r="L45" s="22">
        <f t="shared" si="15"/>
        <v>3.2431585226173567</v>
      </c>
      <c r="M45" s="22">
        <f t="shared" si="15"/>
        <v>3.096092580279282</v>
      </c>
      <c r="N45" s="22">
        <f t="shared" si="15"/>
        <v>2.9549420110387667</v>
      </c>
      <c r="O45" s="22">
        <f t="shared" si="15"/>
        <v>2.8209456835767757</v>
      </c>
      <c r="P45" s="22">
        <f t="shared" si="15"/>
        <v>58.492111790935759</v>
      </c>
      <c r="Q45" s="22" t="str">
        <f t="shared" si="15"/>
        <v/>
      </c>
      <c r="R45" s="22" t="str">
        <f t="shared" si="15"/>
        <v/>
      </c>
      <c r="S45" s="22" t="str">
        <f t="shared" si="15"/>
        <v/>
      </c>
      <c r="T45" s="22" t="str">
        <f t="shared" si="15"/>
        <v/>
      </c>
      <c r="U45" s="22" t="str">
        <f t="shared" si="15"/>
        <v/>
      </c>
      <c r="V45" s="22" t="str">
        <f t="shared" si="15"/>
        <v/>
      </c>
      <c r="W45" s="22" t="str">
        <f t="shared" si="15"/>
        <v/>
      </c>
    </row>
    <row r="46" spans="1:23" x14ac:dyDescent="0.2">
      <c r="A46" t="s">
        <v>32</v>
      </c>
      <c r="B46" s="20" t="str">
        <f>INDEX('EBs List'!$B$1:$M$11,MATCH(A46,'EBs List'!$D$1:$D$11,0),1)</f>
        <v>9.625% Notes due June 2, 2027</v>
      </c>
      <c r="C46" s="20"/>
      <c r="D46" s="22">
        <f t="shared" ref="D46:W46" si="16">IF(D34="","",D22/(1+$B$2)^D34)</f>
        <v>2.2125580434810495</v>
      </c>
      <c r="E46" s="22">
        <f t="shared" si="16"/>
        <v>4.4946209590582775</v>
      </c>
      <c r="F46" s="22">
        <f t="shared" si="16"/>
        <v>4.2897116126994552</v>
      </c>
      <c r="G46" s="22">
        <f t="shared" si="16"/>
        <v>4.0951881331098461</v>
      </c>
      <c r="H46" s="22">
        <f t="shared" si="16"/>
        <v>3.9084888916797587</v>
      </c>
      <c r="I46" s="22">
        <f t="shared" si="16"/>
        <v>3.7312525346024956</v>
      </c>
      <c r="J46" s="22">
        <f t="shared" si="16"/>
        <v>3.5611450828441402</v>
      </c>
      <c r="K46" s="22">
        <f t="shared" si="16"/>
        <v>3.3987928137959802</v>
      </c>
      <c r="L46" s="22">
        <f t="shared" si="16"/>
        <v>3.2438421694084014</v>
      </c>
      <c r="M46" s="22">
        <f t="shared" si="16"/>
        <v>3.0967452260696509</v>
      </c>
      <c r="N46" s="22">
        <f t="shared" si="16"/>
        <v>2.9555649027689981</v>
      </c>
      <c r="O46" s="22">
        <f t="shared" si="16"/>
        <v>2.8215403293367158</v>
      </c>
      <c r="P46" s="22">
        <f t="shared" si="16"/>
        <v>2.6929065713678164</v>
      </c>
      <c r="Q46" s="22">
        <f t="shared" si="16"/>
        <v>55.989860448558957</v>
      </c>
      <c r="R46" s="22" t="str">
        <f t="shared" si="16"/>
        <v/>
      </c>
      <c r="S46" s="22" t="str">
        <f t="shared" si="16"/>
        <v/>
      </c>
      <c r="T46" s="22" t="str">
        <f t="shared" si="16"/>
        <v/>
      </c>
      <c r="U46" s="22" t="str">
        <f t="shared" si="16"/>
        <v/>
      </c>
      <c r="V46" s="22" t="str">
        <f t="shared" si="16"/>
        <v/>
      </c>
      <c r="W46" s="22" t="str">
        <f t="shared" si="16"/>
        <v/>
      </c>
    </row>
    <row r="47" spans="1:23" x14ac:dyDescent="0.2">
      <c r="A47" t="s">
        <v>34</v>
      </c>
      <c r="B47" s="20" t="str">
        <f>INDEX('EBs List'!$B$1:$M$11,MATCH(A47,'EBs List'!$D$1:$D$11,0),1)</f>
        <v>8.875% Notes due October 23, 2027</v>
      </c>
      <c r="C47" s="20"/>
      <c r="D47" s="22">
        <f t="shared" ref="D47:W47" si="17">IF(D35="","",D23/(1+$B$2)^D35)</f>
        <v>1.1024303974952125</v>
      </c>
      <c r="E47" s="22">
        <f t="shared" si="17"/>
        <v>4.186876966835329</v>
      </c>
      <c r="F47" s="22">
        <f t="shared" si="17"/>
        <v>3.9959976401081216</v>
      </c>
      <c r="G47" s="22">
        <f t="shared" si="17"/>
        <v>3.8147930661026099</v>
      </c>
      <c r="H47" s="22">
        <f t="shared" si="17"/>
        <v>3.6408770093784324</v>
      </c>
      <c r="I47" s="22">
        <f t="shared" si="17"/>
        <v>3.4757759190101636</v>
      </c>
      <c r="J47" s="22">
        <f t="shared" si="17"/>
        <v>3.3173156221037621</v>
      </c>
      <c r="K47" s="22">
        <f t="shared" si="17"/>
        <v>3.1660795152144243</v>
      </c>
      <c r="L47" s="22">
        <f t="shared" si="17"/>
        <v>3.0217382481994246</v>
      </c>
      <c r="M47" s="22">
        <f t="shared" si="17"/>
        <v>2.8847129440487635</v>
      </c>
      <c r="N47" s="22">
        <f t="shared" si="17"/>
        <v>2.753199152522789</v>
      </c>
      <c r="O47" s="22">
        <f t="shared" si="17"/>
        <v>2.6283511609779966</v>
      </c>
      <c r="P47" s="22">
        <f t="shared" si="17"/>
        <v>2.50852487900598</v>
      </c>
      <c r="Q47" s="22">
        <f t="shared" si="17"/>
        <v>2.39477201350874</v>
      </c>
      <c r="R47" s="22">
        <f t="shared" si="17"/>
        <v>53.791951380142194</v>
      </c>
      <c r="S47" s="22" t="str">
        <f t="shared" si="17"/>
        <v/>
      </c>
      <c r="T47" s="22" t="str">
        <f t="shared" si="17"/>
        <v/>
      </c>
      <c r="U47" s="22" t="str">
        <f t="shared" si="17"/>
        <v/>
      </c>
      <c r="V47" s="22" t="str">
        <f t="shared" si="17"/>
        <v/>
      </c>
      <c r="W47" s="22" t="str">
        <f t="shared" si="17"/>
        <v/>
      </c>
    </row>
    <row r="48" spans="1:23" x14ac:dyDescent="0.2">
      <c r="A48" t="s">
        <v>36</v>
      </c>
      <c r="B48" s="20" t="str">
        <f>INDEX('EBs List'!$B$1:$M$11,MATCH(A48,'EBs List'!$D$1:$D$11,0),1)</f>
        <v>7.875% Notes due January 23, 2028</v>
      </c>
      <c r="C48" s="20"/>
      <c r="D48" s="22">
        <f t="shared" ref="D48:W48" si="18">IF(D36="","",D24/(1+$B$2)^D36)</f>
        <v>2.8510185626047329</v>
      </c>
      <c r="E48" s="22">
        <f t="shared" si="18"/>
        <v>3.629905180373961</v>
      </c>
      <c r="F48" s="22">
        <f t="shared" si="18"/>
        <v>3.4635348909157866</v>
      </c>
      <c r="G48" s="22">
        <f t="shared" si="18"/>
        <v>3.3073188494399695</v>
      </c>
      <c r="H48" s="22">
        <f t="shared" si="18"/>
        <v>3.1557337344108447</v>
      </c>
      <c r="I48" s="22">
        <f t="shared" si="18"/>
        <v>3.0134004686959979</v>
      </c>
      <c r="J48" s="22">
        <f t="shared" si="18"/>
        <v>2.8752865832587196</v>
      </c>
      <c r="K48" s="22">
        <f t="shared" si="18"/>
        <v>2.7449023519884874</v>
      </c>
      <c r="L48" s="22">
        <f t="shared" si="18"/>
        <v>2.619094603261646</v>
      </c>
      <c r="M48" s="22">
        <f t="shared" si="18"/>
        <v>2.5009654074954013</v>
      </c>
      <c r="N48" s="22">
        <f t="shared" si="18"/>
        <v>2.3863380775531287</v>
      </c>
      <c r="O48" s="22">
        <f t="shared" si="18"/>
        <v>2.2787069146403178</v>
      </c>
      <c r="P48" s="22">
        <f t="shared" si="18"/>
        <v>2.1742664099602491</v>
      </c>
      <c r="Q48" s="22">
        <f t="shared" si="18"/>
        <v>2.0762003293878606</v>
      </c>
      <c r="R48" s="22">
        <f t="shared" si="18"/>
        <v>52.293202783212649</v>
      </c>
      <c r="S48" s="22" t="str">
        <f t="shared" si="18"/>
        <v/>
      </c>
      <c r="T48" s="22" t="str">
        <f t="shared" si="18"/>
        <v/>
      </c>
      <c r="U48" s="22" t="str">
        <f t="shared" si="18"/>
        <v/>
      </c>
      <c r="V48" s="22" t="str">
        <f t="shared" si="18"/>
        <v/>
      </c>
      <c r="W48" s="22" t="str">
        <f t="shared" si="18"/>
        <v/>
      </c>
    </row>
    <row r="49" spans="1:23" x14ac:dyDescent="0.2">
      <c r="A49" t="s">
        <v>38</v>
      </c>
      <c r="B49" s="20" t="str">
        <f>INDEX('EBs List'!$B$1:$M$11,MATCH(A49,'EBs List'!$D$1:$D$11,0),1)</f>
        <v>10.750% Notes due January 31, 2029</v>
      </c>
      <c r="C49" s="20"/>
      <c r="D49" s="22">
        <f t="shared" ref="D49:W49" si="19">IF(D37="","",D25/(1+$B$2)^D37)</f>
        <v>4.1090915324089181</v>
      </c>
      <c r="E49" s="22">
        <f t="shared" si="19"/>
        <v>4.945011225723877</v>
      </c>
      <c r="F49" s="22">
        <f t="shared" si="19"/>
        <v>4.7183653746295393</v>
      </c>
      <c r="G49" s="22">
        <f t="shared" si="19"/>
        <v>4.5055526314998469</v>
      </c>
      <c r="H49" s="22">
        <f t="shared" si="19"/>
        <v>4.2990485884949434</v>
      </c>
      <c r="I49" s="22">
        <f t="shared" si="19"/>
        <v>4.1051483178875037</v>
      </c>
      <c r="J49" s="22">
        <f t="shared" si="19"/>
        <v>3.9169960990338648</v>
      </c>
      <c r="K49" s="22">
        <f t="shared" si="19"/>
        <v>3.7393739697356407</v>
      </c>
      <c r="L49" s="22">
        <f t="shared" si="19"/>
        <v>3.5679863717617484</v>
      </c>
      <c r="M49" s="22">
        <f t="shared" si="19"/>
        <v>3.4070592482908171</v>
      </c>
      <c r="N49" s="22">
        <f t="shared" si="19"/>
        <v>3.2509027083337885</v>
      </c>
      <c r="O49" s="22">
        <f t="shared" si="19"/>
        <v>3.1042770301427312</v>
      </c>
      <c r="P49" s="22">
        <f t="shared" si="19"/>
        <v>2.9619979781014871</v>
      </c>
      <c r="Q49" s="22">
        <f t="shared" si="19"/>
        <v>2.8284027889171672</v>
      </c>
      <c r="R49" s="22">
        <f t="shared" si="19"/>
        <v>2.6987679452191347</v>
      </c>
      <c r="S49" s="22">
        <f t="shared" si="19"/>
        <v>2.5763882193292234</v>
      </c>
      <c r="T49" s="22">
        <f t="shared" si="19"/>
        <v>48.194192726698745</v>
      </c>
      <c r="U49" s="22" t="str">
        <f t="shared" si="19"/>
        <v/>
      </c>
      <c r="V49" s="22" t="str">
        <f t="shared" si="19"/>
        <v/>
      </c>
      <c r="W49" s="22" t="str">
        <f t="shared" si="19"/>
        <v/>
      </c>
    </row>
    <row r="50" spans="1:23" x14ac:dyDescent="0.2">
      <c r="A50" t="s">
        <v>40</v>
      </c>
      <c r="B50" s="20" t="str">
        <f>INDEX('EBs List'!$B$1:$M$11,MATCH(A50,'EBs List'!$D$1:$D$11,0),1)</f>
        <v>9.500% Notes due March 27, 2030</v>
      </c>
      <c r="C50" s="20"/>
      <c r="D50" s="22">
        <f t="shared" ref="D50:W50" si="20">IF(D38="","",D26/(1+$B$2)^D38)</f>
        <v>0.51367807665063403</v>
      </c>
      <c r="E50" s="22">
        <f t="shared" si="20"/>
        <v>4.5126885099788581</v>
      </c>
      <c r="F50" s="22">
        <f t="shared" si="20"/>
        <v>4.3058574065938338</v>
      </c>
      <c r="G50" s="22">
        <f t="shared" si="20"/>
        <v>4.1116500374168599</v>
      </c>
      <c r="H50" s="22">
        <f t="shared" si="20"/>
        <v>3.9231998237379213</v>
      </c>
      <c r="I50" s="22">
        <f t="shared" si="20"/>
        <v>3.7462514846319985</v>
      </c>
      <c r="J50" s="22">
        <f t="shared" si="20"/>
        <v>3.5745486679162379</v>
      </c>
      <c r="K50" s="22">
        <f t="shared" si="20"/>
        <v>3.4124553367965014</v>
      </c>
      <c r="L50" s="22">
        <f t="shared" si="20"/>
        <v>3.2560514766583597</v>
      </c>
      <c r="M50" s="22">
        <f t="shared" si="20"/>
        <v>3.1091935732316771</v>
      </c>
      <c r="N50" s="22">
        <f t="shared" si="20"/>
        <v>2.9666891801260813</v>
      </c>
      <c r="O50" s="22">
        <f t="shared" si="20"/>
        <v>2.8328824033489908</v>
      </c>
      <c r="P50" s="22">
        <f t="shared" si="20"/>
        <v>2.7030422444394993</v>
      </c>
      <c r="Q50" s="22">
        <f t="shared" si="20"/>
        <v>2.5811267527042343</v>
      </c>
      <c r="R50" s="22">
        <f t="shared" si="20"/>
        <v>2.4628253691591686</v>
      </c>
      <c r="S50" s="22">
        <f t="shared" si="20"/>
        <v>2.3511448172516407</v>
      </c>
      <c r="T50" s="22">
        <f t="shared" si="20"/>
        <v>2.2433842493119722</v>
      </c>
      <c r="U50" s="22">
        <f t="shared" si="20"/>
        <v>2.1422007422955178</v>
      </c>
      <c r="V50" s="22">
        <f t="shared" si="20"/>
        <v>2.044016756801851</v>
      </c>
      <c r="W50" s="22">
        <f t="shared" si="20"/>
        <v>43.042885016638365</v>
      </c>
    </row>
    <row r="54" spans="1:23" ht="32" x14ac:dyDescent="0.2">
      <c r="D54" s="24" t="s">
        <v>91</v>
      </c>
      <c r="E54" s="24" t="s">
        <v>92</v>
      </c>
    </row>
    <row r="55" spans="1:23" x14ac:dyDescent="0.2">
      <c r="A55" t="s">
        <v>22</v>
      </c>
      <c r="B55" s="20" t="str">
        <f>INDEX('EBs List'!$B$1:$M$11,MATCH(A55,'EBs List'!$D$1:$D$11,0),1)</f>
        <v>10.750% Notes due March 28, 2022</v>
      </c>
      <c r="C55" s="3" t="s">
        <v>123</v>
      </c>
      <c r="D55" s="23">
        <f>SUM(D41:W41)</f>
        <v>101.77696693489661</v>
      </c>
      <c r="E55" s="23">
        <f t="shared" ref="E55:E64" si="21">SUMPRODUCT(D41:W41,D29:W29)/D55</f>
        <v>1.4705622393684363</v>
      </c>
    </row>
    <row r="56" spans="1:23" x14ac:dyDescent="0.2">
      <c r="A56" t="s">
        <v>24</v>
      </c>
      <c r="B56" s="20" t="str">
        <f>INDEX('EBs List'!$B$1:$M$11,MATCH(A56,'EBs List'!$D$1:$D$11,0),1)</f>
        <v>8.750% Notes due June 2, 2023</v>
      </c>
      <c r="C56" s="3" t="s">
        <v>124</v>
      </c>
      <c r="D56" s="23">
        <f t="shared" ref="D56:D64" si="22">SUM(D42:W42)</f>
        <v>98.197811267378626</v>
      </c>
      <c r="E56" s="23">
        <f t="shared" si="21"/>
        <v>2.4843763911111711</v>
      </c>
    </row>
    <row r="57" spans="1:23" x14ac:dyDescent="0.2">
      <c r="A57" t="s">
        <v>26</v>
      </c>
      <c r="B57" s="20" t="str">
        <f>INDEX('EBs List'!$B$1:$M$11,MATCH(A57,'EBs List'!$D$1:$D$11,0),1)</f>
        <v>7.950% Notes due June 20, 2024</v>
      </c>
      <c r="C57" s="3" t="s">
        <v>125</v>
      </c>
      <c r="D57" s="23">
        <f t="shared" si="22"/>
        <v>95.093935797917695</v>
      </c>
      <c r="E57" s="23">
        <f t="shared" si="21"/>
        <v>3.3264032753342678</v>
      </c>
    </row>
    <row r="58" spans="1:23" x14ac:dyDescent="0.2">
      <c r="A58" t="s">
        <v>28</v>
      </c>
      <c r="B58" s="20" t="str">
        <f>INDEX('EBs List'!$B$1:$M$11,MATCH(A58,'EBs List'!$D$1:$D$11,0),1)</f>
        <v>7.875% Notes due March 27, 2025</v>
      </c>
      <c r="C58" s="3" t="s">
        <v>126</v>
      </c>
      <c r="D58" s="23">
        <f t="shared" si="22"/>
        <v>94.026853999582812</v>
      </c>
      <c r="E58" s="23">
        <f t="shared" si="21"/>
        <v>3.8880387846200635</v>
      </c>
    </row>
    <row r="59" spans="1:23" x14ac:dyDescent="0.2">
      <c r="A59" t="s">
        <v>30</v>
      </c>
      <c r="B59" s="20" t="str">
        <f>INDEX('EBs List'!$B$1:$M$11,MATCH(A59,'EBs List'!$D$1:$D$11,0),1)</f>
        <v>9.650% Notes due December 13, 2026</v>
      </c>
      <c r="C59" s="3" t="s">
        <v>127</v>
      </c>
      <c r="D59" s="23">
        <f t="shared" si="22"/>
        <v>100.57569302414765</v>
      </c>
      <c r="E59" s="23">
        <f t="shared" si="21"/>
        <v>4.8465205803688614</v>
      </c>
    </row>
    <row r="60" spans="1:23" x14ac:dyDescent="0.2">
      <c r="A60" t="s">
        <v>32</v>
      </c>
      <c r="B60" s="20" t="str">
        <f>INDEX('EBs List'!$B$1:$M$11,MATCH(A60,'EBs List'!$D$1:$D$11,0),1)</f>
        <v>9.625% Notes due June 2, 2027</v>
      </c>
      <c r="C60" s="3" t="s">
        <v>100</v>
      </c>
      <c r="D60" s="23">
        <f t="shared" si="22"/>
        <v>100.49221771878155</v>
      </c>
      <c r="E60" s="23">
        <f t="shared" si="21"/>
        <v>5.109621922440188</v>
      </c>
    </row>
    <row r="61" spans="1:23" x14ac:dyDescent="0.2">
      <c r="A61" t="s">
        <v>34</v>
      </c>
      <c r="B61" s="20" t="str">
        <f>INDEX('EBs List'!$B$1:$M$11,MATCH(A61,'EBs List'!$D$1:$D$11,0),1)</f>
        <v>8.875% Notes due October 23, 2027</v>
      </c>
      <c r="C61" s="3" t="s">
        <v>101</v>
      </c>
      <c r="D61" s="23">
        <f t="shared" si="22"/>
        <v>96.683395914653957</v>
      </c>
      <c r="E61" s="23">
        <f t="shared" si="21"/>
        <v>5.3951480373263099</v>
      </c>
    </row>
    <row r="62" spans="1:23" x14ac:dyDescent="0.2">
      <c r="A62" t="s">
        <v>36</v>
      </c>
      <c r="B62" s="20" t="str">
        <f>INDEX('EBs List'!$B$1:$M$11,MATCH(A62,'EBs List'!$D$1:$D$11,0),1)</f>
        <v>7.875% Notes due January 23, 2028</v>
      </c>
      <c r="C62" s="3" t="s">
        <v>128</v>
      </c>
      <c r="D62" s="23">
        <f t="shared" si="22"/>
        <v>91.36987514719975</v>
      </c>
      <c r="E62" s="23">
        <f t="shared" si="21"/>
        <v>5.644752060639239</v>
      </c>
    </row>
    <row r="63" spans="1:23" x14ac:dyDescent="0.2">
      <c r="A63" t="s">
        <v>38</v>
      </c>
      <c r="B63" s="20" t="str">
        <f>INDEX('EBs List'!$B$1:$M$11,MATCH(A63,'EBs List'!$D$1:$D$11,0),1)</f>
        <v>10.750% Notes due January 31, 2029</v>
      </c>
      <c r="C63" s="3" t="s">
        <v>129</v>
      </c>
      <c r="D63" s="23">
        <f t="shared" si="22"/>
        <v>106.92856275620898</v>
      </c>
      <c r="E63" s="23">
        <f t="shared" si="21"/>
        <v>5.8310401955804796</v>
      </c>
    </row>
    <row r="64" spans="1:23" x14ac:dyDescent="0.2">
      <c r="A64" t="s">
        <v>40</v>
      </c>
      <c r="B64" s="20" t="str">
        <f>INDEX('EBs List'!$B$1:$M$11,MATCH(A64,'EBs List'!$D$1:$D$11,0),1)</f>
        <v>9.500% Notes due March 27, 2030</v>
      </c>
      <c r="C64" s="3" t="s">
        <v>130</v>
      </c>
      <c r="D64" s="23">
        <f t="shared" si="22"/>
        <v>99.83577192569021</v>
      </c>
      <c r="E64" s="23">
        <f t="shared" si="21"/>
        <v>6.4795430097870605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959A-5E68-3145-9CDA-184E4EF2A385}">
  <dimension ref="A1:R130"/>
  <sheetViews>
    <sheetView showGridLines="0" zoomScaleNormal="100" workbookViewId="0"/>
  </sheetViews>
  <sheetFormatPr baseColWidth="10" defaultColWidth="8.83203125" defaultRowHeight="15" x14ac:dyDescent="0.2"/>
  <cols>
    <col min="1" max="1" width="17.1640625" customWidth="1"/>
    <col min="2" max="2" width="37.6640625" bestFit="1" customWidth="1"/>
    <col min="3" max="3" width="20.1640625" customWidth="1"/>
    <col min="4" max="4" width="19" customWidth="1"/>
    <col min="5" max="5" width="15.5" customWidth="1"/>
    <col min="6" max="6" width="25.1640625" customWidth="1"/>
    <col min="7" max="7" width="5" customWidth="1"/>
    <col min="8" max="11" width="15.5" customWidth="1"/>
    <col min="12" max="12" width="17.83203125" customWidth="1"/>
    <col min="13" max="13" width="11.6640625" customWidth="1"/>
    <col min="14" max="14" width="18.5" customWidth="1"/>
    <col min="15" max="15" width="11.6640625" customWidth="1"/>
  </cols>
  <sheetData>
    <row r="1" spans="1:18" x14ac:dyDescent="0.2">
      <c r="A1" s="29" t="s">
        <v>99</v>
      </c>
      <c r="H1" s="29" t="s">
        <v>148</v>
      </c>
    </row>
    <row r="2" spans="1:18" ht="48" x14ac:dyDescent="0.2">
      <c r="A2" s="86"/>
      <c r="B2" s="87"/>
      <c r="C2" s="131" t="s">
        <v>65</v>
      </c>
      <c r="D2" s="132"/>
      <c r="E2" s="133"/>
      <c r="F2" s="99" t="s">
        <v>66</v>
      </c>
      <c r="H2" s="86"/>
      <c r="I2" s="87"/>
      <c r="J2" s="87"/>
      <c r="K2" s="107"/>
      <c r="L2" s="134" t="s">
        <v>103</v>
      </c>
      <c r="M2" s="135"/>
      <c r="N2" s="136" t="s">
        <v>104</v>
      </c>
      <c r="O2" s="135"/>
    </row>
    <row r="3" spans="1:18" ht="48" x14ac:dyDescent="0.2">
      <c r="A3" s="115" t="s">
        <v>85</v>
      </c>
      <c r="B3" s="71" t="s">
        <v>71</v>
      </c>
      <c r="C3" s="115" t="s">
        <v>49</v>
      </c>
      <c r="D3" s="71" t="s">
        <v>50</v>
      </c>
      <c r="E3" s="73" t="s">
        <v>51</v>
      </c>
      <c r="F3" s="116" t="s">
        <v>52</v>
      </c>
      <c r="G3" s="28"/>
      <c r="H3" s="108" t="s">
        <v>163</v>
      </c>
      <c r="I3" s="109" t="s">
        <v>102</v>
      </c>
      <c r="J3" s="109" t="s">
        <v>120</v>
      </c>
      <c r="K3" s="110" t="s">
        <v>95</v>
      </c>
      <c r="L3" s="88" t="s">
        <v>115</v>
      </c>
      <c r="M3" s="89" t="s">
        <v>96</v>
      </c>
      <c r="N3" s="28" t="s">
        <v>115</v>
      </c>
      <c r="O3" s="89" t="s">
        <v>105</v>
      </c>
      <c r="Q3" s="28"/>
      <c r="R3" s="28"/>
    </row>
    <row r="4" spans="1:18" x14ac:dyDescent="0.2">
      <c r="A4" s="90" t="s">
        <v>123</v>
      </c>
      <c r="B4" s="3" t="s">
        <v>0</v>
      </c>
      <c r="C4" s="95">
        <v>300</v>
      </c>
      <c r="D4" s="27">
        <v>495.3</v>
      </c>
      <c r="E4" s="96">
        <v>116</v>
      </c>
      <c r="F4" s="100">
        <v>78.92</v>
      </c>
      <c r="G4" s="27"/>
      <c r="H4" s="117">
        <v>1972287000</v>
      </c>
      <c r="I4" s="67">
        <v>0</v>
      </c>
      <c r="J4" s="63">
        <v>2000000000</v>
      </c>
      <c r="K4" s="91">
        <v>0.98609999999999998</v>
      </c>
      <c r="L4" s="111">
        <f>SUMPRODUCT(C4:E4,$C$16:$E$16)/SUM(C4:E4)</f>
        <v>65.762729068363882</v>
      </c>
      <c r="M4" s="112">
        <f>L4/VLOOKUP($A4,'EBs NPVs'!$C$55:$D$64,2,FALSE)*100</f>
        <v>64.614549881831465</v>
      </c>
      <c r="N4" s="44">
        <f>SUMPRODUCT(C4:F4,$C$16:$F$16)/SUM(C4:F4)</f>
        <v>64.466598331683869</v>
      </c>
      <c r="O4" s="112">
        <f>N4/VLOOKUP($A4,'EBs NPVs'!$C$55:$D$64,2,FALSE)*100</f>
        <v>63.341048837622601</v>
      </c>
      <c r="Q4" s="69"/>
      <c r="R4" s="2"/>
    </row>
    <row r="5" spans="1:18" x14ac:dyDescent="0.2">
      <c r="A5" s="90" t="s">
        <v>124</v>
      </c>
      <c r="B5" s="3" t="s">
        <v>4</v>
      </c>
      <c r="C5" s="95">
        <v>229</v>
      </c>
      <c r="D5" s="27">
        <v>495.3</v>
      </c>
      <c r="E5" s="96">
        <v>187</v>
      </c>
      <c r="F5" s="100">
        <v>50.78</v>
      </c>
      <c r="G5" s="27"/>
      <c r="H5" s="117">
        <v>977614000</v>
      </c>
      <c r="I5" s="67">
        <v>0</v>
      </c>
      <c r="J5" s="63">
        <v>1000000000</v>
      </c>
      <c r="K5" s="91">
        <v>0.97760000000000002</v>
      </c>
      <c r="L5" s="111">
        <f t="shared" ref="L5:L13" si="0">SUMPRODUCT(C5:E5,$C$16:$E$16)/SUM(C5:E5)</f>
        <v>64.428508723801158</v>
      </c>
      <c r="M5" s="112">
        <f>L5/VLOOKUP($A5,'EBs NPVs'!$C$55:$D$64,2,FALSE)*100</f>
        <v>65.610941722897991</v>
      </c>
      <c r="N5" s="44">
        <f t="shared" ref="N5:N13" si="1">SUMPRODUCT(C5:F5,$C$16:$F$16)/SUM(C5:F5)</f>
        <v>63.640560036587395</v>
      </c>
      <c r="O5" s="112">
        <f>N5/VLOOKUP($A5,'EBs NPVs'!$C$55:$D$64,2,FALSE)*100</f>
        <v>64.808532099868529</v>
      </c>
      <c r="Q5" s="69"/>
      <c r="R5" s="2"/>
    </row>
    <row r="6" spans="1:18" x14ac:dyDescent="0.2">
      <c r="A6" s="90" t="s">
        <v>125</v>
      </c>
      <c r="B6" s="3" t="s">
        <v>5</v>
      </c>
      <c r="C6" s="95">
        <v>300</v>
      </c>
      <c r="D6" s="27">
        <v>495.3</v>
      </c>
      <c r="E6" s="96">
        <v>116</v>
      </c>
      <c r="F6" s="100">
        <v>42.68</v>
      </c>
      <c r="G6" s="27"/>
      <c r="H6" s="117">
        <v>1808157000</v>
      </c>
      <c r="I6" s="67">
        <v>105027000</v>
      </c>
      <c r="J6" s="63">
        <v>2000000000</v>
      </c>
      <c r="K6" s="91">
        <v>0.95420000000000005</v>
      </c>
      <c r="L6" s="111">
        <f t="shared" si="0"/>
        <v>65.762729068363882</v>
      </c>
      <c r="M6" s="112">
        <f>L6/VLOOKUP($A6,'EBs NPVs'!$C$55:$D$64,2,FALSE)*100</f>
        <v>69.15554447984465</v>
      </c>
      <c r="N6" s="44">
        <f t="shared" si="1"/>
        <v>65.035152728568747</v>
      </c>
      <c r="O6" s="112">
        <f>N6/VLOOKUP($A6,'EBs NPVs'!$C$55:$D$64,2,FALSE)*100</f>
        <v>68.39043119087394</v>
      </c>
      <c r="Q6" s="69"/>
      <c r="R6" s="2"/>
    </row>
    <row r="7" spans="1:18" x14ac:dyDescent="0.2">
      <c r="A7" s="90" t="s">
        <v>126</v>
      </c>
      <c r="B7" s="3" t="s">
        <v>6</v>
      </c>
      <c r="C7" s="95">
        <v>189</v>
      </c>
      <c r="D7" s="27">
        <v>495.3</v>
      </c>
      <c r="E7" s="96">
        <v>227</v>
      </c>
      <c r="F7" s="100">
        <v>57.89</v>
      </c>
      <c r="G7" s="27"/>
      <c r="H7" s="117">
        <v>587055000</v>
      </c>
      <c r="I7" s="67">
        <v>0</v>
      </c>
      <c r="J7" s="63">
        <v>600000000</v>
      </c>
      <c r="K7" s="91">
        <v>0.97840000000000005</v>
      </c>
      <c r="L7" s="111">
        <f t="shared" si="0"/>
        <v>63.676835290244703</v>
      </c>
      <c r="M7" s="112">
        <f>L7/VLOOKUP($A7,'EBs NPVs'!$C$55:$D$64,2,FALSE)*100</f>
        <v>67.721967269613458</v>
      </c>
      <c r="N7" s="44">
        <f t="shared" si="1"/>
        <v>62.830048803640153</v>
      </c>
      <c r="O7" s="112">
        <f>N7/VLOOKUP($A7,'EBs NPVs'!$C$55:$D$64,2,FALSE)*100</f>
        <v>66.821387860024458</v>
      </c>
      <c r="Q7" s="69"/>
      <c r="R7" s="2"/>
    </row>
    <row r="8" spans="1:18" x14ac:dyDescent="0.2">
      <c r="A8" s="90" t="s">
        <v>127</v>
      </c>
      <c r="B8" s="3" t="s">
        <v>7</v>
      </c>
      <c r="C8" s="95">
        <v>189</v>
      </c>
      <c r="D8" s="27">
        <v>495.3</v>
      </c>
      <c r="E8" s="96">
        <v>227</v>
      </c>
      <c r="F8" s="100">
        <v>53.51</v>
      </c>
      <c r="G8" s="27"/>
      <c r="H8" s="117">
        <v>1703336000</v>
      </c>
      <c r="I8" s="67">
        <v>11750000</v>
      </c>
      <c r="J8" s="63">
        <v>1750000000</v>
      </c>
      <c r="K8" s="91">
        <v>0.97989999999999999</v>
      </c>
      <c r="L8" s="111">
        <f t="shared" si="0"/>
        <v>63.676835290244703</v>
      </c>
      <c r="M8" s="112">
        <f>L8/VLOOKUP($A8,'EBs NPVs'!$C$55:$D$64,2,FALSE)*100</f>
        <v>63.31235050496371</v>
      </c>
      <c r="N8" s="44">
        <f t="shared" si="1"/>
        <v>62.890563945232742</v>
      </c>
      <c r="O8" s="112">
        <f>N8/VLOOKUP($A8,'EBs NPVs'!$C$55:$D$64,2,FALSE)*100</f>
        <v>62.53057975959765</v>
      </c>
      <c r="Q8" s="69"/>
      <c r="R8" s="2"/>
    </row>
    <row r="9" spans="1:18" x14ac:dyDescent="0.2">
      <c r="A9" s="90" t="s">
        <v>100</v>
      </c>
      <c r="B9" s="3" t="s">
        <v>8</v>
      </c>
      <c r="C9" s="95">
        <v>189</v>
      </c>
      <c r="D9" s="27">
        <v>495.3</v>
      </c>
      <c r="E9" s="96">
        <v>227</v>
      </c>
      <c r="F9" s="100">
        <v>55.9</v>
      </c>
      <c r="G9" s="27"/>
      <c r="H9" s="117">
        <v>982142000</v>
      </c>
      <c r="I9" s="67">
        <v>0</v>
      </c>
      <c r="J9" s="63">
        <v>1000000000</v>
      </c>
      <c r="K9" s="91">
        <v>0.98209999999999997</v>
      </c>
      <c r="L9" s="111">
        <f t="shared" si="0"/>
        <v>63.676835290244703</v>
      </c>
      <c r="M9" s="112">
        <f>L9/VLOOKUP($A9,'EBs NPVs'!$C$55:$D$64,2,FALSE)*100</f>
        <v>63.364941819115394</v>
      </c>
      <c r="N9" s="44">
        <f t="shared" si="1"/>
        <v>62.857475186104224</v>
      </c>
      <c r="O9" s="112">
        <f>N9/VLOOKUP($A9,'EBs NPVs'!$C$55:$D$64,2,FALSE)*100</f>
        <v>62.549594996505334</v>
      </c>
      <c r="Q9" s="69"/>
      <c r="R9" s="2"/>
    </row>
    <row r="10" spans="1:18" x14ac:dyDescent="0.2">
      <c r="A10" s="90" t="s">
        <v>101</v>
      </c>
      <c r="B10" s="3" t="s">
        <v>9</v>
      </c>
      <c r="C10" s="95">
        <v>189</v>
      </c>
      <c r="D10" s="27">
        <v>495.3</v>
      </c>
      <c r="E10" s="96">
        <v>227</v>
      </c>
      <c r="F10" s="100">
        <v>59.78</v>
      </c>
      <c r="G10" s="27"/>
      <c r="H10" s="117">
        <v>2454719000</v>
      </c>
      <c r="I10" s="67">
        <v>0</v>
      </c>
      <c r="J10" s="63">
        <v>2500000000</v>
      </c>
      <c r="K10" s="91">
        <v>0.9819</v>
      </c>
      <c r="L10" s="111">
        <f t="shared" si="0"/>
        <v>63.676835290244703</v>
      </c>
      <c r="M10" s="112">
        <f>L10/VLOOKUP($A10,'EBs NPVs'!$C$55:$D$64,2,FALSE)*100</f>
        <v>65.861190215592586</v>
      </c>
      <c r="N10" s="44">
        <f t="shared" si="1"/>
        <v>62.80410470815999</v>
      </c>
      <c r="O10" s="112">
        <f>N10/VLOOKUP($A10,'EBs NPVs'!$C$55:$D$64,2,FALSE)*100</f>
        <v>64.958521692390207</v>
      </c>
      <c r="Q10" s="69"/>
      <c r="R10" s="2"/>
    </row>
    <row r="11" spans="1:18" x14ac:dyDescent="0.2">
      <c r="A11" s="90" t="s">
        <v>128</v>
      </c>
      <c r="B11" s="3" t="s">
        <v>10</v>
      </c>
      <c r="C11" s="95">
        <v>189</v>
      </c>
      <c r="D11" s="27">
        <v>495.3</v>
      </c>
      <c r="E11" s="96">
        <v>227</v>
      </c>
      <c r="F11" s="100">
        <v>36.07</v>
      </c>
      <c r="G11" s="27"/>
      <c r="H11" s="117">
        <v>2906442000</v>
      </c>
      <c r="I11" s="67">
        <v>26000000</v>
      </c>
      <c r="J11" s="63">
        <v>3000000000</v>
      </c>
      <c r="K11" s="91">
        <v>0.97729999999999995</v>
      </c>
      <c r="L11" s="111">
        <f t="shared" si="0"/>
        <v>63.676835290244703</v>
      </c>
      <c r="M11" s="112">
        <f>L11/VLOOKUP($A11,'EBs NPVs'!$C$55:$D$64,2,FALSE)*100</f>
        <v>69.691279743634666</v>
      </c>
      <c r="N11" s="44">
        <f t="shared" si="1"/>
        <v>63.137068938218427</v>
      </c>
      <c r="O11" s="112">
        <f>N11/VLOOKUP($A11,'EBs NPVs'!$C$55:$D$64,2,FALSE)*100</f>
        <v>69.100531041005169</v>
      </c>
      <c r="Q11" s="69"/>
      <c r="R11" s="2"/>
    </row>
    <row r="12" spans="1:18" x14ac:dyDescent="0.2">
      <c r="A12" s="90" t="s">
        <v>129</v>
      </c>
      <c r="B12" s="3" t="s">
        <v>11</v>
      </c>
      <c r="C12" s="95">
        <v>189</v>
      </c>
      <c r="D12" s="27">
        <v>495.3</v>
      </c>
      <c r="E12" s="96">
        <v>227</v>
      </c>
      <c r="F12" s="100">
        <v>47.59</v>
      </c>
      <c r="G12" s="27"/>
      <c r="H12" s="102">
        <v>2069176000</v>
      </c>
      <c r="I12" s="67">
        <v>19000000</v>
      </c>
      <c r="J12" s="63">
        <v>2125000000</v>
      </c>
      <c r="K12" s="91">
        <v>0.98250000000000004</v>
      </c>
      <c r="L12" s="111">
        <f t="shared" si="0"/>
        <v>63.676835290244703</v>
      </c>
      <c r="M12" s="112">
        <f>L12/VLOOKUP($A12,'EBs NPVs'!$C$55:$D$64,2,FALSE)*100</f>
        <v>59.55081939652014</v>
      </c>
      <c r="N12" s="44">
        <f t="shared" si="1"/>
        <v>62.973234677595968</v>
      </c>
      <c r="O12" s="112">
        <f>N12/VLOOKUP($A12,'EBs NPVs'!$C$55:$D$64,2,FALSE)*100</f>
        <v>58.892809418163928</v>
      </c>
      <c r="Q12" s="69"/>
      <c r="R12" s="2"/>
    </row>
    <row r="13" spans="1:18" x14ac:dyDescent="0.2">
      <c r="A13" s="90" t="s">
        <v>130</v>
      </c>
      <c r="B13" s="3" t="s">
        <v>12</v>
      </c>
      <c r="C13" s="95">
        <v>189</v>
      </c>
      <c r="D13" s="27">
        <v>495.3</v>
      </c>
      <c r="E13" s="96">
        <v>227</v>
      </c>
      <c r="F13" s="100">
        <v>69.92</v>
      </c>
      <c r="G13" s="27"/>
      <c r="H13" s="103">
        <v>1382144000</v>
      </c>
      <c r="I13" s="104">
        <v>0</v>
      </c>
      <c r="J13" s="105">
        <v>1400000000</v>
      </c>
      <c r="K13" s="106">
        <v>0.98719999999999997</v>
      </c>
      <c r="L13" s="113">
        <f t="shared" si="0"/>
        <v>63.676835290244703</v>
      </c>
      <c r="M13" s="114">
        <f>L13/VLOOKUP($A13,'EBs NPVs'!$C$55:$D$64,2,FALSE)*100</f>
        <v>63.781582555039151</v>
      </c>
      <c r="N13" s="82">
        <f t="shared" si="1"/>
        <v>62.666619106826197</v>
      </c>
      <c r="O13" s="114">
        <f>N13/VLOOKUP($A13,'EBs NPVs'!$C$55:$D$64,2,FALSE)*100</f>
        <v>62.769704583914297</v>
      </c>
      <c r="Q13" s="69"/>
      <c r="R13" s="2"/>
    </row>
    <row r="14" spans="1:18" x14ac:dyDescent="0.2">
      <c r="A14" s="92"/>
      <c r="B14" s="93" t="s">
        <v>67</v>
      </c>
      <c r="C14" s="97">
        <v>0</v>
      </c>
      <c r="D14" s="94">
        <v>0</v>
      </c>
      <c r="E14" s="98">
        <v>911.3</v>
      </c>
      <c r="F14" s="101">
        <v>0</v>
      </c>
      <c r="G14" s="27"/>
      <c r="H14" s="27"/>
      <c r="I14" s="27"/>
      <c r="J14" s="27"/>
      <c r="K14" s="27"/>
    </row>
    <row r="16" spans="1:18" ht="16" x14ac:dyDescent="0.2">
      <c r="B16" s="28" t="str">
        <f>"NBs Exit Price on "&amp;TEXT('NBs List'!$E$1,"dd-mmm-aa")</f>
        <v>NBs Exit Price on 07-Sep-20</v>
      </c>
      <c r="C16" s="27">
        <f>INDEX('NBs List'!$E$3:$E$6,MATCH(C3,'NBs List'!$A$3:$A$6,0))</f>
        <v>74.125</v>
      </c>
      <c r="D16" s="27">
        <f>INDEX('NBs List'!$E$3:$E$6,MATCH(D3,'NBs List'!$A$3:$A$6,0))</f>
        <v>62.75</v>
      </c>
      <c r="E16" s="27">
        <f>INDEX('NBs List'!$E$3:$E$6,MATCH(E3,'NBs List'!$A$3:$A$6,0))</f>
        <v>57</v>
      </c>
      <c r="F16" s="27">
        <f>INDEX('NBs List'!$E$3:$E$6,MATCH(F3,'NBs List'!$A$3:$A$6,0))</f>
        <v>49.5</v>
      </c>
      <c r="G16" s="27"/>
      <c r="H16" s="27"/>
      <c r="I16" s="27"/>
      <c r="J16" s="27"/>
      <c r="K16" s="27"/>
      <c r="L16" s="7"/>
      <c r="M16" s="7"/>
      <c r="N16" s="7"/>
      <c r="O16" s="7"/>
    </row>
    <row r="17" spans="6:15" x14ac:dyDescent="0.2">
      <c r="L17" s="7"/>
      <c r="M17" s="7"/>
      <c r="N17" s="7"/>
      <c r="O17" s="7"/>
    </row>
    <row r="18" spans="6:15" x14ac:dyDescent="0.2">
      <c r="M18" s="2"/>
    </row>
    <row r="19" spans="6:15" x14ac:dyDescent="0.2">
      <c r="M19" s="2"/>
    </row>
    <row r="22" spans="6:15" x14ac:dyDescent="0.2">
      <c r="L22" s="60"/>
    </row>
    <row r="23" spans="6:15" x14ac:dyDescent="0.2">
      <c r="L23" s="1"/>
    </row>
    <row r="25" spans="6:15" x14ac:dyDescent="0.2">
      <c r="L25" s="1"/>
    </row>
    <row r="26" spans="6:15" x14ac:dyDescent="0.2">
      <c r="L26" s="1"/>
    </row>
    <row r="30" spans="6:15" x14ac:dyDescent="0.2">
      <c r="F30" s="16"/>
      <c r="G30" s="16"/>
      <c r="H30" s="16"/>
      <c r="I30" s="16"/>
      <c r="J30" s="16"/>
      <c r="K30" s="16"/>
    </row>
    <row r="31" spans="6:15" x14ac:dyDescent="0.2">
      <c r="F31" s="16"/>
      <c r="G31" s="16"/>
      <c r="H31" s="16"/>
      <c r="I31" s="16"/>
      <c r="J31" s="16"/>
      <c r="K31" s="16"/>
    </row>
    <row r="33" spans="5:12" x14ac:dyDescent="0.2">
      <c r="E33" s="27"/>
    </row>
    <row r="34" spans="5:12" x14ac:dyDescent="0.2">
      <c r="E34" s="27"/>
    </row>
    <row r="35" spans="5:12" x14ac:dyDescent="0.2">
      <c r="E35" s="27"/>
    </row>
    <row r="36" spans="5:12" x14ac:dyDescent="0.2">
      <c r="E36" s="27"/>
      <c r="F36" s="1"/>
      <c r="G36" s="1"/>
      <c r="H36" s="1"/>
      <c r="I36" s="1"/>
      <c r="J36" s="1"/>
      <c r="K36" s="1"/>
      <c r="L36" s="1"/>
    </row>
    <row r="37" spans="5:12" x14ac:dyDescent="0.2">
      <c r="E37" s="27"/>
    </row>
    <row r="38" spans="5:12" x14ac:dyDescent="0.2">
      <c r="E38" s="27"/>
    </row>
    <row r="39" spans="5:12" x14ac:dyDescent="0.2">
      <c r="E39" s="27"/>
      <c r="F39" s="1"/>
      <c r="G39" s="1"/>
      <c r="H39" s="1"/>
      <c r="I39" s="1"/>
      <c r="J39" s="1"/>
      <c r="K39" s="1"/>
      <c r="L39" s="1"/>
    </row>
    <row r="40" spans="5:12" x14ac:dyDescent="0.2">
      <c r="E40" s="27"/>
    </row>
    <row r="41" spans="5:12" x14ac:dyDescent="0.2">
      <c r="E41" s="27"/>
    </row>
    <row r="42" spans="5:12" x14ac:dyDescent="0.2">
      <c r="E42" s="27"/>
    </row>
    <row r="43" spans="5:12" x14ac:dyDescent="0.2">
      <c r="E43" s="27"/>
    </row>
    <row r="44" spans="5:12" x14ac:dyDescent="0.2">
      <c r="F44" s="4"/>
      <c r="G44" s="4"/>
      <c r="H44" s="4"/>
      <c r="I44" s="4"/>
      <c r="J44" s="4"/>
      <c r="K44" s="4"/>
    </row>
    <row r="87" spans="1:12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122" spans="1:12" x14ac:dyDescent="0.2">
      <c r="A122" s="13"/>
      <c r="B122" s="13" t="s">
        <v>72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x14ac:dyDescent="0.2">
      <c r="A123" s="13"/>
      <c r="B123" s="13" t="s">
        <v>73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x14ac:dyDescent="0.2">
      <c r="A124" s="13"/>
      <c r="B124" s="13" t="s">
        <v>74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x14ac:dyDescent="0.2">
      <c r="A125" s="13"/>
      <c r="B125" s="13" t="s">
        <v>75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x14ac:dyDescent="0.2">
      <c r="A126" s="13"/>
      <c r="B126" s="13" t="s">
        <v>76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x14ac:dyDescent="0.2">
      <c r="A127" s="13"/>
      <c r="B127" s="13" t="s">
        <v>77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x14ac:dyDescent="0.2">
      <c r="A128" s="13"/>
      <c r="B128" s="13" t="s">
        <v>78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x14ac:dyDescent="0.2">
      <c r="A129" s="13"/>
      <c r="B129" s="13" t="s">
        <v>79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x14ac:dyDescent="0.2">
      <c r="A130" s="13"/>
      <c r="B130" s="13" t="s">
        <v>80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</sheetData>
  <mergeCells count="3">
    <mergeCell ref="C2:E2"/>
    <mergeCell ref="L2:M2"/>
    <mergeCell ref="N2:O2"/>
  </mergeCells>
  <pageMargins left="0.7" right="0.7" top="0.75" bottom="0.75" header="0.3" footer="0.3"/>
  <pageSetup orientation="portrait" r:id="rId1"/>
  <ignoredErrors>
    <ignoredError sqref="L4:L13" formulaRange="1"/>
    <ignoredError sqref="N4:N1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3F82-C8B2-D341-92D8-C6419BC1E0AC}">
  <dimension ref="A1:BA36"/>
  <sheetViews>
    <sheetView showGridLines="0" zoomScale="110" zoomScaleNormal="110" workbookViewId="0"/>
  </sheetViews>
  <sheetFormatPr baseColWidth="10" defaultColWidth="11.5" defaultRowHeight="15" x14ac:dyDescent="0.2"/>
  <cols>
    <col min="1" max="1" width="14.33203125" bestFit="1" customWidth="1"/>
    <col min="2" max="2" width="14" customWidth="1"/>
    <col min="5" max="5" width="14" customWidth="1"/>
    <col min="6" max="6" width="12.83203125" customWidth="1"/>
    <col min="8" max="8" width="8.6640625" bestFit="1" customWidth="1"/>
    <col min="9" max="10" width="13" bestFit="1" customWidth="1"/>
    <col min="16" max="16" width="14.6640625" customWidth="1"/>
    <col min="19" max="19" width="15.33203125" bestFit="1" customWidth="1"/>
  </cols>
  <sheetData>
    <row r="1" spans="1:19" x14ac:dyDescent="0.2">
      <c r="E1" s="72">
        <v>44081</v>
      </c>
    </row>
    <row r="2" spans="1:19" ht="48" x14ac:dyDescent="0.2">
      <c r="A2" s="84" t="s">
        <v>160</v>
      </c>
      <c r="B2" s="71" t="s">
        <v>107</v>
      </c>
      <c r="C2" s="85" t="s">
        <v>98</v>
      </c>
      <c r="D2" s="85" t="s">
        <v>106</v>
      </c>
      <c r="E2" s="71" t="str">
        <f>"Exit Price on
 "&amp;TEXT(E1,"dd-mmm-aa")</f>
        <v>Exit Price on
 07-Sep-20</v>
      </c>
      <c r="F2" s="71" t="str">
        <f>"Exit Yield on 
"&amp;
TEXT(E1,"dd-mmm-aa")</f>
        <v>Exit Yield on 
07-Sep-20</v>
      </c>
      <c r="G2" s="71" t="s">
        <v>42</v>
      </c>
      <c r="H2" s="71" t="s">
        <v>94</v>
      </c>
      <c r="I2" s="71" t="s">
        <v>118</v>
      </c>
      <c r="J2" s="73" t="s">
        <v>119</v>
      </c>
    </row>
    <row r="3" spans="1:19" x14ac:dyDescent="0.2">
      <c r="A3" s="74" t="s">
        <v>49</v>
      </c>
      <c r="B3" s="75">
        <v>10</v>
      </c>
      <c r="C3" s="121">
        <v>46053</v>
      </c>
      <c r="D3" s="76">
        <v>3701</v>
      </c>
      <c r="E3" s="2">
        <f>VLOOKUP($E$1,NYBonds_NewBonds_prices,MATCH($I3,'EBs &amp; NBs Prices'!$AA$14:$AE$14,0),FALSE)</f>
        <v>74.125</v>
      </c>
      <c r="F3" s="2">
        <f>VLOOKUP($E$1,NYBonds_NewBonds_yields,MATCH($I3,'EBs &amp; NBs Prices'!$AA$14:$AE$14,0),FALSE)</f>
        <v>10.231664</v>
      </c>
      <c r="G3" s="124">
        <v>47695</v>
      </c>
      <c r="H3" s="44">
        <f>SUMPRODUCT('NBs NPVs'!E33:AQ33,'NBs NPVs'!E27:AQ27)/SUM('NBs NPVs'!E33:AQ33)</f>
        <v>6.6412198939754115</v>
      </c>
      <c r="I3" s="44" t="s">
        <v>18</v>
      </c>
      <c r="J3" s="77" t="s">
        <v>18</v>
      </c>
    </row>
    <row r="4" spans="1:19" x14ac:dyDescent="0.2">
      <c r="A4" s="74" t="s">
        <v>50</v>
      </c>
      <c r="B4" s="75">
        <v>10</v>
      </c>
      <c r="C4" s="122">
        <v>47879</v>
      </c>
      <c r="D4" s="76">
        <v>8459</v>
      </c>
      <c r="E4" s="2">
        <f>VLOOKUP($E$1,NYBonds_NewBonds_prices,MATCH($I4,'EBs &amp; NBs Prices'!$AA$14:$AE$14,0),FALSE)</f>
        <v>62.75</v>
      </c>
      <c r="F4" s="2">
        <f>VLOOKUP($E$1,NYBonds_NewBonds_yields,MATCH($I4,'EBs &amp; NBs Prices'!$AA$14:$AE$14,0),FALSE)</f>
        <v>9.7057579999999994</v>
      </c>
      <c r="G4" s="124">
        <v>49521</v>
      </c>
      <c r="H4" s="44">
        <f>SUMPRODUCT('NBs NPVs'!E34:AQ34,'NBs NPVs'!E28:AQ28)/SUM('NBs NPVs'!E34:AQ34)</f>
        <v>10.138577683625233</v>
      </c>
      <c r="I4" s="44" t="s">
        <v>20</v>
      </c>
      <c r="J4" s="77" t="s">
        <v>20</v>
      </c>
    </row>
    <row r="5" spans="1:19" x14ac:dyDescent="0.2">
      <c r="A5" s="74" t="s">
        <v>51</v>
      </c>
      <c r="B5" s="75">
        <v>10</v>
      </c>
      <c r="C5" s="122">
        <v>49705</v>
      </c>
      <c r="D5" s="76">
        <v>3403</v>
      </c>
      <c r="E5" s="2">
        <f>VLOOKUP($E$1,NYBonds_NewBonds_prices,MATCH($I5,'EBs &amp; NBs Prices'!$AA$14:$AE$14,0),FALSE)</f>
        <v>57</v>
      </c>
      <c r="F5" s="2">
        <f>VLOOKUP($E$1,NYBonds_NewBonds_yields,MATCH($I5,'EBs &amp; NBs Prices'!$AA$14:$AE$14,0),FALSE)</f>
        <v>9.3531040000000001</v>
      </c>
      <c r="G5" s="124">
        <v>51348</v>
      </c>
      <c r="H5" s="44">
        <f>SUMPRODUCT('NBs NPVs'!E35:AQ35,'NBs NPVs'!E29:AQ29)/SUM('NBs NPVs'!E35:AQ35)</f>
        <v>12.617302358780973</v>
      </c>
      <c r="I5" s="44" t="s">
        <v>16</v>
      </c>
      <c r="J5" s="77" t="s">
        <v>16</v>
      </c>
    </row>
    <row r="6" spans="1:19" x14ac:dyDescent="0.2">
      <c r="A6" s="78" t="s">
        <v>52</v>
      </c>
      <c r="B6" s="79">
        <v>10</v>
      </c>
      <c r="C6" s="123">
        <v>46053</v>
      </c>
      <c r="D6" s="80">
        <v>1005</v>
      </c>
      <c r="E6" s="81">
        <f>VLOOKUP($E$1,NYBonds_NewBonds_prices,MATCH($I6,'EBs &amp; NBs Prices'!$AA$14:$AE$14,0),FALSE)</f>
        <v>49.5</v>
      </c>
      <c r="F6" s="81">
        <f>VLOOKUP($E$1,NYBonds_NewBonds_yields,MATCH($I6,'EBs &amp; NBs Prices'!$AA$14:$AE$14,0),FALSE)</f>
        <v>9.5360239999999994</v>
      </c>
      <c r="G6" s="125">
        <v>47695</v>
      </c>
      <c r="H6" s="82">
        <f>SUMPRODUCT('NBs NPVs'!E36:AQ36,'NBs NPVs'!E30:AQ30)/SUM('NBs NPVs'!E36:AQ36)</f>
        <v>7.5617712891318059</v>
      </c>
      <c r="I6" s="82" t="s">
        <v>14</v>
      </c>
      <c r="J6" s="83" t="s">
        <v>14</v>
      </c>
    </row>
    <row r="7" spans="1:19" x14ac:dyDescent="0.2">
      <c r="A7" s="45"/>
      <c r="B7" s="34"/>
      <c r="C7" s="34"/>
      <c r="H7" s="34"/>
      <c r="I7" s="34"/>
    </row>
    <row r="8" spans="1:19" x14ac:dyDescent="0.2">
      <c r="E8" s="44" t="s">
        <v>161</v>
      </c>
      <c r="F8" s="44" t="s">
        <v>162</v>
      </c>
      <c r="H8" s="39"/>
      <c r="I8" s="34"/>
    </row>
    <row r="9" spans="1:19" x14ac:dyDescent="0.2">
      <c r="A9" s="46"/>
      <c r="D9" s="13" t="s">
        <v>164</v>
      </c>
      <c r="E9" s="44">
        <f>SUMPRODUCT(E3:E5,D3:D5)/SUM(D3:D5)</f>
        <v>64.197768746385663</v>
      </c>
      <c r="F9" s="44">
        <f>SUMPRODUCT(F3:F5,D3:D5)/SUM(D3:D5)</f>
        <v>9.7537112573411289</v>
      </c>
    </row>
    <row r="10" spans="1:19" x14ac:dyDescent="0.2">
      <c r="A10" s="46"/>
      <c r="D10" s="13" t="s">
        <v>165</v>
      </c>
      <c r="E10" s="44">
        <f>SUMPRODUCT($D$3:$D$6,E3:E6)/SUM($D$3:$D$6)</f>
        <v>63.306215294543698</v>
      </c>
      <c r="F10" s="44">
        <f>SUMPRODUCT($D$3:$D$6,F3:F6)/SUM($D$3:$D$6)</f>
        <v>9.7405065438194107</v>
      </c>
    </row>
    <row r="11" spans="1:19" x14ac:dyDescent="0.2">
      <c r="A11" s="46"/>
    </row>
    <row r="12" spans="1:19" x14ac:dyDescent="0.2">
      <c r="A12" s="46"/>
      <c r="J12" s="44"/>
      <c r="K12" s="34"/>
      <c r="L12" s="34"/>
      <c r="M12" s="34"/>
      <c r="N12" s="34"/>
      <c r="O12" s="34"/>
      <c r="P12" s="34"/>
      <c r="Q12" s="34"/>
      <c r="R12" s="34"/>
      <c r="S12" s="34"/>
    </row>
    <row r="26" spans="44:53" x14ac:dyDescent="0.2">
      <c r="AR26" s="43"/>
      <c r="AS26" s="43"/>
      <c r="AT26" s="43"/>
      <c r="AU26" s="43"/>
      <c r="AV26" s="43"/>
      <c r="AW26" s="43"/>
      <c r="AX26" s="43"/>
      <c r="AY26" s="43"/>
      <c r="AZ26" s="43"/>
      <c r="BA26" s="43"/>
    </row>
    <row r="33" spans="44:44" x14ac:dyDescent="0.2">
      <c r="AR33" s="2"/>
    </row>
    <row r="34" spans="44:44" x14ac:dyDescent="0.2">
      <c r="AR34" s="2"/>
    </row>
    <row r="35" spans="44:44" x14ac:dyDescent="0.2">
      <c r="AR35" s="2"/>
    </row>
    <row r="36" spans="44:44" x14ac:dyDescent="0.2">
      <c r="AR36" s="2"/>
    </row>
  </sheetData>
  <pageMargins left="0.7" right="0.7" top="0.75" bottom="0.75" header="0.3" footer="0.3"/>
  <ignoredErrors>
    <ignoredError sqref="E9:F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D553-B6BB-014F-B6ED-F0A59B09DA37}">
  <dimension ref="A1:AQ36"/>
  <sheetViews>
    <sheetView workbookViewId="0"/>
  </sheetViews>
  <sheetFormatPr baseColWidth="10" defaultRowHeight="15" x14ac:dyDescent="0.2"/>
  <cols>
    <col min="1" max="1" width="18.5" bestFit="1" customWidth="1"/>
  </cols>
  <sheetData>
    <row r="1" spans="1:43" x14ac:dyDescent="0.2">
      <c r="A1" s="46" t="s">
        <v>110</v>
      </c>
      <c r="B1" s="50">
        <f>'NBs List'!F10/100</f>
        <v>9.7405065438194105E-2</v>
      </c>
      <c r="L1" s="34"/>
      <c r="M1" s="34"/>
      <c r="N1" s="38"/>
      <c r="O1" s="37"/>
      <c r="P1" s="34"/>
      <c r="Q1" s="37"/>
      <c r="R1" s="37"/>
      <c r="S1" s="37"/>
    </row>
    <row r="2" spans="1:43" x14ac:dyDescent="0.2">
      <c r="A2" s="46" t="s">
        <v>87</v>
      </c>
      <c r="B2" s="47">
        <f>'NBs List'!E1</f>
        <v>44081</v>
      </c>
      <c r="C2" s="26"/>
      <c r="D2" s="26"/>
      <c r="E2" s="26"/>
    </row>
    <row r="3" spans="1:43" x14ac:dyDescent="0.2">
      <c r="A3" s="46"/>
      <c r="B3" s="43"/>
      <c r="C3" s="26"/>
      <c r="D3" s="26"/>
      <c r="E3" s="26"/>
    </row>
    <row r="4" spans="1:43" x14ac:dyDescent="0.2">
      <c r="A4" s="46"/>
      <c r="B4" s="43"/>
      <c r="C4" s="26"/>
      <c r="D4" s="26"/>
      <c r="E4" s="26"/>
    </row>
    <row r="5" spans="1:43" x14ac:dyDescent="0.2">
      <c r="A5" s="20" t="s">
        <v>97</v>
      </c>
      <c r="C5" s="28"/>
      <c r="D5" s="28"/>
      <c r="E5" s="28"/>
      <c r="F5" s="28"/>
      <c r="G5" s="28"/>
      <c r="H5" s="28"/>
      <c r="I5" s="28"/>
      <c r="J5" s="28"/>
    </row>
    <row r="6" spans="1:43" x14ac:dyDescent="0.2">
      <c r="A6" t="s">
        <v>49</v>
      </c>
      <c r="B6" s="126">
        <v>44408</v>
      </c>
      <c r="C6" s="126">
        <v>44773</v>
      </c>
      <c r="D6" s="126">
        <v>45138</v>
      </c>
      <c r="E6" s="126">
        <v>45504</v>
      </c>
      <c r="F6" s="126">
        <v>47695</v>
      </c>
      <c r="G6" s="33"/>
      <c r="H6" s="34"/>
      <c r="I6" s="34"/>
      <c r="J6" s="34"/>
    </row>
    <row r="7" spans="1:43" x14ac:dyDescent="0.2">
      <c r="A7" t="s">
        <v>49</v>
      </c>
      <c r="B7" s="34">
        <v>0.5</v>
      </c>
      <c r="C7" s="34">
        <v>5</v>
      </c>
      <c r="D7" s="35">
        <v>5.5</v>
      </c>
      <c r="E7" s="35">
        <v>6</v>
      </c>
      <c r="F7" s="35">
        <v>6.9</v>
      </c>
      <c r="G7" s="34"/>
      <c r="H7" s="34"/>
      <c r="I7" s="34"/>
      <c r="J7" s="34"/>
    </row>
    <row r="8" spans="1:43" x14ac:dyDescent="0.2">
      <c r="A8" t="s">
        <v>50</v>
      </c>
      <c r="B8" s="126">
        <v>44408</v>
      </c>
      <c r="C8" s="126">
        <v>44773</v>
      </c>
      <c r="D8" s="126">
        <v>45138</v>
      </c>
      <c r="E8" s="126">
        <v>45504</v>
      </c>
      <c r="F8" s="126">
        <v>45869</v>
      </c>
      <c r="G8" s="127">
        <v>49521</v>
      </c>
      <c r="H8" s="36"/>
      <c r="I8" s="37"/>
      <c r="J8" s="34"/>
    </row>
    <row r="9" spans="1:43" x14ac:dyDescent="0.2">
      <c r="A9" t="s">
        <v>50</v>
      </c>
      <c r="B9" s="34">
        <v>0.5</v>
      </c>
      <c r="C9" s="34">
        <v>1</v>
      </c>
      <c r="D9" s="35">
        <v>2.5</v>
      </c>
      <c r="E9" s="35">
        <v>3.5</v>
      </c>
      <c r="F9" s="35">
        <v>5.5</v>
      </c>
      <c r="G9" s="35">
        <v>6.9</v>
      </c>
      <c r="H9" s="36"/>
      <c r="I9" s="37"/>
      <c r="J9" s="34"/>
    </row>
    <row r="10" spans="1:43" x14ac:dyDescent="0.2">
      <c r="A10" t="s">
        <v>51</v>
      </c>
      <c r="B10" s="126">
        <v>44408</v>
      </c>
      <c r="C10" s="126">
        <v>44773</v>
      </c>
      <c r="D10" s="126">
        <v>45138</v>
      </c>
      <c r="E10" s="126">
        <v>45504</v>
      </c>
      <c r="F10" s="126">
        <v>46234</v>
      </c>
      <c r="G10" s="126">
        <v>46599</v>
      </c>
      <c r="H10" s="126">
        <v>46965</v>
      </c>
      <c r="I10" s="126">
        <v>47330</v>
      </c>
      <c r="J10" s="126">
        <v>51348</v>
      </c>
    </row>
    <row r="11" spans="1:43" x14ac:dyDescent="0.2">
      <c r="A11" t="s">
        <v>51</v>
      </c>
      <c r="B11" s="34">
        <v>0.5</v>
      </c>
      <c r="C11" s="34">
        <v>0.5</v>
      </c>
      <c r="D11" s="35">
        <v>1.5</v>
      </c>
      <c r="E11" s="35">
        <v>2.5</v>
      </c>
      <c r="F11" s="35">
        <v>5</v>
      </c>
      <c r="G11" s="35">
        <v>5.5</v>
      </c>
      <c r="H11" s="35">
        <v>6</v>
      </c>
      <c r="I11" s="35">
        <v>6.5</v>
      </c>
      <c r="J11" s="37">
        <v>6.9</v>
      </c>
    </row>
    <row r="12" spans="1:43" x14ac:dyDescent="0.2">
      <c r="A12" t="s">
        <v>52</v>
      </c>
      <c r="B12" s="34">
        <v>0</v>
      </c>
      <c r="C12" s="34"/>
      <c r="D12" s="35"/>
      <c r="E12" s="35"/>
      <c r="F12" s="35"/>
      <c r="G12" s="35"/>
      <c r="H12" s="36"/>
      <c r="I12" s="37"/>
      <c r="J12" s="37"/>
    </row>
    <row r="13" spans="1:43" x14ac:dyDescent="0.2">
      <c r="A13" s="6"/>
      <c r="B13" s="28"/>
      <c r="C13" s="28"/>
      <c r="D13" s="28"/>
      <c r="E13" s="28"/>
      <c r="F13" s="28"/>
      <c r="G13" s="28"/>
      <c r="H13" s="24"/>
    </row>
    <row r="14" spans="1:43" x14ac:dyDescent="0.2">
      <c r="A14" s="46" t="s">
        <v>108</v>
      </c>
      <c r="D14" s="43">
        <v>44227</v>
      </c>
      <c r="E14" s="43">
        <f t="shared" ref="E14:AQ14" si="0">EDATE(D14,6)</f>
        <v>44408</v>
      </c>
      <c r="F14" s="43">
        <f t="shared" si="0"/>
        <v>44592</v>
      </c>
      <c r="G14" s="43">
        <f t="shared" si="0"/>
        <v>44773</v>
      </c>
      <c r="H14" s="43">
        <f t="shared" si="0"/>
        <v>44957</v>
      </c>
      <c r="I14" s="43">
        <f t="shared" si="0"/>
        <v>45138</v>
      </c>
      <c r="J14" s="43">
        <f t="shared" si="0"/>
        <v>45322</v>
      </c>
      <c r="K14" s="43">
        <f t="shared" si="0"/>
        <v>45504</v>
      </c>
      <c r="L14" s="43">
        <f t="shared" si="0"/>
        <v>45688</v>
      </c>
      <c r="M14" s="43">
        <f t="shared" si="0"/>
        <v>45869</v>
      </c>
      <c r="N14" s="43">
        <f t="shared" si="0"/>
        <v>46053</v>
      </c>
      <c r="O14" s="43">
        <f t="shared" si="0"/>
        <v>46234</v>
      </c>
      <c r="P14" s="43">
        <f t="shared" si="0"/>
        <v>46418</v>
      </c>
      <c r="Q14" s="43">
        <f t="shared" si="0"/>
        <v>46599</v>
      </c>
      <c r="R14" s="43">
        <f t="shared" si="0"/>
        <v>46783</v>
      </c>
      <c r="S14" s="43">
        <f t="shared" si="0"/>
        <v>46965</v>
      </c>
      <c r="T14" s="43">
        <f t="shared" si="0"/>
        <v>47149</v>
      </c>
      <c r="U14" s="43">
        <f t="shared" si="0"/>
        <v>47330</v>
      </c>
      <c r="V14" s="43">
        <f t="shared" si="0"/>
        <v>47514</v>
      </c>
      <c r="W14" s="43">
        <f t="shared" si="0"/>
        <v>47695</v>
      </c>
      <c r="X14" s="43">
        <f t="shared" si="0"/>
        <v>47879</v>
      </c>
      <c r="Y14" s="43">
        <f t="shared" si="0"/>
        <v>48060</v>
      </c>
      <c r="Z14" s="43">
        <f t="shared" si="0"/>
        <v>48244</v>
      </c>
      <c r="AA14" s="43">
        <f t="shared" si="0"/>
        <v>48426</v>
      </c>
      <c r="AB14" s="43">
        <f t="shared" si="0"/>
        <v>48610</v>
      </c>
      <c r="AC14" s="43">
        <f t="shared" si="0"/>
        <v>48791</v>
      </c>
      <c r="AD14" s="43">
        <f t="shared" si="0"/>
        <v>48975</v>
      </c>
      <c r="AE14" s="43">
        <f t="shared" si="0"/>
        <v>49156</v>
      </c>
      <c r="AF14" s="43">
        <f t="shared" si="0"/>
        <v>49340</v>
      </c>
      <c r="AG14" s="43">
        <f t="shared" si="0"/>
        <v>49521</v>
      </c>
      <c r="AH14" s="43">
        <f t="shared" si="0"/>
        <v>49705</v>
      </c>
      <c r="AI14" s="43">
        <f t="shared" si="0"/>
        <v>49887</v>
      </c>
      <c r="AJ14" s="43">
        <f t="shared" si="0"/>
        <v>50071</v>
      </c>
      <c r="AK14" s="43">
        <f t="shared" si="0"/>
        <v>50252</v>
      </c>
      <c r="AL14" s="43">
        <f t="shared" si="0"/>
        <v>50436</v>
      </c>
      <c r="AM14" s="43">
        <f t="shared" si="0"/>
        <v>50617</v>
      </c>
      <c r="AN14" s="43">
        <f t="shared" si="0"/>
        <v>50801</v>
      </c>
      <c r="AO14" s="43">
        <f t="shared" si="0"/>
        <v>50982</v>
      </c>
      <c r="AP14" s="43">
        <f t="shared" si="0"/>
        <v>51166</v>
      </c>
      <c r="AQ14" s="43">
        <f t="shared" si="0"/>
        <v>51348</v>
      </c>
    </row>
    <row r="15" spans="1:43" x14ac:dyDescent="0.2">
      <c r="A15" s="45" t="s">
        <v>49</v>
      </c>
      <c r="B15" s="27"/>
      <c r="C15" s="42"/>
      <c r="D15" s="48"/>
      <c r="E15" s="44">
        <f t="shared" ref="E15:AQ15" si="1">IF(E$14&lt;=$B$6,$B$7,IF(E$14&lt;=$C$6,$C$7,IF(E$14&lt;=$D$6,$D$7,IF(E$14&lt;=$E$6,$E$7,IF(E$14&lt;=$F$6,$F$7,0)))))</f>
        <v>0.5</v>
      </c>
      <c r="F15" s="44">
        <f t="shared" si="1"/>
        <v>5</v>
      </c>
      <c r="G15" s="44">
        <f t="shared" si="1"/>
        <v>5</v>
      </c>
      <c r="H15" s="44">
        <f t="shared" si="1"/>
        <v>5.5</v>
      </c>
      <c r="I15" s="44">
        <f t="shared" si="1"/>
        <v>5.5</v>
      </c>
      <c r="J15" s="44">
        <f t="shared" si="1"/>
        <v>6</v>
      </c>
      <c r="K15" s="44">
        <f t="shared" si="1"/>
        <v>6</v>
      </c>
      <c r="L15" s="44">
        <f t="shared" si="1"/>
        <v>6.9</v>
      </c>
      <c r="M15" s="44">
        <f t="shared" si="1"/>
        <v>6.9</v>
      </c>
      <c r="N15" s="44">
        <f t="shared" si="1"/>
        <v>6.9</v>
      </c>
      <c r="O15" s="44">
        <f t="shared" si="1"/>
        <v>6.9</v>
      </c>
      <c r="P15" s="44">
        <f t="shared" si="1"/>
        <v>6.9</v>
      </c>
      <c r="Q15" s="44">
        <f t="shared" si="1"/>
        <v>6.9</v>
      </c>
      <c r="R15" s="44">
        <f t="shared" si="1"/>
        <v>6.9</v>
      </c>
      <c r="S15" s="44">
        <f t="shared" si="1"/>
        <v>6.9</v>
      </c>
      <c r="T15" s="44">
        <f t="shared" si="1"/>
        <v>6.9</v>
      </c>
      <c r="U15" s="44">
        <f t="shared" si="1"/>
        <v>6.9</v>
      </c>
      <c r="V15" s="44">
        <f t="shared" si="1"/>
        <v>6.9</v>
      </c>
      <c r="W15" s="44">
        <f t="shared" si="1"/>
        <v>6.9</v>
      </c>
      <c r="X15" s="44">
        <f t="shared" si="1"/>
        <v>0</v>
      </c>
      <c r="Y15" s="44">
        <f t="shared" si="1"/>
        <v>0</v>
      </c>
      <c r="Z15" s="44">
        <f t="shared" si="1"/>
        <v>0</v>
      </c>
      <c r="AA15" s="44">
        <f t="shared" si="1"/>
        <v>0</v>
      </c>
      <c r="AB15" s="44">
        <f t="shared" si="1"/>
        <v>0</v>
      </c>
      <c r="AC15" s="44">
        <f t="shared" si="1"/>
        <v>0</v>
      </c>
      <c r="AD15" s="44">
        <f t="shared" si="1"/>
        <v>0</v>
      </c>
      <c r="AE15" s="44">
        <f t="shared" si="1"/>
        <v>0</v>
      </c>
      <c r="AF15" s="44">
        <f t="shared" si="1"/>
        <v>0</v>
      </c>
      <c r="AG15" s="44">
        <f t="shared" si="1"/>
        <v>0</v>
      </c>
      <c r="AH15" s="44">
        <f t="shared" si="1"/>
        <v>0</v>
      </c>
      <c r="AI15" s="44">
        <f t="shared" si="1"/>
        <v>0</v>
      </c>
      <c r="AJ15" s="44">
        <f t="shared" si="1"/>
        <v>0</v>
      </c>
      <c r="AK15" s="44">
        <f t="shared" si="1"/>
        <v>0</v>
      </c>
      <c r="AL15" s="44">
        <f t="shared" si="1"/>
        <v>0</v>
      </c>
      <c r="AM15" s="44">
        <f t="shared" si="1"/>
        <v>0</v>
      </c>
      <c r="AN15" s="44">
        <f t="shared" si="1"/>
        <v>0</v>
      </c>
      <c r="AO15" s="44">
        <f t="shared" si="1"/>
        <v>0</v>
      </c>
      <c r="AP15" s="44">
        <f t="shared" si="1"/>
        <v>0</v>
      </c>
      <c r="AQ15" s="44">
        <f t="shared" si="1"/>
        <v>0</v>
      </c>
    </row>
    <row r="16" spans="1:43" x14ac:dyDescent="0.2">
      <c r="A16" s="45" t="s">
        <v>50</v>
      </c>
      <c r="B16" s="27"/>
      <c r="C16" s="42"/>
      <c r="D16" s="48"/>
      <c r="E16" s="44">
        <f t="shared" ref="E16:AQ16" si="2">IF(E$14&lt;=$B8,$B9,IF(E$14&lt;=$C8,$C9,IF(E$14&lt;=$D8,$D9,IF(E$14&lt;=$E8,$E9,IF(E$14&lt;=$F8,$F9,IF(E$14&lt;=$G8,$G9,0))))))</f>
        <v>0.5</v>
      </c>
      <c r="F16" s="44">
        <f t="shared" si="2"/>
        <v>1</v>
      </c>
      <c r="G16" s="44">
        <f t="shared" si="2"/>
        <v>1</v>
      </c>
      <c r="H16" s="44">
        <f t="shared" si="2"/>
        <v>2.5</v>
      </c>
      <c r="I16" s="44">
        <f t="shared" si="2"/>
        <v>2.5</v>
      </c>
      <c r="J16" s="44">
        <f t="shared" si="2"/>
        <v>3.5</v>
      </c>
      <c r="K16" s="44">
        <f t="shared" si="2"/>
        <v>3.5</v>
      </c>
      <c r="L16" s="44">
        <f t="shared" si="2"/>
        <v>5.5</v>
      </c>
      <c r="M16" s="44">
        <f t="shared" si="2"/>
        <v>5.5</v>
      </c>
      <c r="N16" s="44">
        <f t="shared" si="2"/>
        <v>6.9</v>
      </c>
      <c r="O16" s="44">
        <f t="shared" si="2"/>
        <v>6.9</v>
      </c>
      <c r="P16" s="44">
        <f t="shared" si="2"/>
        <v>6.9</v>
      </c>
      <c r="Q16" s="44">
        <f t="shared" si="2"/>
        <v>6.9</v>
      </c>
      <c r="R16" s="44">
        <f t="shared" si="2"/>
        <v>6.9</v>
      </c>
      <c r="S16" s="44">
        <f t="shared" si="2"/>
        <v>6.9</v>
      </c>
      <c r="T16" s="44">
        <f t="shared" si="2"/>
        <v>6.9</v>
      </c>
      <c r="U16" s="44">
        <f t="shared" si="2"/>
        <v>6.9</v>
      </c>
      <c r="V16" s="44">
        <f t="shared" si="2"/>
        <v>6.9</v>
      </c>
      <c r="W16" s="44">
        <f t="shared" si="2"/>
        <v>6.9</v>
      </c>
      <c r="X16" s="44">
        <f t="shared" si="2"/>
        <v>6.9</v>
      </c>
      <c r="Y16" s="44">
        <f t="shared" si="2"/>
        <v>6.9</v>
      </c>
      <c r="Z16" s="44">
        <f t="shared" si="2"/>
        <v>6.9</v>
      </c>
      <c r="AA16" s="44">
        <f t="shared" si="2"/>
        <v>6.9</v>
      </c>
      <c r="AB16" s="44">
        <f t="shared" si="2"/>
        <v>6.9</v>
      </c>
      <c r="AC16" s="44">
        <f t="shared" si="2"/>
        <v>6.9</v>
      </c>
      <c r="AD16" s="44">
        <f t="shared" si="2"/>
        <v>6.9</v>
      </c>
      <c r="AE16" s="44">
        <f t="shared" si="2"/>
        <v>6.9</v>
      </c>
      <c r="AF16" s="44">
        <f t="shared" si="2"/>
        <v>6.9</v>
      </c>
      <c r="AG16" s="44">
        <f t="shared" si="2"/>
        <v>6.9</v>
      </c>
      <c r="AH16" s="44">
        <f t="shared" si="2"/>
        <v>0</v>
      </c>
      <c r="AI16" s="44">
        <f t="shared" si="2"/>
        <v>0</v>
      </c>
      <c r="AJ16" s="44">
        <f t="shared" si="2"/>
        <v>0</v>
      </c>
      <c r="AK16" s="44">
        <f t="shared" si="2"/>
        <v>0</v>
      </c>
      <c r="AL16" s="44">
        <f t="shared" si="2"/>
        <v>0</v>
      </c>
      <c r="AM16" s="44">
        <f t="shared" si="2"/>
        <v>0</v>
      </c>
      <c r="AN16" s="44">
        <f t="shared" si="2"/>
        <v>0</v>
      </c>
      <c r="AO16" s="44">
        <f t="shared" si="2"/>
        <v>0</v>
      </c>
      <c r="AP16" s="44">
        <f t="shared" si="2"/>
        <v>0</v>
      </c>
      <c r="AQ16" s="44">
        <f t="shared" si="2"/>
        <v>0</v>
      </c>
    </row>
    <row r="17" spans="1:43" x14ac:dyDescent="0.2">
      <c r="A17" s="45" t="s">
        <v>51</v>
      </c>
      <c r="B17" s="27"/>
      <c r="C17" s="42"/>
      <c r="D17" s="48"/>
      <c r="E17" s="44">
        <f t="shared" ref="E17:AQ17" si="3">IF(E$14&lt;=$B10,$B11,IF(E$14&lt;=$C10,$C11,IF(E$14&lt;=$D10,$D11,IF(E$14&lt;=$E10,$E11,IF(E$14&lt;=$F10,$F11,IF(E$14&lt;=$G10,$G11,IF(E$14&lt;=$H10,$H11,IF(E$14&lt;=$I10,$I11,IF(E$14&lt;=$J10,$J11,0)))))))))</f>
        <v>0.5</v>
      </c>
      <c r="F17" s="44">
        <f t="shared" si="3"/>
        <v>0.5</v>
      </c>
      <c r="G17" s="44">
        <f t="shared" si="3"/>
        <v>0.5</v>
      </c>
      <c r="H17" s="44">
        <f t="shared" si="3"/>
        <v>1.5</v>
      </c>
      <c r="I17" s="44">
        <f t="shared" si="3"/>
        <v>1.5</v>
      </c>
      <c r="J17" s="44">
        <f t="shared" si="3"/>
        <v>2.5</v>
      </c>
      <c r="K17" s="44">
        <f t="shared" si="3"/>
        <v>2.5</v>
      </c>
      <c r="L17" s="44">
        <f t="shared" si="3"/>
        <v>5</v>
      </c>
      <c r="M17" s="44">
        <f t="shared" si="3"/>
        <v>5</v>
      </c>
      <c r="N17" s="44">
        <f t="shared" si="3"/>
        <v>5</v>
      </c>
      <c r="O17" s="44">
        <f t="shared" si="3"/>
        <v>5</v>
      </c>
      <c r="P17" s="44">
        <f t="shared" si="3"/>
        <v>5.5</v>
      </c>
      <c r="Q17" s="44">
        <f t="shared" si="3"/>
        <v>5.5</v>
      </c>
      <c r="R17" s="44">
        <f t="shared" si="3"/>
        <v>6</v>
      </c>
      <c r="S17" s="44">
        <f t="shared" si="3"/>
        <v>6</v>
      </c>
      <c r="T17" s="44">
        <f t="shared" si="3"/>
        <v>6.5</v>
      </c>
      <c r="U17" s="44">
        <f t="shared" si="3"/>
        <v>6.5</v>
      </c>
      <c r="V17" s="44">
        <f t="shared" si="3"/>
        <v>6.9</v>
      </c>
      <c r="W17" s="44">
        <f t="shared" si="3"/>
        <v>6.9</v>
      </c>
      <c r="X17" s="44">
        <f t="shared" si="3"/>
        <v>6.9</v>
      </c>
      <c r="Y17" s="44">
        <f t="shared" si="3"/>
        <v>6.9</v>
      </c>
      <c r="Z17" s="44">
        <f t="shared" si="3"/>
        <v>6.9</v>
      </c>
      <c r="AA17" s="44">
        <f t="shared" si="3"/>
        <v>6.9</v>
      </c>
      <c r="AB17" s="44">
        <f t="shared" si="3"/>
        <v>6.9</v>
      </c>
      <c r="AC17" s="44">
        <f t="shared" si="3"/>
        <v>6.9</v>
      </c>
      <c r="AD17" s="44">
        <f t="shared" si="3"/>
        <v>6.9</v>
      </c>
      <c r="AE17" s="44">
        <f t="shared" si="3"/>
        <v>6.9</v>
      </c>
      <c r="AF17" s="44">
        <f t="shared" si="3"/>
        <v>6.9</v>
      </c>
      <c r="AG17" s="44">
        <f t="shared" si="3"/>
        <v>6.9</v>
      </c>
      <c r="AH17" s="44">
        <f t="shared" si="3"/>
        <v>6.9</v>
      </c>
      <c r="AI17" s="44">
        <f t="shared" si="3"/>
        <v>6.9</v>
      </c>
      <c r="AJ17" s="44">
        <f t="shared" si="3"/>
        <v>6.9</v>
      </c>
      <c r="AK17" s="44">
        <f t="shared" si="3"/>
        <v>6.9</v>
      </c>
      <c r="AL17" s="44">
        <f t="shared" si="3"/>
        <v>6.9</v>
      </c>
      <c r="AM17" s="44">
        <f t="shared" si="3"/>
        <v>6.9</v>
      </c>
      <c r="AN17" s="44">
        <f t="shared" si="3"/>
        <v>6.9</v>
      </c>
      <c r="AO17" s="44">
        <f t="shared" si="3"/>
        <v>6.9</v>
      </c>
      <c r="AP17" s="44">
        <f t="shared" si="3"/>
        <v>6.9</v>
      </c>
      <c r="AQ17" s="44">
        <f t="shared" si="3"/>
        <v>6.9</v>
      </c>
    </row>
    <row r="18" spans="1:43" x14ac:dyDescent="0.2">
      <c r="A18" s="45" t="s">
        <v>52</v>
      </c>
      <c r="D18" s="49"/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44">
        <v>0</v>
      </c>
      <c r="AK18" s="44">
        <v>0</v>
      </c>
      <c r="AL18" s="44">
        <v>0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</row>
    <row r="19" spans="1:43" x14ac:dyDescent="0.2">
      <c r="A19" s="32"/>
      <c r="B19" s="32"/>
      <c r="C19" s="32"/>
      <c r="D19" s="32"/>
    </row>
    <row r="20" spans="1:43" x14ac:dyDescent="0.2">
      <c r="A20" s="46" t="s">
        <v>107</v>
      </c>
      <c r="D20" s="43">
        <v>44227</v>
      </c>
      <c r="E20" s="43">
        <f t="shared" ref="E20:AQ20" si="4">EDATE(D20,6)</f>
        <v>44408</v>
      </c>
      <c r="F20" s="43">
        <f t="shared" si="4"/>
        <v>44592</v>
      </c>
      <c r="G20" s="43">
        <f t="shared" si="4"/>
        <v>44773</v>
      </c>
      <c r="H20" s="43">
        <f t="shared" si="4"/>
        <v>44957</v>
      </c>
      <c r="I20" s="43">
        <f t="shared" si="4"/>
        <v>45138</v>
      </c>
      <c r="J20" s="43">
        <f t="shared" si="4"/>
        <v>45322</v>
      </c>
      <c r="K20" s="43">
        <f t="shared" si="4"/>
        <v>45504</v>
      </c>
      <c r="L20" s="43">
        <f t="shared" si="4"/>
        <v>45688</v>
      </c>
      <c r="M20" s="43">
        <f t="shared" si="4"/>
        <v>45869</v>
      </c>
      <c r="N20" s="43">
        <f t="shared" si="4"/>
        <v>46053</v>
      </c>
      <c r="O20" s="43">
        <f t="shared" si="4"/>
        <v>46234</v>
      </c>
      <c r="P20" s="43">
        <f t="shared" si="4"/>
        <v>46418</v>
      </c>
      <c r="Q20" s="43">
        <f t="shared" si="4"/>
        <v>46599</v>
      </c>
      <c r="R20" s="43">
        <f t="shared" si="4"/>
        <v>46783</v>
      </c>
      <c r="S20" s="43">
        <f t="shared" si="4"/>
        <v>46965</v>
      </c>
      <c r="T20" s="43">
        <f t="shared" si="4"/>
        <v>47149</v>
      </c>
      <c r="U20" s="43">
        <f t="shared" si="4"/>
        <v>47330</v>
      </c>
      <c r="V20" s="43">
        <f t="shared" si="4"/>
        <v>47514</v>
      </c>
      <c r="W20" s="43">
        <f t="shared" si="4"/>
        <v>47695</v>
      </c>
      <c r="X20" s="43">
        <f t="shared" si="4"/>
        <v>47879</v>
      </c>
      <c r="Y20" s="43">
        <f t="shared" si="4"/>
        <v>48060</v>
      </c>
      <c r="Z20" s="43">
        <f t="shared" si="4"/>
        <v>48244</v>
      </c>
      <c r="AA20" s="43">
        <f t="shared" si="4"/>
        <v>48426</v>
      </c>
      <c r="AB20" s="43">
        <f t="shared" si="4"/>
        <v>48610</v>
      </c>
      <c r="AC20" s="43">
        <f t="shared" si="4"/>
        <v>48791</v>
      </c>
      <c r="AD20" s="43">
        <f t="shared" si="4"/>
        <v>48975</v>
      </c>
      <c r="AE20" s="43">
        <f t="shared" si="4"/>
        <v>49156</v>
      </c>
      <c r="AF20" s="43">
        <f t="shared" si="4"/>
        <v>49340</v>
      </c>
      <c r="AG20" s="43">
        <f t="shared" si="4"/>
        <v>49521</v>
      </c>
      <c r="AH20" s="43">
        <f t="shared" si="4"/>
        <v>49705</v>
      </c>
      <c r="AI20" s="43">
        <f t="shared" si="4"/>
        <v>49887</v>
      </c>
      <c r="AJ20" s="43">
        <f t="shared" si="4"/>
        <v>50071</v>
      </c>
      <c r="AK20" s="43">
        <f t="shared" si="4"/>
        <v>50252</v>
      </c>
      <c r="AL20" s="43">
        <f t="shared" si="4"/>
        <v>50436</v>
      </c>
      <c r="AM20" s="43">
        <f t="shared" si="4"/>
        <v>50617</v>
      </c>
      <c r="AN20" s="43">
        <f t="shared" si="4"/>
        <v>50801</v>
      </c>
      <c r="AO20" s="43">
        <f t="shared" si="4"/>
        <v>50982</v>
      </c>
      <c r="AP20" s="43">
        <f t="shared" si="4"/>
        <v>51166</v>
      </c>
      <c r="AQ20" s="43">
        <f t="shared" si="4"/>
        <v>51348</v>
      </c>
    </row>
    <row r="21" spans="1:43" x14ac:dyDescent="0.2">
      <c r="A21" s="45" t="s">
        <v>49</v>
      </c>
      <c r="B21" s="27"/>
      <c r="C21" s="42"/>
      <c r="D21" s="48"/>
      <c r="E21" s="44">
        <f>IF(AND(E$20&gt;='NBs List'!$C3,E$20&lt;='NBs List'!$G3),'NBs List'!$B3,0)</f>
        <v>0</v>
      </c>
      <c r="F21" s="44">
        <f>IF(AND(F$20&gt;='NBs List'!$C3,F$20&lt;='NBs List'!$G3),'NBs List'!$B3,0)</f>
        <v>0</v>
      </c>
      <c r="G21" s="44">
        <f>IF(AND(G$20&gt;='NBs List'!$C3,G$20&lt;='NBs List'!$G3),'NBs List'!$B3,0)</f>
        <v>0</v>
      </c>
      <c r="H21" s="44">
        <f>IF(AND(H$20&gt;='NBs List'!$C3,H$20&lt;='NBs List'!$G3),'NBs List'!$B3,0)</f>
        <v>0</v>
      </c>
      <c r="I21" s="44">
        <f>IF(AND(I$20&gt;='NBs List'!$C3,I$20&lt;='NBs List'!$G3),'NBs List'!$B3,0)</f>
        <v>0</v>
      </c>
      <c r="J21" s="44">
        <f>IF(AND(J$20&gt;='NBs List'!$C3,J$20&lt;='NBs List'!$G3),'NBs List'!$B3,0)</f>
        <v>0</v>
      </c>
      <c r="K21" s="44">
        <f>IF(AND(K$20&gt;='NBs List'!$C3,K$20&lt;='NBs List'!$G3),'NBs List'!$B3,0)</f>
        <v>0</v>
      </c>
      <c r="L21" s="44">
        <f>IF(AND(L$20&gt;='NBs List'!$C3,L$20&lt;='NBs List'!$G3),'NBs List'!$B3,0)</f>
        <v>0</v>
      </c>
      <c r="M21" s="44">
        <f>IF(AND(M$20&gt;='NBs List'!$C3,M$20&lt;='NBs List'!$G3),'NBs List'!$B3,0)</f>
        <v>0</v>
      </c>
      <c r="N21" s="44">
        <f>IF(AND(N$20&gt;='NBs List'!$C3,N$20&lt;='NBs List'!$G3),'NBs List'!$B3,0)</f>
        <v>10</v>
      </c>
      <c r="O21" s="44">
        <f>IF(AND(O$20&gt;='NBs List'!$C3,O$20&lt;='NBs List'!$G3),'NBs List'!$B3,0)</f>
        <v>10</v>
      </c>
      <c r="P21" s="44">
        <f>IF(AND(P$20&gt;='NBs List'!$C3,P$20&lt;='NBs List'!$G3),'NBs List'!$B3,0)</f>
        <v>10</v>
      </c>
      <c r="Q21" s="44">
        <f>IF(AND(Q$20&gt;='NBs List'!$C3,Q$20&lt;='NBs List'!$G3),'NBs List'!$B3,0)</f>
        <v>10</v>
      </c>
      <c r="R21" s="44">
        <f>IF(AND(R$20&gt;='NBs List'!$C3,R$20&lt;='NBs List'!$G3),'NBs List'!$B3,0)</f>
        <v>10</v>
      </c>
      <c r="S21" s="44">
        <f>IF(AND(S$20&gt;='NBs List'!$C3,S$20&lt;='NBs List'!$G3),'NBs List'!$B3,0)</f>
        <v>10</v>
      </c>
      <c r="T21" s="44">
        <f>IF(AND(T$20&gt;='NBs List'!$C3,T$20&lt;='NBs List'!$G3),'NBs List'!$B3,0)</f>
        <v>10</v>
      </c>
      <c r="U21" s="44">
        <f>IF(AND(U$20&gt;='NBs List'!$C3,U$20&lt;='NBs List'!$G3),'NBs List'!$B3,0)</f>
        <v>10</v>
      </c>
      <c r="V21" s="44">
        <f>IF(AND(V$20&gt;='NBs List'!$C3,V$20&lt;='NBs List'!$G3),'NBs List'!$B3,0)</f>
        <v>10</v>
      </c>
      <c r="W21" s="44">
        <f>IF(AND(W$20&gt;='NBs List'!$C3,W$20&lt;='NBs List'!$G3),'NBs List'!$B3,0)</f>
        <v>10</v>
      </c>
      <c r="X21" s="44">
        <f>IF(AND(X$20&gt;='NBs List'!$C3,X$20&lt;='NBs List'!$G3),'NBs List'!$B3,0)</f>
        <v>0</v>
      </c>
      <c r="Y21" s="44">
        <f>IF(AND(Y$20&gt;='NBs List'!$C3,Y$20&lt;='NBs List'!$G3),'NBs List'!$B3,0)</f>
        <v>0</v>
      </c>
      <c r="Z21" s="44">
        <f>IF(AND(Z$20&gt;='NBs List'!$C3,Z$20&lt;='NBs List'!$G3),'NBs List'!$B3,0)</f>
        <v>0</v>
      </c>
      <c r="AA21" s="44">
        <f>IF(AND(AA$20&gt;='NBs List'!$C3,AA$20&lt;='NBs List'!$G3),'NBs List'!$B3,0)</f>
        <v>0</v>
      </c>
      <c r="AB21" s="44">
        <f>IF(AND(AB$20&gt;='NBs List'!$C3,AB$20&lt;='NBs List'!$G3),'NBs List'!$B3,0)</f>
        <v>0</v>
      </c>
      <c r="AC21" s="44">
        <f>IF(AND(AC$20&gt;='NBs List'!$C3,AC$20&lt;='NBs List'!$G3),'NBs List'!$B3,0)</f>
        <v>0</v>
      </c>
      <c r="AD21" s="44">
        <f>IF(AND(AD$20&gt;='NBs List'!$C3,AD$20&lt;='NBs List'!$G3),'NBs List'!$B3,0)</f>
        <v>0</v>
      </c>
      <c r="AE21" s="44">
        <f>IF(AND(AE$20&gt;='NBs List'!$C3,AE$20&lt;='NBs List'!$G3),'NBs List'!$B3,0)</f>
        <v>0</v>
      </c>
      <c r="AF21" s="44">
        <f>IF(AND(AF$20&gt;='NBs List'!$C3,AF$20&lt;='NBs List'!$G3),'NBs List'!$B3,0)</f>
        <v>0</v>
      </c>
      <c r="AG21" s="44">
        <f>IF(AND(AG$20&gt;='NBs List'!$C3,AG$20&lt;='NBs List'!$G3),'NBs List'!$B3,0)</f>
        <v>0</v>
      </c>
      <c r="AH21" s="44">
        <f>IF(AND(AH$20&gt;='NBs List'!$C3,AH$20&lt;='NBs List'!$G3),'NBs List'!$B3,0)</f>
        <v>0</v>
      </c>
      <c r="AI21" s="44">
        <f>IF(AND(AI$20&gt;='NBs List'!$C3,AI$20&lt;='NBs List'!$G3),'NBs List'!$B3,0)</f>
        <v>0</v>
      </c>
      <c r="AJ21" s="44">
        <f>IF(AND(AJ$20&gt;='NBs List'!$C3,AJ$20&lt;='NBs List'!$G3),'NBs List'!$B3,0)</f>
        <v>0</v>
      </c>
      <c r="AK21" s="44">
        <f>IF(AND(AK$20&gt;='NBs List'!$C3,AK$20&lt;='NBs List'!$G3),'NBs List'!$B3,0)</f>
        <v>0</v>
      </c>
      <c r="AL21" s="44">
        <f>IF(AND(AL$20&gt;='NBs List'!$C3,AL$20&lt;='NBs List'!$G3),'NBs List'!$B3,0)</f>
        <v>0</v>
      </c>
      <c r="AM21" s="44">
        <f>IF(AND(AM$20&gt;='NBs List'!$C3,AM$20&lt;='NBs List'!$G3),'NBs List'!$B3,0)</f>
        <v>0</v>
      </c>
      <c r="AN21" s="44">
        <f>IF(AND(AN$20&gt;='NBs List'!$C3,AN$20&lt;='NBs List'!$G3),'NBs List'!$B3,0)</f>
        <v>0</v>
      </c>
      <c r="AO21" s="44">
        <f>IF(AND(AO$20&gt;='NBs List'!$C3,AO$20&lt;='NBs List'!$G3),'NBs List'!$B3,0)</f>
        <v>0</v>
      </c>
      <c r="AP21" s="44">
        <f>IF(AND(AP$20&gt;='NBs List'!$C3,AP$20&lt;='NBs List'!$G3),'NBs List'!$B3,0)</f>
        <v>0</v>
      </c>
      <c r="AQ21" s="44">
        <f>IF(AND(AQ$20&gt;='NBs List'!$C3,AQ$20&lt;='NBs List'!$G3),'NBs List'!$B3,0)</f>
        <v>0</v>
      </c>
    </row>
    <row r="22" spans="1:43" x14ac:dyDescent="0.2">
      <c r="A22" s="45" t="s">
        <v>50</v>
      </c>
      <c r="B22" s="27"/>
      <c r="C22" s="42"/>
      <c r="D22" s="48"/>
      <c r="E22" s="44">
        <f>IF(AND(E$20&gt;='NBs List'!$C4,E$20&lt;='NBs List'!$G4),'NBs List'!$B4,0)</f>
        <v>0</v>
      </c>
      <c r="F22" s="44">
        <f>IF(AND(F$20&gt;='NBs List'!$C4,F$20&lt;='NBs List'!$G4),'NBs List'!$B4,0)</f>
        <v>0</v>
      </c>
      <c r="G22" s="44">
        <f>IF(AND(G$20&gt;='NBs List'!$C4,G$20&lt;='NBs List'!$G4),'NBs List'!$B4,0)</f>
        <v>0</v>
      </c>
      <c r="H22" s="44">
        <f>IF(AND(H$20&gt;='NBs List'!$C4,H$20&lt;='NBs List'!$G4),'NBs List'!$B4,0)</f>
        <v>0</v>
      </c>
      <c r="I22" s="44">
        <f>IF(AND(I$20&gt;='NBs List'!$C4,I$20&lt;='NBs List'!$G4),'NBs List'!$B4,0)</f>
        <v>0</v>
      </c>
      <c r="J22" s="44">
        <f>IF(AND(J$20&gt;='NBs List'!$C4,J$20&lt;='NBs List'!$G4),'NBs List'!$B4,0)</f>
        <v>0</v>
      </c>
      <c r="K22" s="44">
        <f>IF(AND(K$20&gt;='NBs List'!$C4,K$20&lt;='NBs List'!$G4),'NBs List'!$B4,0)</f>
        <v>0</v>
      </c>
      <c r="L22" s="44">
        <f>IF(AND(L$20&gt;='NBs List'!$C4,L$20&lt;='NBs List'!$G4),'NBs List'!$B4,0)</f>
        <v>0</v>
      </c>
      <c r="M22" s="44">
        <f>IF(AND(M$20&gt;='NBs List'!$C4,M$20&lt;='NBs List'!$G4),'NBs List'!$B4,0)</f>
        <v>0</v>
      </c>
      <c r="N22" s="44">
        <f>IF(AND(N$20&gt;='NBs List'!$C4,N$20&lt;='NBs List'!$G4),'NBs List'!$B4,0)</f>
        <v>0</v>
      </c>
      <c r="O22" s="44">
        <f>IF(AND(O$20&gt;='NBs List'!$C4,O$20&lt;='NBs List'!$G4),'NBs List'!$B4,0)</f>
        <v>0</v>
      </c>
      <c r="P22" s="44">
        <f>IF(AND(P$20&gt;='NBs List'!$C4,P$20&lt;='NBs List'!$G4),'NBs List'!$B4,0)</f>
        <v>0</v>
      </c>
      <c r="Q22" s="44">
        <f>IF(AND(Q$20&gt;='NBs List'!$C4,Q$20&lt;='NBs List'!$G4),'NBs List'!$B4,0)</f>
        <v>0</v>
      </c>
      <c r="R22" s="44">
        <f>IF(AND(R$20&gt;='NBs List'!$C4,R$20&lt;='NBs List'!$G4),'NBs List'!$B4,0)</f>
        <v>0</v>
      </c>
      <c r="S22" s="44">
        <f>IF(AND(S$20&gt;='NBs List'!$C4,S$20&lt;='NBs List'!$G4),'NBs List'!$B4,0)</f>
        <v>0</v>
      </c>
      <c r="T22" s="44">
        <f>IF(AND(T$20&gt;='NBs List'!$C4,T$20&lt;='NBs List'!$G4),'NBs List'!$B4,0)</f>
        <v>0</v>
      </c>
      <c r="U22" s="44">
        <f>IF(AND(U$20&gt;='NBs List'!$C4,U$20&lt;='NBs List'!$G4),'NBs List'!$B4,0)</f>
        <v>0</v>
      </c>
      <c r="V22" s="44">
        <f>IF(AND(V$20&gt;='NBs List'!$C4,V$20&lt;='NBs List'!$G4),'NBs List'!$B4,0)</f>
        <v>0</v>
      </c>
      <c r="W22" s="44">
        <f>IF(AND(W$20&gt;='NBs List'!$C4,W$20&lt;='NBs List'!$G4),'NBs List'!$B4,0)</f>
        <v>0</v>
      </c>
      <c r="X22" s="44">
        <f>IF(AND(X$20&gt;='NBs List'!$C4,X$20&lt;='NBs List'!$G4),'NBs List'!$B4,0)</f>
        <v>10</v>
      </c>
      <c r="Y22" s="44">
        <f>IF(AND(Y$20&gt;='NBs List'!$C4,Y$20&lt;='NBs List'!$G4),'NBs List'!$B4,0)</f>
        <v>10</v>
      </c>
      <c r="Z22" s="44">
        <f>IF(AND(Z$20&gt;='NBs List'!$C4,Z$20&lt;='NBs List'!$G4),'NBs List'!$B4,0)</f>
        <v>10</v>
      </c>
      <c r="AA22" s="44">
        <f>IF(AND(AA$20&gt;='NBs List'!$C4,AA$20&lt;='NBs List'!$G4),'NBs List'!$B4,0)</f>
        <v>10</v>
      </c>
      <c r="AB22" s="44">
        <f>IF(AND(AB$20&gt;='NBs List'!$C4,AB$20&lt;='NBs List'!$G4),'NBs List'!$B4,0)</f>
        <v>10</v>
      </c>
      <c r="AC22" s="44">
        <f>IF(AND(AC$20&gt;='NBs List'!$C4,AC$20&lt;='NBs List'!$G4),'NBs List'!$B4,0)</f>
        <v>10</v>
      </c>
      <c r="AD22" s="44">
        <f>IF(AND(AD$20&gt;='NBs List'!$C4,AD$20&lt;='NBs List'!$G4),'NBs List'!$B4,0)</f>
        <v>10</v>
      </c>
      <c r="AE22" s="44">
        <f>IF(AND(AE$20&gt;='NBs List'!$C4,AE$20&lt;='NBs List'!$G4),'NBs List'!$B4,0)</f>
        <v>10</v>
      </c>
      <c r="AF22" s="44">
        <f>IF(AND(AF$20&gt;='NBs List'!$C4,AF$20&lt;='NBs List'!$G4),'NBs List'!$B4,0)</f>
        <v>10</v>
      </c>
      <c r="AG22" s="44">
        <f>IF(AND(AG$20&gt;='NBs List'!$C4,AG$20&lt;='NBs List'!$G4),'NBs List'!$B4,0)</f>
        <v>10</v>
      </c>
      <c r="AH22" s="44">
        <f>IF(AND(AH$20&gt;='NBs List'!$C4,AH$20&lt;='NBs List'!$G4),'NBs List'!$B4,0)</f>
        <v>0</v>
      </c>
      <c r="AI22" s="44">
        <f>IF(AND(AI$20&gt;='NBs List'!$C4,AI$20&lt;='NBs List'!$G4),'NBs List'!$B4,0)</f>
        <v>0</v>
      </c>
      <c r="AJ22" s="44">
        <f>IF(AND(AJ$20&gt;='NBs List'!$C4,AJ$20&lt;='NBs List'!$G4),'NBs List'!$B4,0)</f>
        <v>0</v>
      </c>
      <c r="AK22" s="44">
        <f>IF(AND(AK$20&gt;='NBs List'!$C4,AK$20&lt;='NBs List'!$G4),'NBs List'!$B4,0)</f>
        <v>0</v>
      </c>
      <c r="AL22" s="44">
        <f>IF(AND(AL$20&gt;='NBs List'!$C4,AL$20&lt;='NBs List'!$G4),'NBs List'!$B4,0)</f>
        <v>0</v>
      </c>
      <c r="AM22" s="44">
        <f>IF(AND(AM$20&gt;='NBs List'!$C4,AM$20&lt;='NBs List'!$G4),'NBs List'!$B4,0)</f>
        <v>0</v>
      </c>
      <c r="AN22" s="44">
        <f>IF(AND(AN$20&gt;='NBs List'!$C4,AN$20&lt;='NBs List'!$G4),'NBs List'!$B4,0)</f>
        <v>0</v>
      </c>
      <c r="AO22" s="44">
        <f>IF(AND(AO$20&gt;='NBs List'!$C4,AO$20&lt;='NBs List'!$G4),'NBs List'!$B4,0)</f>
        <v>0</v>
      </c>
      <c r="AP22" s="44">
        <f>IF(AND(AP$20&gt;='NBs List'!$C4,AP$20&lt;='NBs List'!$G4),'NBs List'!$B4,0)</f>
        <v>0</v>
      </c>
      <c r="AQ22" s="44">
        <f>IF(AND(AQ$20&gt;='NBs List'!$C4,AQ$20&lt;='NBs List'!$G4),'NBs List'!$B4,0)</f>
        <v>0</v>
      </c>
    </row>
    <row r="23" spans="1:43" x14ac:dyDescent="0.2">
      <c r="A23" s="45" t="s">
        <v>51</v>
      </c>
      <c r="B23" s="27"/>
      <c r="C23" s="42"/>
      <c r="D23" s="48"/>
      <c r="E23" s="44">
        <f>IF(AND(E$20&gt;='NBs List'!$C5,E$20&lt;='NBs List'!$G5),'NBs List'!$B5,0)</f>
        <v>0</v>
      </c>
      <c r="F23" s="44">
        <f>IF(AND(F$20&gt;='NBs List'!$C5,F$20&lt;='NBs List'!$G5),'NBs List'!$B5,0)</f>
        <v>0</v>
      </c>
      <c r="G23" s="44">
        <f>IF(AND(G$20&gt;='NBs List'!$C5,G$20&lt;='NBs List'!$G5),'NBs List'!$B5,0)</f>
        <v>0</v>
      </c>
      <c r="H23" s="44">
        <f>IF(AND(H$20&gt;='NBs List'!$C5,H$20&lt;='NBs List'!$G5),'NBs List'!$B5,0)</f>
        <v>0</v>
      </c>
      <c r="I23" s="44">
        <f>IF(AND(I$20&gt;='NBs List'!$C5,I$20&lt;='NBs List'!$G5),'NBs List'!$B5,0)</f>
        <v>0</v>
      </c>
      <c r="J23" s="44">
        <f>IF(AND(J$20&gt;='NBs List'!$C5,J$20&lt;='NBs List'!$G5),'NBs List'!$B5,0)</f>
        <v>0</v>
      </c>
      <c r="K23" s="44">
        <f>IF(AND(K$20&gt;='NBs List'!$C5,K$20&lt;='NBs List'!$G5),'NBs List'!$B5,0)</f>
        <v>0</v>
      </c>
      <c r="L23" s="44">
        <f>IF(AND(L$20&gt;='NBs List'!$C5,L$20&lt;='NBs List'!$G5),'NBs List'!$B5,0)</f>
        <v>0</v>
      </c>
      <c r="M23" s="44">
        <f>IF(AND(M$20&gt;='NBs List'!$C5,M$20&lt;='NBs List'!$G5),'NBs List'!$B5,0)</f>
        <v>0</v>
      </c>
      <c r="N23" s="44">
        <f>IF(AND(N$20&gt;='NBs List'!$C5,N$20&lt;='NBs List'!$G5),'NBs List'!$B5,0)</f>
        <v>0</v>
      </c>
      <c r="O23" s="44">
        <f>IF(AND(O$20&gt;='NBs List'!$C5,O$20&lt;='NBs List'!$G5),'NBs List'!$B5,0)</f>
        <v>0</v>
      </c>
      <c r="P23" s="44">
        <f>IF(AND(P$20&gt;='NBs List'!$C5,P$20&lt;='NBs List'!$G5),'NBs List'!$B5,0)</f>
        <v>0</v>
      </c>
      <c r="Q23" s="44">
        <f>IF(AND(Q$20&gt;='NBs List'!$C5,Q$20&lt;='NBs List'!$G5),'NBs List'!$B5,0)</f>
        <v>0</v>
      </c>
      <c r="R23" s="44">
        <f>IF(AND(R$20&gt;='NBs List'!$C5,R$20&lt;='NBs List'!$G5),'NBs List'!$B5,0)</f>
        <v>0</v>
      </c>
      <c r="S23" s="44">
        <f>IF(AND(S$20&gt;='NBs List'!$C5,S$20&lt;='NBs List'!$G5),'NBs List'!$B5,0)</f>
        <v>0</v>
      </c>
      <c r="T23" s="44">
        <f>IF(AND(T$20&gt;='NBs List'!$C5,T$20&lt;='NBs List'!$G5),'NBs List'!$B5,0)</f>
        <v>0</v>
      </c>
      <c r="U23" s="44">
        <f>IF(AND(U$20&gt;='NBs List'!$C5,U$20&lt;='NBs List'!$G5),'NBs List'!$B5,0)</f>
        <v>0</v>
      </c>
      <c r="V23" s="44">
        <f>IF(AND(V$20&gt;='NBs List'!$C5,V$20&lt;='NBs List'!$G5),'NBs List'!$B5,0)</f>
        <v>0</v>
      </c>
      <c r="W23" s="44">
        <f>IF(AND(W$20&gt;='NBs List'!$C5,W$20&lt;='NBs List'!$G5),'NBs List'!$B5,0)</f>
        <v>0</v>
      </c>
      <c r="X23" s="44">
        <f>IF(AND(X$20&gt;='NBs List'!$C5,X$20&lt;='NBs List'!$G5),'NBs List'!$B5,0)</f>
        <v>0</v>
      </c>
      <c r="Y23" s="44">
        <f>IF(AND(Y$20&gt;='NBs List'!$C5,Y$20&lt;='NBs List'!$G5),'NBs List'!$B5,0)</f>
        <v>0</v>
      </c>
      <c r="Z23" s="44">
        <f>IF(AND(Z$20&gt;='NBs List'!$C5,Z$20&lt;='NBs List'!$G5),'NBs List'!$B5,0)</f>
        <v>0</v>
      </c>
      <c r="AA23" s="44">
        <f>IF(AND(AA$20&gt;='NBs List'!$C5,AA$20&lt;='NBs List'!$G5),'NBs List'!$B5,0)</f>
        <v>0</v>
      </c>
      <c r="AB23" s="44">
        <f>IF(AND(AB$20&gt;='NBs List'!$C5,AB$20&lt;='NBs List'!$G5),'NBs List'!$B5,0)</f>
        <v>0</v>
      </c>
      <c r="AC23" s="44">
        <f>IF(AND(AC$20&gt;='NBs List'!$C5,AC$20&lt;='NBs List'!$G5),'NBs List'!$B5,0)</f>
        <v>0</v>
      </c>
      <c r="AD23" s="44">
        <f>IF(AND(AD$20&gt;='NBs List'!$C5,AD$20&lt;='NBs List'!$G5),'NBs List'!$B5,0)</f>
        <v>0</v>
      </c>
      <c r="AE23" s="44">
        <f>IF(AND(AE$20&gt;='NBs List'!$C5,AE$20&lt;='NBs List'!$G5),'NBs List'!$B5,0)</f>
        <v>0</v>
      </c>
      <c r="AF23" s="44">
        <f>IF(AND(AF$20&gt;='NBs List'!$C5,AF$20&lt;='NBs List'!$G5),'NBs List'!$B5,0)</f>
        <v>0</v>
      </c>
      <c r="AG23" s="44">
        <f>IF(AND(AG$20&gt;='NBs List'!$C5,AG$20&lt;='NBs List'!$G5),'NBs List'!$B5,0)</f>
        <v>0</v>
      </c>
      <c r="AH23" s="44">
        <f>IF(AND(AH$20&gt;='NBs List'!$C5,AH$20&lt;='NBs List'!$G5),'NBs List'!$B5,0)</f>
        <v>10</v>
      </c>
      <c r="AI23" s="44">
        <f>IF(AND(AI$20&gt;='NBs List'!$C5,AI$20&lt;='NBs List'!$G5),'NBs List'!$B5,0)</f>
        <v>10</v>
      </c>
      <c r="AJ23" s="44">
        <f>IF(AND(AJ$20&gt;='NBs List'!$C5,AJ$20&lt;='NBs List'!$G5),'NBs List'!$B5,0)</f>
        <v>10</v>
      </c>
      <c r="AK23" s="44">
        <f>IF(AND(AK$20&gt;='NBs List'!$C5,AK$20&lt;='NBs List'!$G5),'NBs List'!$B5,0)</f>
        <v>10</v>
      </c>
      <c r="AL23" s="44">
        <f>IF(AND(AL$20&gt;='NBs List'!$C5,AL$20&lt;='NBs List'!$G5),'NBs List'!$B5,0)</f>
        <v>10</v>
      </c>
      <c r="AM23" s="44">
        <f>IF(AND(AM$20&gt;='NBs List'!$C5,AM$20&lt;='NBs List'!$G5),'NBs List'!$B5,0)</f>
        <v>10</v>
      </c>
      <c r="AN23" s="44">
        <f>IF(AND(AN$20&gt;='NBs List'!$C5,AN$20&lt;='NBs List'!$G5),'NBs List'!$B5,0)</f>
        <v>10</v>
      </c>
      <c r="AO23" s="44">
        <f>IF(AND(AO$20&gt;='NBs List'!$C5,AO$20&lt;='NBs List'!$G5),'NBs List'!$B5,0)</f>
        <v>10</v>
      </c>
      <c r="AP23" s="44">
        <f>IF(AND(AP$20&gt;='NBs List'!$C5,AP$20&lt;='NBs List'!$G5),'NBs List'!$B5,0)</f>
        <v>10</v>
      </c>
      <c r="AQ23" s="44">
        <f>IF(AND(AQ$20&gt;='NBs List'!$C5,AQ$20&lt;='NBs List'!$G5),'NBs List'!$B5,0)</f>
        <v>10</v>
      </c>
    </row>
    <row r="24" spans="1:43" x14ac:dyDescent="0.2">
      <c r="A24" s="45" t="s">
        <v>52</v>
      </c>
      <c r="D24" s="49"/>
      <c r="E24" s="44">
        <f>IF(AND(E$20&gt;='NBs List'!$C6,E$20&lt;='NBs List'!$G6),'NBs List'!$B6,0)</f>
        <v>0</v>
      </c>
      <c r="F24" s="44">
        <f>IF(AND(F$20&gt;='NBs List'!$C6,F$20&lt;='NBs List'!$G6),'NBs List'!$B6,0)</f>
        <v>0</v>
      </c>
      <c r="G24" s="44">
        <f>IF(AND(G$20&gt;='NBs List'!$C6,G$20&lt;='NBs List'!$G6),'NBs List'!$B6,0)</f>
        <v>0</v>
      </c>
      <c r="H24" s="44">
        <f>IF(AND(H$20&gt;='NBs List'!$C6,H$20&lt;='NBs List'!$G6),'NBs List'!$B6,0)</f>
        <v>0</v>
      </c>
      <c r="I24" s="44">
        <f>IF(AND(I$20&gt;='NBs List'!$C6,I$20&lt;='NBs List'!$G6),'NBs List'!$B6,0)</f>
        <v>0</v>
      </c>
      <c r="J24" s="44">
        <f>IF(AND(J$20&gt;='NBs List'!$C6,J$20&lt;='NBs List'!$G6),'NBs List'!$B6,0)</f>
        <v>0</v>
      </c>
      <c r="K24" s="44">
        <f>IF(AND(K$20&gt;='NBs List'!$C6,K$20&lt;='NBs List'!$G6),'NBs List'!$B6,0)</f>
        <v>0</v>
      </c>
      <c r="L24" s="44">
        <f>IF(AND(L$20&gt;='NBs List'!$C6,L$20&lt;='NBs List'!$G6),'NBs List'!$B6,0)</f>
        <v>0</v>
      </c>
      <c r="M24" s="44">
        <f>IF(AND(M$20&gt;='NBs List'!$C6,M$20&lt;='NBs List'!$G6),'NBs List'!$B6,0)</f>
        <v>0</v>
      </c>
      <c r="N24" s="44">
        <f>IF(AND(N$20&gt;='NBs List'!$C6,N$20&lt;='NBs List'!$G6),'NBs List'!$B6,0)</f>
        <v>10</v>
      </c>
      <c r="O24" s="44">
        <f>IF(AND(O$20&gt;='NBs List'!$C6,O$20&lt;='NBs List'!$G6),'NBs List'!$B6,0)</f>
        <v>10</v>
      </c>
      <c r="P24" s="44">
        <f>IF(AND(P$20&gt;='NBs List'!$C6,P$20&lt;='NBs List'!$G6),'NBs List'!$B6,0)</f>
        <v>10</v>
      </c>
      <c r="Q24" s="44">
        <f>IF(AND(Q$20&gt;='NBs List'!$C6,Q$20&lt;='NBs List'!$G6),'NBs List'!$B6,0)</f>
        <v>10</v>
      </c>
      <c r="R24" s="44">
        <f>IF(AND(R$20&gt;='NBs List'!$C6,R$20&lt;='NBs List'!$G6),'NBs List'!$B6,0)</f>
        <v>10</v>
      </c>
      <c r="S24" s="44">
        <f>IF(AND(S$20&gt;='NBs List'!$C6,S$20&lt;='NBs List'!$G6),'NBs List'!$B6,0)</f>
        <v>10</v>
      </c>
      <c r="T24" s="44">
        <f>IF(AND(T$20&gt;='NBs List'!$C6,T$20&lt;='NBs List'!$G6),'NBs List'!$B6,0)</f>
        <v>10</v>
      </c>
      <c r="U24" s="44">
        <f>IF(AND(U$20&gt;='NBs List'!$C6,U$20&lt;='NBs List'!$G6),'NBs List'!$B6,0)</f>
        <v>10</v>
      </c>
      <c r="V24" s="44">
        <f>IF(AND(V$20&gt;='NBs List'!$C6,V$20&lt;='NBs List'!$G6),'NBs List'!$B6,0)</f>
        <v>10</v>
      </c>
      <c r="W24" s="44">
        <f>IF(AND(W$20&gt;='NBs List'!$C6,W$20&lt;='NBs List'!$G6),'NBs List'!$B6,0)</f>
        <v>10</v>
      </c>
      <c r="X24" s="44">
        <f>IF(AND(X$20&gt;='NBs List'!$C6,X$20&lt;='NBs List'!$G6),'NBs List'!$B6,0)</f>
        <v>0</v>
      </c>
      <c r="Y24" s="44">
        <f>IF(AND(Y$20&gt;='NBs List'!$C6,Y$20&lt;='NBs List'!$G6),'NBs List'!$B6,0)</f>
        <v>0</v>
      </c>
      <c r="Z24" s="44">
        <f>IF(AND(Z$20&gt;='NBs List'!$C6,Z$20&lt;='NBs List'!$G6),'NBs List'!$B6,0)</f>
        <v>0</v>
      </c>
      <c r="AA24" s="44">
        <f>IF(AND(AA$20&gt;='NBs List'!$C6,AA$20&lt;='NBs List'!$G6),'NBs List'!$B6,0)</f>
        <v>0</v>
      </c>
      <c r="AB24" s="44">
        <f>IF(AND(AB$20&gt;='NBs List'!$C6,AB$20&lt;='NBs List'!$G6),'NBs List'!$B6,0)</f>
        <v>0</v>
      </c>
      <c r="AC24" s="44">
        <f>IF(AND(AC$20&gt;='NBs List'!$C6,AC$20&lt;='NBs List'!$G6),'NBs List'!$B6,0)</f>
        <v>0</v>
      </c>
      <c r="AD24" s="44">
        <f>IF(AND(AD$20&gt;='NBs List'!$C6,AD$20&lt;='NBs List'!$G6),'NBs List'!$B6,0)</f>
        <v>0</v>
      </c>
      <c r="AE24" s="44">
        <f>IF(AND(AE$20&gt;='NBs List'!$C6,AE$20&lt;='NBs List'!$G6),'NBs List'!$B6,0)</f>
        <v>0</v>
      </c>
      <c r="AF24" s="44">
        <f>IF(AND(AF$20&gt;='NBs List'!$C6,AF$20&lt;='NBs List'!$G6),'NBs List'!$B6,0)</f>
        <v>0</v>
      </c>
      <c r="AG24" s="44">
        <f>IF(AND(AG$20&gt;='NBs List'!$C6,AG$20&lt;='NBs List'!$G6),'NBs List'!$B6,0)</f>
        <v>0</v>
      </c>
      <c r="AH24" s="44">
        <f>IF(AND(AH$20&gt;='NBs List'!$C6,AH$20&lt;='NBs List'!$G6),'NBs List'!$B6,0)</f>
        <v>0</v>
      </c>
      <c r="AI24" s="44">
        <f>IF(AND(AI$20&gt;='NBs List'!$C6,AI$20&lt;='NBs List'!$G6),'NBs List'!$B6,0)</f>
        <v>0</v>
      </c>
      <c r="AJ24" s="44">
        <f>IF(AND(AJ$20&gt;='NBs List'!$C6,AJ$20&lt;='NBs List'!$G6),'NBs List'!$B6,0)</f>
        <v>0</v>
      </c>
      <c r="AK24" s="44">
        <f>IF(AND(AK$20&gt;='NBs List'!$C6,AK$20&lt;='NBs List'!$G6),'NBs List'!$B6,0)</f>
        <v>0</v>
      </c>
      <c r="AL24" s="44">
        <f>IF(AND(AL$20&gt;='NBs List'!$C6,AL$20&lt;='NBs List'!$G6),'NBs List'!$B6,0)</f>
        <v>0</v>
      </c>
      <c r="AM24" s="44">
        <f>IF(AND(AM$20&gt;='NBs List'!$C6,AM$20&lt;='NBs List'!$G6),'NBs List'!$B6,0)</f>
        <v>0</v>
      </c>
      <c r="AN24" s="44">
        <f>IF(AND(AN$20&gt;='NBs List'!$C6,AN$20&lt;='NBs List'!$G6),'NBs List'!$B6,0)</f>
        <v>0</v>
      </c>
      <c r="AO24" s="44">
        <f>IF(AND(AO$20&gt;='NBs List'!$C6,AO$20&lt;='NBs List'!$G6),'NBs List'!$B6,0)</f>
        <v>0</v>
      </c>
      <c r="AP24" s="44">
        <f>IF(AND(AP$20&gt;='NBs List'!$C6,AP$20&lt;='NBs List'!$G6),'NBs List'!$B6,0)</f>
        <v>0</v>
      </c>
      <c r="AQ24" s="44">
        <f>IF(AND(AQ$20&gt;='NBs List'!$C6,AQ$20&lt;='NBs List'!$G6),'NBs List'!$B6,0)</f>
        <v>0</v>
      </c>
    </row>
    <row r="25" spans="1:43" x14ac:dyDescent="0.2">
      <c r="A25" s="27"/>
      <c r="B25" s="27"/>
      <c r="C25" s="27"/>
      <c r="D25" s="27"/>
      <c r="E25" s="27"/>
      <c r="F25" s="27"/>
      <c r="G25" s="42"/>
      <c r="H25" s="27"/>
      <c r="I25" s="43"/>
      <c r="J25" s="44"/>
      <c r="K25" s="41"/>
      <c r="L25" s="44"/>
    </row>
    <row r="26" spans="1:43" x14ac:dyDescent="0.2">
      <c r="A26" s="46" t="s">
        <v>109</v>
      </c>
      <c r="D26" s="43">
        <v>44227</v>
      </c>
      <c r="E26" s="43">
        <f t="shared" ref="E26:AQ26" si="5">EDATE(D26,6)</f>
        <v>44408</v>
      </c>
      <c r="F26" s="43">
        <f t="shared" si="5"/>
        <v>44592</v>
      </c>
      <c r="G26" s="43">
        <f t="shared" si="5"/>
        <v>44773</v>
      </c>
      <c r="H26" s="43">
        <f t="shared" si="5"/>
        <v>44957</v>
      </c>
      <c r="I26" s="43">
        <f t="shared" si="5"/>
        <v>45138</v>
      </c>
      <c r="J26" s="43">
        <f t="shared" si="5"/>
        <v>45322</v>
      </c>
      <c r="K26" s="43">
        <f t="shared" si="5"/>
        <v>45504</v>
      </c>
      <c r="L26" s="43">
        <f t="shared" si="5"/>
        <v>45688</v>
      </c>
      <c r="M26" s="43">
        <f t="shared" si="5"/>
        <v>45869</v>
      </c>
      <c r="N26" s="43">
        <f t="shared" si="5"/>
        <v>46053</v>
      </c>
      <c r="O26" s="43">
        <f t="shared" si="5"/>
        <v>46234</v>
      </c>
      <c r="P26" s="43">
        <f t="shared" si="5"/>
        <v>46418</v>
      </c>
      <c r="Q26" s="43">
        <f t="shared" si="5"/>
        <v>46599</v>
      </c>
      <c r="R26" s="43">
        <f t="shared" si="5"/>
        <v>46783</v>
      </c>
      <c r="S26" s="43">
        <f t="shared" si="5"/>
        <v>46965</v>
      </c>
      <c r="T26" s="43">
        <f t="shared" si="5"/>
        <v>47149</v>
      </c>
      <c r="U26" s="43">
        <f t="shared" si="5"/>
        <v>47330</v>
      </c>
      <c r="V26" s="43">
        <f t="shared" si="5"/>
        <v>47514</v>
      </c>
      <c r="W26" s="43">
        <f t="shared" si="5"/>
        <v>47695</v>
      </c>
      <c r="X26" s="43">
        <f t="shared" si="5"/>
        <v>47879</v>
      </c>
      <c r="Y26" s="43">
        <f t="shared" si="5"/>
        <v>48060</v>
      </c>
      <c r="Z26" s="43">
        <f t="shared" si="5"/>
        <v>48244</v>
      </c>
      <c r="AA26" s="43">
        <f t="shared" si="5"/>
        <v>48426</v>
      </c>
      <c r="AB26" s="43">
        <f t="shared" si="5"/>
        <v>48610</v>
      </c>
      <c r="AC26" s="43">
        <f t="shared" si="5"/>
        <v>48791</v>
      </c>
      <c r="AD26" s="43">
        <f t="shared" si="5"/>
        <v>48975</v>
      </c>
      <c r="AE26" s="43">
        <f t="shared" si="5"/>
        <v>49156</v>
      </c>
      <c r="AF26" s="43">
        <f t="shared" si="5"/>
        <v>49340</v>
      </c>
      <c r="AG26" s="43">
        <f t="shared" si="5"/>
        <v>49521</v>
      </c>
      <c r="AH26" s="43">
        <f t="shared" si="5"/>
        <v>49705</v>
      </c>
      <c r="AI26" s="43">
        <f t="shared" si="5"/>
        <v>49887</v>
      </c>
      <c r="AJ26" s="43">
        <f t="shared" si="5"/>
        <v>50071</v>
      </c>
      <c r="AK26" s="43">
        <f t="shared" si="5"/>
        <v>50252</v>
      </c>
      <c r="AL26" s="43">
        <f t="shared" si="5"/>
        <v>50436</v>
      </c>
      <c r="AM26" s="43">
        <f t="shared" si="5"/>
        <v>50617</v>
      </c>
      <c r="AN26" s="43">
        <f t="shared" si="5"/>
        <v>50801</v>
      </c>
      <c r="AO26" s="43">
        <f t="shared" si="5"/>
        <v>50982</v>
      </c>
      <c r="AP26" s="43">
        <f t="shared" si="5"/>
        <v>51166</v>
      </c>
      <c r="AQ26" s="43">
        <f t="shared" si="5"/>
        <v>51348</v>
      </c>
    </row>
    <row r="27" spans="1:43" x14ac:dyDescent="0.2">
      <c r="A27" s="45" t="s">
        <v>49</v>
      </c>
      <c r="B27" s="27"/>
      <c r="C27" s="42"/>
      <c r="D27" s="48"/>
      <c r="E27" s="44">
        <f t="shared" ref="E27:N30" si="6">(E$26-$B$2)/360</f>
        <v>0.90833333333333333</v>
      </c>
      <c r="F27" s="44">
        <f t="shared" si="6"/>
        <v>1.4194444444444445</v>
      </c>
      <c r="G27" s="44">
        <f t="shared" si="6"/>
        <v>1.9222222222222223</v>
      </c>
      <c r="H27" s="44">
        <f t="shared" si="6"/>
        <v>2.4333333333333331</v>
      </c>
      <c r="I27" s="44">
        <f t="shared" si="6"/>
        <v>2.9361111111111109</v>
      </c>
      <c r="J27" s="44">
        <f t="shared" si="6"/>
        <v>3.4472222222222224</v>
      </c>
      <c r="K27" s="44">
        <f t="shared" si="6"/>
        <v>3.9527777777777779</v>
      </c>
      <c r="L27" s="44">
        <f t="shared" si="6"/>
        <v>4.4638888888888886</v>
      </c>
      <c r="M27" s="44">
        <f t="shared" si="6"/>
        <v>4.9666666666666668</v>
      </c>
      <c r="N27" s="44">
        <f t="shared" si="6"/>
        <v>5.4777777777777779</v>
      </c>
      <c r="O27" s="44">
        <f t="shared" ref="O27:X30" si="7">(O$26-$B$2)/360</f>
        <v>5.9805555555555552</v>
      </c>
      <c r="P27" s="44">
        <f t="shared" si="7"/>
        <v>6.4916666666666663</v>
      </c>
      <c r="Q27" s="44">
        <f t="shared" si="7"/>
        <v>6.9944444444444445</v>
      </c>
      <c r="R27" s="44">
        <f t="shared" si="7"/>
        <v>7.5055555555555555</v>
      </c>
      <c r="S27" s="44">
        <f t="shared" si="7"/>
        <v>8.0111111111111111</v>
      </c>
      <c r="T27" s="44">
        <f t="shared" si="7"/>
        <v>8.5222222222222221</v>
      </c>
      <c r="U27" s="44">
        <f t="shared" si="7"/>
        <v>9.0250000000000004</v>
      </c>
      <c r="V27" s="44">
        <f t="shared" si="7"/>
        <v>9.5361111111111114</v>
      </c>
      <c r="W27" s="44">
        <f t="shared" si="7"/>
        <v>10.03888888888889</v>
      </c>
      <c r="X27" s="44">
        <f t="shared" si="7"/>
        <v>10.55</v>
      </c>
      <c r="Y27" s="44">
        <f t="shared" ref="Y27:AH30" si="8">(Y$26-$B$2)/360</f>
        <v>11.052777777777777</v>
      </c>
      <c r="Z27" s="44">
        <f t="shared" si="8"/>
        <v>11.563888888888888</v>
      </c>
      <c r="AA27" s="44">
        <f t="shared" si="8"/>
        <v>12.069444444444445</v>
      </c>
      <c r="AB27" s="44">
        <f t="shared" si="8"/>
        <v>12.580555555555556</v>
      </c>
      <c r="AC27" s="44">
        <f t="shared" si="8"/>
        <v>13.083333333333334</v>
      </c>
      <c r="AD27" s="44">
        <f t="shared" si="8"/>
        <v>13.594444444444445</v>
      </c>
      <c r="AE27" s="44">
        <f t="shared" si="8"/>
        <v>14.097222222222221</v>
      </c>
      <c r="AF27" s="44">
        <f t="shared" si="8"/>
        <v>14.608333333333333</v>
      </c>
      <c r="AG27" s="44">
        <f t="shared" si="8"/>
        <v>15.111111111111111</v>
      </c>
      <c r="AH27" s="44">
        <f t="shared" si="8"/>
        <v>15.622222222222222</v>
      </c>
      <c r="AI27" s="44">
        <f t="shared" ref="AI27:AQ30" si="9">(AI$26-$B$2)/360</f>
        <v>16.127777777777776</v>
      </c>
      <c r="AJ27" s="44">
        <f t="shared" si="9"/>
        <v>16.638888888888889</v>
      </c>
      <c r="AK27" s="44">
        <f t="shared" si="9"/>
        <v>17.141666666666666</v>
      </c>
      <c r="AL27" s="44">
        <f t="shared" si="9"/>
        <v>17.652777777777779</v>
      </c>
      <c r="AM27" s="44">
        <f t="shared" si="9"/>
        <v>18.155555555555555</v>
      </c>
      <c r="AN27" s="44">
        <f t="shared" si="9"/>
        <v>18.666666666666668</v>
      </c>
      <c r="AO27" s="44">
        <f t="shared" si="9"/>
        <v>19.169444444444444</v>
      </c>
      <c r="AP27" s="44">
        <f t="shared" si="9"/>
        <v>19.680555555555557</v>
      </c>
      <c r="AQ27" s="44">
        <f t="shared" si="9"/>
        <v>20.18611111111111</v>
      </c>
    </row>
    <row r="28" spans="1:43" x14ac:dyDescent="0.2">
      <c r="A28" s="45" t="s">
        <v>50</v>
      </c>
      <c r="B28" s="27"/>
      <c r="C28" s="42"/>
      <c r="D28" s="48"/>
      <c r="E28" s="44">
        <f t="shared" si="6"/>
        <v>0.90833333333333333</v>
      </c>
      <c r="F28" s="44">
        <f t="shared" si="6"/>
        <v>1.4194444444444445</v>
      </c>
      <c r="G28" s="44">
        <f t="shared" si="6"/>
        <v>1.9222222222222223</v>
      </c>
      <c r="H28" s="44">
        <f t="shared" si="6"/>
        <v>2.4333333333333331</v>
      </c>
      <c r="I28" s="44">
        <f t="shared" si="6"/>
        <v>2.9361111111111109</v>
      </c>
      <c r="J28" s="44">
        <f t="shared" si="6"/>
        <v>3.4472222222222224</v>
      </c>
      <c r="K28" s="44">
        <f t="shared" si="6"/>
        <v>3.9527777777777779</v>
      </c>
      <c r="L28" s="44">
        <f t="shared" si="6"/>
        <v>4.4638888888888886</v>
      </c>
      <c r="M28" s="44">
        <f t="shared" si="6"/>
        <v>4.9666666666666668</v>
      </c>
      <c r="N28" s="44">
        <f t="shared" si="6"/>
        <v>5.4777777777777779</v>
      </c>
      <c r="O28" s="44">
        <f t="shared" si="7"/>
        <v>5.9805555555555552</v>
      </c>
      <c r="P28" s="44">
        <f t="shared" si="7"/>
        <v>6.4916666666666663</v>
      </c>
      <c r="Q28" s="44">
        <f t="shared" si="7"/>
        <v>6.9944444444444445</v>
      </c>
      <c r="R28" s="44">
        <f t="shared" si="7"/>
        <v>7.5055555555555555</v>
      </c>
      <c r="S28" s="44">
        <f t="shared" si="7"/>
        <v>8.0111111111111111</v>
      </c>
      <c r="T28" s="44">
        <f t="shared" si="7"/>
        <v>8.5222222222222221</v>
      </c>
      <c r="U28" s="44">
        <f t="shared" si="7"/>
        <v>9.0250000000000004</v>
      </c>
      <c r="V28" s="44">
        <f t="shared" si="7"/>
        <v>9.5361111111111114</v>
      </c>
      <c r="W28" s="44">
        <f t="shared" si="7"/>
        <v>10.03888888888889</v>
      </c>
      <c r="X28" s="44">
        <f t="shared" si="7"/>
        <v>10.55</v>
      </c>
      <c r="Y28" s="44">
        <f t="shared" si="8"/>
        <v>11.052777777777777</v>
      </c>
      <c r="Z28" s="44">
        <f t="shared" si="8"/>
        <v>11.563888888888888</v>
      </c>
      <c r="AA28" s="44">
        <f t="shared" si="8"/>
        <v>12.069444444444445</v>
      </c>
      <c r="AB28" s="44">
        <f t="shared" si="8"/>
        <v>12.580555555555556</v>
      </c>
      <c r="AC28" s="44">
        <f t="shared" si="8"/>
        <v>13.083333333333334</v>
      </c>
      <c r="AD28" s="44">
        <f t="shared" si="8"/>
        <v>13.594444444444445</v>
      </c>
      <c r="AE28" s="44">
        <f t="shared" si="8"/>
        <v>14.097222222222221</v>
      </c>
      <c r="AF28" s="44">
        <f t="shared" si="8"/>
        <v>14.608333333333333</v>
      </c>
      <c r="AG28" s="44">
        <f t="shared" si="8"/>
        <v>15.111111111111111</v>
      </c>
      <c r="AH28" s="44">
        <f t="shared" si="8"/>
        <v>15.622222222222222</v>
      </c>
      <c r="AI28" s="44">
        <f t="shared" si="9"/>
        <v>16.127777777777776</v>
      </c>
      <c r="AJ28" s="44">
        <f t="shared" si="9"/>
        <v>16.638888888888889</v>
      </c>
      <c r="AK28" s="44">
        <f t="shared" si="9"/>
        <v>17.141666666666666</v>
      </c>
      <c r="AL28" s="44">
        <f t="shared" si="9"/>
        <v>17.652777777777779</v>
      </c>
      <c r="AM28" s="44">
        <f t="shared" si="9"/>
        <v>18.155555555555555</v>
      </c>
      <c r="AN28" s="44">
        <f t="shared" si="9"/>
        <v>18.666666666666668</v>
      </c>
      <c r="AO28" s="44">
        <f t="shared" si="9"/>
        <v>19.169444444444444</v>
      </c>
      <c r="AP28" s="44">
        <f t="shared" si="9"/>
        <v>19.680555555555557</v>
      </c>
      <c r="AQ28" s="44">
        <f t="shared" si="9"/>
        <v>20.18611111111111</v>
      </c>
    </row>
    <row r="29" spans="1:43" x14ac:dyDescent="0.2">
      <c r="A29" s="45" t="s">
        <v>51</v>
      </c>
      <c r="B29" s="27"/>
      <c r="C29" s="42"/>
      <c r="D29" s="48"/>
      <c r="E29" s="44">
        <f t="shared" si="6"/>
        <v>0.90833333333333333</v>
      </c>
      <c r="F29" s="44">
        <f t="shared" si="6"/>
        <v>1.4194444444444445</v>
      </c>
      <c r="G29" s="44">
        <f t="shared" si="6"/>
        <v>1.9222222222222223</v>
      </c>
      <c r="H29" s="44">
        <f t="shared" si="6"/>
        <v>2.4333333333333331</v>
      </c>
      <c r="I29" s="44">
        <f t="shared" si="6"/>
        <v>2.9361111111111109</v>
      </c>
      <c r="J29" s="44">
        <f t="shared" si="6"/>
        <v>3.4472222222222224</v>
      </c>
      <c r="K29" s="44">
        <f t="shared" si="6"/>
        <v>3.9527777777777779</v>
      </c>
      <c r="L29" s="44">
        <f t="shared" si="6"/>
        <v>4.4638888888888886</v>
      </c>
      <c r="M29" s="44">
        <f t="shared" si="6"/>
        <v>4.9666666666666668</v>
      </c>
      <c r="N29" s="44">
        <f t="shared" si="6"/>
        <v>5.4777777777777779</v>
      </c>
      <c r="O29" s="44">
        <f t="shared" si="7"/>
        <v>5.9805555555555552</v>
      </c>
      <c r="P29" s="44">
        <f t="shared" si="7"/>
        <v>6.4916666666666663</v>
      </c>
      <c r="Q29" s="44">
        <f t="shared" si="7"/>
        <v>6.9944444444444445</v>
      </c>
      <c r="R29" s="44">
        <f t="shared" si="7"/>
        <v>7.5055555555555555</v>
      </c>
      <c r="S29" s="44">
        <f t="shared" si="7"/>
        <v>8.0111111111111111</v>
      </c>
      <c r="T29" s="44">
        <f t="shared" si="7"/>
        <v>8.5222222222222221</v>
      </c>
      <c r="U29" s="44">
        <f t="shared" si="7"/>
        <v>9.0250000000000004</v>
      </c>
      <c r="V29" s="44">
        <f t="shared" si="7"/>
        <v>9.5361111111111114</v>
      </c>
      <c r="W29" s="44">
        <f t="shared" si="7"/>
        <v>10.03888888888889</v>
      </c>
      <c r="X29" s="44">
        <f t="shared" si="7"/>
        <v>10.55</v>
      </c>
      <c r="Y29" s="44">
        <f t="shared" si="8"/>
        <v>11.052777777777777</v>
      </c>
      <c r="Z29" s="44">
        <f t="shared" si="8"/>
        <v>11.563888888888888</v>
      </c>
      <c r="AA29" s="44">
        <f t="shared" si="8"/>
        <v>12.069444444444445</v>
      </c>
      <c r="AB29" s="44">
        <f t="shared" si="8"/>
        <v>12.580555555555556</v>
      </c>
      <c r="AC29" s="44">
        <f t="shared" si="8"/>
        <v>13.083333333333334</v>
      </c>
      <c r="AD29" s="44">
        <f t="shared" si="8"/>
        <v>13.594444444444445</v>
      </c>
      <c r="AE29" s="44">
        <f t="shared" si="8"/>
        <v>14.097222222222221</v>
      </c>
      <c r="AF29" s="44">
        <f t="shared" si="8"/>
        <v>14.608333333333333</v>
      </c>
      <c r="AG29" s="44">
        <f t="shared" si="8"/>
        <v>15.111111111111111</v>
      </c>
      <c r="AH29" s="44">
        <f t="shared" si="8"/>
        <v>15.622222222222222</v>
      </c>
      <c r="AI29" s="44">
        <f t="shared" si="9"/>
        <v>16.127777777777776</v>
      </c>
      <c r="AJ29" s="44">
        <f t="shared" si="9"/>
        <v>16.638888888888889</v>
      </c>
      <c r="AK29" s="44">
        <f t="shared" si="9"/>
        <v>17.141666666666666</v>
      </c>
      <c r="AL29" s="44">
        <f t="shared" si="9"/>
        <v>17.652777777777779</v>
      </c>
      <c r="AM29" s="44">
        <f t="shared" si="9"/>
        <v>18.155555555555555</v>
      </c>
      <c r="AN29" s="44">
        <f t="shared" si="9"/>
        <v>18.666666666666668</v>
      </c>
      <c r="AO29" s="44">
        <f t="shared" si="9"/>
        <v>19.169444444444444</v>
      </c>
      <c r="AP29" s="44">
        <f t="shared" si="9"/>
        <v>19.680555555555557</v>
      </c>
      <c r="AQ29" s="44">
        <f t="shared" si="9"/>
        <v>20.18611111111111</v>
      </c>
    </row>
    <row r="30" spans="1:43" x14ac:dyDescent="0.2">
      <c r="A30" s="45" t="s">
        <v>52</v>
      </c>
      <c r="D30" s="49"/>
      <c r="E30" s="44">
        <f t="shared" si="6"/>
        <v>0.90833333333333333</v>
      </c>
      <c r="F30" s="44">
        <f t="shared" si="6"/>
        <v>1.4194444444444445</v>
      </c>
      <c r="G30" s="44">
        <f t="shared" si="6"/>
        <v>1.9222222222222223</v>
      </c>
      <c r="H30" s="44">
        <f t="shared" si="6"/>
        <v>2.4333333333333331</v>
      </c>
      <c r="I30" s="44">
        <f t="shared" si="6"/>
        <v>2.9361111111111109</v>
      </c>
      <c r="J30" s="44">
        <f t="shared" si="6"/>
        <v>3.4472222222222224</v>
      </c>
      <c r="K30" s="44">
        <f t="shared" si="6"/>
        <v>3.9527777777777779</v>
      </c>
      <c r="L30" s="44">
        <f t="shared" si="6"/>
        <v>4.4638888888888886</v>
      </c>
      <c r="M30" s="44">
        <f t="shared" si="6"/>
        <v>4.9666666666666668</v>
      </c>
      <c r="N30" s="44">
        <f t="shared" si="6"/>
        <v>5.4777777777777779</v>
      </c>
      <c r="O30" s="44">
        <f t="shared" si="7"/>
        <v>5.9805555555555552</v>
      </c>
      <c r="P30" s="44">
        <f t="shared" si="7"/>
        <v>6.4916666666666663</v>
      </c>
      <c r="Q30" s="44">
        <f t="shared" si="7"/>
        <v>6.9944444444444445</v>
      </c>
      <c r="R30" s="44">
        <f t="shared" si="7"/>
        <v>7.5055555555555555</v>
      </c>
      <c r="S30" s="44">
        <f t="shared" si="7"/>
        <v>8.0111111111111111</v>
      </c>
      <c r="T30" s="44">
        <f t="shared" si="7"/>
        <v>8.5222222222222221</v>
      </c>
      <c r="U30" s="44">
        <f t="shared" si="7"/>
        <v>9.0250000000000004</v>
      </c>
      <c r="V30" s="44">
        <f t="shared" si="7"/>
        <v>9.5361111111111114</v>
      </c>
      <c r="W30" s="44">
        <f t="shared" si="7"/>
        <v>10.03888888888889</v>
      </c>
      <c r="X30" s="44">
        <f t="shared" si="7"/>
        <v>10.55</v>
      </c>
      <c r="Y30" s="44">
        <f t="shared" si="8"/>
        <v>11.052777777777777</v>
      </c>
      <c r="Z30" s="44">
        <f t="shared" si="8"/>
        <v>11.563888888888888</v>
      </c>
      <c r="AA30" s="44">
        <f t="shared" si="8"/>
        <v>12.069444444444445</v>
      </c>
      <c r="AB30" s="44">
        <f t="shared" si="8"/>
        <v>12.580555555555556</v>
      </c>
      <c r="AC30" s="44">
        <f t="shared" si="8"/>
        <v>13.083333333333334</v>
      </c>
      <c r="AD30" s="44">
        <f t="shared" si="8"/>
        <v>13.594444444444445</v>
      </c>
      <c r="AE30" s="44">
        <f t="shared" si="8"/>
        <v>14.097222222222221</v>
      </c>
      <c r="AF30" s="44">
        <f t="shared" si="8"/>
        <v>14.608333333333333</v>
      </c>
      <c r="AG30" s="44">
        <f t="shared" si="8"/>
        <v>15.111111111111111</v>
      </c>
      <c r="AH30" s="44">
        <f t="shared" si="8"/>
        <v>15.622222222222222</v>
      </c>
      <c r="AI30" s="44">
        <f t="shared" si="9"/>
        <v>16.127777777777776</v>
      </c>
      <c r="AJ30" s="44">
        <f t="shared" si="9"/>
        <v>16.638888888888889</v>
      </c>
      <c r="AK30" s="44">
        <f t="shared" si="9"/>
        <v>17.141666666666666</v>
      </c>
      <c r="AL30" s="44">
        <f t="shared" si="9"/>
        <v>17.652777777777779</v>
      </c>
      <c r="AM30" s="44">
        <f t="shared" si="9"/>
        <v>18.155555555555555</v>
      </c>
      <c r="AN30" s="44">
        <f t="shared" si="9"/>
        <v>18.666666666666668</v>
      </c>
      <c r="AO30" s="44">
        <f t="shared" si="9"/>
        <v>19.169444444444444</v>
      </c>
      <c r="AP30" s="44">
        <f t="shared" si="9"/>
        <v>19.680555555555557</v>
      </c>
      <c r="AQ30" s="44">
        <f t="shared" si="9"/>
        <v>20.18611111111111</v>
      </c>
    </row>
    <row r="32" spans="1:43" x14ac:dyDescent="0.2">
      <c r="A32" s="46" t="s">
        <v>111</v>
      </c>
      <c r="D32" s="43">
        <v>44227</v>
      </c>
      <c r="E32" s="43">
        <f t="shared" ref="E32:AQ32" si="10">EDATE(D32,6)</f>
        <v>44408</v>
      </c>
      <c r="F32" s="43">
        <f t="shared" si="10"/>
        <v>44592</v>
      </c>
      <c r="G32" s="43">
        <f t="shared" si="10"/>
        <v>44773</v>
      </c>
      <c r="H32" s="43">
        <f t="shared" si="10"/>
        <v>44957</v>
      </c>
      <c r="I32" s="43">
        <f t="shared" si="10"/>
        <v>45138</v>
      </c>
      <c r="J32" s="43">
        <f t="shared" si="10"/>
        <v>45322</v>
      </c>
      <c r="K32" s="43">
        <f t="shared" si="10"/>
        <v>45504</v>
      </c>
      <c r="L32" s="43">
        <f t="shared" si="10"/>
        <v>45688</v>
      </c>
      <c r="M32" s="43">
        <f t="shared" si="10"/>
        <v>45869</v>
      </c>
      <c r="N32" s="43">
        <f t="shared" si="10"/>
        <v>46053</v>
      </c>
      <c r="O32" s="43">
        <f t="shared" si="10"/>
        <v>46234</v>
      </c>
      <c r="P32" s="43">
        <f t="shared" si="10"/>
        <v>46418</v>
      </c>
      <c r="Q32" s="43">
        <f t="shared" si="10"/>
        <v>46599</v>
      </c>
      <c r="R32" s="43">
        <f t="shared" si="10"/>
        <v>46783</v>
      </c>
      <c r="S32" s="43">
        <f t="shared" si="10"/>
        <v>46965</v>
      </c>
      <c r="T32" s="43">
        <f t="shared" si="10"/>
        <v>47149</v>
      </c>
      <c r="U32" s="43">
        <f t="shared" si="10"/>
        <v>47330</v>
      </c>
      <c r="V32" s="43">
        <f t="shared" si="10"/>
        <v>47514</v>
      </c>
      <c r="W32" s="43">
        <f t="shared" si="10"/>
        <v>47695</v>
      </c>
      <c r="X32" s="43">
        <f t="shared" si="10"/>
        <v>47879</v>
      </c>
      <c r="Y32" s="43">
        <f t="shared" si="10"/>
        <v>48060</v>
      </c>
      <c r="Z32" s="43">
        <f t="shared" si="10"/>
        <v>48244</v>
      </c>
      <c r="AA32" s="43">
        <f t="shared" si="10"/>
        <v>48426</v>
      </c>
      <c r="AB32" s="43">
        <f t="shared" si="10"/>
        <v>48610</v>
      </c>
      <c r="AC32" s="43">
        <f t="shared" si="10"/>
        <v>48791</v>
      </c>
      <c r="AD32" s="43">
        <f t="shared" si="10"/>
        <v>48975</v>
      </c>
      <c r="AE32" s="43">
        <f t="shared" si="10"/>
        <v>49156</v>
      </c>
      <c r="AF32" s="43">
        <f t="shared" si="10"/>
        <v>49340</v>
      </c>
      <c r="AG32" s="43">
        <f t="shared" si="10"/>
        <v>49521</v>
      </c>
      <c r="AH32" s="43">
        <f t="shared" si="10"/>
        <v>49705</v>
      </c>
      <c r="AI32" s="43">
        <f t="shared" si="10"/>
        <v>49887</v>
      </c>
      <c r="AJ32" s="43">
        <f t="shared" si="10"/>
        <v>50071</v>
      </c>
      <c r="AK32" s="43">
        <f t="shared" si="10"/>
        <v>50252</v>
      </c>
      <c r="AL32" s="43">
        <f t="shared" si="10"/>
        <v>50436</v>
      </c>
      <c r="AM32" s="43">
        <f t="shared" si="10"/>
        <v>50617</v>
      </c>
      <c r="AN32" s="43">
        <f t="shared" si="10"/>
        <v>50801</v>
      </c>
      <c r="AO32" s="43">
        <f t="shared" si="10"/>
        <v>50982</v>
      </c>
      <c r="AP32" s="43">
        <f t="shared" si="10"/>
        <v>51166</v>
      </c>
      <c r="AQ32" s="43">
        <f t="shared" si="10"/>
        <v>51348</v>
      </c>
    </row>
    <row r="33" spans="1:43" x14ac:dyDescent="0.2">
      <c r="A33" s="45" t="s">
        <v>49</v>
      </c>
      <c r="B33" s="27"/>
      <c r="C33" s="42"/>
      <c r="D33" s="48"/>
      <c r="E33" s="44">
        <f t="shared" ref="E33:AQ33" si="11">(E15/2+E21)/(1+$B$1)^E27</f>
        <v>0.22975943409856531</v>
      </c>
      <c r="F33" s="44">
        <f t="shared" si="11"/>
        <v>2.1909948203269329</v>
      </c>
      <c r="G33" s="44">
        <f t="shared" si="11"/>
        <v>2.0909600736979153</v>
      </c>
      <c r="H33" s="44">
        <f t="shared" si="11"/>
        <v>2.1933423451586913</v>
      </c>
      <c r="I33" s="44">
        <f t="shared" si="11"/>
        <v>2.093200417056869</v>
      </c>
      <c r="J33" s="44">
        <f t="shared" si="11"/>
        <v>2.1775461671684413</v>
      </c>
      <c r="K33" s="44">
        <f t="shared" si="11"/>
        <v>2.0775889670146972</v>
      </c>
      <c r="L33" s="44">
        <f t="shared" si="11"/>
        <v>2.2783763747766432</v>
      </c>
      <c r="M33" s="44">
        <f t="shared" si="11"/>
        <v>2.1743520287298952</v>
      </c>
      <c r="N33" s="44">
        <f t="shared" si="11"/>
        <v>8.0835298278379568</v>
      </c>
      <c r="O33" s="44">
        <f t="shared" si="11"/>
        <v>7.7144582760963543</v>
      </c>
      <c r="P33" s="44">
        <f t="shared" si="11"/>
        <v>7.3565371497669858</v>
      </c>
      <c r="Q33" s="44">
        <f t="shared" si="11"/>
        <v>7.0206580673444696</v>
      </c>
      <c r="R33" s="44">
        <f t="shared" si="11"/>
        <v>6.6949265962412454</v>
      </c>
      <c r="S33" s="44">
        <f t="shared" si="11"/>
        <v>6.3876053885970885</v>
      </c>
      <c r="T33" s="44">
        <f t="shared" si="11"/>
        <v>6.0912451214972831</v>
      </c>
      <c r="U33" s="44">
        <f t="shared" si="11"/>
        <v>5.8131357637155538</v>
      </c>
      <c r="V33" s="44">
        <f t="shared" si="11"/>
        <v>5.5434286727456552</v>
      </c>
      <c r="W33" s="44">
        <f t="shared" si="11"/>
        <v>5.2903310946092557</v>
      </c>
      <c r="X33" s="44">
        <f t="shared" si="11"/>
        <v>0</v>
      </c>
      <c r="Y33" s="44">
        <f t="shared" si="11"/>
        <v>0</v>
      </c>
      <c r="Z33" s="44">
        <f t="shared" si="11"/>
        <v>0</v>
      </c>
      <c r="AA33" s="44">
        <f t="shared" si="11"/>
        <v>0</v>
      </c>
      <c r="AB33" s="44">
        <f t="shared" si="11"/>
        <v>0</v>
      </c>
      <c r="AC33" s="44">
        <f t="shared" si="11"/>
        <v>0</v>
      </c>
      <c r="AD33" s="44">
        <f t="shared" si="11"/>
        <v>0</v>
      </c>
      <c r="AE33" s="44">
        <f t="shared" si="11"/>
        <v>0</v>
      </c>
      <c r="AF33" s="44">
        <f t="shared" si="11"/>
        <v>0</v>
      </c>
      <c r="AG33" s="44">
        <f t="shared" si="11"/>
        <v>0</v>
      </c>
      <c r="AH33" s="44">
        <f t="shared" si="11"/>
        <v>0</v>
      </c>
      <c r="AI33" s="44">
        <f t="shared" si="11"/>
        <v>0</v>
      </c>
      <c r="AJ33" s="44">
        <f t="shared" si="11"/>
        <v>0</v>
      </c>
      <c r="AK33" s="44">
        <f t="shared" si="11"/>
        <v>0</v>
      </c>
      <c r="AL33" s="44">
        <f t="shared" si="11"/>
        <v>0</v>
      </c>
      <c r="AM33" s="44">
        <f t="shared" si="11"/>
        <v>0</v>
      </c>
      <c r="AN33" s="44">
        <f t="shared" si="11"/>
        <v>0</v>
      </c>
      <c r="AO33" s="44">
        <f t="shared" si="11"/>
        <v>0</v>
      </c>
      <c r="AP33" s="44">
        <f t="shared" si="11"/>
        <v>0</v>
      </c>
      <c r="AQ33" s="44">
        <f t="shared" si="11"/>
        <v>0</v>
      </c>
    </row>
    <row r="34" spans="1:43" x14ac:dyDescent="0.2">
      <c r="A34" s="45" t="s">
        <v>50</v>
      </c>
      <c r="B34" s="27"/>
      <c r="C34" s="42"/>
      <c r="D34" s="48"/>
      <c r="E34" s="44">
        <f t="shared" ref="E34:AQ34" si="12">(E16/2+E22)/(1+$B$1)^E28</f>
        <v>0.22975943409856531</v>
      </c>
      <c r="F34" s="44">
        <f t="shared" si="12"/>
        <v>0.43819896406538655</v>
      </c>
      <c r="G34" s="44">
        <f t="shared" si="12"/>
        <v>0.41819201473958306</v>
      </c>
      <c r="H34" s="44">
        <f t="shared" si="12"/>
        <v>0.99697379325395064</v>
      </c>
      <c r="I34" s="44">
        <f t="shared" si="12"/>
        <v>0.95145473502584954</v>
      </c>
      <c r="J34" s="44">
        <f t="shared" si="12"/>
        <v>1.2702352641815906</v>
      </c>
      <c r="K34" s="44">
        <f t="shared" si="12"/>
        <v>1.21192689742524</v>
      </c>
      <c r="L34" s="44">
        <f t="shared" si="12"/>
        <v>1.8160971103292081</v>
      </c>
      <c r="M34" s="44">
        <f t="shared" si="12"/>
        <v>1.7331791533354237</v>
      </c>
      <c r="N34" s="44">
        <f t="shared" si="12"/>
        <v>2.0734704762855727</v>
      </c>
      <c r="O34" s="44">
        <f t="shared" si="12"/>
        <v>1.9788015652440465</v>
      </c>
      <c r="P34" s="44">
        <f t="shared" si="12"/>
        <v>1.8869928004978516</v>
      </c>
      <c r="Q34" s="44">
        <f t="shared" si="12"/>
        <v>1.8008379429247898</v>
      </c>
      <c r="R34" s="44">
        <f t="shared" si="12"/>
        <v>1.7172860042403197</v>
      </c>
      <c r="S34" s="44">
        <f t="shared" si="12"/>
        <v>1.6384564007925619</v>
      </c>
      <c r="T34" s="44">
        <f t="shared" si="12"/>
        <v>1.5624383397149169</v>
      </c>
      <c r="U34" s="44">
        <f t="shared" si="12"/>
        <v>1.4911017386482277</v>
      </c>
      <c r="V34" s="44">
        <f t="shared" si="12"/>
        <v>1.4219203658715622</v>
      </c>
      <c r="W34" s="44">
        <f t="shared" si="12"/>
        <v>1.3569994257547906</v>
      </c>
      <c r="X34" s="44">
        <f t="shared" si="12"/>
        <v>5.0448801249792821</v>
      </c>
      <c r="Y34" s="44">
        <f t="shared" si="12"/>
        <v>4.8145448907769648</v>
      </c>
      <c r="Z34" s="44">
        <f t="shared" si="12"/>
        <v>4.5911685669449067</v>
      </c>
      <c r="AA34" s="44">
        <f t="shared" si="12"/>
        <v>4.3804174185628524</v>
      </c>
      <c r="AB34" s="44">
        <f t="shared" si="12"/>
        <v>4.1771829359676396</v>
      </c>
      <c r="AC34" s="44">
        <f t="shared" si="12"/>
        <v>3.986464348800816</v>
      </c>
      <c r="AD34" s="44">
        <f t="shared" si="12"/>
        <v>3.8015077700328948</v>
      </c>
      <c r="AE34" s="44">
        <f t="shared" si="12"/>
        <v>3.6279414689830651</v>
      </c>
      <c r="AF34" s="44">
        <f t="shared" si="12"/>
        <v>3.4596189698052604</v>
      </c>
      <c r="AG34" s="44">
        <f t="shared" si="12"/>
        <v>3.3016623631229272</v>
      </c>
      <c r="AH34" s="44">
        <f t="shared" si="12"/>
        <v>0</v>
      </c>
      <c r="AI34" s="44">
        <f t="shared" si="12"/>
        <v>0</v>
      </c>
      <c r="AJ34" s="44">
        <f t="shared" si="12"/>
        <v>0</v>
      </c>
      <c r="AK34" s="44">
        <f t="shared" si="12"/>
        <v>0</v>
      </c>
      <c r="AL34" s="44">
        <f t="shared" si="12"/>
        <v>0</v>
      </c>
      <c r="AM34" s="44">
        <f t="shared" si="12"/>
        <v>0</v>
      </c>
      <c r="AN34" s="44">
        <f t="shared" si="12"/>
        <v>0</v>
      </c>
      <c r="AO34" s="44">
        <f t="shared" si="12"/>
        <v>0</v>
      </c>
      <c r="AP34" s="44">
        <f t="shared" si="12"/>
        <v>0</v>
      </c>
      <c r="AQ34" s="44">
        <f t="shared" si="12"/>
        <v>0</v>
      </c>
    </row>
    <row r="35" spans="1:43" x14ac:dyDescent="0.2">
      <c r="A35" s="45" t="s">
        <v>51</v>
      </c>
      <c r="B35" s="27"/>
      <c r="C35" s="42"/>
      <c r="D35" s="48"/>
      <c r="E35" s="44">
        <f t="shared" ref="E35:AQ35" si="13">(E17/2+E23)/(1+$B$1)^E29</f>
        <v>0.22975943409856531</v>
      </c>
      <c r="F35" s="44">
        <f t="shared" si="13"/>
        <v>0.21909948203269328</v>
      </c>
      <c r="G35" s="44">
        <f t="shared" si="13"/>
        <v>0.20909600736979153</v>
      </c>
      <c r="H35" s="44">
        <f t="shared" si="13"/>
        <v>0.59818427595237045</v>
      </c>
      <c r="I35" s="44">
        <f t="shared" si="13"/>
        <v>0.57087284101550972</v>
      </c>
      <c r="J35" s="44">
        <f t="shared" si="13"/>
        <v>0.90731090298685046</v>
      </c>
      <c r="K35" s="44">
        <f t="shared" si="13"/>
        <v>0.86566206958945713</v>
      </c>
      <c r="L35" s="44">
        <f t="shared" si="13"/>
        <v>1.6509973730265528</v>
      </c>
      <c r="M35" s="44">
        <f t="shared" si="13"/>
        <v>1.5756174121231123</v>
      </c>
      <c r="N35" s="44">
        <f t="shared" si="13"/>
        <v>1.5025148378880961</v>
      </c>
      <c r="O35" s="44">
        <f t="shared" si="13"/>
        <v>1.4339141777130771</v>
      </c>
      <c r="P35" s="44">
        <f t="shared" si="13"/>
        <v>1.504124696049012</v>
      </c>
      <c r="Q35" s="44">
        <f t="shared" si="13"/>
        <v>1.435450534215412</v>
      </c>
      <c r="R35" s="44">
        <f t="shared" si="13"/>
        <v>1.4932921776002779</v>
      </c>
      <c r="S35" s="44">
        <f t="shared" si="13"/>
        <v>1.4247446963413581</v>
      </c>
      <c r="T35" s="44">
        <f t="shared" si="13"/>
        <v>1.4718622040792693</v>
      </c>
      <c r="U35" s="44">
        <f t="shared" si="13"/>
        <v>1.404661058146881</v>
      </c>
      <c r="V35" s="44">
        <f t="shared" si="13"/>
        <v>1.4219203658715622</v>
      </c>
      <c r="W35" s="44">
        <f t="shared" si="13"/>
        <v>1.3569994257547906</v>
      </c>
      <c r="X35" s="44">
        <f t="shared" si="13"/>
        <v>1.2940398833589981</v>
      </c>
      <c r="Y35" s="44">
        <f t="shared" si="13"/>
        <v>1.2349576113888869</v>
      </c>
      <c r="Z35" s="44">
        <f t="shared" si="13"/>
        <v>1.1776603387330804</v>
      </c>
      <c r="AA35" s="44">
        <f t="shared" si="13"/>
        <v>1.1236014939808061</v>
      </c>
      <c r="AB35" s="44">
        <f t="shared" si="13"/>
        <v>1.07147071591735</v>
      </c>
      <c r="AC35" s="44">
        <f t="shared" si="13"/>
        <v>1.0225503348225142</v>
      </c>
      <c r="AD35" s="44">
        <f t="shared" si="13"/>
        <v>0.97510794101215537</v>
      </c>
      <c r="AE35" s="44">
        <f t="shared" si="13"/>
        <v>0.93058721695104663</v>
      </c>
      <c r="AF35" s="44">
        <f t="shared" si="13"/>
        <v>0.88741155731064314</v>
      </c>
      <c r="AG35" s="44">
        <f t="shared" si="13"/>
        <v>0.84689480689770258</v>
      </c>
      <c r="AH35" s="44">
        <f t="shared" si="13"/>
        <v>3.1484779567168526</v>
      </c>
      <c r="AI35" s="44">
        <f t="shared" si="13"/>
        <v>3.0039514956735798</v>
      </c>
      <c r="AJ35" s="44">
        <f t="shared" si="13"/>
        <v>2.8645797259017769</v>
      </c>
      <c r="AK35" s="44">
        <f t="shared" si="13"/>
        <v>2.7337909607159037</v>
      </c>
      <c r="AL35" s="44">
        <f t="shared" si="13"/>
        <v>2.606953598351736</v>
      </c>
      <c r="AM35" s="44">
        <f t="shared" si="13"/>
        <v>2.4879273276069207</v>
      </c>
      <c r="AN35" s="44">
        <f t="shared" si="13"/>
        <v>2.3724970900642677</v>
      </c>
      <c r="AO35" s="44">
        <f t="shared" si="13"/>
        <v>2.2641754532074332</v>
      </c>
      <c r="AP35" s="44">
        <f t="shared" si="13"/>
        <v>2.1591264401185466</v>
      </c>
      <c r="AQ35" s="44">
        <f t="shared" si="13"/>
        <v>2.060014771679016</v>
      </c>
    </row>
    <row r="36" spans="1:43" x14ac:dyDescent="0.2">
      <c r="A36" s="45" t="s">
        <v>52</v>
      </c>
      <c r="D36" s="49"/>
      <c r="E36" s="44">
        <f t="shared" ref="E36:AQ36" si="14">(E18/2+E24)/(1+$B$1)^E30</f>
        <v>0</v>
      </c>
      <c r="F36" s="44">
        <f t="shared" si="14"/>
        <v>0</v>
      </c>
      <c r="G36" s="44">
        <f t="shared" si="14"/>
        <v>0</v>
      </c>
      <c r="H36" s="44">
        <f t="shared" si="14"/>
        <v>0</v>
      </c>
      <c r="I36" s="44">
        <f t="shared" si="14"/>
        <v>0</v>
      </c>
      <c r="J36" s="44">
        <f t="shared" si="14"/>
        <v>0</v>
      </c>
      <c r="K36" s="44">
        <f t="shared" si="14"/>
        <v>0</v>
      </c>
      <c r="L36" s="44">
        <f t="shared" si="14"/>
        <v>0</v>
      </c>
      <c r="M36" s="44">
        <f t="shared" si="14"/>
        <v>0</v>
      </c>
      <c r="N36" s="44">
        <f t="shared" si="14"/>
        <v>6.0100593515523846</v>
      </c>
      <c r="O36" s="44">
        <f t="shared" si="14"/>
        <v>5.7356567108523082</v>
      </c>
      <c r="P36" s="44">
        <f t="shared" si="14"/>
        <v>5.4695443492691345</v>
      </c>
      <c r="Q36" s="44">
        <f t="shared" si="14"/>
        <v>5.2198201244196802</v>
      </c>
      <c r="R36" s="44">
        <f t="shared" si="14"/>
        <v>4.9776405920009266</v>
      </c>
      <c r="S36" s="44">
        <f t="shared" si="14"/>
        <v>4.749148987804527</v>
      </c>
      <c r="T36" s="44">
        <f t="shared" si="14"/>
        <v>4.5288067817823672</v>
      </c>
      <c r="U36" s="44">
        <f t="shared" si="14"/>
        <v>4.3220340250673264</v>
      </c>
      <c r="V36" s="44">
        <f t="shared" si="14"/>
        <v>4.1215083068740936</v>
      </c>
      <c r="W36" s="44">
        <f t="shared" si="14"/>
        <v>3.9333316688544655</v>
      </c>
      <c r="X36" s="44">
        <f t="shared" si="14"/>
        <v>0</v>
      </c>
      <c r="Y36" s="44">
        <f t="shared" si="14"/>
        <v>0</v>
      </c>
      <c r="Z36" s="44">
        <f t="shared" si="14"/>
        <v>0</v>
      </c>
      <c r="AA36" s="44">
        <f t="shared" si="14"/>
        <v>0</v>
      </c>
      <c r="AB36" s="44">
        <f t="shared" si="14"/>
        <v>0</v>
      </c>
      <c r="AC36" s="44">
        <f t="shared" si="14"/>
        <v>0</v>
      </c>
      <c r="AD36" s="44">
        <f t="shared" si="14"/>
        <v>0</v>
      </c>
      <c r="AE36" s="44">
        <f t="shared" si="14"/>
        <v>0</v>
      </c>
      <c r="AF36" s="44">
        <f t="shared" si="14"/>
        <v>0</v>
      </c>
      <c r="AG36" s="44">
        <f t="shared" si="14"/>
        <v>0</v>
      </c>
      <c r="AH36" s="44">
        <f t="shared" si="14"/>
        <v>0</v>
      </c>
      <c r="AI36" s="44">
        <f t="shared" si="14"/>
        <v>0</v>
      </c>
      <c r="AJ36" s="44">
        <f t="shared" si="14"/>
        <v>0</v>
      </c>
      <c r="AK36" s="44">
        <f t="shared" si="14"/>
        <v>0</v>
      </c>
      <c r="AL36" s="44">
        <f t="shared" si="14"/>
        <v>0</v>
      </c>
      <c r="AM36" s="44">
        <f t="shared" si="14"/>
        <v>0</v>
      </c>
      <c r="AN36" s="44">
        <f t="shared" si="14"/>
        <v>0</v>
      </c>
      <c r="AO36" s="44">
        <f t="shared" si="14"/>
        <v>0</v>
      </c>
      <c r="AP36" s="44">
        <f t="shared" si="14"/>
        <v>0</v>
      </c>
      <c r="AQ36" s="44">
        <f t="shared" si="1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728A-EAF0-4766-9AE9-06389FA9D41F}">
  <dimension ref="A1:CA538"/>
  <sheetViews>
    <sheetView showGridLines="0" zoomScale="70" zoomScaleNormal="70" workbookViewId="0">
      <selection sqref="A1:AM1"/>
    </sheetView>
  </sheetViews>
  <sheetFormatPr baseColWidth="10" defaultColWidth="8.83203125" defaultRowHeight="15" x14ac:dyDescent="0.2"/>
  <cols>
    <col min="1" max="13" width="9.1640625" customWidth="1"/>
    <col min="14" max="14" width="9.5" bestFit="1" customWidth="1"/>
    <col min="27" max="27" width="19.83203125" bestFit="1" customWidth="1"/>
    <col min="35" max="35" width="19.83203125" bestFit="1" customWidth="1"/>
    <col min="36" max="36" width="9.1640625" customWidth="1"/>
    <col min="41" max="41" width="9.5" bestFit="1" customWidth="1"/>
    <col min="54" max="54" width="9.5" bestFit="1" customWidth="1"/>
    <col min="67" max="67" width="19.83203125" bestFit="1" customWidth="1"/>
    <col min="75" max="75" width="19.83203125" bestFit="1" customWidth="1"/>
  </cols>
  <sheetData>
    <row r="1" spans="1:79" ht="33" x14ac:dyDescent="0.4">
      <c r="A1" s="137" t="s">
        <v>113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O1" s="138" t="s">
        <v>114</v>
      </c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</row>
    <row r="2" spans="1:79" x14ac:dyDescent="0.2">
      <c r="A2" t="s">
        <v>55</v>
      </c>
      <c r="B2" s="124">
        <v>43753</v>
      </c>
      <c r="N2" t="s">
        <v>55</v>
      </c>
      <c r="O2" s="124">
        <v>43753</v>
      </c>
      <c r="AA2" t="s">
        <v>55</v>
      </c>
      <c r="AB2" s="124">
        <v>44068</v>
      </c>
      <c r="AI2" t="s">
        <v>55</v>
      </c>
      <c r="AJ2" s="124">
        <v>44068</v>
      </c>
      <c r="AO2" t="s">
        <v>55</v>
      </c>
      <c r="AP2" s="124">
        <v>43753</v>
      </c>
      <c r="BB2" t="s">
        <v>55</v>
      </c>
      <c r="BC2" s="124">
        <v>43753</v>
      </c>
      <c r="BO2" t="s">
        <v>55</v>
      </c>
      <c r="BP2" s="124">
        <v>44068</v>
      </c>
      <c r="BW2" t="s">
        <v>55</v>
      </c>
      <c r="BX2" s="124">
        <v>44068</v>
      </c>
    </row>
    <row r="3" spans="1:79" x14ac:dyDescent="0.2">
      <c r="A3" t="s">
        <v>56</v>
      </c>
      <c r="B3" s="124">
        <v>44484</v>
      </c>
      <c r="N3" t="s">
        <v>56</v>
      </c>
      <c r="O3" s="124">
        <v>44484</v>
      </c>
      <c r="AA3" t="s">
        <v>56</v>
      </c>
      <c r="AB3" s="124">
        <v>44484</v>
      </c>
      <c r="AI3" t="s">
        <v>56</v>
      </c>
      <c r="AJ3" s="124">
        <v>44484</v>
      </c>
      <c r="AO3" t="s">
        <v>56</v>
      </c>
      <c r="AP3" s="124">
        <v>44484</v>
      </c>
      <c r="BB3" t="s">
        <v>56</v>
      </c>
      <c r="BC3" s="124">
        <v>44484</v>
      </c>
      <c r="BO3" t="s">
        <v>56</v>
      </c>
      <c r="BP3" s="124">
        <v>44484</v>
      </c>
      <c r="BW3" t="s">
        <v>56</v>
      </c>
      <c r="BX3" s="124">
        <v>44484</v>
      </c>
    </row>
    <row r="4" spans="1:79" x14ac:dyDescent="0.2">
      <c r="A4" t="s">
        <v>53</v>
      </c>
      <c r="B4" t="s">
        <v>48</v>
      </c>
      <c r="N4" t="s">
        <v>53</v>
      </c>
      <c r="O4" t="s">
        <v>48</v>
      </c>
      <c r="AA4" t="s">
        <v>53</v>
      </c>
      <c r="AB4" t="s">
        <v>48</v>
      </c>
      <c r="AI4" t="s">
        <v>53</v>
      </c>
      <c r="AJ4" t="s">
        <v>48</v>
      </c>
      <c r="AO4" t="s">
        <v>53</v>
      </c>
      <c r="AP4" t="s">
        <v>48</v>
      </c>
      <c r="BB4" t="s">
        <v>53</v>
      </c>
      <c r="BC4" t="s">
        <v>48</v>
      </c>
      <c r="BO4" t="s">
        <v>53</v>
      </c>
      <c r="BP4" t="s">
        <v>48</v>
      </c>
      <c r="BW4" t="s">
        <v>53</v>
      </c>
      <c r="BX4" t="s">
        <v>48</v>
      </c>
    </row>
    <row r="5" spans="1:79" x14ac:dyDescent="0.2">
      <c r="A5" t="s">
        <v>43</v>
      </c>
      <c r="B5" t="s">
        <v>57</v>
      </c>
      <c r="D5" s="2"/>
      <c r="N5" t="s">
        <v>43</v>
      </c>
      <c r="O5" t="s">
        <v>57</v>
      </c>
      <c r="AA5" t="s">
        <v>43</v>
      </c>
      <c r="AB5" t="s">
        <v>57</v>
      </c>
      <c r="AI5" t="s">
        <v>43</v>
      </c>
      <c r="AJ5" t="s">
        <v>57</v>
      </c>
      <c r="AO5" t="s">
        <v>43</v>
      </c>
      <c r="AP5" t="s">
        <v>57</v>
      </c>
      <c r="AR5" s="2">
        <v>43983</v>
      </c>
      <c r="BB5" t="s">
        <v>43</v>
      </c>
      <c r="BC5" t="s">
        <v>57</v>
      </c>
      <c r="BO5" t="s">
        <v>43</v>
      </c>
      <c r="BP5" t="s">
        <v>57</v>
      </c>
      <c r="BW5" t="s">
        <v>43</v>
      </c>
      <c r="BX5" t="s">
        <v>57</v>
      </c>
    </row>
    <row r="6" spans="1:79" x14ac:dyDescent="0.2">
      <c r="A6" t="s">
        <v>58</v>
      </c>
      <c r="B6" t="s">
        <v>59</v>
      </c>
      <c r="D6" s="2"/>
      <c r="N6" t="s">
        <v>58</v>
      </c>
      <c r="O6" t="s">
        <v>59</v>
      </c>
      <c r="AA6" t="s">
        <v>58</v>
      </c>
      <c r="AB6" t="s">
        <v>59</v>
      </c>
      <c r="AI6" t="s">
        <v>58</v>
      </c>
      <c r="AJ6" t="s">
        <v>59</v>
      </c>
      <c r="AO6" t="s">
        <v>58</v>
      </c>
      <c r="AP6" t="s">
        <v>59</v>
      </c>
      <c r="AR6" s="2">
        <v>44089</v>
      </c>
      <c r="BB6" t="s">
        <v>58</v>
      </c>
      <c r="BC6" t="s">
        <v>59</v>
      </c>
      <c r="BO6" t="s">
        <v>58</v>
      </c>
      <c r="BP6" t="s">
        <v>59</v>
      </c>
      <c r="BW6" t="s">
        <v>58</v>
      </c>
      <c r="BX6" t="s">
        <v>59</v>
      </c>
    </row>
    <row r="7" spans="1:79" x14ac:dyDescent="0.2">
      <c r="A7" t="s">
        <v>61</v>
      </c>
      <c r="B7" t="s">
        <v>63</v>
      </c>
      <c r="N7" t="s">
        <v>61</v>
      </c>
      <c r="O7" t="s">
        <v>63</v>
      </c>
      <c r="AA7" t="s">
        <v>61</v>
      </c>
      <c r="AB7" t="s">
        <v>63</v>
      </c>
      <c r="AI7" t="s">
        <v>61</v>
      </c>
      <c r="AJ7" t="s">
        <v>63</v>
      </c>
      <c r="AO7" t="s">
        <v>61</v>
      </c>
      <c r="AP7" t="s">
        <v>63</v>
      </c>
      <c r="BB7" t="s">
        <v>61</v>
      </c>
      <c r="BC7" t="s">
        <v>63</v>
      </c>
      <c r="BO7" t="s">
        <v>61</v>
      </c>
      <c r="BP7" t="s">
        <v>63</v>
      </c>
      <c r="BW7" t="s">
        <v>61</v>
      </c>
      <c r="BX7" t="s">
        <v>63</v>
      </c>
    </row>
    <row r="8" spans="1:79" x14ac:dyDescent="0.2">
      <c r="A8" t="s">
        <v>62</v>
      </c>
      <c r="B8" t="s">
        <v>64</v>
      </c>
      <c r="N8" t="s">
        <v>62</v>
      </c>
      <c r="O8" t="s">
        <v>64</v>
      </c>
      <c r="AA8" t="s">
        <v>62</v>
      </c>
      <c r="AB8" t="s">
        <v>64</v>
      </c>
      <c r="AI8" t="s">
        <v>62</v>
      </c>
      <c r="AJ8" t="s">
        <v>64</v>
      </c>
      <c r="AO8" t="s">
        <v>62</v>
      </c>
      <c r="AP8" t="s">
        <v>64</v>
      </c>
      <c r="BB8" t="s">
        <v>62</v>
      </c>
      <c r="BC8" t="s">
        <v>64</v>
      </c>
      <c r="BO8" t="s">
        <v>62</v>
      </c>
      <c r="BP8" t="s">
        <v>64</v>
      </c>
      <c r="BW8" t="s">
        <v>62</v>
      </c>
      <c r="BX8" t="s">
        <v>64</v>
      </c>
    </row>
    <row r="9" spans="1:79" x14ac:dyDescent="0.2">
      <c r="A9" t="s">
        <v>54</v>
      </c>
      <c r="B9" s="8" t="s">
        <v>60</v>
      </c>
      <c r="N9" t="s">
        <v>54</v>
      </c>
      <c r="O9" s="8" t="s">
        <v>68</v>
      </c>
      <c r="AA9" t="s">
        <v>54</v>
      </c>
      <c r="AB9" s="8" t="s">
        <v>68</v>
      </c>
      <c r="AI9" t="s">
        <v>54</v>
      </c>
      <c r="AJ9" s="8" t="s">
        <v>60</v>
      </c>
      <c r="AO9" t="s">
        <v>54</v>
      </c>
      <c r="AP9" t="s">
        <v>60</v>
      </c>
      <c r="BB9" t="s">
        <v>54</v>
      </c>
      <c r="BC9" t="s">
        <v>68</v>
      </c>
      <c r="BO9" t="s">
        <v>54</v>
      </c>
      <c r="BP9" t="s">
        <v>68</v>
      </c>
      <c r="BW9" t="s">
        <v>54</v>
      </c>
      <c r="BX9" t="s">
        <v>60</v>
      </c>
    </row>
    <row r="10" spans="1:79" x14ac:dyDescent="0.2">
      <c r="B10" s="18"/>
      <c r="C10" s="18"/>
      <c r="D10" s="18"/>
      <c r="E10" s="18"/>
      <c r="F10" s="18"/>
      <c r="G10" s="18"/>
      <c r="H10" s="18"/>
      <c r="I10" s="18"/>
      <c r="J10" s="18"/>
      <c r="K10" s="18"/>
      <c r="O10" s="8"/>
      <c r="AB10" s="8"/>
      <c r="AJ10" s="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79" x14ac:dyDescent="0.2">
      <c r="AE11" t="s">
        <v>70</v>
      </c>
      <c r="AM11" t="s">
        <v>70</v>
      </c>
      <c r="BS11" t="s">
        <v>70</v>
      </c>
      <c r="CA11" t="s">
        <v>70</v>
      </c>
    </row>
    <row r="12" spans="1:79" ht="64" x14ac:dyDescent="0.2">
      <c r="A12" s="52" t="s">
        <v>71</v>
      </c>
      <c r="B12" s="6" t="s">
        <v>0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  <c r="I12" s="6" t="s">
        <v>10</v>
      </c>
      <c r="J12" s="6" t="s">
        <v>11</v>
      </c>
      <c r="K12" s="6" t="s">
        <v>12</v>
      </c>
      <c r="N12" s="52" t="s">
        <v>71</v>
      </c>
      <c r="O12" s="6" t="s">
        <v>0</v>
      </c>
      <c r="P12" s="6" t="s">
        <v>4</v>
      </c>
      <c r="Q12" s="6" t="s">
        <v>5</v>
      </c>
      <c r="R12" s="6" t="s">
        <v>6</v>
      </c>
      <c r="S12" s="6" t="s">
        <v>7</v>
      </c>
      <c r="T12" s="6" t="s">
        <v>8</v>
      </c>
      <c r="U12" s="6" t="s">
        <v>9</v>
      </c>
      <c r="V12" s="6" t="s">
        <v>10</v>
      </c>
      <c r="W12" s="6" t="s">
        <v>11</v>
      </c>
      <c r="X12" s="6" t="s">
        <v>12</v>
      </c>
      <c r="AA12" s="52" t="s">
        <v>84</v>
      </c>
      <c r="AB12" s="6" t="s">
        <v>44</v>
      </c>
      <c r="AC12" s="6" t="s">
        <v>46</v>
      </c>
      <c r="AD12" s="6" t="s">
        <v>47</v>
      </c>
      <c r="AE12" s="6" t="s">
        <v>45</v>
      </c>
      <c r="AF12" s="6"/>
      <c r="AG12" s="6"/>
      <c r="AI12" s="52" t="s">
        <v>84</v>
      </c>
      <c r="AJ12" s="6" t="s">
        <v>44</v>
      </c>
      <c r="AK12" s="6" t="s">
        <v>46</v>
      </c>
      <c r="AL12" s="6" t="s">
        <v>47</v>
      </c>
      <c r="AM12" s="6" t="s">
        <v>45</v>
      </c>
      <c r="AO12" s="52" t="s">
        <v>71</v>
      </c>
      <c r="AP12" s="6" t="s">
        <v>0</v>
      </c>
      <c r="AQ12" s="6" t="s">
        <v>4</v>
      </c>
      <c r="AR12" s="6" t="s">
        <v>5</v>
      </c>
      <c r="AS12" s="6" t="s">
        <v>6</v>
      </c>
      <c r="AT12" s="6" t="s">
        <v>7</v>
      </c>
      <c r="AU12" s="6" t="s">
        <v>8</v>
      </c>
      <c r="AV12" s="6" t="s">
        <v>9</v>
      </c>
      <c r="AW12" s="6" t="s">
        <v>10</v>
      </c>
      <c r="AX12" s="6" t="s">
        <v>11</v>
      </c>
      <c r="AY12" s="6" t="s">
        <v>12</v>
      </c>
      <c r="BB12" s="52" t="s">
        <v>71</v>
      </c>
      <c r="BC12" s="6" t="s">
        <v>0</v>
      </c>
      <c r="BD12" s="6" t="s">
        <v>4</v>
      </c>
      <c r="BE12" s="6" t="s">
        <v>5</v>
      </c>
      <c r="BF12" s="6" t="s">
        <v>6</v>
      </c>
      <c r="BG12" s="6" t="s">
        <v>7</v>
      </c>
      <c r="BH12" s="6" t="s">
        <v>8</v>
      </c>
      <c r="BI12" s="6" t="s">
        <v>9</v>
      </c>
      <c r="BJ12" s="6" t="s">
        <v>10</v>
      </c>
      <c r="BK12" s="6" t="s">
        <v>11</v>
      </c>
      <c r="BL12" s="6" t="s">
        <v>12</v>
      </c>
      <c r="BO12" s="52" t="s">
        <v>84</v>
      </c>
      <c r="BP12" s="6" t="s">
        <v>44</v>
      </c>
      <c r="BQ12" s="6" t="s">
        <v>46</v>
      </c>
      <c r="BR12" s="6" t="s">
        <v>47</v>
      </c>
      <c r="BS12" s="6" t="s">
        <v>45</v>
      </c>
      <c r="BT12" s="6"/>
      <c r="BU12" s="6"/>
      <c r="BW12" s="52" t="s">
        <v>84</v>
      </c>
      <c r="BX12" s="6" t="s">
        <v>44</v>
      </c>
      <c r="BY12" s="6" t="s">
        <v>46</v>
      </c>
      <c r="BZ12" s="6" t="s">
        <v>47</v>
      </c>
      <c r="CA12" s="6" t="s">
        <v>45</v>
      </c>
    </row>
    <row r="13" spans="1:79" ht="30" x14ac:dyDescent="0.2">
      <c r="B13" s="18" t="s">
        <v>22</v>
      </c>
      <c r="C13" s="18" t="s">
        <v>24</v>
      </c>
      <c r="D13" s="18" t="s">
        <v>26</v>
      </c>
      <c r="E13" s="18" t="s">
        <v>28</v>
      </c>
      <c r="F13" s="18" t="s">
        <v>30</v>
      </c>
      <c r="G13" s="18" t="s">
        <v>32</v>
      </c>
      <c r="H13" s="18" t="s">
        <v>34</v>
      </c>
      <c r="I13" s="18" t="s">
        <v>36</v>
      </c>
      <c r="J13" s="18" t="s">
        <v>38</v>
      </c>
      <c r="K13" s="18" t="s">
        <v>40</v>
      </c>
      <c r="L13" s="19"/>
      <c r="M13" s="19"/>
      <c r="N13" s="19"/>
      <c r="O13" s="18" t="s">
        <v>22</v>
      </c>
      <c r="P13" s="18" t="s">
        <v>24</v>
      </c>
      <c r="Q13" s="18" t="s">
        <v>26</v>
      </c>
      <c r="R13" s="18" t="s">
        <v>28</v>
      </c>
      <c r="S13" s="18" t="s">
        <v>30</v>
      </c>
      <c r="T13" s="18" t="s">
        <v>32</v>
      </c>
      <c r="U13" s="18" t="s">
        <v>34</v>
      </c>
      <c r="V13" s="18" t="s">
        <v>36</v>
      </c>
      <c r="W13" s="18" t="s">
        <v>38</v>
      </c>
      <c r="X13" s="18" t="s">
        <v>40</v>
      </c>
      <c r="Y13" s="19"/>
      <c r="Z13" s="19"/>
      <c r="AA13" s="19"/>
      <c r="AB13" s="18" t="s">
        <v>18</v>
      </c>
      <c r="AC13" s="18" t="s">
        <v>20</v>
      </c>
      <c r="AD13" s="18" t="s">
        <v>16</v>
      </c>
      <c r="AE13" s="18" t="s">
        <v>14</v>
      </c>
      <c r="AF13" s="19"/>
      <c r="AG13" s="19"/>
      <c r="AH13" s="19"/>
      <c r="AI13" s="19"/>
      <c r="AJ13" s="18" t="s">
        <v>18</v>
      </c>
      <c r="AK13" s="18" t="s">
        <v>20</v>
      </c>
      <c r="AL13" s="18" t="s">
        <v>16</v>
      </c>
      <c r="AM13" s="18" t="s">
        <v>14</v>
      </c>
      <c r="AP13" s="18" t="s">
        <v>23</v>
      </c>
      <c r="AQ13" s="18" t="s">
        <v>25</v>
      </c>
      <c r="AR13" s="18" t="s">
        <v>27</v>
      </c>
      <c r="AS13" s="18" t="s">
        <v>29</v>
      </c>
      <c r="AT13" s="18" t="s">
        <v>31</v>
      </c>
      <c r="AU13" s="18" t="s">
        <v>33</v>
      </c>
      <c r="AV13" s="18" t="s">
        <v>35</v>
      </c>
      <c r="AW13" s="18" t="s">
        <v>37</v>
      </c>
      <c r="AX13" s="18" t="s">
        <v>39</v>
      </c>
      <c r="AY13" s="18" t="s">
        <v>41</v>
      </c>
      <c r="AZ13" s="19"/>
      <c r="BA13" s="19"/>
      <c r="BB13" s="19"/>
      <c r="BC13" s="18" t="s">
        <v>23</v>
      </c>
      <c r="BD13" s="18" t="s">
        <v>25</v>
      </c>
      <c r="BE13" s="18" t="s">
        <v>27</v>
      </c>
      <c r="BF13" s="18" t="s">
        <v>29</v>
      </c>
      <c r="BG13" s="18" t="s">
        <v>31</v>
      </c>
      <c r="BH13" s="18" t="s">
        <v>33</v>
      </c>
      <c r="BI13" s="18" t="s">
        <v>35</v>
      </c>
      <c r="BJ13" s="18" t="s">
        <v>37</v>
      </c>
      <c r="BK13" s="18" t="s">
        <v>39</v>
      </c>
      <c r="BL13" s="18" t="s">
        <v>41</v>
      </c>
      <c r="BM13" s="19"/>
      <c r="BN13" s="19"/>
      <c r="BO13" s="19"/>
      <c r="BP13" s="18" t="s">
        <v>17</v>
      </c>
      <c r="BQ13" s="18" t="s">
        <v>19</v>
      </c>
      <c r="BR13" s="18" t="s">
        <v>15</v>
      </c>
      <c r="BS13" s="18" t="s">
        <v>13</v>
      </c>
      <c r="BT13" s="19"/>
      <c r="BU13" s="19"/>
      <c r="BV13" s="19"/>
      <c r="BW13" s="19"/>
      <c r="BX13" s="18" t="s">
        <v>17</v>
      </c>
      <c r="BY13" s="18" t="s">
        <v>19</v>
      </c>
      <c r="BZ13" s="18" t="s">
        <v>15</v>
      </c>
      <c r="CA13" s="18" t="s">
        <v>13</v>
      </c>
    </row>
    <row r="14" spans="1:79" x14ac:dyDescent="0.2">
      <c r="A14" s="53" t="s">
        <v>112</v>
      </c>
      <c r="B14" s="5" t="s">
        <v>22</v>
      </c>
      <c r="C14" s="54" t="s">
        <v>24</v>
      </c>
      <c r="D14" s="54" t="s">
        <v>26</v>
      </c>
      <c r="E14" s="54" t="s">
        <v>28</v>
      </c>
      <c r="F14" s="54" t="s">
        <v>30</v>
      </c>
      <c r="G14" s="54" t="s">
        <v>32</v>
      </c>
      <c r="H14" s="54" t="s">
        <v>34</v>
      </c>
      <c r="I14" s="54" t="s">
        <v>36</v>
      </c>
      <c r="J14" s="54" t="s">
        <v>38</v>
      </c>
      <c r="K14" s="54" t="s">
        <v>40</v>
      </c>
      <c r="L14" s="7"/>
      <c r="M14" s="1"/>
      <c r="N14" s="53" t="s">
        <v>112</v>
      </c>
      <c r="O14" s="5" t="s">
        <v>22</v>
      </c>
      <c r="P14" s="5" t="s">
        <v>24</v>
      </c>
      <c r="Q14" s="5" t="s">
        <v>26</v>
      </c>
      <c r="R14" s="5" t="s">
        <v>28</v>
      </c>
      <c r="S14" s="5" t="s">
        <v>30</v>
      </c>
      <c r="T14" s="5" t="s">
        <v>32</v>
      </c>
      <c r="U14" s="5" t="s">
        <v>34</v>
      </c>
      <c r="V14" s="5" t="s">
        <v>36</v>
      </c>
      <c r="W14" s="5" t="s">
        <v>38</v>
      </c>
      <c r="X14" s="5" t="s">
        <v>40</v>
      </c>
      <c r="Y14" s="7"/>
      <c r="Z14" s="7"/>
      <c r="AA14" s="53" t="s">
        <v>112</v>
      </c>
      <c r="AB14" s="5" t="s">
        <v>18</v>
      </c>
      <c r="AC14" s="55" t="s">
        <v>20</v>
      </c>
      <c r="AD14" s="55" t="s">
        <v>16</v>
      </c>
      <c r="AE14" s="55" t="s">
        <v>14</v>
      </c>
      <c r="AF14" s="55"/>
      <c r="AG14" s="55"/>
      <c r="AH14" s="7"/>
      <c r="AI14" s="53" t="s">
        <v>112</v>
      </c>
      <c r="AJ14" s="5" t="s">
        <v>18</v>
      </c>
      <c r="AK14" s="5" t="s">
        <v>20</v>
      </c>
      <c r="AL14" s="5" t="s">
        <v>16</v>
      </c>
      <c r="AM14" s="5" t="s">
        <v>14</v>
      </c>
      <c r="AO14" s="53" t="s">
        <v>112</v>
      </c>
      <c r="AP14" s="5" t="s">
        <v>23</v>
      </c>
      <c r="AQ14" s="54" t="s">
        <v>25</v>
      </c>
      <c r="AR14" s="54" t="s">
        <v>27</v>
      </c>
      <c r="AS14" s="54" t="s">
        <v>29</v>
      </c>
      <c r="AT14" s="54" t="s">
        <v>31</v>
      </c>
      <c r="AU14" s="54" t="s">
        <v>33</v>
      </c>
      <c r="AV14" s="54" t="s">
        <v>35</v>
      </c>
      <c r="AW14" s="54" t="s">
        <v>37</v>
      </c>
      <c r="AX14" s="54" t="s">
        <v>39</v>
      </c>
      <c r="AY14" s="54" t="s">
        <v>41</v>
      </c>
      <c r="AZ14" s="7"/>
      <c r="BA14" s="1"/>
      <c r="BB14" s="53" t="s">
        <v>112</v>
      </c>
      <c r="BC14" s="5" t="s">
        <v>23</v>
      </c>
      <c r="BD14" s="5" t="s">
        <v>25</v>
      </c>
      <c r="BE14" s="5" t="s">
        <v>27</v>
      </c>
      <c r="BF14" s="5" t="s">
        <v>29</v>
      </c>
      <c r="BG14" s="5" t="s">
        <v>31</v>
      </c>
      <c r="BH14" s="5" t="s">
        <v>33</v>
      </c>
      <c r="BI14" s="5" t="s">
        <v>35</v>
      </c>
      <c r="BJ14" s="5" t="s">
        <v>37</v>
      </c>
      <c r="BK14" s="5" t="s">
        <v>39</v>
      </c>
      <c r="BL14" s="5" t="s">
        <v>41</v>
      </c>
      <c r="BM14" s="7"/>
      <c r="BN14" s="7"/>
      <c r="BO14" s="53" t="s">
        <v>112</v>
      </c>
      <c r="BP14" s="5" t="s">
        <v>17</v>
      </c>
      <c r="BQ14" s="55" t="s">
        <v>19</v>
      </c>
      <c r="BR14" s="55" t="s">
        <v>15</v>
      </c>
      <c r="BS14" s="55" t="s">
        <v>13</v>
      </c>
      <c r="BT14" s="55"/>
      <c r="BU14" s="55"/>
      <c r="BV14" s="7"/>
      <c r="BW14" s="53" t="s">
        <v>112</v>
      </c>
      <c r="BX14" s="5" t="s">
        <v>17</v>
      </c>
      <c r="BY14" s="5" t="s">
        <v>19</v>
      </c>
      <c r="BZ14" s="5" t="s">
        <v>15</v>
      </c>
      <c r="CA14" s="5" t="s">
        <v>13</v>
      </c>
    </row>
    <row r="15" spans="1:79" x14ac:dyDescent="0.2">
      <c r="A15" s="128">
        <v>43753</v>
      </c>
      <c r="B15">
        <v>104.875</v>
      </c>
      <c r="C15">
        <v>101.5</v>
      </c>
      <c r="D15">
        <v>92.6</v>
      </c>
      <c r="E15" s="17">
        <v>90.442499999999995</v>
      </c>
      <c r="F15">
        <v>101</v>
      </c>
      <c r="G15">
        <v>101</v>
      </c>
      <c r="H15">
        <v>97.125</v>
      </c>
      <c r="I15">
        <v>93.25</v>
      </c>
      <c r="J15" s="17">
        <v>99.15</v>
      </c>
      <c r="K15" s="17">
        <v>97.988500000000002</v>
      </c>
      <c r="L15" s="7"/>
      <c r="N15" s="128">
        <v>43753</v>
      </c>
      <c r="O15" s="2">
        <v>8.4976500000000001</v>
      </c>
      <c r="P15" s="2">
        <v>8.2578499999999995</v>
      </c>
      <c r="Q15" s="2">
        <v>9.9600000000000009</v>
      </c>
      <c r="R15" s="2">
        <v>10.204050000000001</v>
      </c>
      <c r="S15" s="2">
        <v>9.4499999999999993</v>
      </c>
      <c r="T15" s="2">
        <v>9.4344999999999999</v>
      </c>
      <c r="U15" s="2">
        <v>9.3931500000000003</v>
      </c>
      <c r="V15" s="2">
        <v>9.0487000000000002</v>
      </c>
      <c r="W15" s="2">
        <v>10.89</v>
      </c>
      <c r="X15" s="2">
        <v>9.8104999999999993</v>
      </c>
      <c r="Y15" s="7"/>
      <c r="Z15" s="7"/>
      <c r="AA15" s="128">
        <v>44068</v>
      </c>
      <c r="AB15" s="56" t="s">
        <v>69</v>
      </c>
      <c r="AC15" s="56" t="s">
        <v>69</v>
      </c>
      <c r="AD15" s="56" t="s">
        <v>69</v>
      </c>
      <c r="AE15" s="56" t="s">
        <v>69</v>
      </c>
      <c r="AF15" s="2"/>
      <c r="AG15" s="2"/>
      <c r="AH15" s="7"/>
      <c r="AI15" s="128">
        <v>44068</v>
      </c>
      <c r="AJ15" s="56" t="s">
        <v>69</v>
      </c>
      <c r="AK15" s="56" t="s">
        <v>69</v>
      </c>
      <c r="AL15" s="56" t="s">
        <v>69</v>
      </c>
      <c r="AM15" s="56" t="s">
        <v>69</v>
      </c>
      <c r="AO15" s="128">
        <v>43753</v>
      </c>
      <c r="AP15">
        <v>100</v>
      </c>
      <c r="AQ15">
        <v>101.19</v>
      </c>
      <c r="AR15">
        <v>92.6</v>
      </c>
      <c r="AS15" s="17">
        <v>90.441999999999993</v>
      </c>
      <c r="AT15">
        <v>96.944999999999993</v>
      </c>
      <c r="AU15">
        <v>96.27</v>
      </c>
      <c r="AV15">
        <v>92.97</v>
      </c>
      <c r="AW15">
        <v>88</v>
      </c>
      <c r="AX15" s="17">
        <v>99.15</v>
      </c>
      <c r="AY15" s="17">
        <v>99.43</v>
      </c>
      <c r="AZ15" s="7"/>
      <c r="BB15" s="128">
        <v>43753</v>
      </c>
      <c r="BC15" s="2">
        <v>10.74</v>
      </c>
      <c r="BD15" s="2">
        <v>8.36</v>
      </c>
      <c r="BE15" s="2">
        <v>9.9600000000000009</v>
      </c>
      <c r="BF15" s="2">
        <v>10.199999999999999</v>
      </c>
      <c r="BG15" s="2">
        <v>10.26</v>
      </c>
      <c r="BH15" s="2">
        <v>10.34</v>
      </c>
      <c r="BI15" s="2">
        <v>10.18</v>
      </c>
      <c r="BJ15" s="2">
        <v>10.039999999999999</v>
      </c>
      <c r="BK15" s="2">
        <v>10.89</v>
      </c>
      <c r="BL15" s="2">
        <v>9.59</v>
      </c>
      <c r="BM15" s="7"/>
      <c r="BN15" s="7"/>
      <c r="BO15" s="128">
        <v>44068</v>
      </c>
      <c r="BP15" s="56" t="s">
        <v>69</v>
      </c>
      <c r="BQ15" s="56" t="s">
        <v>69</v>
      </c>
      <c r="BR15" s="56" t="s">
        <v>69</v>
      </c>
      <c r="BS15" s="56" t="s">
        <v>69</v>
      </c>
      <c r="BT15" s="2"/>
      <c r="BU15" s="2"/>
      <c r="BV15" s="7"/>
      <c r="BW15" s="128">
        <v>44068</v>
      </c>
      <c r="BX15" s="56" t="s">
        <v>69</v>
      </c>
      <c r="BY15" s="56" t="s">
        <v>69</v>
      </c>
      <c r="BZ15" s="56" t="s">
        <v>69</v>
      </c>
      <c r="CA15" s="56" t="s">
        <v>69</v>
      </c>
    </row>
    <row r="16" spans="1:79" x14ac:dyDescent="0.2">
      <c r="A16" s="128">
        <v>43754</v>
      </c>
      <c r="B16">
        <v>102.375</v>
      </c>
      <c r="C16">
        <v>98.375</v>
      </c>
      <c r="D16">
        <v>94.5</v>
      </c>
      <c r="E16" s="17">
        <v>92.046000000000006</v>
      </c>
      <c r="F16">
        <v>97.375</v>
      </c>
      <c r="G16">
        <v>96.875</v>
      </c>
      <c r="H16">
        <v>93.25</v>
      </c>
      <c r="I16">
        <v>89.875</v>
      </c>
      <c r="J16" s="17">
        <v>100.875</v>
      </c>
      <c r="K16" s="17">
        <v>94.726500000000001</v>
      </c>
      <c r="L16" s="7"/>
      <c r="N16" s="128">
        <v>43754</v>
      </c>
      <c r="O16" s="2">
        <v>9.6313499999999994</v>
      </c>
      <c r="P16" s="2">
        <v>9.2829499999999996</v>
      </c>
      <c r="Q16" s="2">
        <v>9.43</v>
      </c>
      <c r="R16" s="2">
        <v>9.7930499999999991</v>
      </c>
      <c r="S16" s="2">
        <v>10.17</v>
      </c>
      <c r="T16" s="2">
        <v>10.22115</v>
      </c>
      <c r="U16" s="2">
        <v>10.124499999999999</v>
      </c>
      <c r="V16" s="2">
        <v>9.6789500000000004</v>
      </c>
      <c r="W16" s="2">
        <v>10.59</v>
      </c>
      <c r="X16" s="2">
        <v>10.33555</v>
      </c>
      <c r="Y16" s="7"/>
      <c r="Z16" s="7"/>
      <c r="AA16" s="128">
        <v>44069</v>
      </c>
      <c r="AB16" s="56" t="s">
        <v>69</v>
      </c>
      <c r="AC16" s="56" t="s">
        <v>69</v>
      </c>
      <c r="AD16" s="56" t="s">
        <v>69</v>
      </c>
      <c r="AE16" s="56" t="s">
        <v>69</v>
      </c>
      <c r="AF16" s="2"/>
      <c r="AG16" s="2"/>
      <c r="AH16" s="7"/>
      <c r="AI16" s="128">
        <v>44069</v>
      </c>
      <c r="AJ16" s="56" t="s">
        <v>69</v>
      </c>
      <c r="AK16" s="56" t="s">
        <v>69</v>
      </c>
      <c r="AL16" s="56" t="s">
        <v>69</v>
      </c>
      <c r="AM16" s="56" t="s">
        <v>69</v>
      </c>
      <c r="AO16" s="128">
        <v>43754</v>
      </c>
      <c r="AP16">
        <v>102.375</v>
      </c>
      <c r="AQ16">
        <v>101.19</v>
      </c>
      <c r="AR16">
        <v>94.5</v>
      </c>
      <c r="AS16" s="17">
        <v>92.046000000000006</v>
      </c>
      <c r="AT16">
        <v>97.375</v>
      </c>
      <c r="AU16">
        <v>96.5</v>
      </c>
      <c r="AV16">
        <v>93.25</v>
      </c>
      <c r="AW16">
        <v>88</v>
      </c>
      <c r="AX16" s="17">
        <v>100.875</v>
      </c>
      <c r="AY16" s="17">
        <v>99.43</v>
      </c>
      <c r="AZ16" s="7"/>
      <c r="BB16" s="128">
        <v>43754</v>
      </c>
      <c r="BC16" s="2">
        <v>9.6300000000000008</v>
      </c>
      <c r="BD16" s="2">
        <v>8.36</v>
      </c>
      <c r="BE16" s="2">
        <v>9.43</v>
      </c>
      <c r="BF16" s="2">
        <v>9.7899999999999991</v>
      </c>
      <c r="BG16" s="2">
        <v>10.17</v>
      </c>
      <c r="BH16" s="2">
        <v>10.29</v>
      </c>
      <c r="BI16" s="2">
        <v>10.119999999999999</v>
      </c>
      <c r="BJ16" s="2">
        <v>10.039999999999999</v>
      </c>
      <c r="BK16" s="2">
        <v>10.59</v>
      </c>
      <c r="BL16" s="2">
        <v>9.59</v>
      </c>
      <c r="BM16" s="7"/>
      <c r="BN16" s="7"/>
      <c r="BO16" s="128">
        <v>44069</v>
      </c>
      <c r="BP16" s="56" t="s">
        <v>69</v>
      </c>
      <c r="BQ16" s="56" t="s">
        <v>69</v>
      </c>
      <c r="BR16" s="56" t="s">
        <v>69</v>
      </c>
      <c r="BS16" s="56" t="s">
        <v>69</v>
      </c>
      <c r="BT16" s="2"/>
      <c r="BU16" s="2"/>
      <c r="BV16" s="7"/>
      <c r="BW16" s="128">
        <v>44069</v>
      </c>
      <c r="BX16" s="56" t="s">
        <v>69</v>
      </c>
      <c r="BY16" s="56" t="s">
        <v>69</v>
      </c>
      <c r="BZ16" s="56" t="s">
        <v>69</v>
      </c>
      <c r="CA16" s="56" t="s">
        <v>69</v>
      </c>
    </row>
    <row r="17" spans="1:79" x14ac:dyDescent="0.2">
      <c r="A17" s="128">
        <v>43755</v>
      </c>
      <c r="B17">
        <v>104.25</v>
      </c>
      <c r="C17">
        <v>99.25</v>
      </c>
      <c r="D17">
        <v>96</v>
      </c>
      <c r="E17" s="17">
        <v>92.947999999999993</v>
      </c>
      <c r="F17">
        <v>98.25</v>
      </c>
      <c r="G17">
        <v>97.75</v>
      </c>
      <c r="H17">
        <v>94</v>
      </c>
      <c r="I17">
        <v>90.25</v>
      </c>
      <c r="J17" s="17">
        <v>101.125</v>
      </c>
      <c r="K17" s="17">
        <v>94.977000000000004</v>
      </c>
      <c r="L17" s="7"/>
      <c r="N17" s="128">
        <v>43755</v>
      </c>
      <c r="O17" s="2">
        <v>8.7693999999999992</v>
      </c>
      <c r="P17" s="2">
        <v>8.9925499999999996</v>
      </c>
      <c r="Q17" s="2">
        <v>9.01</v>
      </c>
      <c r="R17" s="2">
        <v>9.5670000000000002</v>
      </c>
      <c r="S17" s="2">
        <v>9.99</v>
      </c>
      <c r="T17" s="2">
        <v>10.0512</v>
      </c>
      <c r="U17" s="2">
        <v>9.9810499999999998</v>
      </c>
      <c r="V17" s="2">
        <v>9.6087000000000007</v>
      </c>
      <c r="W17" s="2">
        <v>10.55</v>
      </c>
      <c r="X17" s="2">
        <v>10.294449999999999</v>
      </c>
      <c r="Y17" s="7"/>
      <c r="Z17" s="7"/>
      <c r="AA17" s="128">
        <v>44070</v>
      </c>
      <c r="AB17" s="56" t="s">
        <v>69</v>
      </c>
      <c r="AC17" s="56" t="s">
        <v>69</v>
      </c>
      <c r="AD17" s="56" t="s">
        <v>69</v>
      </c>
      <c r="AE17" s="56" t="s">
        <v>69</v>
      </c>
      <c r="AF17" s="2"/>
      <c r="AG17" s="2"/>
      <c r="AH17" s="7"/>
      <c r="AI17" s="128">
        <v>44070</v>
      </c>
      <c r="AJ17" s="56" t="s">
        <v>69</v>
      </c>
      <c r="AK17" s="56" t="s">
        <v>69</v>
      </c>
      <c r="AL17" s="56" t="s">
        <v>69</v>
      </c>
      <c r="AM17" s="56" t="s">
        <v>69</v>
      </c>
      <c r="AO17" s="128">
        <v>43755</v>
      </c>
      <c r="AP17">
        <v>104.25</v>
      </c>
      <c r="AQ17">
        <v>98.394999999999996</v>
      </c>
      <c r="AR17">
        <v>96</v>
      </c>
      <c r="AS17" s="17">
        <v>92.947999999999993</v>
      </c>
      <c r="AT17">
        <v>97.25</v>
      </c>
      <c r="AU17">
        <v>95.915000000000006</v>
      </c>
      <c r="AV17">
        <v>93</v>
      </c>
      <c r="AW17">
        <v>88</v>
      </c>
      <c r="AX17" s="17">
        <v>101.125</v>
      </c>
      <c r="AY17" s="17">
        <v>94.977000000000004</v>
      </c>
      <c r="AZ17" s="7"/>
      <c r="BB17" s="128">
        <v>43755</v>
      </c>
      <c r="BC17" s="2">
        <v>8.77</v>
      </c>
      <c r="BD17" s="2">
        <v>9.2799999999999994</v>
      </c>
      <c r="BE17" s="2">
        <v>9.01</v>
      </c>
      <c r="BF17" s="2">
        <v>9.57</v>
      </c>
      <c r="BG17" s="2">
        <v>10.199999999999999</v>
      </c>
      <c r="BH17" s="2">
        <v>10.41</v>
      </c>
      <c r="BI17" s="2">
        <v>10.17</v>
      </c>
      <c r="BJ17" s="2">
        <v>10.039999999999999</v>
      </c>
      <c r="BK17" s="2">
        <v>10.55</v>
      </c>
      <c r="BL17" s="2">
        <v>10.29</v>
      </c>
      <c r="BM17" s="7"/>
      <c r="BN17" s="7"/>
      <c r="BO17" s="128">
        <v>44070</v>
      </c>
      <c r="BP17" s="56" t="s">
        <v>69</v>
      </c>
      <c r="BQ17" s="56" t="s">
        <v>69</v>
      </c>
      <c r="BR17" s="56" t="s">
        <v>69</v>
      </c>
      <c r="BS17" s="56" t="s">
        <v>69</v>
      </c>
      <c r="BT17" s="2"/>
      <c r="BU17" s="2"/>
      <c r="BV17" s="7"/>
      <c r="BW17" s="128">
        <v>44070</v>
      </c>
      <c r="BX17" s="56" t="s">
        <v>69</v>
      </c>
      <c r="BY17" s="56" t="s">
        <v>69</v>
      </c>
      <c r="BZ17" s="56" t="s">
        <v>69</v>
      </c>
      <c r="CA17" s="56" t="s">
        <v>69</v>
      </c>
    </row>
    <row r="18" spans="1:79" x14ac:dyDescent="0.2">
      <c r="A18" s="128">
        <v>43756</v>
      </c>
      <c r="B18">
        <v>104.25</v>
      </c>
      <c r="C18">
        <v>99.125</v>
      </c>
      <c r="D18">
        <v>95.125</v>
      </c>
      <c r="E18" s="17">
        <v>93.201499999999996</v>
      </c>
      <c r="F18">
        <v>97.75</v>
      </c>
      <c r="G18">
        <v>97.375</v>
      </c>
      <c r="H18">
        <v>93.875</v>
      </c>
      <c r="I18">
        <v>90</v>
      </c>
      <c r="J18" s="17">
        <v>101.125</v>
      </c>
      <c r="K18" s="17">
        <v>94.977500000000006</v>
      </c>
      <c r="L18" s="7"/>
      <c r="N18" s="128">
        <v>43756</v>
      </c>
      <c r="O18" s="2">
        <v>8.7671500000000009</v>
      </c>
      <c r="P18" s="2">
        <v>9.0343499999999999</v>
      </c>
      <c r="Q18" s="2">
        <v>9.26</v>
      </c>
      <c r="R18" s="2">
        <v>9.5039999999999996</v>
      </c>
      <c r="S18" s="2">
        <v>10.09</v>
      </c>
      <c r="T18" s="2">
        <v>10.1243</v>
      </c>
      <c r="U18" s="2">
        <v>10.00545</v>
      </c>
      <c r="V18" s="2">
        <v>9.6567500000000006</v>
      </c>
      <c r="W18" s="2">
        <v>10.55</v>
      </c>
      <c r="X18" s="2">
        <v>10.294449999999999</v>
      </c>
      <c r="Y18" s="7"/>
      <c r="Z18" s="7"/>
      <c r="AA18" s="128">
        <v>44071</v>
      </c>
      <c r="AB18" s="56" t="s">
        <v>69</v>
      </c>
      <c r="AC18" s="56" t="s">
        <v>69</v>
      </c>
      <c r="AD18" s="56" t="s">
        <v>69</v>
      </c>
      <c r="AE18" s="56" t="s">
        <v>69</v>
      </c>
      <c r="AF18" s="2"/>
      <c r="AG18" s="2"/>
      <c r="AH18" s="7"/>
      <c r="AI18" s="128">
        <v>44071</v>
      </c>
      <c r="AJ18" s="56" t="s">
        <v>69</v>
      </c>
      <c r="AK18" s="56" t="s">
        <v>69</v>
      </c>
      <c r="AL18" s="56" t="s">
        <v>69</v>
      </c>
      <c r="AM18" s="56" t="s">
        <v>69</v>
      </c>
      <c r="AO18" s="128">
        <v>43756</v>
      </c>
      <c r="AP18">
        <v>104.25</v>
      </c>
      <c r="AQ18">
        <v>98.814999999999998</v>
      </c>
      <c r="AR18">
        <v>95.125</v>
      </c>
      <c r="AS18" s="17">
        <v>93.200999999999993</v>
      </c>
      <c r="AT18">
        <v>97.75</v>
      </c>
      <c r="AU18">
        <v>95.995000000000005</v>
      </c>
      <c r="AV18">
        <v>92.984999999999999</v>
      </c>
      <c r="AW18">
        <v>88</v>
      </c>
      <c r="AX18" s="17">
        <v>101.125</v>
      </c>
      <c r="AY18" s="17">
        <v>95.53</v>
      </c>
      <c r="AZ18" s="7"/>
      <c r="BB18" s="128">
        <v>43756</v>
      </c>
      <c r="BC18" s="2">
        <v>8.77</v>
      </c>
      <c r="BD18" s="2">
        <v>9.14</v>
      </c>
      <c r="BE18" s="2">
        <v>9.26</v>
      </c>
      <c r="BF18" s="2">
        <v>9.5</v>
      </c>
      <c r="BG18" s="2">
        <v>10.09</v>
      </c>
      <c r="BH18" s="2">
        <v>10.4</v>
      </c>
      <c r="BI18" s="2">
        <v>10.18</v>
      </c>
      <c r="BJ18" s="2">
        <v>10.039999999999999</v>
      </c>
      <c r="BK18" s="2">
        <v>10.55</v>
      </c>
      <c r="BL18" s="2">
        <v>10.199999999999999</v>
      </c>
      <c r="BM18" s="7"/>
      <c r="BN18" s="7"/>
      <c r="BO18" s="128">
        <v>44071</v>
      </c>
      <c r="BP18" s="56" t="s">
        <v>69</v>
      </c>
      <c r="BQ18" s="56" t="s">
        <v>69</v>
      </c>
      <c r="BR18" s="56" t="s">
        <v>69</v>
      </c>
      <c r="BS18" s="56" t="s">
        <v>69</v>
      </c>
      <c r="BT18" s="2"/>
      <c r="BU18" s="2"/>
      <c r="BV18" s="7"/>
      <c r="BW18" s="128">
        <v>44071</v>
      </c>
      <c r="BX18" s="56" t="s">
        <v>69</v>
      </c>
      <c r="BY18" s="56" t="s">
        <v>69</v>
      </c>
      <c r="BZ18" s="56" t="s">
        <v>69</v>
      </c>
      <c r="CA18" s="56" t="s">
        <v>69</v>
      </c>
    </row>
    <row r="19" spans="1:79" x14ac:dyDescent="0.2">
      <c r="A19" s="128">
        <v>43759</v>
      </c>
      <c r="B19">
        <v>103.75</v>
      </c>
      <c r="C19">
        <v>98.875</v>
      </c>
      <c r="D19">
        <v>95</v>
      </c>
      <c r="E19" s="17">
        <v>93.203500000000005</v>
      </c>
      <c r="F19">
        <v>97.75</v>
      </c>
      <c r="G19">
        <v>97</v>
      </c>
      <c r="H19">
        <v>93.25</v>
      </c>
      <c r="I19">
        <v>88.875</v>
      </c>
      <c r="J19" s="17">
        <v>100.5</v>
      </c>
      <c r="K19" s="17">
        <v>94.977500000000006</v>
      </c>
      <c r="L19" s="7"/>
      <c r="N19" s="128">
        <v>43759</v>
      </c>
      <c r="O19" s="2">
        <v>8.9922500000000003</v>
      </c>
      <c r="P19" s="2">
        <v>9.1178500000000007</v>
      </c>
      <c r="Q19" s="2">
        <v>9.2899999999999991</v>
      </c>
      <c r="R19" s="2">
        <v>9.5040499999999994</v>
      </c>
      <c r="S19" s="2">
        <v>10.1</v>
      </c>
      <c r="T19" s="2">
        <v>10.197749999999999</v>
      </c>
      <c r="U19" s="2">
        <v>10.1266</v>
      </c>
      <c r="V19" s="2">
        <v>9.8738499999999991</v>
      </c>
      <c r="W19" s="2">
        <v>10.66</v>
      </c>
      <c r="X19" s="2">
        <v>10.294499999999999</v>
      </c>
      <c r="Y19" s="7"/>
      <c r="Z19" s="7"/>
      <c r="AA19" s="128">
        <v>44074</v>
      </c>
      <c r="AB19" s="56" t="s">
        <v>69</v>
      </c>
      <c r="AC19" s="56" t="s">
        <v>69</v>
      </c>
      <c r="AD19" s="56" t="s">
        <v>69</v>
      </c>
      <c r="AE19" s="56" t="s">
        <v>69</v>
      </c>
      <c r="AF19" s="2"/>
      <c r="AG19" s="2"/>
      <c r="AH19" s="7"/>
      <c r="AI19" s="128">
        <v>44074</v>
      </c>
      <c r="AJ19" s="56" t="s">
        <v>69</v>
      </c>
      <c r="AK19" s="56" t="s">
        <v>69</v>
      </c>
      <c r="AL19" s="56" t="s">
        <v>69</v>
      </c>
      <c r="AM19" s="56" t="s">
        <v>69</v>
      </c>
      <c r="AO19" s="128">
        <v>43759</v>
      </c>
      <c r="AP19">
        <v>103.75</v>
      </c>
      <c r="AQ19">
        <v>98.875</v>
      </c>
      <c r="AR19">
        <v>95</v>
      </c>
      <c r="AS19" s="17">
        <v>93.203000000000003</v>
      </c>
      <c r="AT19">
        <v>97.75</v>
      </c>
      <c r="AU19">
        <v>97</v>
      </c>
      <c r="AV19">
        <v>93.25</v>
      </c>
      <c r="AW19">
        <v>88</v>
      </c>
      <c r="AX19" s="17">
        <v>100.5</v>
      </c>
      <c r="AY19" s="17">
        <v>95.545000000000002</v>
      </c>
      <c r="AZ19" s="7"/>
      <c r="BB19" s="128">
        <v>43759</v>
      </c>
      <c r="BC19" s="2">
        <v>8.99</v>
      </c>
      <c r="BD19" s="2">
        <v>9.1199999999999992</v>
      </c>
      <c r="BE19" s="2">
        <v>9.2899999999999991</v>
      </c>
      <c r="BF19" s="2">
        <v>9.5</v>
      </c>
      <c r="BG19" s="2">
        <v>10.1</v>
      </c>
      <c r="BH19" s="2">
        <v>10.199999999999999</v>
      </c>
      <c r="BI19" s="2">
        <v>10.130000000000001</v>
      </c>
      <c r="BJ19" s="2">
        <v>10.039999999999999</v>
      </c>
      <c r="BK19" s="2">
        <v>10.66</v>
      </c>
      <c r="BL19" s="2">
        <v>10.199999999999999</v>
      </c>
      <c r="BM19" s="7"/>
      <c r="BN19" s="7"/>
      <c r="BO19" s="130">
        <v>44074</v>
      </c>
      <c r="BP19" s="57">
        <v>3.44</v>
      </c>
      <c r="BQ19" s="57">
        <v>3.71</v>
      </c>
      <c r="BR19" s="57">
        <v>3.69</v>
      </c>
      <c r="BS19" s="58" t="s">
        <v>69</v>
      </c>
      <c r="BT19" s="2"/>
      <c r="BU19" s="2"/>
      <c r="BV19" s="7"/>
      <c r="BW19" s="130">
        <v>44074</v>
      </c>
      <c r="BX19" s="57">
        <v>75.5</v>
      </c>
      <c r="BY19" s="57">
        <v>63.5</v>
      </c>
      <c r="BZ19" s="57">
        <v>55.25</v>
      </c>
      <c r="CA19" s="58" t="s">
        <v>69</v>
      </c>
    </row>
    <row r="20" spans="1:79" x14ac:dyDescent="0.2">
      <c r="A20" s="128">
        <v>43760</v>
      </c>
      <c r="B20">
        <v>104.375</v>
      </c>
      <c r="C20">
        <v>99.125</v>
      </c>
      <c r="D20">
        <v>95.625</v>
      </c>
      <c r="E20" s="17">
        <v>93.701999999999998</v>
      </c>
      <c r="F20">
        <v>98.375</v>
      </c>
      <c r="G20">
        <v>97.625</v>
      </c>
      <c r="H20">
        <v>94.25</v>
      </c>
      <c r="I20">
        <v>89.75</v>
      </c>
      <c r="J20" s="17">
        <v>101.25</v>
      </c>
      <c r="K20" s="17">
        <v>95.853999999999999</v>
      </c>
      <c r="L20" s="7"/>
      <c r="N20" s="128">
        <v>43760</v>
      </c>
      <c r="O20" s="2">
        <v>8.7061499999999992</v>
      </c>
      <c r="P20" s="2">
        <v>9.0349500000000003</v>
      </c>
      <c r="Q20" s="2">
        <v>9.1199999999999992</v>
      </c>
      <c r="R20" s="2">
        <v>9.3800000000000008</v>
      </c>
      <c r="S20" s="2">
        <v>9.9700000000000006</v>
      </c>
      <c r="T20" s="2">
        <v>10.07605</v>
      </c>
      <c r="U20" s="2">
        <v>9.9340499999999992</v>
      </c>
      <c r="V20" s="2">
        <v>9.7054500000000008</v>
      </c>
      <c r="W20" s="2">
        <v>10.53</v>
      </c>
      <c r="X20" s="2">
        <v>10.151450000000001</v>
      </c>
      <c r="Y20" s="7"/>
      <c r="Z20" s="7"/>
      <c r="AA20" s="128">
        <v>44075</v>
      </c>
      <c r="AB20" s="56" t="s">
        <v>69</v>
      </c>
      <c r="AC20" s="56" t="s">
        <v>69</v>
      </c>
      <c r="AD20" s="56" t="s">
        <v>69</v>
      </c>
      <c r="AE20" s="56" t="s">
        <v>69</v>
      </c>
      <c r="AF20" s="2"/>
      <c r="AG20" s="2"/>
      <c r="AH20" s="7"/>
      <c r="AI20" s="128">
        <v>44075</v>
      </c>
      <c r="AJ20" s="56" t="s">
        <v>69</v>
      </c>
      <c r="AK20" s="56" t="s">
        <v>69</v>
      </c>
      <c r="AL20" s="56" t="s">
        <v>69</v>
      </c>
      <c r="AM20" s="56" t="s">
        <v>69</v>
      </c>
      <c r="AO20" s="128">
        <v>43760</v>
      </c>
      <c r="AP20">
        <v>104.375</v>
      </c>
      <c r="AQ20">
        <v>99.185000000000002</v>
      </c>
      <c r="AR20">
        <v>95.625</v>
      </c>
      <c r="AS20" s="17">
        <v>93.701999999999998</v>
      </c>
      <c r="AT20">
        <v>98.375</v>
      </c>
      <c r="AU20">
        <v>97.625</v>
      </c>
      <c r="AV20">
        <v>94.25</v>
      </c>
      <c r="AW20">
        <v>88</v>
      </c>
      <c r="AX20" s="17">
        <v>101.25</v>
      </c>
      <c r="AY20" s="17">
        <v>95.853999999999999</v>
      </c>
      <c r="AZ20" s="7"/>
      <c r="BB20" s="128">
        <v>43760</v>
      </c>
      <c r="BC20" s="2">
        <v>8.7100000000000009</v>
      </c>
      <c r="BD20" s="2">
        <v>9.01</v>
      </c>
      <c r="BE20" s="2">
        <v>9.1199999999999992</v>
      </c>
      <c r="BF20" s="2">
        <v>9.3800000000000008</v>
      </c>
      <c r="BG20" s="2">
        <v>9.9700000000000006</v>
      </c>
      <c r="BH20" s="2">
        <v>10.08</v>
      </c>
      <c r="BI20" s="2">
        <v>9.93</v>
      </c>
      <c r="BJ20" s="2">
        <v>10.039999999999999</v>
      </c>
      <c r="BK20" s="2">
        <v>10.53</v>
      </c>
      <c r="BL20" s="2">
        <v>10.15</v>
      </c>
      <c r="BM20" s="7"/>
      <c r="BN20" s="7"/>
      <c r="BO20" s="128">
        <v>44075</v>
      </c>
      <c r="BP20" s="2">
        <v>3.44</v>
      </c>
      <c r="BQ20" s="2">
        <v>3.71</v>
      </c>
      <c r="BR20" s="2">
        <v>3.69</v>
      </c>
      <c r="BS20" s="56" t="s">
        <v>69</v>
      </c>
      <c r="BT20" s="2"/>
      <c r="BU20" s="2"/>
      <c r="BV20" s="7"/>
      <c r="BW20" s="128">
        <v>44075</v>
      </c>
      <c r="BX20" s="2">
        <v>75.5</v>
      </c>
      <c r="BY20" s="2">
        <v>63.5</v>
      </c>
      <c r="BZ20" s="2">
        <v>55.25</v>
      </c>
      <c r="CA20" s="56" t="s">
        <v>69</v>
      </c>
    </row>
    <row r="21" spans="1:79" x14ac:dyDescent="0.2">
      <c r="A21" s="128">
        <v>43761</v>
      </c>
      <c r="B21">
        <v>103.875</v>
      </c>
      <c r="C21">
        <v>98.75</v>
      </c>
      <c r="D21">
        <v>94.75</v>
      </c>
      <c r="E21" s="17">
        <v>93.200500000000005</v>
      </c>
      <c r="F21">
        <v>97.25</v>
      </c>
      <c r="G21">
        <v>96.375</v>
      </c>
      <c r="H21">
        <v>92.75</v>
      </c>
      <c r="I21">
        <v>88.875</v>
      </c>
      <c r="J21" s="17">
        <v>99.875</v>
      </c>
      <c r="K21" s="17">
        <v>95.853999999999999</v>
      </c>
      <c r="L21" s="7"/>
      <c r="N21" s="128">
        <v>43761</v>
      </c>
      <c r="O21" s="2">
        <v>8.9312500000000004</v>
      </c>
      <c r="P21" s="2">
        <v>9.1603499999999993</v>
      </c>
      <c r="Q21" s="2">
        <v>9.36</v>
      </c>
      <c r="R21" s="2">
        <v>9.5059500000000003</v>
      </c>
      <c r="S21" s="2">
        <v>10.199999999999999</v>
      </c>
      <c r="T21" s="2">
        <v>10.321199999999999</v>
      </c>
      <c r="U21" s="2">
        <v>10.224299999999999</v>
      </c>
      <c r="V21" s="2">
        <v>9.8748000000000005</v>
      </c>
      <c r="W21" s="2">
        <v>10.77</v>
      </c>
      <c r="X21" s="2">
        <v>10.151450000000001</v>
      </c>
      <c r="Y21" s="7"/>
      <c r="Z21" s="7"/>
      <c r="AA21" s="128">
        <v>44076</v>
      </c>
      <c r="AB21" s="56" t="s">
        <v>69</v>
      </c>
      <c r="AC21" s="56" t="s">
        <v>69</v>
      </c>
      <c r="AD21" s="56" t="s">
        <v>69</v>
      </c>
      <c r="AE21" s="56" t="s">
        <v>69</v>
      </c>
      <c r="AF21" s="2"/>
      <c r="AG21" s="2"/>
      <c r="AH21" s="7"/>
      <c r="AI21" s="128">
        <v>44076</v>
      </c>
      <c r="AJ21" s="56" t="s">
        <v>69</v>
      </c>
      <c r="AK21" s="56" t="s">
        <v>69</v>
      </c>
      <c r="AL21" s="56" t="s">
        <v>69</v>
      </c>
      <c r="AM21" s="56" t="s">
        <v>69</v>
      </c>
      <c r="AO21" s="128">
        <v>43761</v>
      </c>
      <c r="AP21">
        <v>103.875</v>
      </c>
      <c r="AQ21">
        <v>98.75</v>
      </c>
      <c r="AR21">
        <v>94.75</v>
      </c>
      <c r="AS21" s="17">
        <v>93.200999999999993</v>
      </c>
      <c r="AT21">
        <v>97.25</v>
      </c>
      <c r="AU21">
        <v>97.326999999999998</v>
      </c>
      <c r="AV21">
        <v>92.75</v>
      </c>
      <c r="AW21">
        <v>88</v>
      </c>
      <c r="AX21" s="17">
        <v>99.875</v>
      </c>
      <c r="AY21" s="17">
        <v>94.96</v>
      </c>
      <c r="AZ21" s="7"/>
      <c r="BB21" s="128">
        <v>43761</v>
      </c>
      <c r="BC21" s="2">
        <v>8.93</v>
      </c>
      <c r="BD21" s="2">
        <v>9.16</v>
      </c>
      <c r="BE21" s="2">
        <v>9.36</v>
      </c>
      <c r="BF21" s="2">
        <v>9.51</v>
      </c>
      <c r="BG21" s="2">
        <v>10.199999999999999</v>
      </c>
      <c r="BH21" s="2">
        <v>10.130000000000001</v>
      </c>
      <c r="BI21" s="2">
        <v>10.220000000000001</v>
      </c>
      <c r="BJ21" s="2">
        <v>10.039999999999999</v>
      </c>
      <c r="BK21" s="2">
        <v>10.77</v>
      </c>
      <c r="BL21" s="2">
        <v>10.3</v>
      </c>
      <c r="BM21" s="7"/>
      <c r="BN21" s="7"/>
      <c r="BO21" s="128">
        <v>44076</v>
      </c>
      <c r="BP21" s="2">
        <v>3.44</v>
      </c>
      <c r="BQ21" s="2">
        <v>3.71</v>
      </c>
      <c r="BR21" s="2">
        <v>3.69</v>
      </c>
      <c r="BS21" s="56" t="s">
        <v>69</v>
      </c>
      <c r="BT21" s="2"/>
      <c r="BU21" s="2"/>
      <c r="BV21" s="7"/>
      <c r="BW21" s="128">
        <v>44076</v>
      </c>
      <c r="BX21" s="2">
        <v>75.5</v>
      </c>
      <c r="BY21" s="2">
        <v>63.5</v>
      </c>
      <c r="BZ21" s="2">
        <v>55.25</v>
      </c>
      <c r="CA21" s="56" t="s">
        <v>69</v>
      </c>
    </row>
    <row r="22" spans="1:79" x14ac:dyDescent="0.2">
      <c r="A22" s="124">
        <v>43762</v>
      </c>
      <c r="B22">
        <v>105.125</v>
      </c>
      <c r="C22">
        <v>100</v>
      </c>
      <c r="D22">
        <v>95.875</v>
      </c>
      <c r="E22" s="17">
        <v>93.206999999999994</v>
      </c>
      <c r="F22">
        <v>98.75</v>
      </c>
      <c r="G22">
        <v>97.875</v>
      </c>
      <c r="H22">
        <v>94</v>
      </c>
      <c r="I22">
        <v>90</v>
      </c>
      <c r="J22" s="17">
        <v>101.5</v>
      </c>
      <c r="K22" s="17">
        <v>95.853999999999999</v>
      </c>
      <c r="L22" s="7"/>
      <c r="N22" s="124">
        <v>43762</v>
      </c>
      <c r="O22" s="2">
        <v>8.3576999999999995</v>
      </c>
      <c r="P22" s="2">
        <v>8.7457499999999992</v>
      </c>
      <c r="Q22" s="2">
        <v>9.0500000000000007</v>
      </c>
      <c r="R22" s="2">
        <v>9.5061</v>
      </c>
      <c r="S22" s="2">
        <v>9.89</v>
      </c>
      <c r="T22" s="2">
        <v>10.02825</v>
      </c>
      <c r="U22" s="2">
        <v>9.9825999999999997</v>
      </c>
      <c r="V22" s="2">
        <v>9.6593</v>
      </c>
      <c r="W22" s="2">
        <v>10.49</v>
      </c>
      <c r="X22" s="2">
        <v>10.1516</v>
      </c>
      <c r="Y22" s="7"/>
      <c r="Z22" s="7"/>
      <c r="AA22" s="128">
        <v>44077</v>
      </c>
      <c r="AB22" s="2">
        <v>3.6364700000000001</v>
      </c>
      <c r="AC22" s="2">
        <v>3.7970540000000002</v>
      </c>
      <c r="AD22" s="2">
        <v>3.5251459999999999</v>
      </c>
      <c r="AE22" s="56" t="s">
        <v>69</v>
      </c>
      <c r="AF22" s="2"/>
      <c r="AG22" s="2"/>
      <c r="AH22" s="7"/>
      <c r="AI22" s="128">
        <v>44077</v>
      </c>
      <c r="AJ22" s="2">
        <v>74.125</v>
      </c>
      <c r="AK22" s="2">
        <v>62.75</v>
      </c>
      <c r="AL22" s="2">
        <v>57</v>
      </c>
      <c r="AM22" s="56" t="s">
        <v>69</v>
      </c>
      <c r="AO22" s="124">
        <v>43762</v>
      </c>
      <c r="AP22">
        <v>105.125</v>
      </c>
      <c r="AQ22">
        <v>99.23</v>
      </c>
      <c r="AR22">
        <v>95.875</v>
      </c>
      <c r="AS22" s="17">
        <v>93.206999999999994</v>
      </c>
      <c r="AT22">
        <v>97.625</v>
      </c>
      <c r="AU22">
        <v>96.587999999999994</v>
      </c>
      <c r="AV22">
        <v>93.25</v>
      </c>
      <c r="AW22">
        <v>88</v>
      </c>
      <c r="AX22" s="17">
        <v>101.5</v>
      </c>
      <c r="AY22" s="17">
        <v>95.3</v>
      </c>
      <c r="AZ22" s="7"/>
      <c r="BB22" s="124">
        <v>43762</v>
      </c>
      <c r="BC22" s="2">
        <v>8.36</v>
      </c>
      <c r="BD22" s="2">
        <v>9</v>
      </c>
      <c r="BE22" s="2">
        <v>9.0500000000000007</v>
      </c>
      <c r="BF22" s="2">
        <v>9.51</v>
      </c>
      <c r="BG22" s="2">
        <v>10.119999999999999</v>
      </c>
      <c r="BH22" s="2">
        <v>10.28</v>
      </c>
      <c r="BI22" s="2">
        <v>10.130000000000001</v>
      </c>
      <c r="BJ22" s="2">
        <v>10.039999999999999</v>
      </c>
      <c r="BK22" s="2">
        <v>10.49</v>
      </c>
      <c r="BL22" s="2">
        <v>10.24</v>
      </c>
      <c r="BM22" s="7"/>
      <c r="BN22" s="7"/>
      <c r="BO22" s="128">
        <v>44077</v>
      </c>
      <c r="BP22" s="2">
        <v>3.44</v>
      </c>
      <c r="BQ22" s="2">
        <v>3.71</v>
      </c>
      <c r="BR22" s="2">
        <v>3.69</v>
      </c>
      <c r="BS22" s="56" t="s">
        <v>69</v>
      </c>
      <c r="BT22" s="2"/>
      <c r="BU22" s="2"/>
      <c r="BV22" s="7"/>
      <c r="BW22" s="128">
        <v>44077</v>
      </c>
      <c r="BX22" s="2">
        <v>75.5</v>
      </c>
      <c r="BY22" s="2">
        <v>63.5</v>
      </c>
      <c r="BZ22" s="2">
        <v>55.25</v>
      </c>
      <c r="CA22" s="56" t="s">
        <v>69</v>
      </c>
    </row>
    <row r="23" spans="1:79" x14ac:dyDescent="0.2">
      <c r="A23" s="124">
        <v>43763</v>
      </c>
      <c r="B23">
        <v>105.5</v>
      </c>
      <c r="C23">
        <v>100.375</v>
      </c>
      <c r="D23">
        <v>96.25</v>
      </c>
      <c r="E23" s="17">
        <v>94.203500000000005</v>
      </c>
      <c r="F23">
        <v>99.125</v>
      </c>
      <c r="G23">
        <v>98.375</v>
      </c>
      <c r="H23">
        <v>94.5</v>
      </c>
      <c r="I23">
        <v>90.125</v>
      </c>
      <c r="J23" s="17">
        <v>102</v>
      </c>
      <c r="K23" s="17">
        <v>95.855000000000004</v>
      </c>
      <c r="L23" s="7"/>
      <c r="N23" s="124">
        <v>43763</v>
      </c>
      <c r="O23" s="2">
        <v>8.1864000000000008</v>
      </c>
      <c r="P23" s="2">
        <v>8.6223500000000008</v>
      </c>
      <c r="Q23" s="2">
        <v>8.9499999999999993</v>
      </c>
      <c r="R23" s="2">
        <v>9.2579499999999992</v>
      </c>
      <c r="S23" s="2">
        <v>9.82</v>
      </c>
      <c r="T23" s="2">
        <v>9.9318000000000008</v>
      </c>
      <c r="U23" s="2">
        <v>9.8869500000000006</v>
      </c>
      <c r="V23" s="2">
        <v>9.6358499999999996</v>
      </c>
      <c r="W23" s="2">
        <v>10.4</v>
      </c>
      <c r="X23" s="2">
        <v>10.151400000000001</v>
      </c>
      <c r="Y23" s="7"/>
      <c r="Z23" s="7"/>
      <c r="AA23" s="128">
        <v>44078</v>
      </c>
      <c r="AB23" s="2">
        <v>9.6269980000000004</v>
      </c>
      <c r="AC23" s="2">
        <v>9.4281459999999999</v>
      </c>
      <c r="AD23" s="2">
        <v>9.2066560000000006</v>
      </c>
      <c r="AE23" s="56">
        <v>7.2347760000000001</v>
      </c>
      <c r="AF23" s="2"/>
      <c r="AG23" s="2"/>
      <c r="AH23" s="11"/>
      <c r="AI23" s="128">
        <v>44078</v>
      </c>
      <c r="AJ23" s="2">
        <v>74.125</v>
      </c>
      <c r="AK23" s="2">
        <v>62.75</v>
      </c>
      <c r="AL23" s="2">
        <v>57</v>
      </c>
      <c r="AM23" s="56">
        <v>49.5</v>
      </c>
      <c r="AO23" s="124">
        <v>43763</v>
      </c>
      <c r="AP23">
        <v>105.5</v>
      </c>
      <c r="AQ23">
        <v>100.375</v>
      </c>
      <c r="AR23">
        <v>96.25</v>
      </c>
      <c r="AS23" s="17">
        <v>94.203000000000003</v>
      </c>
      <c r="AT23">
        <v>99.125</v>
      </c>
      <c r="AU23">
        <v>96.802000000000007</v>
      </c>
      <c r="AV23">
        <v>94.5</v>
      </c>
      <c r="AW23">
        <v>89.375</v>
      </c>
      <c r="AX23" s="17">
        <v>102</v>
      </c>
      <c r="AY23" s="17">
        <v>96.314999999999998</v>
      </c>
      <c r="AZ23" s="7"/>
      <c r="BB23" s="124">
        <v>43763</v>
      </c>
      <c r="BC23" s="2">
        <v>8.19</v>
      </c>
      <c r="BD23" s="2">
        <v>8.6199999999999992</v>
      </c>
      <c r="BE23" s="2">
        <v>8.9499999999999993</v>
      </c>
      <c r="BF23" s="2">
        <v>9.26</v>
      </c>
      <c r="BG23" s="2">
        <v>9.82</v>
      </c>
      <c r="BH23" s="2">
        <v>10.24</v>
      </c>
      <c r="BI23" s="2">
        <v>9.89</v>
      </c>
      <c r="BJ23" s="2">
        <v>9.7799999999999994</v>
      </c>
      <c r="BK23" s="2">
        <v>10.4</v>
      </c>
      <c r="BL23" s="2">
        <v>10.08</v>
      </c>
      <c r="BM23" s="7"/>
      <c r="BN23" s="7"/>
      <c r="BO23" s="128">
        <v>44078</v>
      </c>
      <c r="BP23" s="2">
        <v>3.44</v>
      </c>
      <c r="BQ23" s="2">
        <v>3.71</v>
      </c>
      <c r="BR23" s="2">
        <v>3.69</v>
      </c>
      <c r="BS23" s="56" t="s">
        <v>69</v>
      </c>
      <c r="BT23" s="2"/>
      <c r="BU23" s="2"/>
      <c r="BV23" s="11"/>
      <c r="BW23" s="128">
        <v>44078</v>
      </c>
      <c r="BX23" s="2">
        <v>75.5</v>
      </c>
      <c r="BY23" s="2">
        <v>63.5</v>
      </c>
      <c r="BZ23" s="2">
        <v>55.25</v>
      </c>
      <c r="CA23" s="56" t="s">
        <v>69</v>
      </c>
    </row>
    <row r="24" spans="1:79" x14ac:dyDescent="0.2">
      <c r="A24" s="124">
        <v>43766</v>
      </c>
      <c r="B24">
        <v>106</v>
      </c>
      <c r="C24">
        <v>100.25</v>
      </c>
      <c r="D24">
        <v>96.25</v>
      </c>
      <c r="E24" s="17">
        <v>94.205500000000001</v>
      </c>
      <c r="F24">
        <v>99.125</v>
      </c>
      <c r="G24">
        <v>98</v>
      </c>
      <c r="H24">
        <v>94.125</v>
      </c>
      <c r="I24">
        <v>90.125</v>
      </c>
      <c r="J24" s="17">
        <v>102.125</v>
      </c>
      <c r="K24" s="17">
        <v>95.855000000000004</v>
      </c>
      <c r="L24" s="7"/>
      <c r="N24" s="124">
        <v>43766</v>
      </c>
      <c r="O24" s="2">
        <v>7.9596999999999998</v>
      </c>
      <c r="P24" s="2">
        <v>8.6635000000000009</v>
      </c>
      <c r="Q24" s="2">
        <v>8.9499999999999993</v>
      </c>
      <c r="R24" s="2">
        <v>9.2578999999999994</v>
      </c>
      <c r="S24" s="2">
        <v>9.82</v>
      </c>
      <c r="T24" s="2">
        <v>10.0044</v>
      </c>
      <c r="U24" s="2">
        <v>9.9588999999999999</v>
      </c>
      <c r="V24" s="2">
        <v>9.6363000000000003</v>
      </c>
      <c r="W24" s="2">
        <v>10.38</v>
      </c>
      <c r="X24" s="2">
        <v>10.1515</v>
      </c>
      <c r="Y24" s="7"/>
      <c r="Z24" s="7"/>
      <c r="AA24" s="128">
        <v>44081</v>
      </c>
      <c r="AB24" s="2">
        <v>10.231664</v>
      </c>
      <c r="AC24" s="2">
        <v>9.7057579999999994</v>
      </c>
      <c r="AD24" s="2">
        <v>9.3531040000000001</v>
      </c>
      <c r="AE24" s="56">
        <v>9.5360239999999994</v>
      </c>
      <c r="AF24" s="2"/>
      <c r="AG24" s="2"/>
      <c r="AH24" s="11"/>
      <c r="AI24" s="128">
        <v>44081</v>
      </c>
      <c r="AJ24" s="2">
        <v>74.125</v>
      </c>
      <c r="AK24" s="2">
        <v>62.75</v>
      </c>
      <c r="AL24" s="2">
        <v>57</v>
      </c>
      <c r="AM24" s="56">
        <v>49.5</v>
      </c>
      <c r="AO24" s="124">
        <v>43766</v>
      </c>
      <c r="AP24">
        <v>106</v>
      </c>
      <c r="AQ24">
        <v>100.25</v>
      </c>
      <c r="AR24">
        <v>96.25</v>
      </c>
      <c r="AS24" s="17">
        <v>94.204999999999998</v>
      </c>
      <c r="AT24">
        <v>99.125</v>
      </c>
      <c r="AU24">
        <v>98</v>
      </c>
      <c r="AV24">
        <v>94.125</v>
      </c>
      <c r="AW24">
        <v>89.375</v>
      </c>
      <c r="AX24" s="17">
        <v>102.125</v>
      </c>
      <c r="AY24" s="17">
        <v>96.314999999999998</v>
      </c>
      <c r="AZ24" s="7"/>
      <c r="BB24" s="124">
        <v>43766</v>
      </c>
      <c r="BC24" s="2">
        <v>7.96</v>
      </c>
      <c r="BD24" s="2">
        <v>8.66</v>
      </c>
      <c r="BE24" s="2">
        <v>8.9499999999999993</v>
      </c>
      <c r="BF24" s="2">
        <v>9.26</v>
      </c>
      <c r="BG24" s="2">
        <v>9.82</v>
      </c>
      <c r="BH24" s="2">
        <v>10</v>
      </c>
      <c r="BI24" s="2">
        <v>9.9600000000000009</v>
      </c>
      <c r="BJ24" s="2">
        <v>9.7799999999999994</v>
      </c>
      <c r="BK24" s="2">
        <v>10.38</v>
      </c>
      <c r="BL24" s="2">
        <v>10.08</v>
      </c>
      <c r="BM24" s="7"/>
      <c r="BN24" s="7"/>
      <c r="BO24" s="128">
        <v>44081</v>
      </c>
      <c r="BP24" s="2">
        <v>10.23</v>
      </c>
      <c r="BQ24" s="2">
        <v>9.7100000000000009</v>
      </c>
      <c r="BR24" s="2">
        <v>9.35</v>
      </c>
      <c r="BS24" s="56" t="s">
        <v>69</v>
      </c>
      <c r="BT24" s="2"/>
      <c r="BU24" s="2"/>
      <c r="BV24" s="11"/>
      <c r="BW24" s="128">
        <v>44081</v>
      </c>
      <c r="BX24" s="2">
        <v>74.125</v>
      </c>
      <c r="BY24" s="2">
        <v>62.75</v>
      </c>
      <c r="BZ24" s="2">
        <v>57</v>
      </c>
      <c r="CA24" s="56" t="s">
        <v>69</v>
      </c>
    </row>
    <row r="25" spans="1:79" x14ac:dyDescent="0.2">
      <c r="A25" s="124">
        <v>43767</v>
      </c>
      <c r="B25">
        <v>105.875</v>
      </c>
      <c r="C25">
        <v>100.5</v>
      </c>
      <c r="D25">
        <v>96.5</v>
      </c>
      <c r="E25" s="17">
        <v>94.183499999999995</v>
      </c>
      <c r="F25">
        <v>99.25</v>
      </c>
      <c r="G25">
        <v>98.125</v>
      </c>
      <c r="H25">
        <v>94.125</v>
      </c>
      <c r="I25">
        <v>90.25</v>
      </c>
      <c r="J25" s="17">
        <v>102</v>
      </c>
      <c r="K25" s="17">
        <v>95.828500000000005</v>
      </c>
      <c r="L25" s="7"/>
      <c r="N25" s="124">
        <v>43767</v>
      </c>
      <c r="O25" s="2">
        <v>8.0155499999999993</v>
      </c>
      <c r="P25" s="2">
        <v>8.5732499999999998</v>
      </c>
      <c r="Q25" s="2">
        <v>8.8800000000000008</v>
      </c>
      <c r="R25" s="2">
        <v>9.2579499999999992</v>
      </c>
      <c r="S25" s="2">
        <v>9.7899999999999991</v>
      </c>
      <c r="T25" s="2">
        <v>9.9802</v>
      </c>
      <c r="U25" s="2">
        <v>9.9541500000000003</v>
      </c>
      <c r="V25" s="2">
        <v>9.6124500000000008</v>
      </c>
      <c r="W25" s="2">
        <v>10.4</v>
      </c>
      <c r="X25" s="2">
        <v>10.1515</v>
      </c>
      <c r="Y25" s="7"/>
      <c r="Z25" s="7"/>
      <c r="AA25" s="128">
        <v>44082</v>
      </c>
      <c r="AB25" s="2">
        <v>10.240271</v>
      </c>
      <c r="AC25" s="2">
        <v>9.7083619999999993</v>
      </c>
      <c r="AD25" s="2">
        <v>9.3550789999999999</v>
      </c>
      <c r="AE25" s="2">
        <v>9.5396629999999991</v>
      </c>
      <c r="AF25" s="2"/>
      <c r="AG25" s="2"/>
      <c r="AH25" s="11"/>
      <c r="AI25" s="128">
        <v>44082</v>
      </c>
      <c r="AJ25" s="2">
        <v>74.125</v>
      </c>
      <c r="AK25" s="2">
        <v>62.75</v>
      </c>
      <c r="AL25" s="2">
        <v>57</v>
      </c>
      <c r="AM25" s="2">
        <v>49.5</v>
      </c>
      <c r="AO25" s="124">
        <v>43767</v>
      </c>
      <c r="AP25">
        <v>105.875</v>
      </c>
      <c r="AQ25">
        <v>100.5</v>
      </c>
      <c r="AR25">
        <v>96.5</v>
      </c>
      <c r="AS25" s="17">
        <v>94.183999999999997</v>
      </c>
      <c r="AT25">
        <v>99.25</v>
      </c>
      <c r="AU25">
        <v>98.125</v>
      </c>
      <c r="AV25">
        <v>94.125</v>
      </c>
      <c r="AW25">
        <v>89.765000000000001</v>
      </c>
      <c r="AX25" s="17">
        <v>102</v>
      </c>
      <c r="AY25" s="17">
        <v>96.465000000000003</v>
      </c>
      <c r="AZ25" s="7"/>
      <c r="BB25" s="124">
        <v>43767</v>
      </c>
      <c r="BC25" s="2">
        <v>8.01</v>
      </c>
      <c r="BD25" s="2">
        <v>8.57</v>
      </c>
      <c r="BE25" s="2">
        <v>8.8800000000000008</v>
      </c>
      <c r="BF25" s="2">
        <v>9.26</v>
      </c>
      <c r="BG25" s="2">
        <v>9.7899999999999991</v>
      </c>
      <c r="BH25" s="2">
        <v>9.98</v>
      </c>
      <c r="BI25" s="2">
        <v>9.9600000000000009</v>
      </c>
      <c r="BJ25" s="2">
        <v>9.6999999999999993</v>
      </c>
      <c r="BK25" s="2">
        <v>10.4</v>
      </c>
      <c r="BL25" s="2">
        <v>10.050000000000001</v>
      </c>
      <c r="BM25" s="7"/>
      <c r="BN25" s="7"/>
      <c r="BO25" s="128">
        <v>44082</v>
      </c>
      <c r="BP25" s="2">
        <v>10.24</v>
      </c>
      <c r="BQ25" s="2">
        <v>9.7100000000000009</v>
      </c>
      <c r="BR25" s="2">
        <v>9.36</v>
      </c>
      <c r="BS25" s="2">
        <v>9.7680500000000006</v>
      </c>
      <c r="BT25" s="2"/>
      <c r="BU25" s="2"/>
      <c r="BV25" s="11"/>
      <c r="BW25" s="128">
        <v>44082</v>
      </c>
      <c r="BX25" s="2">
        <v>74.125</v>
      </c>
      <c r="BY25" s="2">
        <v>62.75</v>
      </c>
      <c r="BZ25" s="2">
        <v>57</v>
      </c>
      <c r="CA25" s="2">
        <v>49.5</v>
      </c>
    </row>
    <row r="26" spans="1:79" x14ac:dyDescent="0.2">
      <c r="A26" s="124">
        <v>43768</v>
      </c>
      <c r="B26">
        <v>105.5</v>
      </c>
      <c r="C26">
        <v>99.75</v>
      </c>
      <c r="D26">
        <v>95.75</v>
      </c>
      <c r="E26" s="17">
        <v>94.207499999999996</v>
      </c>
      <c r="F26">
        <v>98.125</v>
      </c>
      <c r="G26">
        <v>97.25</v>
      </c>
      <c r="H26">
        <v>93</v>
      </c>
      <c r="I26">
        <v>89.125</v>
      </c>
      <c r="J26" s="17">
        <v>100.875</v>
      </c>
      <c r="K26" s="17">
        <v>95.855000000000004</v>
      </c>
      <c r="L26" s="7"/>
      <c r="N26" s="124">
        <v>43768</v>
      </c>
      <c r="O26" s="2">
        <v>8.1808999999999994</v>
      </c>
      <c r="P26" s="2">
        <v>8.8288499999999992</v>
      </c>
      <c r="Q26" s="2">
        <v>9.09</v>
      </c>
      <c r="R26" s="2">
        <v>9.2578999999999994</v>
      </c>
      <c r="S26" s="2">
        <v>10.02</v>
      </c>
      <c r="T26" s="2">
        <v>10.150550000000001</v>
      </c>
      <c r="U26" s="2">
        <v>10.17675</v>
      </c>
      <c r="V26" s="2">
        <v>9.8291000000000004</v>
      </c>
      <c r="W26" s="2">
        <v>10.59</v>
      </c>
      <c r="X26" s="2">
        <v>10.1515</v>
      </c>
      <c r="Y26" s="7"/>
      <c r="Z26" s="7"/>
      <c r="AA26" s="128">
        <v>44083</v>
      </c>
      <c r="AB26" s="2">
        <v>10.244574999999999</v>
      </c>
      <c r="AC26" s="2">
        <v>9.7109660000000009</v>
      </c>
      <c r="AD26" s="2">
        <v>9.3570539999999998</v>
      </c>
      <c r="AE26" s="2">
        <v>9.5433039999999991</v>
      </c>
      <c r="AF26" s="2"/>
      <c r="AG26" s="2"/>
      <c r="AH26" s="11"/>
      <c r="AI26" s="128">
        <v>44083</v>
      </c>
      <c r="AJ26" s="2">
        <v>74.125</v>
      </c>
      <c r="AK26" s="2">
        <v>62.75</v>
      </c>
      <c r="AL26" s="2">
        <v>57</v>
      </c>
      <c r="AM26" s="2">
        <v>49.5</v>
      </c>
      <c r="AO26" s="124">
        <v>43768</v>
      </c>
      <c r="AP26">
        <v>105.5</v>
      </c>
      <c r="AQ26">
        <v>99.75</v>
      </c>
      <c r="AR26">
        <v>95.75</v>
      </c>
      <c r="AS26" s="17">
        <v>94.206999999999994</v>
      </c>
      <c r="AT26">
        <v>98.125</v>
      </c>
      <c r="AU26">
        <v>97.727999999999994</v>
      </c>
      <c r="AV26">
        <v>93</v>
      </c>
      <c r="AW26">
        <v>89.765000000000001</v>
      </c>
      <c r="AX26" s="17">
        <v>100.875</v>
      </c>
      <c r="AY26" s="17">
        <v>95.435000000000002</v>
      </c>
      <c r="AZ26" s="7"/>
      <c r="BB26" s="124">
        <v>43768</v>
      </c>
      <c r="BC26" s="2">
        <v>8.18</v>
      </c>
      <c r="BD26" s="2">
        <v>8.83</v>
      </c>
      <c r="BE26" s="2">
        <v>9.09</v>
      </c>
      <c r="BF26" s="2">
        <v>9.26</v>
      </c>
      <c r="BG26" s="2">
        <v>10.02</v>
      </c>
      <c r="BH26" s="2">
        <v>10.06</v>
      </c>
      <c r="BI26" s="2">
        <v>10.18</v>
      </c>
      <c r="BJ26" s="2">
        <v>9.6999999999999993</v>
      </c>
      <c r="BK26" s="2">
        <v>10.59</v>
      </c>
      <c r="BL26" s="2">
        <v>10.220000000000001</v>
      </c>
      <c r="BM26" s="7"/>
      <c r="BN26" s="7"/>
      <c r="BO26" s="128">
        <v>44083</v>
      </c>
      <c r="BP26" s="2">
        <v>10.24</v>
      </c>
      <c r="BQ26" s="2">
        <v>9.7100000000000009</v>
      </c>
      <c r="BR26" s="2">
        <v>9.36</v>
      </c>
      <c r="BS26" s="2">
        <v>9.77</v>
      </c>
      <c r="BT26" s="2"/>
      <c r="BU26" s="2"/>
      <c r="BV26" s="11"/>
      <c r="BW26" s="128">
        <v>44083</v>
      </c>
      <c r="BX26" s="2">
        <v>74.125</v>
      </c>
      <c r="BY26" s="2">
        <v>62.75</v>
      </c>
      <c r="BZ26" s="2">
        <v>57</v>
      </c>
      <c r="CA26" s="2">
        <v>49.5</v>
      </c>
    </row>
    <row r="27" spans="1:79" x14ac:dyDescent="0.2">
      <c r="A27" s="124">
        <v>43769</v>
      </c>
      <c r="B27">
        <v>106.25</v>
      </c>
      <c r="C27">
        <v>101</v>
      </c>
      <c r="D27">
        <v>96.5</v>
      </c>
      <c r="E27" s="17">
        <v>94.212999999999994</v>
      </c>
      <c r="F27">
        <v>98.625</v>
      </c>
      <c r="G27">
        <v>97.625</v>
      </c>
      <c r="H27">
        <v>93.5</v>
      </c>
      <c r="I27">
        <v>89.75</v>
      </c>
      <c r="J27" s="17">
        <v>101.5</v>
      </c>
      <c r="K27" s="17">
        <v>95.855999999999995</v>
      </c>
      <c r="L27" s="7"/>
      <c r="N27" s="124">
        <v>43769</v>
      </c>
      <c r="O27" s="2">
        <v>7.8357999999999999</v>
      </c>
      <c r="P27" s="2">
        <v>8.4170499999999997</v>
      </c>
      <c r="Q27" s="2">
        <v>8.8800000000000008</v>
      </c>
      <c r="R27" s="2">
        <v>9.2580500000000008</v>
      </c>
      <c r="S27" s="2">
        <v>9.92</v>
      </c>
      <c r="T27" s="2">
        <v>10.077999999999999</v>
      </c>
      <c r="U27" s="2">
        <v>10.0801</v>
      </c>
      <c r="V27" s="2">
        <v>9.7098999999999993</v>
      </c>
      <c r="W27" s="2">
        <v>10.49</v>
      </c>
      <c r="X27" s="2">
        <v>10.151450000000001</v>
      </c>
      <c r="Y27" s="7"/>
      <c r="Z27" s="7"/>
      <c r="AA27" s="128">
        <v>44084</v>
      </c>
      <c r="AB27" s="2">
        <v>10.25751</v>
      </c>
      <c r="AC27" s="2">
        <v>9.7187900000000003</v>
      </c>
      <c r="AD27" s="2">
        <v>9.3629859999999994</v>
      </c>
      <c r="AE27" s="2">
        <v>9.5542459999999991</v>
      </c>
      <c r="AF27" s="2"/>
      <c r="AG27" s="2"/>
      <c r="AH27" s="11"/>
      <c r="AI27" s="128">
        <v>44084</v>
      </c>
      <c r="AJ27" s="2">
        <v>74.125</v>
      </c>
      <c r="AK27" s="2">
        <v>62.75</v>
      </c>
      <c r="AL27" s="2">
        <v>57</v>
      </c>
      <c r="AM27" s="2">
        <v>49.5</v>
      </c>
      <c r="AO27" s="124">
        <v>43769</v>
      </c>
      <c r="AP27">
        <v>106.25</v>
      </c>
      <c r="AQ27">
        <v>101</v>
      </c>
      <c r="AR27">
        <v>96.5</v>
      </c>
      <c r="AS27" s="17">
        <v>94.212999999999994</v>
      </c>
      <c r="AT27">
        <v>98.625</v>
      </c>
      <c r="AU27">
        <v>97.753</v>
      </c>
      <c r="AV27">
        <v>93.125</v>
      </c>
      <c r="AW27">
        <v>89.515000000000001</v>
      </c>
      <c r="AX27" s="17">
        <v>101.5</v>
      </c>
      <c r="AY27" s="17">
        <v>96.194999999999993</v>
      </c>
      <c r="AZ27" s="7"/>
      <c r="BB27" s="124">
        <v>43769</v>
      </c>
      <c r="BC27" s="2">
        <v>7.84</v>
      </c>
      <c r="BD27" s="2">
        <v>8.42</v>
      </c>
      <c r="BE27" s="2">
        <v>8.8800000000000008</v>
      </c>
      <c r="BF27" s="2">
        <v>9.26</v>
      </c>
      <c r="BG27" s="2">
        <v>9.92</v>
      </c>
      <c r="BH27" s="2">
        <v>10.050000000000001</v>
      </c>
      <c r="BI27" s="2">
        <v>10.15</v>
      </c>
      <c r="BJ27" s="2">
        <v>9.75</v>
      </c>
      <c r="BK27" s="2">
        <v>10.49</v>
      </c>
      <c r="BL27" s="2">
        <v>10.1</v>
      </c>
      <c r="BM27" s="7"/>
      <c r="BN27" s="7"/>
      <c r="BO27" s="128">
        <v>44084</v>
      </c>
      <c r="BP27" s="2">
        <v>10.26</v>
      </c>
      <c r="BQ27" s="2">
        <v>9.7200000000000006</v>
      </c>
      <c r="BR27" s="2">
        <v>9.36</v>
      </c>
      <c r="BS27" s="2">
        <v>9.7799999999999994</v>
      </c>
      <c r="BT27" s="2"/>
      <c r="BU27" s="2"/>
      <c r="BV27" s="11"/>
      <c r="BW27" s="128">
        <v>44084</v>
      </c>
      <c r="BX27" s="2">
        <v>74.125</v>
      </c>
      <c r="BY27" s="2">
        <v>62.75</v>
      </c>
      <c r="BZ27" s="2">
        <v>57</v>
      </c>
      <c r="CA27" s="2">
        <v>49.5</v>
      </c>
    </row>
    <row r="28" spans="1:79" x14ac:dyDescent="0.2">
      <c r="A28" s="124">
        <v>43770</v>
      </c>
      <c r="B28">
        <v>107.5</v>
      </c>
      <c r="C28">
        <v>102.375</v>
      </c>
      <c r="D28">
        <v>98</v>
      </c>
      <c r="E28" s="17">
        <v>94.215000000000003</v>
      </c>
      <c r="F28">
        <v>100</v>
      </c>
      <c r="G28">
        <v>98.875</v>
      </c>
      <c r="H28">
        <v>94.875</v>
      </c>
      <c r="I28">
        <v>91.125</v>
      </c>
      <c r="J28" s="17">
        <v>102.625</v>
      </c>
      <c r="K28" s="17">
        <v>95.855999999999995</v>
      </c>
      <c r="L28" s="7"/>
      <c r="N28" s="124">
        <v>43770</v>
      </c>
      <c r="O28" s="2">
        <v>7.2775999999999996</v>
      </c>
      <c r="P28" s="2">
        <v>7.9703499999999998</v>
      </c>
      <c r="Q28" s="2">
        <v>8.48</v>
      </c>
      <c r="R28" s="2">
        <v>9.2580500000000008</v>
      </c>
      <c r="S28" s="2">
        <v>9.65</v>
      </c>
      <c r="T28" s="2">
        <v>9.8366000000000007</v>
      </c>
      <c r="U28" s="2">
        <v>9.8163</v>
      </c>
      <c r="V28" s="2">
        <v>9.4485499999999991</v>
      </c>
      <c r="W28" s="2">
        <v>10.3</v>
      </c>
      <c r="X28" s="2">
        <v>10.1515</v>
      </c>
      <c r="Y28" s="7"/>
      <c r="Z28" s="7"/>
      <c r="AA28" s="128">
        <v>44085</v>
      </c>
      <c r="AB28" s="2">
        <v>10.26183</v>
      </c>
      <c r="AC28" s="2">
        <v>9.7214019999999994</v>
      </c>
      <c r="AD28" s="2">
        <v>9.3649649999999998</v>
      </c>
      <c r="AE28" s="2">
        <v>9.5579000000000001</v>
      </c>
      <c r="AF28" s="2"/>
      <c r="AG28" s="2"/>
      <c r="AH28" s="11"/>
      <c r="AI28" s="128">
        <v>44085</v>
      </c>
      <c r="AJ28" s="2">
        <v>74.125</v>
      </c>
      <c r="AK28" s="2">
        <v>62.75</v>
      </c>
      <c r="AL28" s="2">
        <v>57</v>
      </c>
      <c r="AM28" s="2">
        <v>49.5</v>
      </c>
      <c r="AO28" s="124">
        <v>43770</v>
      </c>
      <c r="AP28">
        <v>107.5</v>
      </c>
      <c r="AQ28">
        <v>102.375</v>
      </c>
      <c r="AR28">
        <v>98</v>
      </c>
      <c r="AS28" s="17">
        <v>94.215000000000003</v>
      </c>
      <c r="AT28">
        <v>100</v>
      </c>
      <c r="AU28">
        <v>98.495000000000005</v>
      </c>
      <c r="AV28">
        <v>94.875</v>
      </c>
      <c r="AW28">
        <v>91.125</v>
      </c>
      <c r="AX28" s="17">
        <v>102.625</v>
      </c>
      <c r="AY28" s="17">
        <v>97.644999999999996</v>
      </c>
      <c r="AZ28" s="7"/>
      <c r="BB28" s="124">
        <v>43770</v>
      </c>
      <c r="BC28" s="2">
        <v>7.28</v>
      </c>
      <c r="BD28" s="2">
        <v>7.97</v>
      </c>
      <c r="BE28" s="2">
        <v>8.48</v>
      </c>
      <c r="BF28" s="2">
        <v>9.26</v>
      </c>
      <c r="BG28" s="2">
        <v>9.65</v>
      </c>
      <c r="BH28" s="2">
        <v>9.91</v>
      </c>
      <c r="BI28" s="2">
        <v>9.82</v>
      </c>
      <c r="BJ28" s="2">
        <v>9.4499999999999993</v>
      </c>
      <c r="BK28" s="2">
        <v>10.3</v>
      </c>
      <c r="BL28" s="2">
        <v>9.86</v>
      </c>
      <c r="BM28" s="7"/>
      <c r="BN28" s="7"/>
      <c r="BO28" s="128">
        <v>44085</v>
      </c>
      <c r="BP28" s="2">
        <v>10.26</v>
      </c>
      <c r="BQ28" s="2">
        <v>9.7200000000000006</v>
      </c>
      <c r="BR28" s="2">
        <v>9.36</v>
      </c>
      <c r="BS28" s="2">
        <v>9.7899999999999991</v>
      </c>
      <c r="BT28" s="2"/>
      <c r="BU28" s="2"/>
      <c r="BV28" s="11"/>
      <c r="BW28" s="128">
        <v>44085</v>
      </c>
      <c r="BX28" s="2">
        <v>74.125</v>
      </c>
      <c r="BY28" s="2">
        <v>62.75</v>
      </c>
      <c r="BZ28" s="2">
        <v>57</v>
      </c>
      <c r="CA28" s="2">
        <v>49.5</v>
      </c>
    </row>
    <row r="29" spans="1:79" x14ac:dyDescent="0.2">
      <c r="A29" s="124">
        <v>43773</v>
      </c>
      <c r="B29">
        <v>108</v>
      </c>
      <c r="C29">
        <v>103.125</v>
      </c>
      <c r="D29">
        <v>98.625</v>
      </c>
      <c r="E29" s="17">
        <v>94.216999999999999</v>
      </c>
      <c r="F29">
        <v>100.875</v>
      </c>
      <c r="G29">
        <v>100</v>
      </c>
      <c r="H29">
        <v>96</v>
      </c>
      <c r="I29">
        <v>92.125</v>
      </c>
      <c r="J29" s="17">
        <v>103.75</v>
      </c>
      <c r="K29" s="17">
        <v>95.856499999999997</v>
      </c>
      <c r="L29" s="7"/>
      <c r="N29" s="124">
        <v>43773</v>
      </c>
      <c r="O29" s="2">
        <v>7.0538999999999996</v>
      </c>
      <c r="P29" s="2">
        <v>7.7293000000000003</v>
      </c>
      <c r="Q29" s="2">
        <v>8.31</v>
      </c>
      <c r="R29" s="2">
        <v>9.2580500000000008</v>
      </c>
      <c r="S29" s="2">
        <v>9.4700000000000006</v>
      </c>
      <c r="T29" s="2">
        <v>9.6226500000000001</v>
      </c>
      <c r="U29" s="2">
        <v>9.6040500000000009</v>
      </c>
      <c r="V29" s="2">
        <v>9.2616999999999994</v>
      </c>
      <c r="W29" s="2">
        <v>10.11</v>
      </c>
      <c r="X29" s="2">
        <v>10.151450000000001</v>
      </c>
      <c r="Y29" s="7"/>
      <c r="Z29" s="7"/>
      <c r="AA29" s="128">
        <v>44088</v>
      </c>
      <c r="AB29" s="2">
        <v>10.266142</v>
      </c>
      <c r="AC29" s="2">
        <v>9.7237749999999998</v>
      </c>
      <c r="AD29" s="2">
        <v>9.3667359999999995</v>
      </c>
      <c r="AE29" s="2">
        <v>9.5615550000000002</v>
      </c>
      <c r="AF29" s="2"/>
      <c r="AG29" s="2"/>
      <c r="AH29" s="11"/>
      <c r="AI29" s="128">
        <v>44088</v>
      </c>
      <c r="AJ29" s="2">
        <v>74.125</v>
      </c>
      <c r="AK29" s="2">
        <v>62.75</v>
      </c>
      <c r="AL29" s="2">
        <v>57</v>
      </c>
      <c r="AM29" s="2">
        <v>49.5</v>
      </c>
      <c r="AO29" s="124">
        <v>43773</v>
      </c>
      <c r="AP29">
        <v>108</v>
      </c>
      <c r="AQ29">
        <v>102.375</v>
      </c>
      <c r="AR29">
        <v>98.625</v>
      </c>
      <c r="AS29" s="17">
        <v>94.216999999999999</v>
      </c>
      <c r="AT29">
        <v>100.857</v>
      </c>
      <c r="AU29">
        <v>100</v>
      </c>
      <c r="AV29">
        <v>95.247</v>
      </c>
      <c r="AW29">
        <v>92.125</v>
      </c>
      <c r="AX29" s="17">
        <v>103.75</v>
      </c>
      <c r="AY29" s="17">
        <v>97.89</v>
      </c>
      <c r="AZ29" s="7"/>
      <c r="BB29" s="124">
        <v>43773</v>
      </c>
      <c r="BC29" s="2">
        <v>7.05</v>
      </c>
      <c r="BD29" s="2">
        <v>7.97</v>
      </c>
      <c r="BE29" s="2">
        <v>8.31</v>
      </c>
      <c r="BF29" s="2">
        <v>9.26</v>
      </c>
      <c r="BG29" s="2">
        <v>9.48</v>
      </c>
      <c r="BH29" s="2">
        <v>9.6199999999999992</v>
      </c>
      <c r="BI29" s="2">
        <v>9.75</v>
      </c>
      <c r="BJ29" s="2">
        <v>9.26</v>
      </c>
      <c r="BK29" s="2">
        <v>10.11</v>
      </c>
      <c r="BL29" s="2">
        <v>9.83</v>
      </c>
      <c r="BM29" s="7"/>
      <c r="BN29" s="7"/>
      <c r="BO29" s="128">
        <v>44088</v>
      </c>
      <c r="BP29" s="2">
        <v>10.27</v>
      </c>
      <c r="BQ29" s="2">
        <v>9.7200000000000006</v>
      </c>
      <c r="BR29" s="2">
        <v>9.3699999999999992</v>
      </c>
      <c r="BS29" s="2">
        <v>9.7899999999999991</v>
      </c>
      <c r="BT29" s="2"/>
      <c r="BU29" s="2"/>
      <c r="BV29" s="11"/>
      <c r="BW29" s="128">
        <v>44088</v>
      </c>
      <c r="BX29" s="2">
        <v>74.125</v>
      </c>
      <c r="BY29" s="2">
        <v>62.75</v>
      </c>
      <c r="BZ29" s="2">
        <v>57</v>
      </c>
      <c r="CA29" s="2">
        <v>49.5</v>
      </c>
    </row>
    <row r="30" spans="1:79" x14ac:dyDescent="0.2">
      <c r="A30" s="124">
        <v>43774</v>
      </c>
      <c r="B30">
        <v>107.375</v>
      </c>
      <c r="C30">
        <v>103</v>
      </c>
      <c r="D30">
        <v>97.75</v>
      </c>
      <c r="E30" s="17">
        <v>94.218999999999994</v>
      </c>
      <c r="F30">
        <v>100.5</v>
      </c>
      <c r="G30">
        <v>99.375</v>
      </c>
      <c r="H30">
        <v>95.5</v>
      </c>
      <c r="I30">
        <v>91.5</v>
      </c>
      <c r="J30" s="17">
        <v>103.5</v>
      </c>
      <c r="K30" s="17">
        <v>95.856499999999997</v>
      </c>
      <c r="L30" s="7"/>
      <c r="N30" s="124">
        <v>43774</v>
      </c>
      <c r="O30" s="2">
        <v>7.32545</v>
      </c>
      <c r="P30" s="2">
        <v>7.7687499999999998</v>
      </c>
      <c r="Q30" s="2">
        <v>8.5500000000000007</v>
      </c>
      <c r="R30" s="2">
        <v>9.2581000000000007</v>
      </c>
      <c r="S30" s="2">
        <v>9.5500000000000007</v>
      </c>
      <c r="T30" s="2">
        <v>9.7413500000000006</v>
      </c>
      <c r="U30" s="2">
        <v>9.69815</v>
      </c>
      <c r="V30" s="2">
        <v>9.3788</v>
      </c>
      <c r="W30" s="2">
        <v>10.15</v>
      </c>
      <c r="X30" s="2">
        <v>10.1515</v>
      </c>
      <c r="Y30" s="7"/>
      <c r="Z30" s="7"/>
      <c r="AA30" s="128">
        <v>44089</v>
      </c>
      <c r="AB30" s="2">
        <v>10.526002</v>
      </c>
      <c r="AC30" s="2">
        <v>10.304572</v>
      </c>
      <c r="AD30" s="2">
        <v>9.7172529999999995</v>
      </c>
      <c r="AE30" s="2">
        <v>9.8533310000000007</v>
      </c>
      <c r="AF30" s="2"/>
      <c r="AG30" s="2"/>
      <c r="AH30" s="11"/>
      <c r="AI30" s="128">
        <v>44089</v>
      </c>
      <c r="AJ30" s="2">
        <v>73</v>
      </c>
      <c r="AK30" s="2">
        <v>59.5</v>
      </c>
      <c r="AL30" s="2">
        <v>54.75</v>
      </c>
      <c r="AM30" s="2">
        <v>48.5</v>
      </c>
      <c r="AO30" s="124">
        <v>43774</v>
      </c>
      <c r="AP30">
        <v>107.375</v>
      </c>
      <c r="AQ30">
        <v>103</v>
      </c>
      <c r="AR30">
        <v>97.75</v>
      </c>
      <c r="AS30" s="17">
        <v>94.218999999999994</v>
      </c>
      <c r="AT30">
        <v>100.5</v>
      </c>
      <c r="AU30">
        <v>99.375</v>
      </c>
      <c r="AV30">
        <v>95.894999999999996</v>
      </c>
      <c r="AW30">
        <v>91.5</v>
      </c>
      <c r="AX30" s="17">
        <v>103.5</v>
      </c>
      <c r="AY30" s="17">
        <v>98.04</v>
      </c>
      <c r="AZ30" s="7"/>
      <c r="BB30" s="124">
        <v>43774</v>
      </c>
      <c r="BC30" s="2">
        <v>7.32</v>
      </c>
      <c r="BD30" s="2">
        <v>7.77</v>
      </c>
      <c r="BE30" s="2">
        <v>8.5500000000000007</v>
      </c>
      <c r="BF30" s="2">
        <v>9.26</v>
      </c>
      <c r="BG30" s="2">
        <v>9.5500000000000007</v>
      </c>
      <c r="BH30" s="2">
        <v>9.74</v>
      </c>
      <c r="BI30" s="2">
        <v>9.6199999999999992</v>
      </c>
      <c r="BJ30" s="2">
        <v>9.3800000000000008</v>
      </c>
      <c r="BK30" s="2">
        <v>10.15</v>
      </c>
      <c r="BL30" s="2">
        <v>9.8000000000000007</v>
      </c>
      <c r="BM30" s="7"/>
      <c r="BN30" s="7"/>
      <c r="BO30" s="128">
        <v>44089</v>
      </c>
      <c r="BP30" s="2">
        <v>10.53</v>
      </c>
      <c r="BQ30" s="2">
        <v>10.3</v>
      </c>
      <c r="BR30" s="2">
        <v>9.7200000000000006</v>
      </c>
      <c r="BS30" s="2">
        <v>10.1</v>
      </c>
      <c r="BT30" s="2"/>
      <c r="BU30" s="2"/>
      <c r="BV30" s="11"/>
      <c r="BW30" s="128">
        <v>44089</v>
      </c>
      <c r="BX30" s="2">
        <v>73</v>
      </c>
      <c r="BY30" s="2">
        <v>59.5</v>
      </c>
      <c r="BZ30" s="2">
        <v>54.75</v>
      </c>
      <c r="CA30" s="2">
        <v>48.5</v>
      </c>
    </row>
    <row r="31" spans="1:79" x14ac:dyDescent="0.2">
      <c r="A31" s="124">
        <v>43775</v>
      </c>
      <c r="B31">
        <v>107.375</v>
      </c>
      <c r="C31">
        <v>102.625</v>
      </c>
      <c r="D31">
        <v>98.125</v>
      </c>
      <c r="E31" s="17">
        <v>94.221000000000004</v>
      </c>
      <c r="F31">
        <v>100.25</v>
      </c>
      <c r="G31">
        <v>99.25</v>
      </c>
      <c r="H31">
        <v>95.25</v>
      </c>
      <c r="I31">
        <v>91.375</v>
      </c>
      <c r="J31" s="17">
        <v>103</v>
      </c>
      <c r="K31" s="17">
        <v>95.856499999999997</v>
      </c>
      <c r="L31" s="7"/>
      <c r="N31" s="124">
        <v>43775</v>
      </c>
      <c r="O31" s="2">
        <v>7.3218500000000004</v>
      </c>
      <c r="P31" s="2">
        <v>7.8886000000000003</v>
      </c>
      <c r="Q31" s="2">
        <v>8.44</v>
      </c>
      <c r="R31" s="2">
        <v>9.2581000000000007</v>
      </c>
      <c r="S31" s="2">
        <v>9.6</v>
      </c>
      <c r="T31" s="2">
        <v>9.76525</v>
      </c>
      <c r="U31" s="2">
        <v>9.7454999999999998</v>
      </c>
      <c r="V31" s="2">
        <v>9.4026999999999994</v>
      </c>
      <c r="W31" s="2">
        <v>10.23</v>
      </c>
      <c r="X31" s="2">
        <v>10.15155</v>
      </c>
      <c r="Y31" s="7"/>
      <c r="Z31" s="7"/>
      <c r="AA31" s="128">
        <v>44090</v>
      </c>
      <c r="AB31" s="2">
        <v>10.530455999999999</v>
      </c>
      <c r="AC31" s="2">
        <v>10.307369</v>
      </c>
      <c r="AD31" s="2">
        <v>9.7193249999999995</v>
      </c>
      <c r="AE31" s="2">
        <v>9.8571080000000002</v>
      </c>
      <c r="AF31" s="2"/>
      <c r="AG31" s="2"/>
      <c r="AH31" s="11"/>
      <c r="AI31" s="128">
        <v>44090</v>
      </c>
      <c r="AJ31" s="2">
        <v>73</v>
      </c>
      <c r="AK31" s="2">
        <v>59.5</v>
      </c>
      <c r="AL31" s="2">
        <v>54.75</v>
      </c>
      <c r="AM31" s="2">
        <v>48.5</v>
      </c>
      <c r="AO31" s="124">
        <v>43775</v>
      </c>
      <c r="AP31">
        <v>107.375</v>
      </c>
      <c r="AQ31">
        <v>102.625</v>
      </c>
      <c r="AR31">
        <v>98.125</v>
      </c>
      <c r="AS31" s="17">
        <v>94.221000000000004</v>
      </c>
      <c r="AT31">
        <v>100.25</v>
      </c>
      <c r="AU31">
        <v>99.25</v>
      </c>
      <c r="AV31">
        <v>95.25</v>
      </c>
      <c r="AW31">
        <v>91.375</v>
      </c>
      <c r="AX31" s="17">
        <v>103</v>
      </c>
      <c r="AY31" s="17">
        <v>97.724999999999994</v>
      </c>
      <c r="AZ31" s="7"/>
      <c r="BB31" s="124">
        <v>43775</v>
      </c>
      <c r="BC31" s="2">
        <v>7.32</v>
      </c>
      <c r="BD31" s="2">
        <v>7.89</v>
      </c>
      <c r="BE31" s="2">
        <v>8.44</v>
      </c>
      <c r="BF31" s="2">
        <v>9.26</v>
      </c>
      <c r="BG31" s="2">
        <v>9.6</v>
      </c>
      <c r="BH31" s="2">
        <v>9.77</v>
      </c>
      <c r="BI31" s="2">
        <v>9.75</v>
      </c>
      <c r="BJ31" s="2">
        <v>9.4</v>
      </c>
      <c r="BK31" s="2">
        <v>10.23</v>
      </c>
      <c r="BL31" s="2">
        <v>9.85</v>
      </c>
      <c r="BM31" s="7"/>
      <c r="BN31" s="7"/>
      <c r="BO31" s="128">
        <v>44090</v>
      </c>
      <c r="BP31" s="2">
        <v>10.53</v>
      </c>
      <c r="BQ31" s="2">
        <v>10.31</v>
      </c>
      <c r="BR31" s="2">
        <v>9.7200000000000006</v>
      </c>
      <c r="BS31" s="2">
        <v>10.1</v>
      </c>
      <c r="BT31" s="2"/>
      <c r="BU31" s="2"/>
      <c r="BV31" s="11"/>
      <c r="BW31" s="128">
        <v>44090</v>
      </c>
      <c r="BX31" s="2">
        <v>73</v>
      </c>
      <c r="BY31" s="2">
        <v>59.5</v>
      </c>
      <c r="BZ31" s="2">
        <v>54.75</v>
      </c>
      <c r="CA31" s="2">
        <v>48.5</v>
      </c>
    </row>
    <row r="32" spans="1:79" x14ac:dyDescent="0.2">
      <c r="A32" s="124">
        <v>43776</v>
      </c>
      <c r="B32">
        <v>107</v>
      </c>
      <c r="C32">
        <v>102</v>
      </c>
      <c r="D32">
        <v>97.5</v>
      </c>
      <c r="E32" s="17">
        <v>94.229500000000002</v>
      </c>
      <c r="F32">
        <v>99.5</v>
      </c>
      <c r="G32">
        <v>98.375</v>
      </c>
      <c r="H32">
        <v>94.375</v>
      </c>
      <c r="I32">
        <v>90.5</v>
      </c>
      <c r="J32" s="17">
        <v>102</v>
      </c>
      <c r="K32" s="17">
        <v>95.858000000000004</v>
      </c>
      <c r="L32" s="7"/>
      <c r="N32" s="124">
        <v>43776</v>
      </c>
      <c r="O32" s="2">
        <v>7.47445</v>
      </c>
      <c r="P32" s="2">
        <v>8.0891500000000001</v>
      </c>
      <c r="Q32" s="2">
        <v>8.6199999999999992</v>
      </c>
      <c r="R32" s="2">
        <v>9.2579999999999991</v>
      </c>
      <c r="S32" s="2">
        <v>9.75</v>
      </c>
      <c r="T32" s="2">
        <v>9.9339499999999994</v>
      </c>
      <c r="U32" s="2">
        <v>9.9128000000000007</v>
      </c>
      <c r="V32" s="2">
        <v>9.5698500000000006</v>
      </c>
      <c r="W32" s="2">
        <v>10.4</v>
      </c>
      <c r="X32" s="2">
        <v>10.1515</v>
      </c>
      <c r="Y32" s="7"/>
      <c r="Z32" s="7"/>
      <c r="AA32" s="128">
        <v>44091</v>
      </c>
      <c r="AB32" s="2">
        <v>10.543843000000001</v>
      </c>
      <c r="AC32" s="2">
        <v>10.315770000000001</v>
      </c>
      <c r="AD32" s="2">
        <v>9.7255500000000001</v>
      </c>
      <c r="AE32" s="2">
        <v>9.8684580000000004</v>
      </c>
      <c r="AF32" s="2"/>
      <c r="AG32" s="2"/>
      <c r="AH32" s="11"/>
      <c r="AI32" s="128">
        <v>44091</v>
      </c>
      <c r="AJ32" s="2">
        <v>73</v>
      </c>
      <c r="AK32" s="2">
        <v>59.5</v>
      </c>
      <c r="AL32" s="2">
        <v>54.75</v>
      </c>
      <c r="AM32" s="2">
        <v>48.5</v>
      </c>
      <c r="AO32" s="124">
        <v>43776</v>
      </c>
      <c r="AP32">
        <v>107</v>
      </c>
      <c r="AQ32">
        <v>102</v>
      </c>
      <c r="AR32">
        <v>97.5</v>
      </c>
      <c r="AS32" s="17">
        <v>94.228999999999999</v>
      </c>
      <c r="AT32">
        <v>99.5</v>
      </c>
      <c r="AU32">
        <v>98.375</v>
      </c>
      <c r="AV32">
        <v>94.375</v>
      </c>
      <c r="AW32">
        <v>90.5</v>
      </c>
      <c r="AX32" s="17">
        <v>102</v>
      </c>
      <c r="AY32" s="17">
        <v>97.025000000000006</v>
      </c>
      <c r="AZ32" s="7"/>
      <c r="BB32" s="124">
        <v>43776</v>
      </c>
      <c r="BC32" s="2">
        <v>7.47</v>
      </c>
      <c r="BD32" s="2">
        <v>8.09</v>
      </c>
      <c r="BE32" s="2">
        <v>8.6199999999999992</v>
      </c>
      <c r="BF32" s="2">
        <v>9.26</v>
      </c>
      <c r="BG32" s="2">
        <v>9.75</v>
      </c>
      <c r="BH32" s="2">
        <v>9.93</v>
      </c>
      <c r="BI32" s="2">
        <v>9.91</v>
      </c>
      <c r="BJ32" s="2">
        <v>9.57</v>
      </c>
      <c r="BK32" s="2">
        <v>10.4</v>
      </c>
      <c r="BL32" s="2">
        <v>9.9600000000000009</v>
      </c>
      <c r="BM32" s="7"/>
      <c r="BN32" s="7"/>
      <c r="BO32" s="128">
        <v>44091</v>
      </c>
      <c r="BP32" s="2">
        <v>10.54435</v>
      </c>
      <c r="BQ32" s="2">
        <v>10.31625</v>
      </c>
      <c r="BR32" s="2">
        <v>9.7260000000000009</v>
      </c>
      <c r="BS32" s="2">
        <v>10.11285</v>
      </c>
      <c r="BT32" s="2"/>
      <c r="BU32" s="2"/>
      <c r="BV32" s="11"/>
      <c r="BW32" s="128">
        <v>44091</v>
      </c>
      <c r="BX32" s="2">
        <v>73</v>
      </c>
      <c r="BY32" s="2">
        <v>59.5</v>
      </c>
      <c r="BZ32" s="2">
        <v>54.75</v>
      </c>
      <c r="CA32" s="2">
        <v>48.5</v>
      </c>
    </row>
    <row r="33" spans="1:79" x14ac:dyDescent="0.2">
      <c r="A33" s="124">
        <v>43777</v>
      </c>
      <c r="B33">
        <v>107</v>
      </c>
      <c r="C33">
        <v>102.125</v>
      </c>
      <c r="D33">
        <v>97.25</v>
      </c>
      <c r="E33" s="17">
        <v>94.231499999999997</v>
      </c>
      <c r="F33">
        <v>99.375</v>
      </c>
      <c r="G33">
        <v>98.375</v>
      </c>
      <c r="H33">
        <v>94.375</v>
      </c>
      <c r="I33">
        <v>90.25</v>
      </c>
      <c r="J33" s="17">
        <v>101.875</v>
      </c>
      <c r="K33" s="17">
        <v>95.858500000000006</v>
      </c>
      <c r="L33" s="7"/>
      <c r="N33" s="124">
        <v>43777</v>
      </c>
      <c r="O33" s="2">
        <v>7.4709500000000002</v>
      </c>
      <c r="P33" s="2">
        <v>8.0481999999999996</v>
      </c>
      <c r="Q33" s="2">
        <v>8.68</v>
      </c>
      <c r="R33" s="2">
        <v>9.2579999999999991</v>
      </c>
      <c r="S33" s="2">
        <v>9.77</v>
      </c>
      <c r="T33" s="2">
        <v>9.9341500000000007</v>
      </c>
      <c r="U33" s="2">
        <v>9.9130000000000003</v>
      </c>
      <c r="V33" s="2">
        <v>9.6180500000000002</v>
      </c>
      <c r="W33" s="2">
        <v>10.42</v>
      </c>
      <c r="X33" s="2">
        <v>10.1515</v>
      </c>
      <c r="Y33" s="7"/>
      <c r="Z33" s="7"/>
      <c r="AA33" s="128">
        <v>44092</v>
      </c>
      <c r="AB33" s="2">
        <v>10.548314</v>
      </c>
      <c r="AC33" s="2">
        <v>10.318574</v>
      </c>
      <c r="AD33" s="2">
        <v>9.7276260000000008</v>
      </c>
      <c r="AE33" s="2">
        <v>9.8722469999999998</v>
      </c>
      <c r="AF33" s="2"/>
      <c r="AG33" s="2"/>
      <c r="AH33" s="11"/>
      <c r="AI33" s="128">
        <v>44092</v>
      </c>
      <c r="AJ33" s="2">
        <v>73</v>
      </c>
      <c r="AK33" s="2">
        <v>59.5</v>
      </c>
      <c r="AL33" s="2">
        <v>54.75</v>
      </c>
      <c r="AM33" s="2">
        <v>48.5</v>
      </c>
      <c r="AO33" s="124">
        <v>43777</v>
      </c>
      <c r="AP33">
        <v>107</v>
      </c>
      <c r="AQ33">
        <v>102.125</v>
      </c>
      <c r="AR33">
        <v>97.25</v>
      </c>
      <c r="AS33" s="17">
        <v>94.230999999999995</v>
      </c>
      <c r="AT33">
        <v>99.352999999999994</v>
      </c>
      <c r="AU33">
        <v>98.375</v>
      </c>
      <c r="AV33">
        <v>94.375</v>
      </c>
      <c r="AW33">
        <v>90.25</v>
      </c>
      <c r="AX33" s="17">
        <v>101.875</v>
      </c>
      <c r="AY33" s="17">
        <v>96.62</v>
      </c>
      <c r="AZ33" s="7"/>
      <c r="BB33" s="124">
        <v>43777</v>
      </c>
      <c r="BC33" s="2">
        <v>7.47</v>
      </c>
      <c r="BD33" s="2">
        <v>8.0500000000000007</v>
      </c>
      <c r="BE33" s="2">
        <v>8.68</v>
      </c>
      <c r="BF33" s="2">
        <v>9.26</v>
      </c>
      <c r="BG33" s="2">
        <v>9.7799999999999994</v>
      </c>
      <c r="BH33" s="2">
        <v>9.93</v>
      </c>
      <c r="BI33" s="2">
        <v>9.91</v>
      </c>
      <c r="BJ33" s="2">
        <v>9.6199999999999992</v>
      </c>
      <c r="BK33" s="2">
        <v>10.42</v>
      </c>
      <c r="BL33" s="2">
        <v>10.029999999999999</v>
      </c>
      <c r="BM33" s="7"/>
      <c r="BN33" s="7"/>
      <c r="BO33" s="128">
        <v>44092</v>
      </c>
      <c r="BP33" s="2">
        <v>10.5488</v>
      </c>
      <c r="BQ33" s="2">
        <v>10.319050000000001</v>
      </c>
      <c r="BR33" s="2">
        <v>9.7280999999999995</v>
      </c>
      <c r="BS33" s="2">
        <v>10.1168</v>
      </c>
      <c r="BT33" s="2"/>
      <c r="BU33" s="2"/>
      <c r="BV33" s="11"/>
      <c r="BW33" s="128">
        <v>44092</v>
      </c>
      <c r="BX33" s="2">
        <v>73</v>
      </c>
      <c r="BY33" s="2">
        <v>59.5</v>
      </c>
      <c r="BZ33" s="2">
        <v>54.75</v>
      </c>
      <c r="CA33" s="2">
        <v>48.5</v>
      </c>
    </row>
    <row r="34" spans="1:79" x14ac:dyDescent="0.2">
      <c r="A34" s="124">
        <v>43780</v>
      </c>
      <c r="B34">
        <v>106.875</v>
      </c>
      <c r="C34">
        <v>102.75</v>
      </c>
      <c r="D34">
        <v>97.75</v>
      </c>
      <c r="E34" s="17">
        <v>94.231499999999997</v>
      </c>
      <c r="F34">
        <v>99.625</v>
      </c>
      <c r="G34">
        <v>98.25</v>
      </c>
      <c r="H34">
        <v>94.375</v>
      </c>
      <c r="I34">
        <v>90.625</v>
      </c>
      <c r="J34" s="17">
        <v>101.75</v>
      </c>
      <c r="K34" s="17">
        <v>95.858500000000006</v>
      </c>
      <c r="L34" s="7"/>
      <c r="N34" s="124">
        <v>43780</v>
      </c>
      <c r="O34" s="2">
        <v>7.5268499999999996</v>
      </c>
      <c r="P34" s="2">
        <v>7.8460000000000001</v>
      </c>
      <c r="Q34" s="2">
        <v>8.5500000000000007</v>
      </c>
      <c r="R34" s="2">
        <v>9.2579999999999991</v>
      </c>
      <c r="S34" s="2">
        <v>9.7200000000000006</v>
      </c>
      <c r="T34" s="2">
        <v>9.9582999999999995</v>
      </c>
      <c r="U34" s="2">
        <v>9.9130000000000003</v>
      </c>
      <c r="V34" s="2">
        <v>9.5465</v>
      </c>
      <c r="W34" s="2">
        <v>10.44</v>
      </c>
      <c r="X34" s="2">
        <v>10.1515</v>
      </c>
      <c r="Y34" s="7"/>
      <c r="Z34" s="7"/>
      <c r="AA34" s="128">
        <v>44095</v>
      </c>
      <c r="AB34" s="2">
        <v>10.552789000000001</v>
      </c>
      <c r="AC34" s="2">
        <v>10.32138</v>
      </c>
      <c r="AD34" s="2">
        <v>9.7297039999999999</v>
      </c>
      <c r="AE34" s="2">
        <v>9.8760390000000005</v>
      </c>
      <c r="AF34" s="2"/>
      <c r="AG34" s="2"/>
      <c r="AH34" s="11"/>
      <c r="AI34" s="128">
        <v>44095</v>
      </c>
      <c r="AJ34" s="2">
        <v>73</v>
      </c>
      <c r="AK34" s="2">
        <v>59.5</v>
      </c>
      <c r="AL34" s="2">
        <v>54.75</v>
      </c>
      <c r="AM34" s="2">
        <v>48.5</v>
      </c>
      <c r="AO34" s="124">
        <v>43780</v>
      </c>
      <c r="AP34">
        <v>106.875</v>
      </c>
      <c r="AQ34">
        <v>102.75</v>
      </c>
      <c r="AR34">
        <v>97.75</v>
      </c>
      <c r="AS34" s="17">
        <v>94.230999999999995</v>
      </c>
      <c r="AT34">
        <v>99.625</v>
      </c>
      <c r="AU34">
        <v>98.25</v>
      </c>
      <c r="AV34">
        <v>94.268000000000001</v>
      </c>
      <c r="AW34">
        <v>90.625</v>
      </c>
      <c r="AX34" s="17">
        <v>101.75</v>
      </c>
      <c r="AY34" s="17">
        <v>96.63</v>
      </c>
      <c r="AZ34" s="7"/>
      <c r="BB34" s="124">
        <v>43780</v>
      </c>
      <c r="BC34" s="2">
        <v>7.53</v>
      </c>
      <c r="BD34" s="2">
        <v>7.85</v>
      </c>
      <c r="BE34" s="2">
        <v>8.5500000000000007</v>
      </c>
      <c r="BF34" s="2">
        <v>9.26</v>
      </c>
      <c r="BG34" s="2">
        <v>9.7200000000000006</v>
      </c>
      <c r="BH34" s="2">
        <v>9.9600000000000009</v>
      </c>
      <c r="BI34" s="2">
        <v>9.93</v>
      </c>
      <c r="BJ34" s="2">
        <v>9.5500000000000007</v>
      </c>
      <c r="BK34" s="2">
        <v>10.44</v>
      </c>
      <c r="BL34" s="2">
        <v>10.029999999999999</v>
      </c>
      <c r="BM34" s="7"/>
      <c r="BN34" s="7"/>
      <c r="BO34" s="128">
        <v>44095</v>
      </c>
      <c r="BP34" s="2">
        <v>10.55</v>
      </c>
      <c r="BQ34" s="2">
        <v>10.32</v>
      </c>
      <c r="BR34" s="2">
        <v>9.73</v>
      </c>
      <c r="BS34" s="2">
        <v>10.119999999999999</v>
      </c>
      <c r="BT34" s="2"/>
      <c r="BU34" s="2"/>
      <c r="BV34" s="11"/>
      <c r="BW34" s="128">
        <v>44095</v>
      </c>
      <c r="BX34" s="2">
        <v>73</v>
      </c>
      <c r="BY34" s="2">
        <v>59.5</v>
      </c>
      <c r="BZ34" s="2">
        <v>54.75</v>
      </c>
      <c r="CA34" s="2">
        <v>48.5</v>
      </c>
    </row>
    <row r="35" spans="1:79" x14ac:dyDescent="0.2">
      <c r="A35" s="124">
        <v>43781</v>
      </c>
      <c r="B35">
        <v>106.625</v>
      </c>
      <c r="C35">
        <v>101.5</v>
      </c>
      <c r="D35">
        <v>96.375</v>
      </c>
      <c r="E35" s="17">
        <v>94.233500000000006</v>
      </c>
      <c r="F35">
        <v>98.625</v>
      </c>
      <c r="G35">
        <v>97.5</v>
      </c>
      <c r="H35">
        <v>93.375</v>
      </c>
      <c r="I35">
        <v>89.25</v>
      </c>
      <c r="J35" s="17">
        <v>100.625</v>
      </c>
      <c r="K35" s="17">
        <v>95.858500000000006</v>
      </c>
      <c r="L35" s="7"/>
      <c r="N35" s="124">
        <v>43781</v>
      </c>
      <c r="O35" s="2">
        <v>7.6356000000000002</v>
      </c>
      <c r="P35" s="2">
        <v>8.2517999999999994</v>
      </c>
      <c r="Q35" s="2">
        <v>8.92</v>
      </c>
      <c r="R35" s="2">
        <v>9.2579999999999991</v>
      </c>
      <c r="S35" s="2">
        <v>9.92</v>
      </c>
      <c r="T35" s="2">
        <v>10.1045</v>
      </c>
      <c r="U35" s="2">
        <v>10.106350000000001</v>
      </c>
      <c r="V35" s="2">
        <v>9.8111499999999996</v>
      </c>
      <c r="W35" s="2">
        <v>10.64</v>
      </c>
      <c r="X35" s="2">
        <v>10.1515</v>
      </c>
      <c r="Y35" s="7"/>
      <c r="Z35" s="7"/>
      <c r="AA35" s="128">
        <v>44096</v>
      </c>
      <c r="AB35" s="2">
        <v>11.265027</v>
      </c>
      <c r="AC35" s="2">
        <v>10.652081000000001</v>
      </c>
      <c r="AD35" s="2">
        <v>9.7317830000000001</v>
      </c>
      <c r="AE35" s="2">
        <v>10.175420000000001</v>
      </c>
      <c r="AF35" s="2"/>
      <c r="AG35" s="2"/>
      <c r="AH35" s="11"/>
      <c r="AI35" s="128">
        <v>44096</v>
      </c>
      <c r="AJ35" s="2">
        <v>70</v>
      </c>
      <c r="AK35" s="2">
        <v>57.75</v>
      </c>
      <c r="AL35" s="2">
        <v>54.75</v>
      </c>
      <c r="AM35" s="2">
        <v>47.5</v>
      </c>
      <c r="AO35" s="124">
        <v>43781</v>
      </c>
      <c r="AP35">
        <v>106.625</v>
      </c>
      <c r="AQ35">
        <v>101.5</v>
      </c>
      <c r="AR35">
        <v>96.375</v>
      </c>
      <c r="AS35" s="17">
        <v>94.233000000000004</v>
      </c>
      <c r="AT35">
        <v>98.625</v>
      </c>
      <c r="AU35">
        <v>97.5</v>
      </c>
      <c r="AV35">
        <v>93.375</v>
      </c>
      <c r="AW35">
        <v>89.25</v>
      </c>
      <c r="AX35" s="17">
        <v>100.625</v>
      </c>
      <c r="AY35" s="17">
        <v>96</v>
      </c>
      <c r="AZ35" s="7"/>
      <c r="BB35" s="124">
        <v>43781</v>
      </c>
      <c r="BC35" s="2">
        <v>7.63</v>
      </c>
      <c r="BD35" s="2">
        <v>8.25</v>
      </c>
      <c r="BE35" s="2">
        <v>8.92</v>
      </c>
      <c r="BF35" s="2">
        <v>9.26</v>
      </c>
      <c r="BG35" s="2">
        <v>9.92</v>
      </c>
      <c r="BH35" s="2">
        <v>10.1</v>
      </c>
      <c r="BI35" s="2">
        <v>10.11</v>
      </c>
      <c r="BJ35" s="2">
        <v>9.81</v>
      </c>
      <c r="BK35" s="2">
        <v>10.64</v>
      </c>
      <c r="BL35" s="2">
        <v>10.130000000000001</v>
      </c>
      <c r="BM35" s="7"/>
      <c r="BN35" s="7"/>
      <c r="BO35" s="128">
        <v>44096</v>
      </c>
      <c r="BP35" s="2">
        <v>11.27</v>
      </c>
      <c r="BQ35" s="2">
        <v>10.65</v>
      </c>
      <c r="BR35" s="2">
        <v>9.73</v>
      </c>
      <c r="BS35" s="2">
        <v>10.119999999999999</v>
      </c>
      <c r="BT35" s="2"/>
      <c r="BU35" s="2"/>
      <c r="BV35" s="11"/>
      <c r="BW35" s="128">
        <v>44096</v>
      </c>
      <c r="BX35" s="2">
        <v>70</v>
      </c>
      <c r="BY35" s="2">
        <v>57.75</v>
      </c>
      <c r="BZ35" s="2">
        <v>54.75</v>
      </c>
      <c r="CA35" s="2">
        <v>48.5</v>
      </c>
    </row>
    <row r="36" spans="1:79" x14ac:dyDescent="0.2">
      <c r="A36" s="124">
        <v>43782</v>
      </c>
      <c r="B36">
        <v>105.625</v>
      </c>
      <c r="C36">
        <v>101.125</v>
      </c>
      <c r="D36">
        <v>95.125</v>
      </c>
      <c r="E36" s="17">
        <v>94.235500000000002</v>
      </c>
      <c r="F36">
        <v>97.25</v>
      </c>
      <c r="G36">
        <v>95.75</v>
      </c>
      <c r="H36">
        <v>92.125</v>
      </c>
      <c r="I36">
        <v>88.125</v>
      </c>
      <c r="J36" s="17">
        <v>99.5</v>
      </c>
      <c r="K36" s="17">
        <v>95.858500000000006</v>
      </c>
      <c r="L36" s="7"/>
      <c r="N36" s="124">
        <v>43782</v>
      </c>
      <c r="O36" s="2">
        <v>8.0848999999999993</v>
      </c>
      <c r="P36" s="2">
        <v>8.3748500000000003</v>
      </c>
      <c r="Q36" s="2">
        <v>9.27</v>
      </c>
      <c r="R36" s="2">
        <v>9.2580500000000008</v>
      </c>
      <c r="S36" s="2">
        <v>10.199999999999999</v>
      </c>
      <c r="T36" s="2">
        <v>10.45125</v>
      </c>
      <c r="U36" s="2">
        <v>10.352</v>
      </c>
      <c r="V36" s="2">
        <v>10.031750000000001</v>
      </c>
      <c r="W36" s="2">
        <v>10.83</v>
      </c>
      <c r="X36" s="2">
        <v>10.15155</v>
      </c>
      <c r="Y36" s="7"/>
      <c r="Z36" s="7"/>
      <c r="AA36" s="128">
        <v>44097</v>
      </c>
      <c r="AB36" s="2">
        <v>11.269852</v>
      </c>
      <c r="AC36" s="2">
        <v>10.654994</v>
      </c>
      <c r="AD36" s="2">
        <v>10.101295</v>
      </c>
      <c r="AE36" s="2">
        <v>10.179337</v>
      </c>
      <c r="AF36" s="2"/>
      <c r="AG36" s="2"/>
      <c r="AH36" s="11"/>
      <c r="AI36" s="128">
        <v>44097</v>
      </c>
      <c r="AJ36" s="2">
        <v>70</v>
      </c>
      <c r="AK36" s="2">
        <v>57.75</v>
      </c>
      <c r="AL36" s="2">
        <v>52.5</v>
      </c>
      <c r="AM36" s="2">
        <v>47.5</v>
      </c>
      <c r="AO36" s="124">
        <v>43782</v>
      </c>
      <c r="AP36">
        <v>105.625</v>
      </c>
      <c r="AQ36">
        <v>101.125</v>
      </c>
      <c r="AR36">
        <v>95.125</v>
      </c>
      <c r="AS36" s="17">
        <v>94.234999999999999</v>
      </c>
      <c r="AT36">
        <v>97.25</v>
      </c>
      <c r="AU36">
        <v>95.75</v>
      </c>
      <c r="AV36">
        <v>92.125</v>
      </c>
      <c r="AW36">
        <v>88.125</v>
      </c>
      <c r="AX36" s="17">
        <v>99.5</v>
      </c>
      <c r="AY36" s="17">
        <v>94.605000000000004</v>
      </c>
      <c r="AZ36" s="7"/>
      <c r="BB36" s="124">
        <v>43782</v>
      </c>
      <c r="BC36" s="2">
        <v>8.08</v>
      </c>
      <c r="BD36" s="2">
        <v>8.3699999999999992</v>
      </c>
      <c r="BE36" s="2">
        <v>9.27</v>
      </c>
      <c r="BF36" s="2">
        <v>9.26</v>
      </c>
      <c r="BG36" s="2">
        <v>10.199999999999999</v>
      </c>
      <c r="BH36" s="2">
        <v>10.45</v>
      </c>
      <c r="BI36" s="2">
        <v>10.35</v>
      </c>
      <c r="BJ36" s="2">
        <v>10.029999999999999</v>
      </c>
      <c r="BK36" s="2">
        <v>10.83</v>
      </c>
      <c r="BL36" s="2">
        <v>10.36</v>
      </c>
      <c r="BM36" s="7"/>
      <c r="BN36" s="7"/>
      <c r="BO36" s="128">
        <v>44097</v>
      </c>
      <c r="BP36" s="2">
        <v>11.27</v>
      </c>
      <c r="BQ36" s="2">
        <v>10.65</v>
      </c>
      <c r="BR36" s="2">
        <v>10.1</v>
      </c>
      <c r="BS36" s="2">
        <v>10.439349999999999</v>
      </c>
      <c r="BT36" s="2"/>
      <c r="BU36" s="2"/>
      <c r="BV36" s="11"/>
      <c r="BW36" s="128">
        <v>44097</v>
      </c>
      <c r="BX36" s="2">
        <v>70</v>
      </c>
      <c r="BY36" s="2">
        <v>57.75</v>
      </c>
      <c r="BZ36" s="2">
        <v>52.5</v>
      </c>
      <c r="CA36" s="2">
        <v>47.5</v>
      </c>
    </row>
    <row r="37" spans="1:79" x14ac:dyDescent="0.2">
      <c r="A37" s="124">
        <v>43783</v>
      </c>
      <c r="B37">
        <v>105.25</v>
      </c>
      <c r="C37">
        <v>100.125</v>
      </c>
      <c r="D37">
        <v>94.75</v>
      </c>
      <c r="E37" s="17">
        <v>94.242000000000004</v>
      </c>
      <c r="F37">
        <v>96.875</v>
      </c>
      <c r="G37">
        <v>95.625</v>
      </c>
      <c r="H37">
        <v>91.75</v>
      </c>
      <c r="I37">
        <v>87.75</v>
      </c>
      <c r="J37" s="17">
        <v>99.25</v>
      </c>
      <c r="K37" s="17">
        <v>95.86</v>
      </c>
      <c r="L37" s="7"/>
      <c r="N37" s="124">
        <v>43783</v>
      </c>
      <c r="O37" s="2">
        <v>8.2479499999999994</v>
      </c>
      <c r="P37" s="2">
        <v>8.7064500000000002</v>
      </c>
      <c r="Q37" s="2">
        <v>9.3800000000000008</v>
      </c>
      <c r="R37" s="2">
        <v>9.2579499999999992</v>
      </c>
      <c r="S37" s="2">
        <v>10.28</v>
      </c>
      <c r="T37" s="2">
        <v>10.4773</v>
      </c>
      <c r="U37" s="2">
        <v>10.427300000000001</v>
      </c>
      <c r="V37" s="2">
        <v>10.10765</v>
      </c>
      <c r="W37" s="2">
        <v>10.88</v>
      </c>
      <c r="X37" s="2">
        <v>10.151450000000001</v>
      </c>
      <c r="Y37" s="7"/>
      <c r="Z37" s="7"/>
      <c r="AA37" s="128">
        <v>44098</v>
      </c>
      <c r="AB37" s="2">
        <v>11.777906</v>
      </c>
      <c r="AC37" s="2">
        <v>11.004187999999999</v>
      </c>
      <c r="AD37" s="2">
        <v>10.369562</v>
      </c>
      <c r="AE37" s="2">
        <v>10.494141000000001</v>
      </c>
      <c r="AF37" s="2"/>
      <c r="AG37" s="2"/>
      <c r="AH37" s="11"/>
      <c r="AI37" s="128">
        <v>44098</v>
      </c>
      <c r="AJ37" s="2">
        <v>68</v>
      </c>
      <c r="AK37" s="2">
        <v>56</v>
      </c>
      <c r="AL37" s="2">
        <v>50.968000000000004</v>
      </c>
      <c r="AM37" s="2">
        <v>46.5</v>
      </c>
      <c r="AO37" s="124">
        <v>43783</v>
      </c>
      <c r="AP37">
        <v>105.25</v>
      </c>
      <c r="AQ37">
        <v>100.125</v>
      </c>
      <c r="AR37">
        <v>94.75</v>
      </c>
      <c r="AS37" s="17">
        <v>94.242000000000004</v>
      </c>
      <c r="AT37">
        <v>96.875</v>
      </c>
      <c r="AU37">
        <v>95.625</v>
      </c>
      <c r="AV37">
        <v>91.75</v>
      </c>
      <c r="AW37">
        <v>87.75</v>
      </c>
      <c r="AX37" s="17">
        <v>99.25</v>
      </c>
      <c r="AY37" s="17">
        <v>94.484999999999999</v>
      </c>
      <c r="AZ37" s="7"/>
      <c r="BB37" s="124">
        <v>43783</v>
      </c>
      <c r="BC37" s="2">
        <v>8.25</v>
      </c>
      <c r="BD37" s="2">
        <v>8.7100000000000009</v>
      </c>
      <c r="BE37" s="2">
        <v>9.3800000000000008</v>
      </c>
      <c r="BF37" s="2">
        <v>9.26</v>
      </c>
      <c r="BG37" s="2">
        <v>10.28</v>
      </c>
      <c r="BH37" s="2">
        <v>10.48</v>
      </c>
      <c r="BI37" s="2">
        <v>10.43</v>
      </c>
      <c r="BJ37" s="2">
        <v>10.11</v>
      </c>
      <c r="BK37" s="2">
        <v>10.88</v>
      </c>
      <c r="BL37" s="2">
        <v>10.38</v>
      </c>
      <c r="BM37" s="7"/>
      <c r="BN37" s="7"/>
      <c r="BO37" s="128">
        <v>44098</v>
      </c>
      <c r="BP37" s="2">
        <v>11.78</v>
      </c>
      <c r="BQ37" s="2">
        <v>11</v>
      </c>
      <c r="BR37" s="2">
        <v>10.37</v>
      </c>
      <c r="BS37" s="2">
        <v>10.77</v>
      </c>
      <c r="BT37" s="2"/>
      <c r="BU37" s="2"/>
      <c r="BV37" s="11"/>
      <c r="BW37" s="128">
        <v>44098</v>
      </c>
      <c r="BX37" s="2">
        <v>68</v>
      </c>
      <c r="BY37" s="2">
        <v>56</v>
      </c>
      <c r="BZ37" s="2">
        <v>50.968000000000004</v>
      </c>
      <c r="CA37" s="2">
        <v>46.5</v>
      </c>
    </row>
    <row r="38" spans="1:79" x14ac:dyDescent="0.2">
      <c r="A38" s="124">
        <v>43784</v>
      </c>
      <c r="B38">
        <v>104.125</v>
      </c>
      <c r="C38">
        <v>99</v>
      </c>
      <c r="D38">
        <v>93.75</v>
      </c>
      <c r="E38" s="17">
        <v>94.244</v>
      </c>
      <c r="F38">
        <v>95</v>
      </c>
      <c r="G38">
        <v>94.125</v>
      </c>
      <c r="H38">
        <v>90</v>
      </c>
      <c r="I38">
        <v>86.25</v>
      </c>
      <c r="J38" s="17">
        <v>97.625</v>
      </c>
      <c r="K38" s="17">
        <v>95.860500000000002</v>
      </c>
      <c r="L38" s="7"/>
      <c r="N38" s="124">
        <v>43784</v>
      </c>
      <c r="O38" s="2">
        <v>8.7654999999999994</v>
      </c>
      <c r="P38" s="2">
        <v>9.0853000000000002</v>
      </c>
      <c r="Q38" s="2">
        <v>9.67</v>
      </c>
      <c r="R38" s="2">
        <v>9.2579999999999991</v>
      </c>
      <c r="S38" s="2">
        <v>10.67</v>
      </c>
      <c r="T38" s="2">
        <v>10.78215</v>
      </c>
      <c r="U38" s="2">
        <v>10.78065</v>
      </c>
      <c r="V38" s="2">
        <v>10.4094</v>
      </c>
      <c r="W38" s="2">
        <v>11.16</v>
      </c>
      <c r="X38" s="2">
        <v>10.151450000000001</v>
      </c>
      <c r="Y38" s="7"/>
      <c r="Z38" s="7"/>
      <c r="AA38" s="128">
        <v>44099</v>
      </c>
      <c r="AB38" s="2">
        <v>11.9092</v>
      </c>
      <c r="AC38" s="2">
        <v>11.106868</v>
      </c>
      <c r="AD38" s="2">
        <v>10.499844</v>
      </c>
      <c r="AE38" s="2">
        <v>10.345724000000001</v>
      </c>
      <c r="AF38" s="2"/>
      <c r="AG38" s="2"/>
      <c r="AH38" s="11"/>
      <c r="AI38" s="128">
        <v>44099</v>
      </c>
      <c r="AJ38" s="2">
        <v>67.5</v>
      </c>
      <c r="AK38" s="2">
        <v>55.5</v>
      </c>
      <c r="AL38" s="2">
        <v>50.238999999999997</v>
      </c>
      <c r="AM38" s="2">
        <v>47</v>
      </c>
      <c r="AO38" s="124">
        <v>43784</v>
      </c>
      <c r="AP38">
        <v>104.125</v>
      </c>
      <c r="AQ38">
        <v>99</v>
      </c>
      <c r="AR38">
        <v>93.75</v>
      </c>
      <c r="AS38" s="17">
        <v>94.244</v>
      </c>
      <c r="AT38">
        <v>95</v>
      </c>
      <c r="AU38">
        <v>95.363</v>
      </c>
      <c r="AV38">
        <v>91.75</v>
      </c>
      <c r="AW38">
        <v>86.25</v>
      </c>
      <c r="AX38" s="17">
        <v>97.625</v>
      </c>
      <c r="AY38" s="17">
        <v>94.484999999999999</v>
      </c>
      <c r="AZ38" s="7"/>
      <c r="BB38" s="124">
        <v>43784</v>
      </c>
      <c r="BC38" s="2">
        <v>8.76</v>
      </c>
      <c r="BD38" s="2">
        <v>9.08</v>
      </c>
      <c r="BE38" s="2">
        <v>9.67</v>
      </c>
      <c r="BF38" s="2">
        <v>9.26</v>
      </c>
      <c r="BG38" s="2">
        <v>10.67</v>
      </c>
      <c r="BH38" s="2">
        <v>10.53</v>
      </c>
      <c r="BI38" s="2">
        <v>10.43</v>
      </c>
      <c r="BJ38" s="2">
        <v>10.41</v>
      </c>
      <c r="BK38" s="2">
        <v>11.16</v>
      </c>
      <c r="BL38" s="2">
        <v>10.38</v>
      </c>
      <c r="BM38" s="7"/>
      <c r="BN38" s="7"/>
      <c r="BO38" s="128">
        <v>44099</v>
      </c>
      <c r="BP38" s="2">
        <v>11.78</v>
      </c>
      <c r="BQ38" s="2">
        <v>11.01</v>
      </c>
      <c r="BR38" s="2">
        <v>10.37</v>
      </c>
      <c r="BS38" s="2">
        <v>10.77</v>
      </c>
      <c r="BT38" s="2"/>
      <c r="BU38" s="2"/>
      <c r="BV38" s="11"/>
      <c r="BW38" s="128">
        <v>44099</v>
      </c>
      <c r="BX38" s="2">
        <v>68</v>
      </c>
      <c r="BY38" s="2">
        <v>56</v>
      </c>
      <c r="BZ38" s="2">
        <v>50.968000000000004</v>
      </c>
      <c r="CA38" s="2">
        <v>46.5</v>
      </c>
    </row>
    <row r="39" spans="1:79" x14ac:dyDescent="0.2">
      <c r="A39" s="124">
        <v>43787</v>
      </c>
      <c r="B39">
        <v>104.125</v>
      </c>
      <c r="C39">
        <v>99</v>
      </c>
      <c r="D39">
        <v>93.75</v>
      </c>
      <c r="E39" s="17">
        <v>94.245999999999995</v>
      </c>
      <c r="F39">
        <v>95</v>
      </c>
      <c r="G39">
        <v>94.125</v>
      </c>
      <c r="H39">
        <v>90</v>
      </c>
      <c r="I39">
        <v>86.25</v>
      </c>
      <c r="J39" s="17">
        <v>97.625</v>
      </c>
      <c r="K39" s="17">
        <v>92.721000000000004</v>
      </c>
      <c r="L39" s="7"/>
      <c r="N39" s="124">
        <v>43787</v>
      </c>
      <c r="O39" s="2">
        <v>8.7633500000000009</v>
      </c>
      <c r="P39" s="2">
        <v>9.0856999999999992</v>
      </c>
      <c r="Q39" s="2">
        <v>9.67</v>
      </c>
      <c r="R39" s="2">
        <v>9.2579999999999991</v>
      </c>
      <c r="S39" s="2">
        <v>10.67</v>
      </c>
      <c r="T39" s="2">
        <v>10.782550000000001</v>
      </c>
      <c r="U39" s="2">
        <v>10.78105</v>
      </c>
      <c r="V39" s="2">
        <v>10.41005</v>
      </c>
      <c r="W39" s="2">
        <v>11.16</v>
      </c>
      <c r="X39" s="2">
        <v>10.6745</v>
      </c>
      <c r="Y39" s="7"/>
      <c r="Z39" s="7"/>
      <c r="AA39" s="128">
        <v>44102</v>
      </c>
      <c r="AB39" s="2">
        <v>11.914353</v>
      </c>
      <c r="AC39" s="2">
        <v>11.113277</v>
      </c>
      <c r="AD39" s="2">
        <v>10.504666</v>
      </c>
      <c r="AE39" s="2">
        <v>10.353714999999999</v>
      </c>
      <c r="AF39" s="2"/>
      <c r="AG39" s="2"/>
      <c r="AH39" s="11"/>
      <c r="AI39" s="128">
        <v>44102</v>
      </c>
      <c r="AJ39" s="2">
        <v>67.5</v>
      </c>
      <c r="AK39" s="2">
        <v>55.5</v>
      </c>
      <c r="AL39" s="2">
        <v>50.238999999999997</v>
      </c>
      <c r="AM39" s="2">
        <v>47</v>
      </c>
      <c r="AO39" s="124">
        <v>43787</v>
      </c>
      <c r="AP39">
        <v>104.125</v>
      </c>
      <c r="AQ39">
        <v>98.885000000000005</v>
      </c>
      <c r="AR39">
        <v>93.75</v>
      </c>
      <c r="AS39" s="17">
        <v>94.245999999999995</v>
      </c>
      <c r="AT39">
        <v>90.635000000000005</v>
      </c>
      <c r="AU39">
        <v>87.125</v>
      </c>
      <c r="AV39">
        <v>85.685000000000002</v>
      </c>
      <c r="AW39">
        <v>86.25</v>
      </c>
      <c r="AX39" s="17">
        <v>97.625</v>
      </c>
      <c r="AY39" s="17">
        <v>94.484999999999999</v>
      </c>
      <c r="AZ39" s="7"/>
      <c r="BB39" s="124">
        <v>43787</v>
      </c>
      <c r="BC39" s="2">
        <v>8.76</v>
      </c>
      <c r="BD39" s="2">
        <v>9.1199999999999992</v>
      </c>
      <c r="BE39" s="2">
        <v>9.67</v>
      </c>
      <c r="BF39" s="2">
        <v>9.26</v>
      </c>
      <c r="BG39" s="2">
        <v>11.63</v>
      </c>
      <c r="BH39" s="2">
        <v>12.29</v>
      </c>
      <c r="BI39" s="2">
        <v>11.69</v>
      </c>
      <c r="BJ39" s="2">
        <v>10.41</v>
      </c>
      <c r="BK39" s="2">
        <v>11.16</v>
      </c>
      <c r="BL39" s="2">
        <v>10.38</v>
      </c>
      <c r="BM39" s="7"/>
      <c r="BN39" s="7"/>
      <c r="BO39" s="128">
        <v>44102</v>
      </c>
      <c r="BP39" s="2">
        <v>11.914949999999999</v>
      </c>
      <c r="BQ39" s="2">
        <v>11.113849999999999</v>
      </c>
      <c r="BR39" s="2">
        <v>10.50525</v>
      </c>
      <c r="BS39" s="2">
        <v>10.62</v>
      </c>
      <c r="BT39" s="2"/>
      <c r="BU39" s="2"/>
      <c r="BV39" s="11"/>
      <c r="BW39" s="128">
        <v>44102</v>
      </c>
      <c r="BX39" s="2">
        <v>67.5</v>
      </c>
      <c r="BY39" s="2">
        <v>55.5</v>
      </c>
      <c r="BZ39" s="2">
        <v>50.238999999999997</v>
      </c>
      <c r="CA39" s="2">
        <v>47</v>
      </c>
    </row>
    <row r="40" spans="1:79" x14ac:dyDescent="0.2">
      <c r="A40" s="124">
        <v>43788</v>
      </c>
      <c r="B40">
        <v>89.5</v>
      </c>
      <c r="C40">
        <v>84.5</v>
      </c>
      <c r="D40">
        <v>93.75</v>
      </c>
      <c r="E40" s="17">
        <v>76.153499999999994</v>
      </c>
      <c r="F40">
        <v>95</v>
      </c>
      <c r="G40">
        <v>78.5</v>
      </c>
      <c r="H40">
        <v>75.5</v>
      </c>
      <c r="I40">
        <v>74.5</v>
      </c>
      <c r="J40" s="17">
        <v>97.625</v>
      </c>
      <c r="K40" s="17">
        <v>76.666499999999999</v>
      </c>
      <c r="L40" s="7"/>
      <c r="N40" s="124">
        <v>43788</v>
      </c>
      <c r="O40" s="2">
        <v>16.276900000000001</v>
      </c>
      <c r="P40" s="2">
        <v>14.5121</v>
      </c>
      <c r="Q40" s="2">
        <v>9.67</v>
      </c>
      <c r="R40" s="2">
        <v>14.41305</v>
      </c>
      <c r="S40" s="2">
        <v>10.67</v>
      </c>
      <c r="T40" s="2">
        <v>14.392150000000001</v>
      </c>
      <c r="U40" s="2">
        <v>14.1045</v>
      </c>
      <c r="V40" s="2">
        <v>13.033200000000001</v>
      </c>
      <c r="W40" s="2">
        <v>11.16</v>
      </c>
      <c r="X40" s="2">
        <v>13.79355</v>
      </c>
      <c r="Y40" s="7"/>
      <c r="Z40" s="7"/>
      <c r="AA40" s="128">
        <v>44103</v>
      </c>
      <c r="AB40" s="2">
        <v>11.793179</v>
      </c>
      <c r="AC40" s="2">
        <v>11.063007000000001</v>
      </c>
      <c r="AD40" s="2">
        <v>10.760342</v>
      </c>
      <c r="AE40" s="2">
        <v>10.278089</v>
      </c>
      <c r="AF40" s="2"/>
      <c r="AG40" s="2"/>
      <c r="AH40" s="11"/>
      <c r="AI40" s="128">
        <v>44103</v>
      </c>
      <c r="AJ40" s="2">
        <v>68</v>
      </c>
      <c r="AK40" s="2">
        <v>55.75</v>
      </c>
      <c r="AL40" s="2">
        <v>48.820999999999998</v>
      </c>
      <c r="AM40" s="2">
        <v>47.25</v>
      </c>
      <c r="AO40" s="124">
        <v>43788</v>
      </c>
      <c r="AP40">
        <v>104.125</v>
      </c>
      <c r="AQ40">
        <v>85.405000000000001</v>
      </c>
      <c r="AR40">
        <v>93.75</v>
      </c>
      <c r="AS40" s="17">
        <v>94.248000000000005</v>
      </c>
      <c r="AT40">
        <v>83.685000000000002</v>
      </c>
      <c r="AU40">
        <v>87.125</v>
      </c>
      <c r="AV40">
        <v>77.984999999999999</v>
      </c>
      <c r="AW40">
        <v>86.25</v>
      </c>
      <c r="AX40" s="17">
        <v>97.625</v>
      </c>
      <c r="AY40" s="17">
        <v>94.484999999999999</v>
      </c>
      <c r="AZ40" s="7"/>
      <c r="BB40" s="124">
        <v>43788</v>
      </c>
      <c r="BC40" s="2">
        <v>8.76</v>
      </c>
      <c r="BD40" s="2">
        <v>14.1395</v>
      </c>
      <c r="BE40" s="2">
        <v>9.67</v>
      </c>
      <c r="BF40" s="2">
        <v>9.26</v>
      </c>
      <c r="BG40" s="2">
        <v>13.28</v>
      </c>
      <c r="BH40" s="2">
        <v>12.29</v>
      </c>
      <c r="BI40" s="2">
        <v>13.477</v>
      </c>
      <c r="BJ40" s="2">
        <v>10.41</v>
      </c>
      <c r="BK40" s="2">
        <v>11.16</v>
      </c>
      <c r="BL40" s="2">
        <v>10.38</v>
      </c>
      <c r="BM40" s="7"/>
      <c r="BN40" s="7"/>
      <c r="BO40" s="128">
        <v>44103</v>
      </c>
      <c r="BP40" s="2">
        <v>11.92</v>
      </c>
      <c r="BQ40" s="2">
        <v>11.11</v>
      </c>
      <c r="BR40" s="2">
        <v>10.5</v>
      </c>
      <c r="BS40" s="2">
        <v>10.54</v>
      </c>
      <c r="BT40" s="2"/>
      <c r="BU40" s="2"/>
      <c r="BV40" s="11"/>
      <c r="BW40" s="128">
        <v>44103</v>
      </c>
      <c r="BX40" s="2">
        <v>67.5</v>
      </c>
      <c r="BY40" s="2">
        <v>55.5</v>
      </c>
      <c r="BZ40" s="2">
        <v>50.238999999999997</v>
      </c>
      <c r="CA40" s="2">
        <v>47.25</v>
      </c>
    </row>
    <row r="41" spans="1:79" x14ac:dyDescent="0.2">
      <c r="A41" s="124">
        <v>43789</v>
      </c>
      <c r="B41">
        <v>83</v>
      </c>
      <c r="C41">
        <v>82.625</v>
      </c>
      <c r="D41">
        <v>76.625</v>
      </c>
      <c r="E41" s="17">
        <v>72.141999999999996</v>
      </c>
      <c r="F41">
        <v>79.25</v>
      </c>
      <c r="G41">
        <v>78.875</v>
      </c>
      <c r="H41">
        <v>73.25</v>
      </c>
      <c r="I41">
        <v>74.25</v>
      </c>
      <c r="J41" s="17">
        <v>79.375</v>
      </c>
      <c r="K41" s="17">
        <v>74.161500000000004</v>
      </c>
      <c r="L41" s="7"/>
      <c r="N41" s="124">
        <v>43789</v>
      </c>
      <c r="O41" s="2">
        <v>20.1556</v>
      </c>
      <c r="P41" s="2">
        <v>15.302949999999999</v>
      </c>
      <c r="Q41" s="2">
        <v>15.22</v>
      </c>
      <c r="R41" s="2">
        <v>15.7691</v>
      </c>
      <c r="S41" s="2">
        <v>14.43</v>
      </c>
      <c r="T41" s="2">
        <v>14.295949999999999</v>
      </c>
      <c r="U41" s="2">
        <v>14.6976</v>
      </c>
      <c r="V41" s="2">
        <v>13.0961</v>
      </c>
      <c r="W41" s="2">
        <v>14.94</v>
      </c>
      <c r="X41" s="2">
        <v>14.3645</v>
      </c>
      <c r="Y41" s="7"/>
      <c r="Z41" s="7"/>
      <c r="AA41" s="128">
        <v>44104</v>
      </c>
      <c r="AB41" s="2">
        <v>11.924674</v>
      </c>
      <c r="AC41" s="2">
        <v>10.917636</v>
      </c>
      <c r="AD41" s="2">
        <v>10.50015</v>
      </c>
      <c r="AE41" s="2">
        <v>10.206844</v>
      </c>
      <c r="AF41" s="2"/>
      <c r="AG41" s="2"/>
      <c r="AH41" s="11"/>
      <c r="AI41" s="128">
        <v>44104</v>
      </c>
      <c r="AJ41" s="2">
        <v>67.5</v>
      </c>
      <c r="AK41" s="2">
        <v>56.5</v>
      </c>
      <c r="AL41" s="2">
        <v>50.276000000000003</v>
      </c>
      <c r="AM41" s="2">
        <v>47.5</v>
      </c>
      <c r="AO41" s="124">
        <v>43789</v>
      </c>
      <c r="AP41">
        <v>83</v>
      </c>
      <c r="AQ41">
        <v>80.575000000000003</v>
      </c>
      <c r="AR41">
        <v>76.625</v>
      </c>
      <c r="AS41" s="17">
        <v>72.141999999999996</v>
      </c>
      <c r="AT41">
        <v>80.045000000000002</v>
      </c>
      <c r="AU41">
        <v>78.430000000000007</v>
      </c>
      <c r="AV41">
        <v>75.625</v>
      </c>
      <c r="AW41">
        <v>74.25</v>
      </c>
      <c r="AX41" s="17">
        <v>79.375</v>
      </c>
      <c r="AY41" s="17">
        <v>74.161000000000001</v>
      </c>
      <c r="AZ41" s="7"/>
      <c r="BB41" s="124">
        <v>43789</v>
      </c>
      <c r="BC41" s="2">
        <v>20.149999999999999</v>
      </c>
      <c r="BD41" s="2">
        <v>16.190000000000001</v>
      </c>
      <c r="BE41" s="2">
        <v>15.22</v>
      </c>
      <c r="BF41" s="2">
        <v>15.77</v>
      </c>
      <c r="BG41" s="2">
        <v>14.22</v>
      </c>
      <c r="BH41" s="2">
        <v>14.41</v>
      </c>
      <c r="BI41" s="2">
        <v>14.077</v>
      </c>
      <c r="BJ41" s="2">
        <v>13.1</v>
      </c>
      <c r="BK41" s="2">
        <v>14.94</v>
      </c>
      <c r="BL41" s="2">
        <v>14.36</v>
      </c>
      <c r="BM41" s="7"/>
      <c r="BN41" s="7"/>
      <c r="BO41" s="128">
        <v>44104</v>
      </c>
      <c r="BP41" s="2">
        <v>11.92</v>
      </c>
      <c r="BQ41" s="2">
        <v>11.11</v>
      </c>
      <c r="BR41" s="2">
        <v>10.5</v>
      </c>
      <c r="BS41" s="2">
        <v>10.47</v>
      </c>
      <c r="BT41" s="2"/>
      <c r="BU41" s="2"/>
      <c r="BV41" s="11"/>
      <c r="BW41" s="128">
        <v>44104</v>
      </c>
      <c r="BX41" s="2">
        <v>67.5</v>
      </c>
      <c r="BY41" s="2">
        <v>55.5</v>
      </c>
      <c r="BZ41" s="2">
        <v>50.238999999999997</v>
      </c>
      <c r="CA41" s="2">
        <v>47.5</v>
      </c>
    </row>
    <row r="42" spans="1:79" x14ac:dyDescent="0.2">
      <c r="A42" s="124">
        <v>43790</v>
      </c>
      <c r="B42">
        <v>80.5</v>
      </c>
      <c r="C42">
        <v>75.5</v>
      </c>
      <c r="D42">
        <v>73.75</v>
      </c>
      <c r="E42" s="17">
        <v>71.139499999999998</v>
      </c>
      <c r="F42">
        <v>74.75</v>
      </c>
      <c r="G42">
        <v>74</v>
      </c>
      <c r="H42">
        <v>72</v>
      </c>
      <c r="I42">
        <v>70.5</v>
      </c>
      <c r="J42" s="17">
        <v>74.5</v>
      </c>
      <c r="K42" s="17">
        <v>74.17</v>
      </c>
      <c r="L42" s="7"/>
      <c r="N42" s="124">
        <v>43790</v>
      </c>
      <c r="O42" s="2">
        <v>21.785150000000002</v>
      </c>
      <c r="P42" s="2">
        <v>18.531549999999999</v>
      </c>
      <c r="Q42" s="2">
        <v>16.309999999999999</v>
      </c>
      <c r="R42" s="2">
        <v>16.132100000000001</v>
      </c>
      <c r="S42" s="2">
        <v>15.69</v>
      </c>
      <c r="T42" s="2">
        <v>15.6205</v>
      </c>
      <c r="U42" s="2">
        <v>15.041</v>
      </c>
      <c r="V42" s="2">
        <v>14.058949999999999</v>
      </c>
      <c r="W42" s="2">
        <v>16.16</v>
      </c>
      <c r="X42" s="2">
        <v>14.36445</v>
      </c>
      <c r="Y42" s="7"/>
      <c r="Z42" s="7"/>
      <c r="AA42" s="128">
        <v>44105</v>
      </c>
      <c r="AB42" s="2">
        <v>11.563808</v>
      </c>
      <c r="AC42" s="2">
        <v>10.541771000000001</v>
      </c>
      <c r="AD42" s="2">
        <v>10.467409</v>
      </c>
      <c r="AE42" s="2">
        <v>10.143808999999999</v>
      </c>
      <c r="AF42" s="2"/>
      <c r="AG42" s="2"/>
      <c r="AH42" s="7"/>
      <c r="AI42" s="128">
        <v>44105</v>
      </c>
      <c r="AJ42" s="2">
        <v>69</v>
      </c>
      <c r="AK42" s="2">
        <v>58.5</v>
      </c>
      <c r="AL42" s="2">
        <v>50.5</v>
      </c>
      <c r="AM42" s="2">
        <v>47.75</v>
      </c>
      <c r="AO42" s="124">
        <v>43790</v>
      </c>
      <c r="AP42">
        <v>80.5</v>
      </c>
      <c r="AQ42">
        <v>77.47</v>
      </c>
      <c r="AR42">
        <v>73.75</v>
      </c>
      <c r="AS42" s="17">
        <v>71.14</v>
      </c>
      <c r="AT42">
        <v>74.75</v>
      </c>
      <c r="AU42">
        <v>74</v>
      </c>
      <c r="AV42">
        <v>72</v>
      </c>
      <c r="AW42">
        <v>70.5</v>
      </c>
      <c r="AX42" s="17">
        <v>74.5</v>
      </c>
      <c r="AY42" s="17">
        <v>74.161000000000001</v>
      </c>
      <c r="AZ42" s="7"/>
      <c r="BB42" s="124">
        <v>43790</v>
      </c>
      <c r="BC42" s="2">
        <v>21.78</v>
      </c>
      <c r="BD42" s="2">
        <v>17.600000000000001</v>
      </c>
      <c r="BE42" s="2">
        <v>16.309999999999999</v>
      </c>
      <c r="BF42" s="2">
        <v>16.13</v>
      </c>
      <c r="BG42" s="2">
        <v>15.69</v>
      </c>
      <c r="BH42" s="2">
        <v>15.62</v>
      </c>
      <c r="BI42" s="2">
        <v>15.04</v>
      </c>
      <c r="BJ42" s="2">
        <v>14.06</v>
      </c>
      <c r="BK42" s="2">
        <v>16.16</v>
      </c>
      <c r="BL42" s="2">
        <v>14.36</v>
      </c>
      <c r="BM42" s="7"/>
      <c r="BN42" s="7"/>
      <c r="BO42" s="128">
        <v>44105</v>
      </c>
      <c r="BP42" s="2">
        <v>11.940766</v>
      </c>
      <c r="BQ42" s="2">
        <v>10.927182</v>
      </c>
      <c r="BR42" s="2">
        <v>10.119999999999999</v>
      </c>
      <c r="BS42" s="2">
        <v>10.4</v>
      </c>
      <c r="BT42" s="2"/>
      <c r="BU42" s="2"/>
      <c r="BV42" s="7"/>
      <c r="BW42" s="128">
        <v>44105</v>
      </c>
      <c r="BX42" s="2">
        <v>67.5</v>
      </c>
      <c r="BY42" s="2">
        <v>56.5</v>
      </c>
      <c r="BZ42" s="2">
        <v>52.5</v>
      </c>
      <c r="CA42" s="2">
        <v>47.75</v>
      </c>
    </row>
    <row r="43" spans="1:79" x14ac:dyDescent="0.2">
      <c r="A43" s="124">
        <v>43791</v>
      </c>
      <c r="B43">
        <v>81.75</v>
      </c>
      <c r="C43">
        <v>77.75</v>
      </c>
      <c r="D43">
        <v>74.875</v>
      </c>
      <c r="E43" s="17">
        <v>71.149500000000003</v>
      </c>
      <c r="F43">
        <v>75.25</v>
      </c>
      <c r="G43">
        <v>74.5</v>
      </c>
      <c r="H43">
        <v>73.5</v>
      </c>
      <c r="I43">
        <v>72.5</v>
      </c>
      <c r="J43" s="17">
        <v>77</v>
      </c>
      <c r="K43" s="17">
        <v>74.17</v>
      </c>
      <c r="L43" s="7"/>
      <c r="N43" s="124">
        <v>43791</v>
      </c>
      <c r="O43" s="2">
        <v>20.987349999999999</v>
      </c>
      <c r="P43" s="2">
        <v>17.4831</v>
      </c>
      <c r="Q43" s="2">
        <v>15.89</v>
      </c>
      <c r="R43" s="2">
        <v>16.131900000000002</v>
      </c>
      <c r="S43" s="2">
        <v>15.55</v>
      </c>
      <c r="T43" s="2">
        <v>15.481450000000001</v>
      </c>
      <c r="U43" s="2">
        <v>14.635450000000001</v>
      </c>
      <c r="V43" s="2">
        <v>13.540749999999999</v>
      </c>
      <c r="W43" s="2">
        <v>15.52</v>
      </c>
      <c r="X43" s="2">
        <v>14.36445</v>
      </c>
      <c r="Y43" s="7"/>
      <c r="Z43" s="7"/>
      <c r="AA43" s="128">
        <v>44106</v>
      </c>
      <c r="AB43" s="2">
        <v>11.630872</v>
      </c>
      <c r="AC43" s="2">
        <v>10.687165</v>
      </c>
      <c r="AD43" s="2">
        <v>10.167467</v>
      </c>
      <c r="AE43" s="2">
        <v>10.449972000000001</v>
      </c>
      <c r="AF43" s="2"/>
      <c r="AG43" s="2"/>
      <c r="AH43" s="7"/>
      <c r="AI43" s="128">
        <v>44106</v>
      </c>
      <c r="AJ43" s="2">
        <v>68.75</v>
      </c>
      <c r="AK43" s="2">
        <v>57.75</v>
      </c>
      <c r="AL43" s="2">
        <v>52.25</v>
      </c>
      <c r="AM43" s="2">
        <v>46.75</v>
      </c>
      <c r="AO43" s="124">
        <v>43791</v>
      </c>
      <c r="AP43">
        <v>81.75</v>
      </c>
      <c r="AQ43">
        <v>77.69</v>
      </c>
      <c r="AR43">
        <v>74.875</v>
      </c>
      <c r="AS43" s="17">
        <v>71.149000000000001</v>
      </c>
      <c r="AT43">
        <v>75.25</v>
      </c>
      <c r="AU43">
        <v>74.5</v>
      </c>
      <c r="AV43">
        <v>73.064999999999998</v>
      </c>
      <c r="AW43">
        <v>72.5</v>
      </c>
      <c r="AX43" s="17">
        <v>77</v>
      </c>
      <c r="AY43" s="17">
        <v>74.161000000000001</v>
      </c>
      <c r="AZ43" s="7"/>
      <c r="BB43" s="124">
        <v>43791</v>
      </c>
      <c r="BC43" s="2">
        <v>20.99</v>
      </c>
      <c r="BD43" s="2">
        <v>17.510000000000002</v>
      </c>
      <c r="BE43" s="2">
        <v>15.89</v>
      </c>
      <c r="BF43" s="2">
        <v>16.13</v>
      </c>
      <c r="BG43" s="2">
        <v>15.55</v>
      </c>
      <c r="BH43" s="2">
        <v>15.48</v>
      </c>
      <c r="BI43" s="2">
        <v>14.75</v>
      </c>
      <c r="BJ43" s="2">
        <v>13.54</v>
      </c>
      <c r="BK43" s="2">
        <v>15.52</v>
      </c>
      <c r="BL43" s="2">
        <v>14.36</v>
      </c>
      <c r="BM43" s="7"/>
      <c r="BN43" s="7"/>
      <c r="BO43" s="128">
        <v>44106</v>
      </c>
      <c r="BP43" s="2">
        <v>11.47</v>
      </c>
      <c r="BQ43" s="2">
        <v>10.66</v>
      </c>
      <c r="BR43" s="2">
        <v>10.19</v>
      </c>
      <c r="BS43" s="2">
        <v>10.4</v>
      </c>
      <c r="BT43" s="2"/>
      <c r="BU43" s="2"/>
      <c r="BV43" s="7"/>
      <c r="BW43" s="128">
        <v>44106</v>
      </c>
      <c r="BX43" s="2">
        <v>69.405000000000001</v>
      </c>
      <c r="BY43" s="2">
        <v>57.87</v>
      </c>
      <c r="BZ43" s="2">
        <v>52.125</v>
      </c>
      <c r="CA43" s="2">
        <v>47.75</v>
      </c>
    </row>
    <row r="44" spans="1:79" x14ac:dyDescent="0.2">
      <c r="A44" s="124">
        <v>43794</v>
      </c>
      <c r="B44">
        <v>84.625</v>
      </c>
      <c r="C44">
        <v>81</v>
      </c>
      <c r="D44">
        <v>78.25</v>
      </c>
      <c r="E44" s="17">
        <v>74.899000000000001</v>
      </c>
      <c r="F44">
        <v>78.875</v>
      </c>
      <c r="G44">
        <v>78.375</v>
      </c>
      <c r="H44">
        <v>76.875</v>
      </c>
      <c r="I44">
        <v>75.625</v>
      </c>
      <c r="J44" s="17">
        <v>80.75</v>
      </c>
      <c r="K44" s="17">
        <v>74.162499999999994</v>
      </c>
      <c r="L44" s="7"/>
      <c r="N44" s="124">
        <v>43794</v>
      </c>
      <c r="O44" s="2">
        <v>19.194299999999998</v>
      </c>
      <c r="P44" s="2">
        <v>16.029699999999998</v>
      </c>
      <c r="Q44" s="2">
        <v>14.65</v>
      </c>
      <c r="R44" s="2">
        <v>14.84305</v>
      </c>
      <c r="S44" s="2">
        <v>14.54</v>
      </c>
      <c r="T44" s="2">
        <v>14.433199999999999</v>
      </c>
      <c r="U44" s="2">
        <v>13.760400000000001</v>
      </c>
      <c r="V44" s="2">
        <v>12.7667</v>
      </c>
      <c r="W44" s="2">
        <v>14.62</v>
      </c>
      <c r="X44" s="2">
        <v>14.36745</v>
      </c>
      <c r="Y44" s="7"/>
      <c r="Z44" s="7"/>
      <c r="AA44" s="128">
        <v>44109</v>
      </c>
      <c r="AB44" s="2">
        <v>11.573807</v>
      </c>
      <c r="AC44" s="2">
        <v>10.666188999999999</v>
      </c>
      <c r="AD44" s="2">
        <v>10.319224</v>
      </c>
      <c r="AE44" s="2">
        <v>10.377761</v>
      </c>
      <c r="AF44" s="2"/>
      <c r="AG44" s="2"/>
      <c r="AH44" s="7"/>
      <c r="AI44" s="128">
        <v>44109</v>
      </c>
      <c r="AJ44" s="2">
        <v>69</v>
      </c>
      <c r="AK44" s="2">
        <v>57.875</v>
      </c>
      <c r="AL44" s="2">
        <v>51.375</v>
      </c>
      <c r="AM44" s="2">
        <v>47</v>
      </c>
      <c r="AO44" s="124">
        <v>43794</v>
      </c>
      <c r="AP44">
        <v>84.625</v>
      </c>
      <c r="AQ44">
        <v>79.17</v>
      </c>
      <c r="AR44">
        <v>78.25</v>
      </c>
      <c r="AS44" s="17">
        <v>74.899000000000001</v>
      </c>
      <c r="AT44">
        <v>78.86</v>
      </c>
      <c r="AU44">
        <v>78.375</v>
      </c>
      <c r="AV44">
        <v>76.875</v>
      </c>
      <c r="AW44">
        <v>75.625</v>
      </c>
      <c r="AX44" s="17">
        <v>80.75</v>
      </c>
      <c r="AY44" s="17">
        <v>72.912999999999997</v>
      </c>
      <c r="AZ44" s="7"/>
      <c r="BB44" s="124">
        <v>43794</v>
      </c>
      <c r="BC44" s="2">
        <v>19.190000000000001</v>
      </c>
      <c r="BD44" s="2">
        <v>16.84</v>
      </c>
      <c r="BE44" s="2">
        <v>14.65</v>
      </c>
      <c r="BF44" s="2">
        <v>14.84</v>
      </c>
      <c r="BG44" s="2">
        <v>14.54</v>
      </c>
      <c r="BH44" s="2">
        <v>14.43</v>
      </c>
      <c r="BI44" s="2">
        <v>13.76</v>
      </c>
      <c r="BJ44" s="2">
        <v>12.77</v>
      </c>
      <c r="BK44" s="2">
        <v>14.62</v>
      </c>
      <c r="BL44" s="2">
        <v>14.66</v>
      </c>
      <c r="BM44" s="7"/>
      <c r="BN44" s="7"/>
      <c r="BO44" s="128">
        <v>44109</v>
      </c>
      <c r="BP44" s="2">
        <v>11.57</v>
      </c>
      <c r="BQ44" s="2">
        <v>10.67</v>
      </c>
      <c r="BR44" s="2">
        <v>10.210000000000001</v>
      </c>
      <c r="BS44" s="2">
        <v>10.65</v>
      </c>
      <c r="BT44" s="2"/>
      <c r="BU44" s="2"/>
      <c r="BV44" s="7"/>
      <c r="BW44" s="128">
        <v>44109</v>
      </c>
      <c r="BX44" s="2">
        <v>69</v>
      </c>
      <c r="BY44" s="2">
        <v>57.875</v>
      </c>
      <c r="BZ44" s="2">
        <v>52</v>
      </c>
      <c r="CA44" s="2">
        <v>47</v>
      </c>
    </row>
    <row r="45" spans="1:79" x14ac:dyDescent="0.2">
      <c r="A45" s="124">
        <v>43795</v>
      </c>
      <c r="B45">
        <v>87.25</v>
      </c>
      <c r="C45">
        <v>83.75</v>
      </c>
      <c r="D45">
        <v>81.375</v>
      </c>
      <c r="E45" s="17">
        <v>78.66</v>
      </c>
      <c r="F45">
        <v>82.125</v>
      </c>
      <c r="G45">
        <v>81.625</v>
      </c>
      <c r="H45">
        <v>80.5</v>
      </c>
      <c r="I45">
        <v>79.125</v>
      </c>
      <c r="J45" s="17">
        <v>86.5</v>
      </c>
      <c r="K45" s="17">
        <v>74.168000000000006</v>
      </c>
      <c r="L45" s="7"/>
      <c r="N45" s="124">
        <v>43795</v>
      </c>
      <c r="O45" s="2">
        <v>17.629549999999998</v>
      </c>
      <c r="P45" s="2">
        <v>14.8597</v>
      </c>
      <c r="Q45" s="2">
        <v>13.56</v>
      </c>
      <c r="R45" s="2">
        <v>13.6309</v>
      </c>
      <c r="S45" s="2">
        <v>13.68</v>
      </c>
      <c r="T45" s="2">
        <v>13.60735</v>
      </c>
      <c r="U45" s="2">
        <v>12.87635</v>
      </c>
      <c r="V45" s="2">
        <v>11.948700000000001</v>
      </c>
      <c r="W45" s="2">
        <v>13.34</v>
      </c>
      <c r="X45" s="2">
        <v>14.3675</v>
      </c>
      <c r="Y45" s="7"/>
      <c r="Z45" s="7"/>
      <c r="AA45" s="128">
        <v>44110</v>
      </c>
      <c r="AB45" s="2">
        <v>11.516959</v>
      </c>
      <c r="AC45" s="2">
        <v>10.693038</v>
      </c>
      <c r="AD45" s="2">
        <v>10.214294000000001</v>
      </c>
      <c r="AE45" s="2">
        <v>10.230541000000001</v>
      </c>
      <c r="AF45" s="2"/>
      <c r="AG45" s="2"/>
      <c r="AH45" s="7"/>
      <c r="AI45" s="128">
        <v>44110</v>
      </c>
      <c r="AJ45" s="2">
        <v>69.25</v>
      </c>
      <c r="AK45" s="2">
        <v>57.75</v>
      </c>
      <c r="AL45" s="2">
        <v>52</v>
      </c>
      <c r="AM45" s="2">
        <v>47.5</v>
      </c>
      <c r="AO45" s="124">
        <v>43795</v>
      </c>
      <c r="AP45">
        <v>87.25</v>
      </c>
      <c r="AQ45">
        <v>83.75</v>
      </c>
      <c r="AR45">
        <v>81.375</v>
      </c>
      <c r="AS45" s="17">
        <v>78.66</v>
      </c>
      <c r="AT45">
        <v>81.760000000000005</v>
      </c>
      <c r="AU45">
        <v>81.290000000000006</v>
      </c>
      <c r="AV45">
        <v>78.364999999999995</v>
      </c>
      <c r="AW45">
        <v>79.125</v>
      </c>
      <c r="AX45" s="17">
        <v>86.5</v>
      </c>
      <c r="AY45" s="17">
        <v>82.686000000000007</v>
      </c>
      <c r="AZ45" s="7"/>
      <c r="BB45" s="124">
        <v>43795</v>
      </c>
      <c r="BC45" s="2">
        <v>17.63</v>
      </c>
      <c r="BD45" s="2">
        <v>14.86</v>
      </c>
      <c r="BE45" s="2">
        <v>13.56</v>
      </c>
      <c r="BF45" s="2">
        <v>13.63</v>
      </c>
      <c r="BG45" s="2">
        <v>13.78</v>
      </c>
      <c r="BH45" s="2">
        <v>13.69</v>
      </c>
      <c r="BI45" s="2">
        <v>13.39</v>
      </c>
      <c r="BJ45" s="2">
        <v>11.95</v>
      </c>
      <c r="BK45" s="2">
        <v>13.34</v>
      </c>
      <c r="BL45" s="2">
        <v>12.53</v>
      </c>
      <c r="BM45" s="7"/>
      <c r="BN45" s="7"/>
      <c r="BO45" s="128">
        <v>44110</v>
      </c>
      <c r="BP45" s="2">
        <v>11.52</v>
      </c>
      <c r="BQ45" s="2">
        <v>10.69</v>
      </c>
      <c r="BR45" s="2">
        <v>10.130000000000001</v>
      </c>
      <c r="BS45" s="2">
        <v>10.49</v>
      </c>
      <c r="BT45" s="2"/>
      <c r="BU45" s="2"/>
      <c r="BV45" s="7"/>
      <c r="BW45" s="128">
        <v>44110</v>
      </c>
      <c r="BX45" s="2">
        <v>69.25</v>
      </c>
      <c r="BY45" s="2">
        <v>57.75</v>
      </c>
      <c r="BZ45" s="2">
        <v>52.5</v>
      </c>
      <c r="CA45" s="2">
        <v>47.5</v>
      </c>
    </row>
    <row r="46" spans="1:79" x14ac:dyDescent="0.2">
      <c r="A46" s="124">
        <v>43796</v>
      </c>
      <c r="B46">
        <v>88.25</v>
      </c>
      <c r="C46">
        <v>85.75</v>
      </c>
      <c r="D46">
        <v>82.375</v>
      </c>
      <c r="E46" s="17">
        <v>78.682000000000002</v>
      </c>
      <c r="F46">
        <v>83.375</v>
      </c>
      <c r="G46">
        <v>83</v>
      </c>
      <c r="H46">
        <v>80.875</v>
      </c>
      <c r="I46">
        <v>78</v>
      </c>
      <c r="J46" s="17">
        <v>85</v>
      </c>
      <c r="K46" s="17">
        <v>74.168000000000006</v>
      </c>
      <c r="L46" s="7"/>
      <c r="N46" s="124">
        <v>43796</v>
      </c>
      <c r="O46" s="2">
        <v>17.062349999999999</v>
      </c>
      <c r="P46" s="2">
        <v>14.042899999999999</v>
      </c>
      <c r="Q46" s="2">
        <v>13.22</v>
      </c>
      <c r="R46" s="2">
        <v>13.63105</v>
      </c>
      <c r="S46" s="2">
        <v>13.37</v>
      </c>
      <c r="T46" s="2">
        <v>13.273250000000001</v>
      </c>
      <c r="U46" s="2">
        <v>12.7902</v>
      </c>
      <c r="V46" s="2">
        <v>12.2104</v>
      </c>
      <c r="W46" s="2">
        <v>13.66</v>
      </c>
      <c r="X46" s="2">
        <v>14.3675</v>
      </c>
      <c r="Y46" s="7"/>
      <c r="Z46" s="7"/>
      <c r="AA46" s="128">
        <v>44111</v>
      </c>
      <c r="AB46" s="2">
        <v>11.398979000000001</v>
      </c>
      <c r="AC46" s="2">
        <v>10.553335000000001</v>
      </c>
      <c r="AD46" s="2">
        <v>10.04827</v>
      </c>
      <c r="AE46" s="2">
        <v>10.084951</v>
      </c>
      <c r="AF46" s="2"/>
      <c r="AG46" s="2"/>
      <c r="AH46" s="7"/>
      <c r="AI46" s="128">
        <v>44111</v>
      </c>
      <c r="AJ46" s="2">
        <v>69.75</v>
      </c>
      <c r="AK46" s="2">
        <v>58.5</v>
      </c>
      <c r="AL46" s="2">
        <v>53</v>
      </c>
      <c r="AM46" s="2">
        <v>48</v>
      </c>
      <c r="AO46" s="124">
        <v>43796</v>
      </c>
      <c r="AP46">
        <v>88.25</v>
      </c>
      <c r="AQ46">
        <v>85.094999999999999</v>
      </c>
      <c r="AR46">
        <v>82.375</v>
      </c>
      <c r="AS46" s="17">
        <v>78.682000000000002</v>
      </c>
      <c r="AT46">
        <v>82.795000000000002</v>
      </c>
      <c r="AU46">
        <v>82.19</v>
      </c>
      <c r="AV46">
        <v>80.875</v>
      </c>
      <c r="AW46">
        <v>78</v>
      </c>
      <c r="AX46" s="17">
        <v>85</v>
      </c>
      <c r="AY46" s="17">
        <v>82.061000000000007</v>
      </c>
      <c r="AZ46" s="7"/>
      <c r="BB46" s="124">
        <v>43796</v>
      </c>
      <c r="BC46" s="2">
        <v>17.059999999999999</v>
      </c>
      <c r="BD46" s="2">
        <v>14.31</v>
      </c>
      <c r="BE46" s="2">
        <v>13.22</v>
      </c>
      <c r="BF46" s="2">
        <v>13.63</v>
      </c>
      <c r="BG46" s="2">
        <v>13.52</v>
      </c>
      <c r="BH46" s="2">
        <v>13.47</v>
      </c>
      <c r="BI46" s="2">
        <v>12.79</v>
      </c>
      <c r="BJ46" s="2">
        <v>12.21</v>
      </c>
      <c r="BK46" s="2">
        <v>13.66</v>
      </c>
      <c r="BL46" s="2">
        <v>12.66</v>
      </c>
      <c r="BM46" s="7"/>
      <c r="BN46" s="7"/>
      <c r="BO46" s="128">
        <v>44111</v>
      </c>
      <c r="BP46" s="2">
        <v>11.4</v>
      </c>
      <c r="BQ46" s="2">
        <v>10.55</v>
      </c>
      <c r="BR46" s="2">
        <v>10.09</v>
      </c>
      <c r="BS46" s="2">
        <v>10.34</v>
      </c>
      <c r="BT46" s="2"/>
      <c r="BU46" s="2"/>
      <c r="BV46" s="7"/>
      <c r="BW46" s="128">
        <v>44111</v>
      </c>
      <c r="BX46" s="2">
        <v>69.75</v>
      </c>
      <c r="BY46" s="2">
        <v>58.5</v>
      </c>
      <c r="BZ46" s="2">
        <v>52.75</v>
      </c>
      <c r="CA46" s="2">
        <v>48</v>
      </c>
    </row>
    <row r="47" spans="1:79" x14ac:dyDescent="0.2">
      <c r="A47" s="124">
        <v>43797</v>
      </c>
      <c r="B47">
        <v>88.25</v>
      </c>
      <c r="C47">
        <v>85.75</v>
      </c>
      <c r="D47">
        <v>82.375</v>
      </c>
      <c r="E47" s="17">
        <v>78.682000000000002</v>
      </c>
      <c r="F47">
        <v>83.375</v>
      </c>
      <c r="G47">
        <v>83</v>
      </c>
      <c r="H47">
        <v>80.875</v>
      </c>
      <c r="I47">
        <v>77.625</v>
      </c>
      <c r="J47" s="17">
        <v>85</v>
      </c>
      <c r="K47" s="17">
        <v>74.168000000000006</v>
      </c>
      <c r="L47" s="7"/>
      <c r="N47" s="124">
        <v>43797</v>
      </c>
      <c r="O47" s="2">
        <v>17.062349999999999</v>
      </c>
      <c r="P47" s="2">
        <v>14.042899999999999</v>
      </c>
      <c r="Q47" s="2">
        <v>13.22</v>
      </c>
      <c r="R47" s="2">
        <v>13.63105</v>
      </c>
      <c r="S47" s="2">
        <v>13.37</v>
      </c>
      <c r="T47" s="2">
        <v>13.273250000000001</v>
      </c>
      <c r="U47" s="2">
        <v>12.7902</v>
      </c>
      <c r="V47" s="2">
        <v>12.297750000000001</v>
      </c>
      <c r="W47" s="2">
        <v>13.66</v>
      </c>
      <c r="X47" s="2">
        <v>14.3675</v>
      </c>
      <c r="Y47" s="7"/>
      <c r="Z47" s="7"/>
      <c r="AA47" s="128">
        <v>44112</v>
      </c>
      <c r="AB47" s="2">
        <v>11.541912999999999</v>
      </c>
      <c r="AC47" s="2">
        <v>10.541339000000001</v>
      </c>
      <c r="AD47" s="2">
        <v>10.098698000000001</v>
      </c>
      <c r="AE47" s="2">
        <v>10.250374000000001</v>
      </c>
      <c r="AF47" s="2"/>
      <c r="AG47" s="2"/>
      <c r="AH47" s="7"/>
      <c r="AI47" s="128">
        <v>44112</v>
      </c>
      <c r="AJ47" s="2">
        <v>69.25</v>
      </c>
      <c r="AK47" s="2">
        <v>58.625</v>
      </c>
      <c r="AL47" s="2">
        <v>52.75</v>
      </c>
      <c r="AM47" s="2">
        <v>47.5</v>
      </c>
      <c r="AO47" s="124">
        <v>43797</v>
      </c>
      <c r="AP47">
        <v>88.25</v>
      </c>
      <c r="AQ47">
        <v>85.094999999999999</v>
      </c>
      <c r="AR47">
        <v>82.375</v>
      </c>
      <c r="AS47" s="17">
        <v>78.682000000000002</v>
      </c>
      <c r="AT47">
        <v>82.76</v>
      </c>
      <c r="AU47">
        <v>82.04</v>
      </c>
      <c r="AV47">
        <v>80.655000000000001</v>
      </c>
      <c r="AW47">
        <v>77.625</v>
      </c>
      <c r="AX47" s="17">
        <v>85</v>
      </c>
      <c r="AY47" s="17">
        <v>82.061000000000007</v>
      </c>
      <c r="AZ47" s="7"/>
      <c r="BB47" s="124">
        <v>43797</v>
      </c>
      <c r="BC47" s="2">
        <v>17.059999999999999</v>
      </c>
      <c r="BD47" s="2">
        <v>14.31</v>
      </c>
      <c r="BE47" s="2">
        <v>13.22</v>
      </c>
      <c r="BF47" s="2">
        <v>13.63</v>
      </c>
      <c r="BG47" s="2">
        <v>13.52</v>
      </c>
      <c r="BH47" s="2">
        <v>13.51</v>
      </c>
      <c r="BI47" s="2">
        <v>12.84</v>
      </c>
      <c r="BJ47" s="2">
        <v>12.3</v>
      </c>
      <c r="BK47" s="2">
        <v>13.66</v>
      </c>
      <c r="BL47" s="2">
        <v>12.66</v>
      </c>
      <c r="BM47" s="7"/>
      <c r="BN47" s="7"/>
      <c r="BO47" s="128">
        <v>44112</v>
      </c>
      <c r="BP47" s="2">
        <v>11.54</v>
      </c>
      <c r="BQ47" s="2">
        <v>10.54</v>
      </c>
      <c r="BR47" s="2">
        <v>10.14</v>
      </c>
      <c r="BS47" s="2">
        <v>10.51</v>
      </c>
      <c r="BT47" s="2"/>
      <c r="BU47" s="2"/>
      <c r="BV47" s="7"/>
      <c r="BW47" s="128">
        <v>44112</v>
      </c>
      <c r="BX47" s="2">
        <v>69.25</v>
      </c>
      <c r="BY47" s="2">
        <v>58.625</v>
      </c>
      <c r="BZ47" s="2">
        <v>52.5</v>
      </c>
      <c r="CA47" s="2">
        <v>47.5</v>
      </c>
    </row>
    <row r="48" spans="1:79" x14ac:dyDescent="0.2">
      <c r="A48" s="124">
        <v>43798</v>
      </c>
      <c r="B48">
        <v>88.625</v>
      </c>
      <c r="C48">
        <v>86.25</v>
      </c>
      <c r="D48">
        <v>82.625</v>
      </c>
      <c r="E48" s="17">
        <v>78.69</v>
      </c>
      <c r="F48">
        <v>83.625</v>
      </c>
      <c r="G48">
        <v>82.625</v>
      </c>
      <c r="H48">
        <v>81.375</v>
      </c>
      <c r="I48">
        <v>78.5</v>
      </c>
      <c r="J48" s="17">
        <v>84.625</v>
      </c>
      <c r="K48" s="17">
        <v>74.168000000000006</v>
      </c>
      <c r="L48" s="7"/>
      <c r="N48" s="124">
        <v>43798</v>
      </c>
      <c r="O48" s="2">
        <v>16.850249999999999</v>
      </c>
      <c r="P48" s="2">
        <v>13.8422</v>
      </c>
      <c r="Q48" s="2">
        <v>13.14</v>
      </c>
      <c r="R48" s="2">
        <v>13.630850000000001</v>
      </c>
      <c r="S48" s="2">
        <v>13.31</v>
      </c>
      <c r="T48" s="2">
        <v>13.3653</v>
      </c>
      <c r="U48" s="2">
        <v>12.673550000000001</v>
      </c>
      <c r="V48" s="2">
        <v>12.09595</v>
      </c>
      <c r="W48" s="2">
        <v>13.74</v>
      </c>
      <c r="X48" s="2">
        <v>14.3675</v>
      </c>
      <c r="Y48" s="7"/>
      <c r="Z48" s="7"/>
      <c r="AA48" s="128">
        <v>44113</v>
      </c>
      <c r="AB48" s="2">
        <v>11.485151999999999</v>
      </c>
      <c r="AC48" s="2">
        <v>10.520695999999999</v>
      </c>
      <c r="AD48" s="2">
        <v>10.059141</v>
      </c>
      <c r="AE48" s="2">
        <v>10.216723</v>
      </c>
      <c r="AF48" s="2"/>
      <c r="AG48" s="2"/>
      <c r="AH48" s="7"/>
      <c r="AI48" s="128">
        <v>44113</v>
      </c>
      <c r="AJ48" s="2">
        <v>69.5</v>
      </c>
      <c r="AK48" s="2">
        <v>58.75</v>
      </c>
      <c r="AL48" s="2">
        <v>53</v>
      </c>
      <c r="AM48" s="2">
        <v>47.625</v>
      </c>
      <c r="AO48" s="124">
        <v>43798</v>
      </c>
      <c r="AP48">
        <v>88.625</v>
      </c>
      <c r="AQ48">
        <v>86.25</v>
      </c>
      <c r="AR48">
        <v>82.625</v>
      </c>
      <c r="AS48" s="17">
        <v>78.69</v>
      </c>
      <c r="AT48">
        <v>83.194999999999993</v>
      </c>
      <c r="AU48">
        <v>82.57</v>
      </c>
      <c r="AV48">
        <v>80.724999999999994</v>
      </c>
      <c r="AW48">
        <v>78.5</v>
      </c>
      <c r="AX48" s="17">
        <v>84.625</v>
      </c>
      <c r="AY48" s="17">
        <v>82.063000000000002</v>
      </c>
      <c r="AZ48" s="7"/>
      <c r="BB48" s="124">
        <v>43798</v>
      </c>
      <c r="BC48" s="2">
        <v>16.850000000000001</v>
      </c>
      <c r="BD48" s="2">
        <v>13.84</v>
      </c>
      <c r="BE48" s="2">
        <v>13.14</v>
      </c>
      <c r="BF48" s="2">
        <v>13.63</v>
      </c>
      <c r="BG48" s="2">
        <v>13.41</v>
      </c>
      <c r="BH48" s="2">
        <v>13.38</v>
      </c>
      <c r="BI48" s="2">
        <v>12.83</v>
      </c>
      <c r="BJ48" s="2">
        <v>12.1</v>
      </c>
      <c r="BK48" s="2">
        <v>13.74</v>
      </c>
      <c r="BL48" s="2">
        <v>12.66</v>
      </c>
      <c r="BM48" s="7"/>
      <c r="BN48" s="7"/>
      <c r="BO48" s="128">
        <v>44113</v>
      </c>
      <c r="BP48" s="2">
        <v>11.48</v>
      </c>
      <c r="BQ48" s="2">
        <v>10.52</v>
      </c>
      <c r="BR48" s="2">
        <v>9.81</v>
      </c>
      <c r="BS48" s="2">
        <v>10.48</v>
      </c>
      <c r="BT48" s="2"/>
      <c r="BU48" s="2"/>
      <c r="BV48" s="7"/>
      <c r="BW48" s="128">
        <v>44113</v>
      </c>
      <c r="BX48" s="2">
        <v>69.5</v>
      </c>
      <c r="BY48" s="2">
        <v>58.75</v>
      </c>
      <c r="BZ48" s="2">
        <v>54.5</v>
      </c>
      <c r="CA48" s="2">
        <v>47.625</v>
      </c>
    </row>
    <row r="49" spans="1:79" x14ac:dyDescent="0.2">
      <c r="A49" s="124">
        <v>43801</v>
      </c>
      <c r="B49">
        <v>88.5</v>
      </c>
      <c r="C49">
        <v>85.875</v>
      </c>
      <c r="D49">
        <v>82</v>
      </c>
      <c r="E49" s="17">
        <v>78.608000000000004</v>
      </c>
      <c r="F49">
        <v>82.75</v>
      </c>
      <c r="G49">
        <v>81.75</v>
      </c>
      <c r="H49">
        <v>80.125</v>
      </c>
      <c r="I49">
        <v>78.375</v>
      </c>
      <c r="J49" s="17">
        <v>84.25</v>
      </c>
      <c r="K49" s="17">
        <v>74.168000000000006</v>
      </c>
      <c r="L49" s="7"/>
      <c r="N49" s="124">
        <v>43801</v>
      </c>
      <c r="O49" s="2">
        <v>16.929400000000001</v>
      </c>
      <c r="P49" s="2">
        <v>13.99835</v>
      </c>
      <c r="Q49" s="2">
        <v>13.36</v>
      </c>
      <c r="R49" s="2">
        <v>13.659000000000001</v>
      </c>
      <c r="S49" s="2">
        <v>13.53</v>
      </c>
      <c r="T49" s="2">
        <v>13.5815</v>
      </c>
      <c r="U49" s="2">
        <v>12.969900000000001</v>
      </c>
      <c r="V49" s="2">
        <v>12.12585</v>
      </c>
      <c r="W49" s="2">
        <v>13.83</v>
      </c>
      <c r="X49" s="2">
        <v>14.3675</v>
      </c>
      <c r="Y49" s="7"/>
      <c r="Z49" s="7"/>
      <c r="AA49" s="128">
        <v>44116</v>
      </c>
      <c r="AB49" s="2">
        <v>11.485151999999999</v>
      </c>
      <c r="AC49" s="2">
        <v>10.520695999999999</v>
      </c>
      <c r="AD49" s="2">
        <v>10.059141</v>
      </c>
      <c r="AE49" s="2">
        <v>10.216723</v>
      </c>
      <c r="AF49" s="2"/>
      <c r="AG49" s="2"/>
      <c r="AH49" s="7"/>
      <c r="AI49" s="128">
        <v>44116</v>
      </c>
      <c r="AJ49" s="2">
        <v>69.5</v>
      </c>
      <c r="AK49" s="2">
        <v>58.75</v>
      </c>
      <c r="AL49" s="2">
        <v>53</v>
      </c>
      <c r="AM49" s="2">
        <v>47.625</v>
      </c>
      <c r="AO49" s="124">
        <v>43801</v>
      </c>
      <c r="AP49">
        <v>88.5</v>
      </c>
      <c r="AQ49">
        <v>85.875</v>
      </c>
      <c r="AR49">
        <v>82</v>
      </c>
      <c r="AS49" s="17">
        <v>78.608000000000004</v>
      </c>
      <c r="AT49">
        <v>82.75</v>
      </c>
      <c r="AU49">
        <v>81.635000000000005</v>
      </c>
      <c r="AV49">
        <v>80.125</v>
      </c>
      <c r="AW49">
        <v>78.375</v>
      </c>
      <c r="AX49" s="17">
        <v>84.25</v>
      </c>
      <c r="AY49" s="17">
        <v>81.808999999999997</v>
      </c>
      <c r="AZ49" s="7"/>
      <c r="BB49" s="124">
        <v>43801</v>
      </c>
      <c r="BC49" s="2">
        <v>16.93</v>
      </c>
      <c r="BD49" s="2">
        <v>14</v>
      </c>
      <c r="BE49" s="2">
        <v>13.36</v>
      </c>
      <c r="BF49" s="2">
        <v>13.66</v>
      </c>
      <c r="BG49" s="2">
        <v>13.53</v>
      </c>
      <c r="BH49" s="2">
        <v>13.61</v>
      </c>
      <c r="BI49" s="2">
        <v>12.97</v>
      </c>
      <c r="BJ49" s="2">
        <v>12.13</v>
      </c>
      <c r="BK49" s="2">
        <v>13.83</v>
      </c>
      <c r="BL49" s="2">
        <v>12.71</v>
      </c>
      <c r="BM49" s="7"/>
      <c r="BN49" s="7"/>
      <c r="BO49" s="128">
        <v>44116</v>
      </c>
      <c r="BP49" s="2">
        <v>11.49</v>
      </c>
      <c r="BQ49" s="2">
        <v>10.52</v>
      </c>
      <c r="BR49" s="2">
        <v>9.81</v>
      </c>
      <c r="BS49" s="2">
        <v>10.48</v>
      </c>
      <c r="BT49" s="2"/>
      <c r="BU49" s="2"/>
      <c r="BV49" s="7"/>
      <c r="BW49" s="128">
        <v>44116</v>
      </c>
      <c r="BX49" s="2">
        <v>69.5</v>
      </c>
      <c r="BY49" s="2">
        <v>58.75</v>
      </c>
      <c r="BZ49" s="2">
        <v>54.5</v>
      </c>
      <c r="CA49" s="2">
        <v>47.625</v>
      </c>
    </row>
    <row r="50" spans="1:79" x14ac:dyDescent="0.2">
      <c r="A50" s="124">
        <v>43802</v>
      </c>
      <c r="B50">
        <v>89.125</v>
      </c>
      <c r="C50">
        <v>86.25</v>
      </c>
      <c r="D50">
        <v>82.5</v>
      </c>
      <c r="E50" s="17">
        <v>78.615499999999997</v>
      </c>
      <c r="F50">
        <v>82.625</v>
      </c>
      <c r="G50">
        <v>81.75</v>
      </c>
      <c r="H50">
        <v>80</v>
      </c>
      <c r="I50">
        <v>79</v>
      </c>
      <c r="J50" s="17">
        <v>84.375</v>
      </c>
      <c r="K50" s="17">
        <v>74.168000000000006</v>
      </c>
      <c r="L50" s="7"/>
      <c r="N50" s="124">
        <v>43802</v>
      </c>
      <c r="O50" s="2">
        <v>16.57255</v>
      </c>
      <c r="P50" s="2">
        <v>13.848549999999999</v>
      </c>
      <c r="Q50" s="2">
        <v>13.19</v>
      </c>
      <c r="R50" s="2">
        <v>13.659050000000001</v>
      </c>
      <c r="S50" s="2">
        <v>13.56</v>
      </c>
      <c r="T50" s="2">
        <v>13.5823</v>
      </c>
      <c r="U50" s="2">
        <v>13.00065</v>
      </c>
      <c r="V50" s="2">
        <v>11.9834</v>
      </c>
      <c r="W50" s="2">
        <v>13.8</v>
      </c>
      <c r="X50" s="2">
        <v>14.3675</v>
      </c>
      <c r="Y50" s="7"/>
      <c r="Z50" s="7"/>
      <c r="AA50" s="128">
        <v>44117</v>
      </c>
      <c r="AB50" s="2">
        <v>-45.177233000000001</v>
      </c>
      <c r="AC50" s="2">
        <v>10.200105000000001</v>
      </c>
      <c r="AD50" s="2">
        <v>9.8561370000000004</v>
      </c>
      <c r="AE50" s="2">
        <v>9.9602149999999998</v>
      </c>
      <c r="AF50" s="2"/>
      <c r="AG50" s="2"/>
      <c r="AH50" s="7"/>
      <c r="AI50" s="128">
        <v>44117</v>
      </c>
      <c r="AJ50" s="2">
        <v>70.5</v>
      </c>
      <c r="AK50" s="2">
        <v>60.5</v>
      </c>
      <c r="AL50" s="2">
        <v>54.25</v>
      </c>
      <c r="AM50" s="2">
        <v>48.5</v>
      </c>
      <c r="AO50" s="124">
        <v>43802</v>
      </c>
      <c r="AP50">
        <v>89.125</v>
      </c>
      <c r="AQ50">
        <v>86.25</v>
      </c>
      <c r="AR50">
        <v>82.5</v>
      </c>
      <c r="AS50" s="17">
        <v>78.616</v>
      </c>
      <c r="AT50">
        <v>82.625</v>
      </c>
      <c r="AU50">
        <v>81.87</v>
      </c>
      <c r="AV50">
        <v>80</v>
      </c>
      <c r="AW50">
        <v>79</v>
      </c>
      <c r="AX50" s="17">
        <v>84.375</v>
      </c>
      <c r="AY50" s="17">
        <v>81.811999999999998</v>
      </c>
      <c r="AZ50" s="7"/>
      <c r="BB50" s="124">
        <v>43802</v>
      </c>
      <c r="BC50" s="2">
        <v>16.57</v>
      </c>
      <c r="BD50" s="2">
        <v>13.85</v>
      </c>
      <c r="BE50" s="2">
        <v>13.19</v>
      </c>
      <c r="BF50" s="2">
        <v>13.66</v>
      </c>
      <c r="BG50" s="2">
        <v>13.56</v>
      </c>
      <c r="BH50" s="2">
        <v>13.55</v>
      </c>
      <c r="BI50" s="2">
        <v>13</v>
      </c>
      <c r="BJ50" s="2">
        <v>11.98</v>
      </c>
      <c r="BK50" s="2">
        <v>13.8</v>
      </c>
      <c r="BL50" s="2">
        <v>12.71</v>
      </c>
      <c r="BM50" s="7"/>
      <c r="BN50" s="7"/>
      <c r="BO50" s="128">
        <v>44117</v>
      </c>
      <c r="BP50" s="2">
        <v>11.49</v>
      </c>
      <c r="BQ50" s="2">
        <v>10.199999999999999</v>
      </c>
      <c r="BR50" s="2">
        <v>9.86</v>
      </c>
      <c r="BS50" s="2">
        <v>10.210000000000001</v>
      </c>
      <c r="BT50" s="2"/>
      <c r="BU50" s="2"/>
      <c r="BV50" s="7"/>
      <c r="BW50" s="128">
        <v>44117</v>
      </c>
      <c r="BX50" s="2">
        <v>69.5</v>
      </c>
      <c r="BY50" s="2">
        <v>60.5</v>
      </c>
      <c r="BZ50" s="2">
        <v>54.25</v>
      </c>
      <c r="CA50" s="2">
        <v>48.5</v>
      </c>
    </row>
    <row r="51" spans="1:79" x14ac:dyDescent="0.2">
      <c r="A51" s="124">
        <v>43803</v>
      </c>
      <c r="B51">
        <v>91.375</v>
      </c>
      <c r="C51">
        <v>87.75</v>
      </c>
      <c r="D51">
        <v>84</v>
      </c>
      <c r="E51" s="17">
        <v>81.665000000000006</v>
      </c>
      <c r="F51">
        <v>83.625</v>
      </c>
      <c r="G51">
        <v>83.125</v>
      </c>
      <c r="H51">
        <v>81.125</v>
      </c>
      <c r="I51">
        <v>79.625</v>
      </c>
      <c r="J51" s="17">
        <v>85</v>
      </c>
      <c r="K51" s="17">
        <v>74.168000000000006</v>
      </c>
      <c r="L51" s="7"/>
      <c r="N51" s="124">
        <v>43803</v>
      </c>
      <c r="O51" s="2">
        <v>15.2963</v>
      </c>
      <c r="P51" s="2">
        <v>13.247450000000001</v>
      </c>
      <c r="Q51" s="2">
        <v>12.69</v>
      </c>
      <c r="R51" s="2">
        <v>12.723000000000001</v>
      </c>
      <c r="S51" s="2">
        <v>13.31</v>
      </c>
      <c r="T51" s="2">
        <v>13.245699999999999</v>
      </c>
      <c r="U51" s="2">
        <v>12.73465</v>
      </c>
      <c r="V51" s="2">
        <v>11.842449999999999</v>
      </c>
      <c r="W51" s="2">
        <v>13.66</v>
      </c>
      <c r="X51" s="2">
        <v>14.3675</v>
      </c>
      <c r="Y51" s="7"/>
      <c r="Z51" s="7"/>
      <c r="AA51" s="128">
        <v>44118</v>
      </c>
      <c r="AB51" s="2">
        <v>11.275612000000001</v>
      </c>
      <c r="AC51" s="2">
        <v>10.248430000000001</v>
      </c>
      <c r="AD51" s="2">
        <v>9.87852</v>
      </c>
      <c r="AE51" s="2">
        <v>10.112335</v>
      </c>
      <c r="AF51" s="2"/>
      <c r="AG51" s="2"/>
      <c r="AH51" s="7"/>
      <c r="AI51" s="128">
        <v>44118</v>
      </c>
      <c r="AJ51" s="2">
        <v>70.375</v>
      </c>
      <c r="AK51" s="2">
        <v>60.25</v>
      </c>
      <c r="AL51" s="2">
        <v>54.125</v>
      </c>
      <c r="AM51" s="2">
        <v>48</v>
      </c>
      <c r="AO51" s="124">
        <v>43803</v>
      </c>
      <c r="AP51">
        <v>91.375</v>
      </c>
      <c r="AQ51">
        <v>87.75</v>
      </c>
      <c r="AR51">
        <v>84</v>
      </c>
      <c r="AS51" s="17">
        <v>81.664000000000001</v>
      </c>
      <c r="AT51">
        <v>84.77</v>
      </c>
      <c r="AU51">
        <v>83.125</v>
      </c>
      <c r="AV51">
        <v>81.125</v>
      </c>
      <c r="AW51">
        <v>79.625</v>
      </c>
      <c r="AX51" s="17">
        <v>85</v>
      </c>
      <c r="AY51" s="17">
        <v>81.813000000000002</v>
      </c>
      <c r="AZ51" s="7"/>
      <c r="BB51" s="124">
        <v>43803</v>
      </c>
      <c r="BC51" s="2">
        <v>15.3</v>
      </c>
      <c r="BD51" s="2">
        <v>13.25</v>
      </c>
      <c r="BE51" s="2">
        <v>12.69</v>
      </c>
      <c r="BF51" s="2">
        <v>12.72</v>
      </c>
      <c r="BG51" s="2">
        <v>13.02</v>
      </c>
      <c r="BH51" s="2">
        <v>13.25</v>
      </c>
      <c r="BI51" s="2">
        <v>12.73</v>
      </c>
      <c r="BJ51" s="2">
        <v>11.84</v>
      </c>
      <c r="BK51" s="2">
        <v>13.66</v>
      </c>
      <c r="BL51" s="2">
        <v>12.71</v>
      </c>
      <c r="BM51" s="7"/>
      <c r="BN51" s="7"/>
      <c r="BO51" s="128">
        <v>44118</v>
      </c>
      <c r="BP51" s="2">
        <v>11.49</v>
      </c>
      <c r="BQ51" s="2">
        <v>-28.12</v>
      </c>
      <c r="BR51" s="2">
        <v>-19.850000000000001</v>
      </c>
      <c r="BS51" s="2">
        <v>10.210000000000001</v>
      </c>
      <c r="BT51" s="2"/>
      <c r="BU51" s="2"/>
      <c r="BV51" s="7"/>
      <c r="BW51" s="128">
        <v>44118</v>
      </c>
      <c r="BX51" s="2">
        <v>69.5</v>
      </c>
      <c r="BY51" s="2">
        <v>60.5</v>
      </c>
      <c r="BZ51" s="2">
        <v>54.23</v>
      </c>
      <c r="CA51" s="2">
        <v>48.5</v>
      </c>
    </row>
    <row r="52" spans="1:79" x14ac:dyDescent="0.2">
      <c r="A52" s="124">
        <v>43804</v>
      </c>
      <c r="B52">
        <v>90</v>
      </c>
      <c r="C52">
        <v>86.625</v>
      </c>
      <c r="D52">
        <v>82.75</v>
      </c>
      <c r="E52" s="17">
        <v>80.662499999999994</v>
      </c>
      <c r="F52">
        <v>82.25</v>
      </c>
      <c r="G52">
        <v>81.5</v>
      </c>
      <c r="H52">
        <v>79.875</v>
      </c>
      <c r="I52">
        <v>78.5</v>
      </c>
      <c r="J52" s="17">
        <v>85</v>
      </c>
      <c r="K52" s="17">
        <v>74.168000000000006</v>
      </c>
      <c r="L52" s="7"/>
      <c r="N52" s="124">
        <v>43804</v>
      </c>
      <c r="O52" s="2">
        <v>16.091650000000001</v>
      </c>
      <c r="P52" s="2">
        <v>13.7087</v>
      </c>
      <c r="Q52" s="2">
        <v>13.12</v>
      </c>
      <c r="R52" s="2">
        <v>13.03295</v>
      </c>
      <c r="S52" s="2">
        <v>13.66</v>
      </c>
      <c r="T52" s="2">
        <v>13.647600000000001</v>
      </c>
      <c r="U52" s="2">
        <v>13.0342</v>
      </c>
      <c r="V52" s="2">
        <v>12.102449999999999</v>
      </c>
      <c r="W52" s="2">
        <v>13.66</v>
      </c>
      <c r="X52" s="2">
        <v>14.3675</v>
      </c>
      <c r="Y52" s="7"/>
      <c r="Z52" s="7"/>
      <c r="AA52" s="128">
        <v>44119</v>
      </c>
      <c r="AB52" s="2">
        <v>11.381788999999999</v>
      </c>
      <c r="AC52" s="2">
        <v>10.394957</v>
      </c>
      <c r="AD52" s="2">
        <v>10.182791999999999</v>
      </c>
      <c r="AE52" s="2">
        <v>10.274277</v>
      </c>
      <c r="AF52" s="2"/>
      <c r="AG52" s="2"/>
      <c r="AH52" s="7"/>
      <c r="AI52" s="128">
        <v>44119</v>
      </c>
      <c r="AJ52" s="2">
        <v>70</v>
      </c>
      <c r="AK52" s="2">
        <v>59.5</v>
      </c>
      <c r="AL52" s="2">
        <v>52.329000000000001</v>
      </c>
      <c r="AM52" s="2">
        <v>47.5</v>
      </c>
      <c r="AO52" s="124">
        <v>43804</v>
      </c>
      <c r="AP52">
        <v>90</v>
      </c>
      <c r="AQ52">
        <v>86.625</v>
      </c>
      <c r="AR52">
        <v>82.75</v>
      </c>
      <c r="AS52" s="17">
        <v>80.662000000000006</v>
      </c>
      <c r="AT52">
        <v>82.25</v>
      </c>
      <c r="AU52">
        <v>81.5</v>
      </c>
      <c r="AV52">
        <v>79.875</v>
      </c>
      <c r="AW52">
        <v>78.5</v>
      </c>
      <c r="AX52" s="17">
        <v>83.875</v>
      </c>
      <c r="AY52" s="17">
        <v>81.813000000000002</v>
      </c>
      <c r="AZ52" s="7"/>
      <c r="BB52" s="124">
        <v>43804</v>
      </c>
      <c r="BC52" s="2">
        <v>16.09</v>
      </c>
      <c r="BD52" s="2">
        <v>13.71</v>
      </c>
      <c r="BE52" s="2">
        <v>13.12</v>
      </c>
      <c r="BF52" s="2">
        <v>13.03</v>
      </c>
      <c r="BG52" s="2">
        <v>13.66</v>
      </c>
      <c r="BH52" s="2">
        <v>13.65</v>
      </c>
      <c r="BI52" s="2">
        <v>13.03</v>
      </c>
      <c r="BJ52" s="2">
        <v>12.1</v>
      </c>
      <c r="BK52" s="2">
        <v>13.91</v>
      </c>
      <c r="BL52" s="2">
        <v>12.71</v>
      </c>
      <c r="BM52" s="7"/>
      <c r="BN52" s="7"/>
      <c r="BO52" s="128">
        <v>44119</v>
      </c>
      <c r="BP52" s="2">
        <v>11.38</v>
      </c>
      <c r="BQ52" s="2">
        <v>10.4</v>
      </c>
      <c r="BR52" s="2">
        <v>9.99</v>
      </c>
      <c r="BS52" s="2">
        <v>10.54</v>
      </c>
      <c r="BT52" s="2"/>
      <c r="BU52" s="2"/>
      <c r="BV52" s="7"/>
      <c r="BW52" s="128">
        <v>44119</v>
      </c>
      <c r="BX52" s="2">
        <v>70</v>
      </c>
      <c r="BY52" s="2">
        <v>59.5</v>
      </c>
      <c r="BZ52" s="2">
        <v>53.5</v>
      </c>
      <c r="CA52" s="2">
        <v>47.5</v>
      </c>
    </row>
    <row r="53" spans="1:79" x14ac:dyDescent="0.2">
      <c r="A53" s="124">
        <v>43805</v>
      </c>
      <c r="B53">
        <v>92.875</v>
      </c>
      <c r="C53">
        <v>89.5</v>
      </c>
      <c r="D53">
        <v>85.875</v>
      </c>
      <c r="E53" s="17">
        <v>81.665000000000006</v>
      </c>
      <c r="F53">
        <v>85</v>
      </c>
      <c r="G53">
        <v>84.5</v>
      </c>
      <c r="H53">
        <v>82.5</v>
      </c>
      <c r="I53">
        <v>80.625</v>
      </c>
      <c r="J53" s="17">
        <v>86.375</v>
      </c>
      <c r="K53" s="17">
        <v>74.168000000000006</v>
      </c>
      <c r="L53" s="7"/>
      <c r="N53" s="124">
        <v>43805</v>
      </c>
      <c r="O53" s="2">
        <v>14.4793</v>
      </c>
      <c r="P53" s="2">
        <v>12.56795</v>
      </c>
      <c r="Q53" s="2">
        <v>12.09</v>
      </c>
      <c r="R53" s="2">
        <v>12.73095</v>
      </c>
      <c r="S53" s="2">
        <v>12.97</v>
      </c>
      <c r="T53" s="2">
        <v>12.91825</v>
      </c>
      <c r="U53" s="2">
        <v>12.418100000000001</v>
      </c>
      <c r="V53" s="2">
        <v>11.62205</v>
      </c>
      <c r="W53" s="2">
        <v>13.37</v>
      </c>
      <c r="X53" s="2">
        <v>14.3675</v>
      </c>
      <c r="Y53" s="7"/>
      <c r="Z53" s="7"/>
      <c r="AA53" s="128">
        <v>44120</v>
      </c>
      <c r="AB53" s="2">
        <v>11.325613000000001</v>
      </c>
      <c r="AC53" s="2">
        <v>10.35153</v>
      </c>
      <c r="AD53" s="2">
        <v>9.9687560000000008</v>
      </c>
      <c r="AE53" s="2">
        <v>10.202942999999999</v>
      </c>
      <c r="AF53" s="2"/>
      <c r="AG53" s="2"/>
      <c r="AH53" s="7"/>
      <c r="AI53" s="128">
        <v>44120</v>
      </c>
      <c r="AJ53" s="2">
        <v>70.25</v>
      </c>
      <c r="AK53" s="2">
        <v>59.75</v>
      </c>
      <c r="AL53" s="2">
        <v>53.625</v>
      </c>
      <c r="AM53" s="2">
        <v>47.75</v>
      </c>
      <c r="AO53" s="124">
        <v>43805</v>
      </c>
      <c r="AP53">
        <v>92.875</v>
      </c>
      <c r="AQ53">
        <v>89.5</v>
      </c>
      <c r="AR53">
        <v>85.875</v>
      </c>
      <c r="AS53" s="17">
        <v>81.665000000000006</v>
      </c>
      <c r="AT53">
        <v>85</v>
      </c>
      <c r="AU53">
        <v>84.5</v>
      </c>
      <c r="AV53">
        <v>82.5</v>
      </c>
      <c r="AW53">
        <v>80.625</v>
      </c>
      <c r="AX53" s="17">
        <v>86.375</v>
      </c>
      <c r="AY53" s="17">
        <v>83.94</v>
      </c>
      <c r="AZ53" s="7"/>
      <c r="BB53" s="124">
        <v>43805</v>
      </c>
      <c r="BC53" s="2">
        <v>14.48</v>
      </c>
      <c r="BD53" s="2">
        <v>12.57</v>
      </c>
      <c r="BE53" s="2">
        <v>12.09</v>
      </c>
      <c r="BF53" s="2">
        <v>12.73</v>
      </c>
      <c r="BG53" s="2">
        <v>12.97</v>
      </c>
      <c r="BH53" s="2">
        <v>12.92</v>
      </c>
      <c r="BI53" s="2">
        <v>12.42</v>
      </c>
      <c r="BJ53" s="2">
        <v>11.62</v>
      </c>
      <c r="BK53" s="2">
        <v>13.37</v>
      </c>
      <c r="BL53" s="2">
        <v>12.28</v>
      </c>
      <c r="BM53" s="7"/>
      <c r="BN53" s="7"/>
      <c r="BO53" s="128">
        <v>44120</v>
      </c>
      <c r="BP53" s="2">
        <v>11.52</v>
      </c>
      <c r="BQ53" s="2">
        <v>10.45</v>
      </c>
      <c r="BR53" s="2">
        <v>10.039999999999999</v>
      </c>
      <c r="BS53" s="2">
        <v>10.54</v>
      </c>
      <c r="BT53" s="2"/>
      <c r="BU53" s="2"/>
      <c r="BV53" s="7"/>
      <c r="BW53" s="128">
        <v>44120</v>
      </c>
      <c r="BX53" s="2">
        <v>69.459999999999994</v>
      </c>
      <c r="BY53" s="2">
        <v>59.225000000000001</v>
      </c>
      <c r="BZ53" s="2">
        <v>53.22</v>
      </c>
      <c r="CA53" s="2">
        <v>47.5</v>
      </c>
    </row>
    <row r="54" spans="1:79" x14ac:dyDescent="0.2">
      <c r="A54" s="124">
        <v>43808</v>
      </c>
      <c r="B54">
        <v>93.25</v>
      </c>
      <c r="C54">
        <v>90.25</v>
      </c>
      <c r="D54">
        <v>86.125</v>
      </c>
      <c r="E54" s="17">
        <v>81.665000000000006</v>
      </c>
      <c r="F54">
        <v>86.125</v>
      </c>
      <c r="G54">
        <v>85</v>
      </c>
      <c r="H54">
        <v>82.875</v>
      </c>
      <c r="I54">
        <v>81.375</v>
      </c>
      <c r="J54" s="17">
        <v>87.625</v>
      </c>
      <c r="K54" s="17">
        <v>74.168000000000006</v>
      </c>
      <c r="L54" s="7"/>
      <c r="N54" s="124">
        <v>43808</v>
      </c>
      <c r="O54" s="2">
        <v>14.2767</v>
      </c>
      <c r="P54" s="2">
        <v>12.279249999999999</v>
      </c>
      <c r="Q54" s="2">
        <v>12.01</v>
      </c>
      <c r="R54" s="2">
        <v>12.733000000000001</v>
      </c>
      <c r="S54" s="2">
        <v>12.7</v>
      </c>
      <c r="T54" s="2">
        <v>12.8005</v>
      </c>
      <c r="U54" s="2">
        <v>12.332800000000001</v>
      </c>
      <c r="V54" s="2">
        <v>11.456950000000001</v>
      </c>
      <c r="W54" s="2">
        <v>13.11</v>
      </c>
      <c r="X54" s="2">
        <v>14.3675</v>
      </c>
      <c r="Y54" s="7"/>
      <c r="Z54" s="7"/>
      <c r="AA54" s="128">
        <v>44123</v>
      </c>
      <c r="AB54" s="2">
        <v>11.39167</v>
      </c>
      <c r="AC54" s="2">
        <v>10.308306999999999</v>
      </c>
      <c r="AD54" s="2">
        <v>9.950393</v>
      </c>
      <c r="AE54" s="2">
        <v>10.28227</v>
      </c>
      <c r="AF54" s="2"/>
      <c r="AG54" s="2"/>
      <c r="AH54" s="7"/>
      <c r="AI54" s="128">
        <v>44123</v>
      </c>
      <c r="AJ54" s="2">
        <v>70</v>
      </c>
      <c r="AK54" s="2">
        <v>60</v>
      </c>
      <c r="AL54" s="2">
        <v>53.75</v>
      </c>
      <c r="AM54" s="2">
        <v>47.5</v>
      </c>
      <c r="AO54" s="124">
        <v>43808</v>
      </c>
      <c r="AP54">
        <v>93.25</v>
      </c>
      <c r="AQ54">
        <v>90.25</v>
      </c>
      <c r="AR54">
        <v>86.125</v>
      </c>
      <c r="AS54" s="17">
        <v>81.665000000000006</v>
      </c>
      <c r="AT54">
        <v>85.704999999999998</v>
      </c>
      <c r="AU54">
        <v>85</v>
      </c>
      <c r="AV54">
        <v>82.875</v>
      </c>
      <c r="AW54">
        <v>81.375</v>
      </c>
      <c r="AX54" s="17">
        <v>87.625</v>
      </c>
      <c r="AY54" s="17">
        <v>84.444000000000003</v>
      </c>
      <c r="AZ54" s="7"/>
      <c r="BB54" s="124">
        <v>43808</v>
      </c>
      <c r="BC54" s="2">
        <v>14.28</v>
      </c>
      <c r="BD54" s="2">
        <v>12.28</v>
      </c>
      <c r="BE54" s="2">
        <v>12.01</v>
      </c>
      <c r="BF54" s="2">
        <v>12.73</v>
      </c>
      <c r="BG54" s="2">
        <v>12.8</v>
      </c>
      <c r="BH54" s="2">
        <v>12.8</v>
      </c>
      <c r="BI54" s="2">
        <v>12.33</v>
      </c>
      <c r="BJ54" s="2">
        <v>11.46</v>
      </c>
      <c r="BK54" s="2">
        <v>13.11</v>
      </c>
      <c r="BL54" s="2">
        <v>12.19</v>
      </c>
      <c r="BM54" s="7"/>
      <c r="BN54" s="7"/>
      <c r="BO54" s="128">
        <v>44123</v>
      </c>
      <c r="BP54" s="2">
        <v>11.3922025</v>
      </c>
      <c r="BQ54" s="2">
        <v>10.308764999999999</v>
      </c>
      <c r="BR54" s="2">
        <v>9.9700000000000006</v>
      </c>
      <c r="BS54" s="2">
        <v>10.55</v>
      </c>
      <c r="BT54" s="2"/>
      <c r="BU54" s="2"/>
      <c r="BV54" s="7"/>
      <c r="BW54" s="128">
        <v>44123</v>
      </c>
      <c r="BX54" s="2">
        <v>70</v>
      </c>
      <c r="BY54" s="2">
        <v>60</v>
      </c>
      <c r="BZ54" s="2">
        <v>53.625</v>
      </c>
      <c r="CA54" s="2">
        <v>47.5</v>
      </c>
    </row>
    <row r="55" spans="1:79" x14ac:dyDescent="0.2">
      <c r="A55" s="124">
        <v>43809</v>
      </c>
      <c r="B55">
        <v>94.75</v>
      </c>
      <c r="C55">
        <v>91.5</v>
      </c>
      <c r="D55">
        <v>88</v>
      </c>
      <c r="E55" s="17">
        <v>81.671999999999997</v>
      </c>
      <c r="F55">
        <v>88</v>
      </c>
      <c r="G55">
        <v>87.5</v>
      </c>
      <c r="H55">
        <v>85</v>
      </c>
      <c r="I55">
        <v>83.5</v>
      </c>
      <c r="J55" s="17">
        <v>89.25</v>
      </c>
      <c r="K55" s="17">
        <v>74.168000000000006</v>
      </c>
      <c r="L55" s="7"/>
      <c r="N55" s="124">
        <v>43809</v>
      </c>
      <c r="O55" s="2">
        <v>13.4642</v>
      </c>
      <c r="P55" s="2">
        <v>11.8026</v>
      </c>
      <c r="Q55" s="2">
        <v>11.42</v>
      </c>
      <c r="R55" s="2">
        <v>12.732900000000001</v>
      </c>
      <c r="S55" s="2">
        <v>12.25</v>
      </c>
      <c r="T55" s="2">
        <v>12.22265</v>
      </c>
      <c r="U55" s="2">
        <v>11.85535</v>
      </c>
      <c r="V55" s="2">
        <v>10.99785</v>
      </c>
      <c r="W55" s="2">
        <v>12.77</v>
      </c>
      <c r="X55" s="2">
        <v>14.3675</v>
      </c>
      <c r="Y55" s="7"/>
      <c r="Z55" s="7"/>
      <c r="AA55" s="128">
        <v>44124</v>
      </c>
      <c r="AB55" s="2">
        <v>11.519767</v>
      </c>
      <c r="AC55" s="2">
        <v>10.591125</v>
      </c>
      <c r="AD55" s="2">
        <v>10.16051</v>
      </c>
      <c r="AE55" s="2">
        <v>10.324131</v>
      </c>
      <c r="AF55" s="2"/>
      <c r="AG55" s="2"/>
      <c r="AH55" s="7"/>
      <c r="AI55" s="128">
        <v>44124</v>
      </c>
      <c r="AJ55" s="2">
        <v>69.5</v>
      </c>
      <c r="AK55" s="2">
        <v>58.5</v>
      </c>
      <c r="AL55" s="2">
        <v>52.5</v>
      </c>
      <c r="AM55" s="2">
        <v>47.375</v>
      </c>
      <c r="AO55" s="124">
        <v>43809</v>
      </c>
      <c r="AP55">
        <v>94.75</v>
      </c>
      <c r="AQ55">
        <v>91.5</v>
      </c>
      <c r="AR55">
        <v>88</v>
      </c>
      <c r="AS55" s="17">
        <v>81.671999999999997</v>
      </c>
      <c r="AT55">
        <v>88</v>
      </c>
      <c r="AU55">
        <v>87.015000000000001</v>
      </c>
      <c r="AV55">
        <v>85</v>
      </c>
      <c r="AW55">
        <v>83.5</v>
      </c>
      <c r="AX55" s="17">
        <v>89.25</v>
      </c>
      <c r="AY55" s="17">
        <v>84.444000000000003</v>
      </c>
      <c r="AZ55" s="7"/>
      <c r="BB55" s="124">
        <v>43809</v>
      </c>
      <c r="BC55" s="2">
        <v>13.46</v>
      </c>
      <c r="BD55" s="2">
        <v>11.8</v>
      </c>
      <c r="BE55" s="2">
        <v>11.42</v>
      </c>
      <c r="BF55" s="2">
        <v>12.73</v>
      </c>
      <c r="BG55" s="2">
        <v>12.25</v>
      </c>
      <c r="BH55" s="2">
        <v>12.33</v>
      </c>
      <c r="BI55" s="2">
        <v>11.85</v>
      </c>
      <c r="BJ55" s="2">
        <v>11</v>
      </c>
      <c r="BK55" s="2">
        <v>12.77</v>
      </c>
      <c r="BL55" s="2">
        <v>12.19</v>
      </c>
      <c r="BM55" s="7"/>
      <c r="BN55" s="7"/>
      <c r="BO55" s="128">
        <v>44124</v>
      </c>
      <c r="BP55" s="2">
        <v>11.52</v>
      </c>
      <c r="BQ55" s="2">
        <v>10.59</v>
      </c>
      <c r="BR55" s="2">
        <v>9.99</v>
      </c>
      <c r="BS55" s="2">
        <v>10.59</v>
      </c>
      <c r="BT55" s="2"/>
      <c r="BU55" s="2"/>
      <c r="BV55" s="7"/>
      <c r="BW55" s="128">
        <v>44124</v>
      </c>
      <c r="BX55" s="2">
        <v>69.5</v>
      </c>
      <c r="BY55" s="2">
        <v>58.5</v>
      </c>
      <c r="BZ55" s="2">
        <v>53.5</v>
      </c>
      <c r="CA55" s="2">
        <v>47.375</v>
      </c>
    </row>
    <row r="56" spans="1:79" x14ac:dyDescent="0.2">
      <c r="A56" s="124">
        <v>43810</v>
      </c>
      <c r="B56">
        <v>97</v>
      </c>
      <c r="C56">
        <v>93.5</v>
      </c>
      <c r="D56">
        <v>89.125</v>
      </c>
      <c r="E56" s="17">
        <v>85.173500000000004</v>
      </c>
      <c r="F56">
        <v>89.375</v>
      </c>
      <c r="G56">
        <v>89.375</v>
      </c>
      <c r="H56">
        <v>86.625</v>
      </c>
      <c r="I56">
        <v>85.125</v>
      </c>
      <c r="J56" s="17">
        <v>89.25</v>
      </c>
      <c r="K56" s="17">
        <v>74.168000000000006</v>
      </c>
      <c r="L56" s="7"/>
      <c r="N56" s="124">
        <v>43810</v>
      </c>
      <c r="O56" s="2">
        <v>12.2722</v>
      </c>
      <c r="P56" s="2">
        <v>11.054600000000001</v>
      </c>
      <c r="Q56" s="2">
        <v>11.07</v>
      </c>
      <c r="R56" s="2">
        <v>11.707000000000001</v>
      </c>
      <c r="S56" s="2">
        <v>11.93</v>
      </c>
      <c r="T56" s="2">
        <v>11.8033</v>
      </c>
      <c r="U56" s="2">
        <v>11.50075</v>
      </c>
      <c r="V56" s="2">
        <v>10.65695</v>
      </c>
      <c r="W56" s="2">
        <v>12.77</v>
      </c>
      <c r="X56" s="2">
        <v>14.3675</v>
      </c>
      <c r="Y56" s="7"/>
      <c r="Z56" s="7"/>
      <c r="AA56" s="128">
        <v>44125</v>
      </c>
      <c r="AB56" s="2">
        <v>11.649074000000001</v>
      </c>
      <c r="AC56" s="2">
        <v>10.570378</v>
      </c>
      <c r="AD56" s="2">
        <v>10.247655</v>
      </c>
      <c r="AE56" s="2">
        <v>10.519201000000001</v>
      </c>
      <c r="AF56" s="2"/>
      <c r="AG56" s="2"/>
      <c r="AH56" s="7"/>
      <c r="AI56" s="128">
        <v>44125</v>
      </c>
      <c r="AJ56" s="2">
        <v>69</v>
      </c>
      <c r="AK56" s="2">
        <v>58.625</v>
      </c>
      <c r="AL56" s="2">
        <v>52</v>
      </c>
      <c r="AM56" s="2">
        <v>46.75</v>
      </c>
      <c r="AO56" s="124">
        <v>43810</v>
      </c>
      <c r="AP56">
        <v>97</v>
      </c>
      <c r="AQ56">
        <v>93.5</v>
      </c>
      <c r="AR56">
        <v>89.125</v>
      </c>
      <c r="AS56" s="17">
        <v>85.174000000000007</v>
      </c>
      <c r="AT56">
        <v>89.375</v>
      </c>
      <c r="AU56">
        <v>89.375</v>
      </c>
      <c r="AV56">
        <v>86</v>
      </c>
      <c r="AW56">
        <v>85.125</v>
      </c>
      <c r="AX56" s="17">
        <v>91.25</v>
      </c>
      <c r="AY56" s="17">
        <v>84.444000000000003</v>
      </c>
      <c r="AZ56" s="7"/>
      <c r="BB56" s="124">
        <v>43810</v>
      </c>
      <c r="BC56" s="2">
        <v>12.27</v>
      </c>
      <c r="BD56" s="2">
        <v>11.05</v>
      </c>
      <c r="BE56" s="2">
        <v>11.07</v>
      </c>
      <c r="BF56" s="2">
        <v>11.71</v>
      </c>
      <c r="BG56" s="2">
        <v>11.93</v>
      </c>
      <c r="BH56" s="2">
        <v>11.8</v>
      </c>
      <c r="BI56" s="2">
        <v>11.64</v>
      </c>
      <c r="BJ56" s="2">
        <v>10.66</v>
      </c>
      <c r="BK56" s="2">
        <v>12.37</v>
      </c>
      <c r="BL56" s="2">
        <v>12.19</v>
      </c>
      <c r="BM56" s="7"/>
      <c r="BN56" s="7"/>
      <c r="BO56" s="128">
        <v>44125</v>
      </c>
      <c r="BP56" s="2">
        <v>11.52</v>
      </c>
      <c r="BQ56" s="2">
        <v>10.59</v>
      </c>
      <c r="BR56" s="2">
        <v>9.99</v>
      </c>
      <c r="BS56" s="2">
        <v>10.8</v>
      </c>
      <c r="BT56" s="2"/>
      <c r="BU56" s="2"/>
      <c r="BV56" s="7"/>
      <c r="BW56" s="128">
        <v>44125</v>
      </c>
      <c r="BX56" s="2">
        <v>69.5</v>
      </c>
      <c r="BY56" s="2">
        <v>58.5</v>
      </c>
      <c r="BZ56" s="2">
        <v>53.5</v>
      </c>
      <c r="CA56" s="2">
        <v>46.75</v>
      </c>
    </row>
    <row r="57" spans="1:79" x14ac:dyDescent="0.2">
      <c r="A57" s="124">
        <v>43811</v>
      </c>
      <c r="B57">
        <v>97.25</v>
      </c>
      <c r="C57">
        <v>94.125</v>
      </c>
      <c r="D57">
        <v>90.75</v>
      </c>
      <c r="E57" s="17">
        <v>86.680499999999995</v>
      </c>
      <c r="F57">
        <v>90.5</v>
      </c>
      <c r="G57">
        <v>90</v>
      </c>
      <c r="H57">
        <v>87.5</v>
      </c>
      <c r="I57">
        <v>85.375</v>
      </c>
      <c r="J57" s="17">
        <v>92.75</v>
      </c>
      <c r="K57" s="17">
        <v>74.168000000000006</v>
      </c>
      <c r="L57" s="7"/>
      <c r="N57" s="124">
        <v>43811</v>
      </c>
      <c r="O57" s="2">
        <v>12.145949999999999</v>
      </c>
      <c r="P57" s="2">
        <v>10.827999999999999</v>
      </c>
      <c r="Q57" s="2">
        <v>10.58</v>
      </c>
      <c r="R57" s="2">
        <v>11.2849</v>
      </c>
      <c r="S57" s="2">
        <v>11.67</v>
      </c>
      <c r="T57" s="2">
        <v>11.66705</v>
      </c>
      <c r="U57" s="2">
        <v>11.3146</v>
      </c>
      <c r="V57" s="2">
        <v>10.6073</v>
      </c>
      <c r="W57" s="2">
        <v>12.08</v>
      </c>
      <c r="X57" s="2">
        <v>14.3675</v>
      </c>
      <c r="Y57" s="7"/>
      <c r="Z57" s="7"/>
      <c r="AA57" s="128">
        <v>44126</v>
      </c>
      <c r="AB57" s="2">
        <v>11.821482</v>
      </c>
      <c r="AC57" s="2">
        <v>10.674250000000001</v>
      </c>
      <c r="AD57" s="2">
        <v>10.190511000000001</v>
      </c>
      <c r="AE57" s="2">
        <v>10.608822</v>
      </c>
      <c r="AF57" s="2"/>
      <c r="AG57" s="2"/>
      <c r="AH57" s="7"/>
      <c r="AI57" s="128">
        <v>44126</v>
      </c>
      <c r="AJ57" s="2">
        <v>68.375</v>
      </c>
      <c r="AK57" s="2">
        <v>58.125</v>
      </c>
      <c r="AL57" s="2">
        <v>52.375</v>
      </c>
      <c r="AM57" s="2">
        <v>46.5</v>
      </c>
      <c r="AO57" s="124">
        <v>43811</v>
      </c>
      <c r="AP57">
        <v>97.25</v>
      </c>
      <c r="AQ57">
        <v>94.125</v>
      </c>
      <c r="AR57">
        <v>89.875</v>
      </c>
      <c r="AS57" s="17">
        <v>86.93</v>
      </c>
      <c r="AT57">
        <v>91.15</v>
      </c>
      <c r="AU57">
        <v>90</v>
      </c>
      <c r="AV57">
        <v>87.5</v>
      </c>
      <c r="AW57">
        <v>85.375</v>
      </c>
      <c r="AX57" s="17">
        <v>92.75</v>
      </c>
      <c r="AY57" s="17">
        <v>88.954999999999998</v>
      </c>
      <c r="AZ57" s="7"/>
      <c r="BB57" s="124">
        <v>43811</v>
      </c>
      <c r="BC57" s="2">
        <v>12.15</v>
      </c>
      <c r="BD57" s="2">
        <v>10.83</v>
      </c>
      <c r="BE57" s="2">
        <v>10.85</v>
      </c>
      <c r="BF57" s="2">
        <v>11.22</v>
      </c>
      <c r="BG57" s="2">
        <v>11.53</v>
      </c>
      <c r="BH57" s="2">
        <v>11.67</v>
      </c>
      <c r="BI57" s="2">
        <v>11.31</v>
      </c>
      <c r="BJ57" s="2">
        <v>10.61</v>
      </c>
      <c r="BK57" s="2">
        <v>12.08</v>
      </c>
      <c r="BL57" s="2">
        <v>11.34</v>
      </c>
      <c r="BM57" s="7"/>
      <c r="BN57" s="7"/>
      <c r="BO57" s="128">
        <v>44126</v>
      </c>
      <c r="BP57" s="2">
        <v>11.8220455</v>
      </c>
      <c r="BQ57" s="2">
        <v>10.6747435</v>
      </c>
      <c r="BR57" s="2">
        <v>10.340906</v>
      </c>
      <c r="BS57" s="2">
        <v>10.89</v>
      </c>
      <c r="BT57" s="2"/>
      <c r="BU57" s="2"/>
      <c r="BV57" s="7"/>
      <c r="BW57" s="128">
        <v>44126</v>
      </c>
      <c r="BX57" s="2">
        <v>68.375</v>
      </c>
      <c r="BY57" s="2">
        <v>58.125</v>
      </c>
      <c r="BZ57" s="2">
        <v>51.5</v>
      </c>
      <c r="CA57" s="2">
        <v>46.5</v>
      </c>
    </row>
    <row r="58" spans="1:79" x14ac:dyDescent="0.2">
      <c r="A58" s="124">
        <v>43812</v>
      </c>
      <c r="B58">
        <v>97.375</v>
      </c>
      <c r="C58">
        <v>94</v>
      </c>
      <c r="D58">
        <v>90.375</v>
      </c>
      <c r="E58" s="17">
        <v>86.802999999999997</v>
      </c>
      <c r="F58">
        <v>90.5</v>
      </c>
      <c r="G58">
        <v>90</v>
      </c>
      <c r="H58">
        <v>87.75</v>
      </c>
      <c r="I58">
        <v>85.125</v>
      </c>
      <c r="J58" s="17">
        <v>92.75</v>
      </c>
      <c r="K58" s="17">
        <v>74.168000000000006</v>
      </c>
      <c r="L58" s="7"/>
      <c r="N58" s="124">
        <v>43812</v>
      </c>
      <c r="O58" s="2">
        <v>12.082000000000001</v>
      </c>
      <c r="P58" s="2">
        <v>10.875299999999999</v>
      </c>
      <c r="Q58" s="2">
        <v>10.7</v>
      </c>
      <c r="R58" s="2">
        <v>11.252000000000001</v>
      </c>
      <c r="S58" s="2">
        <v>11.68</v>
      </c>
      <c r="T58" s="2">
        <v>11.667400000000001</v>
      </c>
      <c r="U58" s="2">
        <v>11.261950000000001</v>
      </c>
      <c r="V58" s="2">
        <v>10.65995</v>
      </c>
      <c r="W58" s="2">
        <v>12.08</v>
      </c>
      <c r="X58" s="2">
        <v>14.3675</v>
      </c>
      <c r="Y58" s="7"/>
      <c r="Z58" s="7"/>
      <c r="AA58" s="128">
        <v>44127</v>
      </c>
      <c r="AB58" s="2">
        <v>12.081905000000001</v>
      </c>
      <c r="AC58" s="2">
        <v>10.846109</v>
      </c>
      <c r="AD58" s="2">
        <v>10.429736999999999</v>
      </c>
      <c r="AE58" s="2">
        <v>10.769034</v>
      </c>
      <c r="AF58" s="2"/>
      <c r="AG58" s="2"/>
      <c r="AH58" s="7"/>
      <c r="AI58" s="128">
        <v>44127</v>
      </c>
      <c r="AJ58" s="2">
        <v>67.375</v>
      </c>
      <c r="AK58" s="2">
        <v>57.25</v>
      </c>
      <c r="AL58" s="2">
        <v>51</v>
      </c>
      <c r="AM58" s="2">
        <v>46</v>
      </c>
      <c r="AO58" s="124">
        <v>43812</v>
      </c>
      <c r="AP58">
        <v>97.375</v>
      </c>
      <c r="AQ58">
        <v>94</v>
      </c>
      <c r="AR58">
        <v>90.375</v>
      </c>
      <c r="AS58" s="17">
        <v>86.802999999999997</v>
      </c>
      <c r="AT58">
        <v>91.2</v>
      </c>
      <c r="AU58">
        <v>90.34</v>
      </c>
      <c r="AV58">
        <v>87.94</v>
      </c>
      <c r="AW58">
        <v>85.125</v>
      </c>
      <c r="AX58" s="17">
        <v>92.875</v>
      </c>
      <c r="AY58" s="17">
        <v>89.204999999999998</v>
      </c>
      <c r="AZ58" s="7"/>
      <c r="BB58" s="124">
        <v>43812</v>
      </c>
      <c r="BC58" s="2">
        <v>12.08</v>
      </c>
      <c r="BD58" s="2">
        <v>10.87</v>
      </c>
      <c r="BE58" s="2">
        <v>10.7</v>
      </c>
      <c r="BF58" s="2">
        <v>11.25</v>
      </c>
      <c r="BG58" s="2">
        <v>11.52</v>
      </c>
      <c r="BH58" s="2">
        <v>11.59</v>
      </c>
      <c r="BI58" s="2">
        <v>11.22</v>
      </c>
      <c r="BJ58" s="2">
        <v>10.66</v>
      </c>
      <c r="BK58" s="2">
        <v>12.05</v>
      </c>
      <c r="BL58" s="2">
        <v>11.3</v>
      </c>
      <c r="BM58" s="7"/>
      <c r="BN58" s="7"/>
      <c r="BO58" s="128">
        <v>44127</v>
      </c>
      <c r="BP58" s="2">
        <v>11.8220455</v>
      </c>
      <c r="BQ58" s="2">
        <v>10.6747435</v>
      </c>
      <c r="BR58" s="2">
        <v>10.340906</v>
      </c>
      <c r="BS58" s="2">
        <v>10.89</v>
      </c>
      <c r="BT58" s="2"/>
      <c r="BU58" s="2"/>
      <c r="BV58" s="7"/>
      <c r="BW58" s="128">
        <v>44127</v>
      </c>
      <c r="BX58" s="2">
        <v>68.375</v>
      </c>
      <c r="BY58" s="2">
        <v>58.125</v>
      </c>
      <c r="BZ58" s="2">
        <v>51.5</v>
      </c>
      <c r="CA58" s="2">
        <v>46.5</v>
      </c>
    </row>
    <row r="59" spans="1:79" x14ac:dyDescent="0.2">
      <c r="A59" s="124">
        <v>43815</v>
      </c>
      <c r="B59">
        <v>97.375</v>
      </c>
      <c r="C59">
        <v>94.875</v>
      </c>
      <c r="D59">
        <v>91.375</v>
      </c>
      <c r="E59" s="17">
        <v>87.6815</v>
      </c>
      <c r="F59">
        <v>91.5</v>
      </c>
      <c r="G59">
        <v>90.625</v>
      </c>
      <c r="H59">
        <v>88.5</v>
      </c>
      <c r="I59">
        <v>85.875</v>
      </c>
      <c r="J59" s="17">
        <v>93.625</v>
      </c>
      <c r="K59" s="17">
        <v>74.168000000000006</v>
      </c>
      <c r="L59" s="7"/>
      <c r="N59" s="124">
        <v>43815</v>
      </c>
      <c r="O59" s="2">
        <v>12.083399999999999</v>
      </c>
      <c r="P59" s="2">
        <v>10.55575</v>
      </c>
      <c r="Q59" s="2">
        <v>10.4</v>
      </c>
      <c r="R59" s="2">
        <v>11.009</v>
      </c>
      <c r="S59" s="2">
        <v>11.45</v>
      </c>
      <c r="T59" s="2">
        <v>11.531499999999999</v>
      </c>
      <c r="U59" s="2">
        <v>11.103899999999999</v>
      </c>
      <c r="V59" s="2">
        <v>10.505599999999999</v>
      </c>
      <c r="W59" s="2">
        <v>11.91</v>
      </c>
      <c r="X59" s="2">
        <v>14.3675</v>
      </c>
      <c r="Y59" s="7"/>
      <c r="Z59" s="7"/>
      <c r="AA59" s="128">
        <v>44130</v>
      </c>
      <c r="AB59" s="2">
        <v>11.927063</v>
      </c>
      <c r="AC59" s="2">
        <v>10.800526</v>
      </c>
      <c r="AD59" s="2">
        <v>10.699526000000001</v>
      </c>
      <c r="AE59" s="2">
        <v>10.852017</v>
      </c>
      <c r="AF59" s="2"/>
      <c r="AG59" s="2"/>
      <c r="AH59" s="7"/>
      <c r="AI59" s="128">
        <v>44130</v>
      </c>
      <c r="AJ59" s="2">
        <v>68</v>
      </c>
      <c r="AK59" s="2">
        <v>57.5</v>
      </c>
      <c r="AL59" s="2">
        <v>49.502000000000002</v>
      </c>
      <c r="AM59" s="2">
        <v>45.75</v>
      </c>
      <c r="AO59" s="124">
        <v>43815</v>
      </c>
      <c r="AP59">
        <v>98</v>
      </c>
      <c r="AQ59">
        <v>94.875</v>
      </c>
      <c r="AR59">
        <v>91.375</v>
      </c>
      <c r="AS59" s="17">
        <v>87.682000000000002</v>
      </c>
      <c r="AT59">
        <v>91.814999999999998</v>
      </c>
      <c r="AU59">
        <v>90.94</v>
      </c>
      <c r="AV59">
        <v>88.745000000000005</v>
      </c>
      <c r="AW59">
        <v>85.875</v>
      </c>
      <c r="AX59" s="17">
        <v>93.625</v>
      </c>
      <c r="AY59" s="17">
        <v>89.959000000000003</v>
      </c>
      <c r="AZ59" s="7"/>
      <c r="BB59" s="124">
        <v>43815</v>
      </c>
      <c r="BC59" s="2">
        <v>11.76</v>
      </c>
      <c r="BD59" s="2">
        <v>10.56</v>
      </c>
      <c r="BE59" s="2">
        <v>10.4</v>
      </c>
      <c r="BF59" s="2">
        <v>11.01</v>
      </c>
      <c r="BG59" s="2">
        <v>11.38</v>
      </c>
      <c r="BH59" s="2">
        <v>11.46</v>
      </c>
      <c r="BI59" s="2">
        <v>11.05</v>
      </c>
      <c r="BJ59" s="2">
        <v>10.51</v>
      </c>
      <c r="BK59" s="2">
        <v>11.91</v>
      </c>
      <c r="BL59" s="2">
        <v>11.16</v>
      </c>
      <c r="BM59" s="7"/>
      <c r="BN59" s="7"/>
      <c r="BO59" s="128">
        <v>44130</v>
      </c>
      <c r="BP59" s="2">
        <v>11.93</v>
      </c>
      <c r="BQ59" s="2">
        <v>10.8</v>
      </c>
      <c r="BR59" s="2">
        <v>10.48</v>
      </c>
      <c r="BS59" s="2">
        <v>11.15</v>
      </c>
      <c r="BT59" s="2"/>
      <c r="BU59" s="2"/>
      <c r="BV59" s="7"/>
      <c r="BW59" s="128">
        <v>44130</v>
      </c>
      <c r="BX59" s="2">
        <v>68</v>
      </c>
      <c r="BY59" s="2">
        <v>57.5</v>
      </c>
      <c r="BZ59" s="2">
        <v>50.75</v>
      </c>
      <c r="CA59" s="2">
        <v>45.75</v>
      </c>
    </row>
    <row r="60" spans="1:79" x14ac:dyDescent="0.2">
      <c r="A60" s="124">
        <v>43816</v>
      </c>
      <c r="B60">
        <v>99.125</v>
      </c>
      <c r="C60">
        <v>96</v>
      </c>
      <c r="D60">
        <v>92.5</v>
      </c>
      <c r="E60" s="17">
        <v>88.808499999999995</v>
      </c>
      <c r="F60">
        <v>92.5</v>
      </c>
      <c r="G60">
        <v>91.75</v>
      </c>
      <c r="H60">
        <v>89.625</v>
      </c>
      <c r="I60">
        <v>86.875</v>
      </c>
      <c r="J60" s="17">
        <v>95.625</v>
      </c>
      <c r="K60" s="17">
        <v>74.168000000000006</v>
      </c>
      <c r="L60" s="7"/>
      <c r="N60" s="124">
        <v>43816</v>
      </c>
      <c r="O60" s="2">
        <v>11.17855</v>
      </c>
      <c r="P60" s="2">
        <v>10.1495</v>
      </c>
      <c r="Q60" s="2">
        <v>10.06</v>
      </c>
      <c r="R60" s="2">
        <v>10.70105</v>
      </c>
      <c r="S60" s="2">
        <v>11.23</v>
      </c>
      <c r="T60" s="2">
        <v>11.28955</v>
      </c>
      <c r="U60" s="2">
        <v>10.86975</v>
      </c>
      <c r="V60" s="2">
        <v>10.302099999999999</v>
      </c>
      <c r="W60" s="2">
        <v>11.53</v>
      </c>
      <c r="X60" s="2">
        <v>14.3675</v>
      </c>
      <c r="Y60" s="7"/>
      <c r="Z60" s="7"/>
      <c r="AA60" s="128">
        <v>44131</v>
      </c>
      <c r="AB60" s="2">
        <v>12.189532</v>
      </c>
      <c r="AC60" s="2">
        <v>10.950105000000001</v>
      </c>
      <c r="AD60" s="2">
        <v>10.567033</v>
      </c>
      <c r="AE60" s="2">
        <v>10.935547</v>
      </c>
      <c r="AF60" s="2"/>
      <c r="AG60" s="2"/>
      <c r="AH60" s="7"/>
      <c r="AI60" s="128">
        <v>44131</v>
      </c>
      <c r="AJ60" s="2">
        <v>67</v>
      </c>
      <c r="AK60" s="2">
        <v>56.75</v>
      </c>
      <c r="AL60" s="2">
        <v>50.25</v>
      </c>
      <c r="AM60" s="2">
        <v>45.5</v>
      </c>
      <c r="AO60" s="124">
        <v>43816</v>
      </c>
      <c r="AP60">
        <v>99.125</v>
      </c>
      <c r="AQ60">
        <v>96</v>
      </c>
      <c r="AR60">
        <v>92.5</v>
      </c>
      <c r="AS60" s="17">
        <v>88.808999999999997</v>
      </c>
      <c r="AT60">
        <v>92.5</v>
      </c>
      <c r="AU60">
        <v>91.75</v>
      </c>
      <c r="AV60">
        <v>89.625</v>
      </c>
      <c r="AW60">
        <v>86.875</v>
      </c>
      <c r="AX60" s="17">
        <v>95.625</v>
      </c>
      <c r="AY60" s="17">
        <v>90.84</v>
      </c>
      <c r="AZ60" s="7"/>
      <c r="BB60" s="124">
        <v>43816</v>
      </c>
      <c r="BC60" s="2">
        <v>11.18</v>
      </c>
      <c r="BD60" s="2">
        <v>10.15</v>
      </c>
      <c r="BE60" s="2">
        <v>10.06</v>
      </c>
      <c r="BF60" s="2">
        <v>10.7</v>
      </c>
      <c r="BG60" s="2">
        <v>11.23</v>
      </c>
      <c r="BH60" s="2">
        <v>11.29</v>
      </c>
      <c r="BI60" s="2">
        <v>10.87</v>
      </c>
      <c r="BJ60" s="2">
        <v>10.3</v>
      </c>
      <c r="BK60" s="2">
        <v>11.53</v>
      </c>
      <c r="BL60" s="2">
        <v>11.01</v>
      </c>
      <c r="BM60" s="7"/>
      <c r="BN60" s="7"/>
      <c r="BO60" s="128">
        <v>44131</v>
      </c>
      <c r="BP60" s="2">
        <v>12.19</v>
      </c>
      <c r="BQ60" s="2">
        <v>10.95</v>
      </c>
      <c r="BR60" s="2">
        <v>10.57</v>
      </c>
      <c r="BS60" s="2">
        <v>11.23</v>
      </c>
      <c r="BT60" s="2"/>
      <c r="BU60" s="2"/>
      <c r="BV60" s="7"/>
      <c r="BW60" s="128">
        <v>44131</v>
      </c>
      <c r="BX60" s="2">
        <v>67</v>
      </c>
      <c r="BY60" s="2">
        <v>56.75</v>
      </c>
      <c r="BZ60" s="2">
        <v>50.25</v>
      </c>
      <c r="CA60" s="2">
        <v>45.5</v>
      </c>
    </row>
    <row r="61" spans="1:79" x14ac:dyDescent="0.2">
      <c r="A61" s="124">
        <v>43817</v>
      </c>
      <c r="B61">
        <v>99.75</v>
      </c>
      <c r="C61">
        <v>96.5</v>
      </c>
      <c r="D61">
        <v>93.25</v>
      </c>
      <c r="E61" s="17">
        <v>86.929000000000002</v>
      </c>
      <c r="F61">
        <v>93.5</v>
      </c>
      <c r="G61">
        <v>92.5</v>
      </c>
      <c r="H61">
        <v>90.375</v>
      </c>
      <c r="I61">
        <v>87.125</v>
      </c>
      <c r="J61" s="17">
        <v>95.625</v>
      </c>
      <c r="K61" s="17">
        <v>74.168000000000006</v>
      </c>
      <c r="L61" s="7"/>
      <c r="N61" s="124">
        <v>43817</v>
      </c>
      <c r="O61" s="2">
        <v>10.860049999999999</v>
      </c>
      <c r="P61" s="2">
        <v>9.97105</v>
      </c>
      <c r="Q61" s="2">
        <v>9.84</v>
      </c>
      <c r="R61" s="2">
        <v>11.22095</v>
      </c>
      <c r="S61" s="2">
        <v>11.01</v>
      </c>
      <c r="T61" s="2">
        <v>11.1304</v>
      </c>
      <c r="U61" s="2">
        <v>10.71585</v>
      </c>
      <c r="V61" s="2">
        <v>10.2522</v>
      </c>
      <c r="W61" s="2">
        <v>11.53</v>
      </c>
      <c r="X61" s="2">
        <v>14.3675</v>
      </c>
      <c r="Y61" s="7"/>
      <c r="Z61" s="7"/>
      <c r="AA61" s="128">
        <v>44132</v>
      </c>
      <c r="AB61" s="2">
        <v>12.135814999999999</v>
      </c>
      <c r="AC61" s="2">
        <v>10.907314</v>
      </c>
      <c r="AD61" s="2">
        <v>10.527391</v>
      </c>
      <c r="AE61" s="2">
        <v>10.864765999999999</v>
      </c>
      <c r="AF61" s="2"/>
      <c r="AG61" s="2"/>
      <c r="AH61" s="7"/>
      <c r="AI61" s="128">
        <v>44132</v>
      </c>
      <c r="AJ61" s="2">
        <v>67.25</v>
      </c>
      <c r="AK61" s="2">
        <v>57</v>
      </c>
      <c r="AL61" s="2">
        <v>50.5</v>
      </c>
      <c r="AM61" s="2">
        <v>45.75</v>
      </c>
      <c r="AO61" s="124">
        <v>43817</v>
      </c>
      <c r="AP61">
        <v>99.75</v>
      </c>
      <c r="AQ61">
        <v>96.5</v>
      </c>
      <c r="AR61">
        <v>93.25</v>
      </c>
      <c r="AS61" s="17">
        <v>86.929000000000002</v>
      </c>
      <c r="AT61">
        <v>93.5</v>
      </c>
      <c r="AU61">
        <v>92.5</v>
      </c>
      <c r="AV61">
        <v>90.375</v>
      </c>
      <c r="AW61">
        <v>87.125</v>
      </c>
      <c r="AX61" s="17">
        <v>95.625</v>
      </c>
      <c r="AY61" s="17">
        <v>91.463999999999999</v>
      </c>
      <c r="AZ61" s="7"/>
      <c r="BB61" s="124">
        <v>43817</v>
      </c>
      <c r="BC61" s="2">
        <v>10.86</v>
      </c>
      <c r="BD61" s="2">
        <v>9.9700000000000006</v>
      </c>
      <c r="BE61" s="2">
        <v>9.84</v>
      </c>
      <c r="BF61" s="2">
        <v>11.22</v>
      </c>
      <c r="BG61" s="2">
        <v>11.01</v>
      </c>
      <c r="BH61" s="2">
        <v>11.13</v>
      </c>
      <c r="BI61" s="2">
        <v>10.72</v>
      </c>
      <c r="BJ61" s="2">
        <v>10.25</v>
      </c>
      <c r="BK61" s="2">
        <v>11.53</v>
      </c>
      <c r="BL61" s="2">
        <v>10.9</v>
      </c>
      <c r="BM61" s="7"/>
      <c r="BN61" s="7"/>
      <c r="BO61" s="128">
        <v>44132</v>
      </c>
      <c r="BP61" s="2">
        <v>12.14</v>
      </c>
      <c r="BQ61" s="2">
        <v>10.91</v>
      </c>
      <c r="BR61" s="2">
        <v>10.59</v>
      </c>
      <c r="BS61" s="2">
        <v>11.16</v>
      </c>
      <c r="BT61" s="2"/>
      <c r="BU61" s="2"/>
      <c r="BV61" s="7"/>
      <c r="BW61" s="128">
        <v>44132</v>
      </c>
      <c r="BX61" s="2">
        <v>67.25</v>
      </c>
      <c r="BY61" s="2">
        <v>57</v>
      </c>
      <c r="BZ61" s="2">
        <v>50.125</v>
      </c>
      <c r="CA61" s="2">
        <v>45.75</v>
      </c>
    </row>
    <row r="62" spans="1:79" x14ac:dyDescent="0.2">
      <c r="A62" s="124">
        <v>43818</v>
      </c>
      <c r="B62">
        <v>99.75</v>
      </c>
      <c r="C62">
        <v>97.375</v>
      </c>
      <c r="D62">
        <v>93.75</v>
      </c>
      <c r="E62" s="17">
        <v>89.685500000000005</v>
      </c>
      <c r="F62">
        <v>94.125</v>
      </c>
      <c r="G62">
        <v>93.375</v>
      </c>
      <c r="H62">
        <v>91</v>
      </c>
      <c r="I62">
        <v>87.875</v>
      </c>
      <c r="J62" s="17">
        <v>95.625</v>
      </c>
      <c r="K62" s="17">
        <v>74.168000000000006</v>
      </c>
      <c r="L62" s="7"/>
      <c r="N62" s="124">
        <v>43818</v>
      </c>
      <c r="O62" s="2">
        <v>10.860300000000001</v>
      </c>
      <c r="P62" s="2">
        <v>9.6615500000000001</v>
      </c>
      <c r="Q62" s="2">
        <v>9.6999999999999993</v>
      </c>
      <c r="R62" s="2">
        <v>10.46805</v>
      </c>
      <c r="S62" s="2">
        <v>10.87</v>
      </c>
      <c r="T62" s="2">
        <v>10.9472</v>
      </c>
      <c r="U62" s="2">
        <v>10.589600000000001</v>
      </c>
      <c r="V62" s="2">
        <v>10.10345</v>
      </c>
      <c r="W62" s="2">
        <v>11.53</v>
      </c>
      <c r="X62" s="2">
        <v>14.3675</v>
      </c>
      <c r="Y62" s="7"/>
      <c r="Z62" s="7"/>
      <c r="AA62" s="128">
        <v>44133</v>
      </c>
      <c r="AB62" s="2">
        <v>12.336223</v>
      </c>
      <c r="AC62" s="2">
        <v>11.158543</v>
      </c>
      <c r="AD62" s="2">
        <v>10.618836999999999</v>
      </c>
      <c r="AE62" s="2">
        <v>11.108625999999999</v>
      </c>
      <c r="AF62" s="2"/>
      <c r="AG62" s="2"/>
      <c r="AH62" s="7"/>
      <c r="AI62" s="128">
        <v>44133</v>
      </c>
      <c r="AJ62" s="2">
        <v>66.5</v>
      </c>
      <c r="AK62" s="2">
        <v>55.75</v>
      </c>
      <c r="AL62" s="2">
        <v>50</v>
      </c>
      <c r="AM62" s="2">
        <v>45</v>
      </c>
      <c r="AO62" s="124">
        <v>43818</v>
      </c>
      <c r="AP62">
        <v>101</v>
      </c>
      <c r="AQ62">
        <v>97.375</v>
      </c>
      <c r="AR62">
        <v>93.75</v>
      </c>
      <c r="AS62" s="17">
        <v>89.686000000000007</v>
      </c>
      <c r="AT62">
        <v>93.48</v>
      </c>
      <c r="AU62">
        <v>92.69</v>
      </c>
      <c r="AV62">
        <v>90.21</v>
      </c>
      <c r="AW62">
        <v>87.875</v>
      </c>
      <c r="AX62" s="17">
        <v>96.5</v>
      </c>
      <c r="AY62" s="17">
        <v>91.340999999999994</v>
      </c>
      <c r="AZ62" s="7"/>
      <c r="BB62" s="124">
        <v>43818</v>
      </c>
      <c r="BC62" s="2">
        <v>10.23</v>
      </c>
      <c r="BD62" s="2">
        <v>9.66</v>
      </c>
      <c r="BE62" s="2">
        <v>9.6999999999999993</v>
      </c>
      <c r="BF62" s="2">
        <v>10.47</v>
      </c>
      <c r="BG62" s="2">
        <v>11.01</v>
      </c>
      <c r="BH62" s="2">
        <v>11.09</v>
      </c>
      <c r="BI62" s="2">
        <v>10.75</v>
      </c>
      <c r="BJ62" s="2">
        <v>10.1</v>
      </c>
      <c r="BK62" s="2">
        <v>11.37</v>
      </c>
      <c r="BL62" s="2">
        <v>10.92</v>
      </c>
      <c r="BM62" s="7"/>
      <c r="BN62" s="7"/>
      <c r="BO62" s="128">
        <v>44133</v>
      </c>
      <c r="BP62" s="2">
        <v>12.34</v>
      </c>
      <c r="BQ62" s="2">
        <v>11.16</v>
      </c>
      <c r="BR62" s="2">
        <v>10.66</v>
      </c>
      <c r="BS62" s="2">
        <v>11.42</v>
      </c>
      <c r="BT62" s="2"/>
      <c r="BU62" s="2"/>
      <c r="BV62" s="7"/>
      <c r="BW62" s="128">
        <v>44133</v>
      </c>
      <c r="BX62" s="2">
        <v>66.5</v>
      </c>
      <c r="BY62" s="2">
        <v>55.75</v>
      </c>
      <c r="BZ62" s="2">
        <v>49.75</v>
      </c>
      <c r="CA62" s="2">
        <v>45</v>
      </c>
    </row>
    <row r="63" spans="1:79" x14ac:dyDescent="0.2">
      <c r="A63" s="124">
        <v>43819</v>
      </c>
      <c r="B63">
        <v>101.25</v>
      </c>
      <c r="C63">
        <v>97.875</v>
      </c>
      <c r="D63">
        <v>93.875</v>
      </c>
      <c r="E63" s="17">
        <v>90.185000000000002</v>
      </c>
      <c r="F63">
        <v>94.375</v>
      </c>
      <c r="G63">
        <v>93.375</v>
      </c>
      <c r="H63">
        <v>90.75</v>
      </c>
      <c r="I63">
        <v>87.875</v>
      </c>
      <c r="J63" s="17">
        <v>95.625</v>
      </c>
      <c r="K63" s="17">
        <v>74.168000000000006</v>
      </c>
      <c r="L63" s="7"/>
      <c r="N63" s="124">
        <v>43819</v>
      </c>
      <c r="O63" s="2">
        <v>10.10195</v>
      </c>
      <c r="P63" s="2">
        <v>9.4853500000000004</v>
      </c>
      <c r="Q63" s="2">
        <v>9.66</v>
      </c>
      <c r="R63" s="2">
        <v>10.335000000000001</v>
      </c>
      <c r="S63" s="2">
        <v>10.82</v>
      </c>
      <c r="T63" s="2">
        <v>10.9474</v>
      </c>
      <c r="U63" s="2">
        <v>10.64085</v>
      </c>
      <c r="V63" s="2">
        <v>10.104050000000001</v>
      </c>
      <c r="W63" s="2">
        <v>11.53</v>
      </c>
      <c r="X63" s="2">
        <v>14.3675</v>
      </c>
      <c r="Y63" s="7"/>
      <c r="Z63" s="7"/>
      <c r="AA63" s="128">
        <v>44134</v>
      </c>
      <c r="AB63" s="2">
        <v>12.276198000000001</v>
      </c>
      <c r="AC63" s="2">
        <v>11.212172000000001</v>
      </c>
      <c r="AD63" s="2">
        <v>10.643701</v>
      </c>
      <c r="AE63" s="2">
        <v>10.952696</v>
      </c>
      <c r="AF63" s="2"/>
      <c r="AG63" s="2"/>
      <c r="AH63" s="7"/>
      <c r="AI63" s="128">
        <v>44134</v>
      </c>
      <c r="AJ63" s="2">
        <v>66.75</v>
      </c>
      <c r="AK63" s="2">
        <v>55.5</v>
      </c>
      <c r="AL63" s="2">
        <v>49.875</v>
      </c>
      <c r="AM63" s="2">
        <v>45.5</v>
      </c>
      <c r="AO63" s="124">
        <v>43819</v>
      </c>
      <c r="AP63">
        <v>101.5</v>
      </c>
      <c r="AQ63">
        <v>97.875</v>
      </c>
      <c r="AR63">
        <v>93.875</v>
      </c>
      <c r="AS63" s="17">
        <v>90.185000000000002</v>
      </c>
      <c r="AT63">
        <v>94.375</v>
      </c>
      <c r="AU63">
        <v>93.375</v>
      </c>
      <c r="AV63">
        <v>90.75</v>
      </c>
      <c r="AW63">
        <v>87.875</v>
      </c>
      <c r="AX63" s="17">
        <v>96.625</v>
      </c>
      <c r="AY63" s="17">
        <v>92.216999999999999</v>
      </c>
      <c r="AZ63" s="7"/>
      <c r="BB63" s="124">
        <v>43819</v>
      </c>
      <c r="BC63" s="2">
        <v>9.98</v>
      </c>
      <c r="BD63" s="2">
        <v>9.48</v>
      </c>
      <c r="BE63" s="2">
        <v>9.66</v>
      </c>
      <c r="BF63" s="2">
        <v>10.33</v>
      </c>
      <c r="BG63" s="2">
        <v>10.82</v>
      </c>
      <c r="BH63" s="2">
        <v>10.95</v>
      </c>
      <c r="BI63" s="2">
        <v>10.64</v>
      </c>
      <c r="BJ63" s="2">
        <v>10.1</v>
      </c>
      <c r="BK63" s="2">
        <v>11.35</v>
      </c>
      <c r="BL63" s="2">
        <v>10.77</v>
      </c>
      <c r="BM63" s="7"/>
      <c r="BN63" s="7"/>
      <c r="BO63" s="128">
        <v>44134</v>
      </c>
      <c r="BP63" s="2">
        <v>12.34</v>
      </c>
      <c r="BQ63" s="2">
        <v>11.16</v>
      </c>
      <c r="BR63" s="2">
        <v>10.66</v>
      </c>
      <c r="BS63" s="2">
        <v>11.42</v>
      </c>
      <c r="BT63" s="2"/>
      <c r="BU63" s="2"/>
      <c r="BV63" s="7"/>
      <c r="BW63" s="128">
        <v>44134</v>
      </c>
      <c r="BX63" s="2">
        <v>66.5</v>
      </c>
      <c r="BY63" s="2">
        <v>55.75</v>
      </c>
      <c r="BZ63" s="2">
        <v>49.75</v>
      </c>
      <c r="CA63" s="2">
        <v>45</v>
      </c>
    </row>
    <row r="64" spans="1:79" x14ac:dyDescent="0.2">
      <c r="A64" s="124">
        <v>43822</v>
      </c>
      <c r="B64">
        <v>101.25</v>
      </c>
      <c r="C64">
        <v>97.625</v>
      </c>
      <c r="D64">
        <v>94.25</v>
      </c>
      <c r="E64" s="17">
        <v>91.063999999999993</v>
      </c>
      <c r="F64">
        <v>94.5</v>
      </c>
      <c r="G64">
        <v>93.625</v>
      </c>
      <c r="H64">
        <v>91</v>
      </c>
      <c r="I64">
        <v>88.5</v>
      </c>
      <c r="J64" s="17">
        <v>97</v>
      </c>
      <c r="K64" s="17">
        <v>92.971500000000006</v>
      </c>
      <c r="L64" s="7"/>
      <c r="N64" s="124">
        <v>43822</v>
      </c>
      <c r="O64" s="2">
        <v>10.1005</v>
      </c>
      <c r="P64" s="2">
        <v>9.5744000000000007</v>
      </c>
      <c r="Q64" s="2">
        <v>9.56</v>
      </c>
      <c r="R64" s="2">
        <v>10.103</v>
      </c>
      <c r="S64" s="2">
        <v>10.79</v>
      </c>
      <c r="T64" s="2">
        <v>10.8957</v>
      </c>
      <c r="U64" s="2">
        <v>10.59075</v>
      </c>
      <c r="V64" s="2">
        <v>9.9808000000000003</v>
      </c>
      <c r="W64" s="2">
        <v>11.28</v>
      </c>
      <c r="X64" s="2">
        <v>10.637449999999999</v>
      </c>
      <c r="Y64" s="7"/>
      <c r="Z64" s="7"/>
      <c r="AA64" s="128">
        <v>44137</v>
      </c>
      <c r="AB64" s="2">
        <v>12.248977</v>
      </c>
      <c r="AC64" s="2">
        <v>11.190004999999999</v>
      </c>
      <c r="AD64" s="2">
        <v>10.623518000000001</v>
      </c>
      <c r="AE64" s="2">
        <v>10.917208</v>
      </c>
      <c r="AF64" s="2"/>
      <c r="AG64" s="2"/>
      <c r="AH64" s="7"/>
      <c r="AI64" s="128">
        <v>44137</v>
      </c>
      <c r="AJ64" s="2">
        <v>66.875</v>
      </c>
      <c r="AK64" s="2">
        <v>55.625</v>
      </c>
      <c r="AL64" s="2">
        <v>50</v>
      </c>
      <c r="AM64" s="2">
        <v>45.625</v>
      </c>
      <c r="AO64" s="124">
        <v>43822</v>
      </c>
      <c r="AP64">
        <v>101.25</v>
      </c>
      <c r="AQ64">
        <v>97.625</v>
      </c>
      <c r="AR64">
        <v>94.25</v>
      </c>
      <c r="AS64" s="17">
        <v>91.063999999999993</v>
      </c>
      <c r="AT64">
        <v>94.5</v>
      </c>
      <c r="AU64">
        <v>93.625</v>
      </c>
      <c r="AV64">
        <v>91.265000000000001</v>
      </c>
      <c r="AW64">
        <v>88.5</v>
      </c>
      <c r="AX64" s="17">
        <v>97</v>
      </c>
      <c r="AY64" s="17">
        <v>92.972999999999999</v>
      </c>
      <c r="AZ64" s="7"/>
      <c r="BB64" s="124">
        <v>43822</v>
      </c>
      <c r="BC64" s="2">
        <v>10.1</v>
      </c>
      <c r="BD64" s="2">
        <v>9.57</v>
      </c>
      <c r="BE64" s="2">
        <v>9.56</v>
      </c>
      <c r="BF64" s="2">
        <v>10.1</v>
      </c>
      <c r="BG64" s="2">
        <v>10.79</v>
      </c>
      <c r="BH64" s="2">
        <v>10.9</v>
      </c>
      <c r="BI64" s="2">
        <v>10.54</v>
      </c>
      <c r="BJ64" s="2">
        <v>9.98</v>
      </c>
      <c r="BK64" s="2">
        <v>11.28</v>
      </c>
      <c r="BL64" s="2">
        <v>10.64</v>
      </c>
      <c r="BM64" s="7"/>
      <c r="BN64" s="7"/>
      <c r="BO64" s="128">
        <v>44137</v>
      </c>
      <c r="BP64" s="2">
        <v>12.25</v>
      </c>
      <c r="BQ64" s="2">
        <v>11.19</v>
      </c>
      <c r="BR64" s="2">
        <v>10.6</v>
      </c>
      <c r="BS64" s="2">
        <v>11.22</v>
      </c>
      <c r="BT64" s="2"/>
      <c r="BU64" s="2"/>
      <c r="BV64" s="7"/>
      <c r="BW64" s="128">
        <v>44137</v>
      </c>
      <c r="BX64" s="2">
        <v>66.875</v>
      </c>
      <c r="BY64" s="2">
        <v>55.625</v>
      </c>
      <c r="BZ64" s="2">
        <v>50.125</v>
      </c>
      <c r="CA64" s="2">
        <v>45.625</v>
      </c>
    </row>
    <row r="65" spans="1:79" x14ac:dyDescent="0.2">
      <c r="A65" s="124">
        <v>43823</v>
      </c>
      <c r="B65">
        <v>101.25</v>
      </c>
      <c r="C65">
        <v>97.625</v>
      </c>
      <c r="D65">
        <v>94.25</v>
      </c>
      <c r="E65" s="17">
        <v>91.067499999999995</v>
      </c>
      <c r="F65">
        <v>94.5</v>
      </c>
      <c r="G65">
        <v>93.625</v>
      </c>
      <c r="H65">
        <v>91</v>
      </c>
      <c r="I65">
        <v>88.5</v>
      </c>
      <c r="J65" s="17">
        <v>97</v>
      </c>
      <c r="K65" s="17">
        <v>92.972499999999997</v>
      </c>
      <c r="L65" s="7"/>
      <c r="N65" s="124">
        <v>43823</v>
      </c>
      <c r="O65" s="2">
        <v>10.0998</v>
      </c>
      <c r="P65" s="2">
        <v>9.5748499999999996</v>
      </c>
      <c r="Q65" s="2">
        <v>9.56</v>
      </c>
      <c r="R65" s="2">
        <v>10.103</v>
      </c>
      <c r="S65" s="2">
        <v>10.79</v>
      </c>
      <c r="T65" s="2">
        <v>10.895899999999999</v>
      </c>
      <c r="U65" s="2">
        <v>10.591150000000001</v>
      </c>
      <c r="V65" s="2">
        <v>9.9814500000000006</v>
      </c>
      <c r="W65" s="2">
        <v>11.28</v>
      </c>
      <c r="X65" s="2">
        <v>10.637499999999999</v>
      </c>
      <c r="Y65" s="7"/>
      <c r="Z65" s="7"/>
      <c r="AA65" s="128">
        <v>44138</v>
      </c>
      <c r="AB65" s="2">
        <v>12.092212</v>
      </c>
      <c r="AC65" s="2">
        <v>11.117615000000001</v>
      </c>
      <c r="AD65" s="2">
        <v>10.514218</v>
      </c>
      <c r="AE65" s="2">
        <v>10.646224999999999</v>
      </c>
      <c r="AF65" s="2"/>
      <c r="AG65" s="2"/>
      <c r="AH65" s="7"/>
      <c r="AI65" s="128">
        <v>44138</v>
      </c>
      <c r="AJ65" s="2">
        <v>67.5</v>
      </c>
      <c r="AK65" s="2">
        <v>56</v>
      </c>
      <c r="AL65" s="2">
        <v>50.625</v>
      </c>
      <c r="AM65" s="2">
        <v>46.5</v>
      </c>
      <c r="AO65" s="124">
        <v>43823</v>
      </c>
      <c r="AP65">
        <v>101.25</v>
      </c>
      <c r="AQ65">
        <v>97.625</v>
      </c>
      <c r="AR65">
        <v>94.25</v>
      </c>
      <c r="AS65" s="17">
        <v>91.075000000000003</v>
      </c>
      <c r="AT65">
        <v>94.5</v>
      </c>
      <c r="AU65">
        <v>93.625</v>
      </c>
      <c r="AV65">
        <v>91</v>
      </c>
      <c r="AW65">
        <v>88.5</v>
      </c>
      <c r="AX65" s="17">
        <v>97</v>
      </c>
      <c r="AY65" s="17">
        <v>92.975999999999999</v>
      </c>
      <c r="AZ65" s="7"/>
      <c r="BB65" s="124">
        <v>43823</v>
      </c>
      <c r="BC65" s="2">
        <v>10.1</v>
      </c>
      <c r="BD65" s="2">
        <v>9.58</v>
      </c>
      <c r="BE65" s="2">
        <v>9.56</v>
      </c>
      <c r="BF65" s="2">
        <v>10.1</v>
      </c>
      <c r="BG65" s="2">
        <v>10.79</v>
      </c>
      <c r="BH65" s="2">
        <v>10.9</v>
      </c>
      <c r="BI65" s="2">
        <v>10.59</v>
      </c>
      <c r="BJ65" s="2">
        <v>9.98</v>
      </c>
      <c r="BK65" s="2">
        <v>11.28</v>
      </c>
      <c r="BL65" s="2">
        <v>10.64</v>
      </c>
      <c r="BM65" s="7"/>
      <c r="BN65" s="7"/>
      <c r="BO65" s="128">
        <v>44138</v>
      </c>
      <c r="BP65" s="2">
        <v>12.09</v>
      </c>
      <c r="BQ65" s="2">
        <v>11.12</v>
      </c>
      <c r="BR65" s="2">
        <v>10.49</v>
      </c>
      <c r="BS65" s="2">
        <v>10.93</v>
      </c>
      <c r="BT65" s="2"/>
      <c r="BU65" s="2"/>
      <c r="BV65" s="7"/>
      <c r="BW65" s="128">
        <v>44138</v>
      </c>
      <c r="BX65" s="2">
        <v>67.5</v>
      </c>
      <c r="BY65" s="2">
        <v>56</v>
      </c>
      <c r="BZ65" s="2">
        <v>50.75</v>
      </c>
      <c r="CA65" s="2">
        <v>46.5</v>
      </c>
    </row>
    <row r="66" spans="1:79" x14ac:dyDescent="0.2">
      <c r="A66" s="124">
        <v>43824</v>
      </c>
      <c r="B66">
        <v>101.25</v>
      </c>
      <c r="C66">
        <v>97.625</v>
      </c>
      <c r="D66">
        <v>94.25</v>
      </c>
      <c r="E66" s="17">
        <v>91.067499999999995</v>
      </c>
      <c r="F66">
        <v>94.5</v>
      </c>
      <c r="G66">
        <v>93.625</v>
      </c>
      <c r="H66">
        <v>91</v>
      </c>
      <c r="I66">
        <v>88.5</v>
      </c>
      <c r="J66" s="17">
        <v>97</v>
      </c>
      <c r="K66" s="17">
        <v>92.972499999999997</v>
      </c>
      <c r="L66" s="7"/>
      <c r="N66" s="124">
        <v>43824</v>
      </c>
      <c r="O66" s="2">
        <v>10.0998</v>
      </c>
      <c r="P66" s="2">
        <v>9.5748499999999996</v>
      </c>
      <c r="Q66" s="2">
        <v>9.56</v>
      </c>
      <c r="R66" s="2">
        <v>10.103</v>
      </c>
      <c r="S66" s="2">
        <v>10.79</v>
      </c>
      <c r="T66" s="2">
        <v>10.895899999999999</v>
      </c>
      <c r="U66" s="2">
        <v>10.591150000000001</v>
      </c>
      <c r="V66" s="2">
        <v>9.9814500000000006</v>
      </c>
      <c r="W66" s="2">
        <v>11.28</v>
      </c>
      <c r="X66" s="2">
        <v>10.637499999999999</v>
      </c>
      <c r="Y66" s="7"/>
      <c r="Z66" s="7"/>
      <c r="AA66" s="128">
        <v>44139</v>
      </c>
      <c r="AB66" s="2">
        <v>11.841713</v>
      </c>
      <c r="AC66" s="2">
        <v>11.020937999999999</v>
      </c>
      <c r="AD66" s="2">
        <v>10.363042</v>
      </c>
      <c r="AE66" s="2">
        <v>10.342618999999999</v>
      </c>
      <c r="AF66" s="2"/>
      <c r="AG66" s="2"/>
      <c r="AH66" s="7"/>
      <c r="AI66" s="128">
        <v>44139</v>
      </c>
      <c r="AJ66" s="2">
        <v>68.5</v>
      </c>
      <c r="AK66" s="2">
        <v>56.5</v>
      </c>
      <c r="AL66" s="2">
        <v>51.5</v>
      </c>
      <c r="AM66" s="2">
        <v>47.5</v>
      </c>
      <c r="AO66" s="124">
        <v>43824</v>
      </c>
      <c r="AP66">
        <v>101.25</v>
      </c>
      <c r="AQ66">
        <v>97.625</v>
      </c>
      <c r="AR66">
        <v>94.25</v>
      </c>
      <c r="AS66" s="17">
        <v>91.075000000000003</v>
      </c>
      <c r="AT66">
        <v>94.5</v>
      </c>
      <c r="AU66">
        <v>93.625</v>
      </c>
      <c r="AV66">
        <v>91</v>
      </c>
      <c r="AW66">
        <v>88.5</v>
      </c>
      <c r="AX66" s="17">
        <v>97</v>
      </c>
      <c r="AY66" s="17">
        <v>92.975999999999999</v>
      </c>
      <c r="AZ66" s="7"/>
      <c r="BB66" s="124">
        <v>43824</v>
      </c>
      <c r="BC66" s="2">
        <v>10.1</v>
      </c>
      <c r="BD66" s="2">
        <v>9.58</v>
      </c>
      <c r="BE66" s="2">
        <v>9.56</v>
      </c>
      <c r="BF66" s="2">
        <v>10.1</v>
      </c>
      <c r="BG66" s="2">
        <v>10.79</v>
      </c>
      <c r="BH66" s="2">
        <v>10.9</v>
      </c>
      <c r="BI66" s="2">
        <v>10.59</v>
      </c>
      <c r="BJ66" s="2">
        <v>9.98</v>
      </c>
      <c r="BK66" s="2">
        <v>11.28</v>
      </c>
      <c r="BL66" s="2">
        <v>10.64</v>
      </c>
      <c r="BM66" s="7"/>
      <c r="BN66" s="7"/>
      <c r="BO66" s="128">
        <v>44139</v>
      </c>
      <c r="BP66" s="2">
        <v>11.84</v>
      </c>
      <c r="BQ66" s="2">
        <v>10.73</v>
      </c>
      <c r="BR66" s="2">
        <v>10.19</v>
      </c>
      <c r="BS66" s="2">
        <v>10.61</v>
      </c>
      <c r="BT66" s="2"/>
      <c r="BU66" s="2"/>
      <c r="BV66" s="7"/>
      <c r="BW66" s="128">
        <v>44139</v>
      </c>
      <c r="BX66" s="2">
        <v>68.5</v>
      </c>
      <c r="BY66" s="2">
        <v>58</v>
      </c>
      <c r="BZ66" s="2">
        <v>52.5</v>
      </c>
      <c r="CA66" s="2">
        <v>47.5</v>
      </c>
    </row>
    <row r="67" spans="1:79" x14ac:dyDescent="0.2">
      <c r="A67" s="124">
        <v>43825</v>
      </c>
      <c r="B67">
        <v>101.25</v>
      </c>
      <c r="C67">
        <v>97.625</v>
      </c>
      <c r="D67">
        <v>94.25</v>
      </c>
      <c r="E67" s="17">
        <v>91.078500000000005</v>
      </c>
      <c r="F67">
        <v>94.5</v>
      </c>
      <c r="G67">
        <v>93.625</v>
      </c>
      <c r="H67">
        <v>91</v>
      </c>
      <c r="I67">
        <v>88.5</v>
      </c>
      <c r="J67" s="17">
        <v>97</v>
      </c>
      <c r="K67" s="17">
        <v>92.975499999999997</v>
      </c>
      <c r="L67" s="7"/>
      <c r="N67" s="124">
        <v>43825</v>
      </c>
      <c r="O67" s="2">
        <v>10.09765</v>
      </c>
      <c r="P67" s="2">
        <v>9.5761500000000002</v>
      </c>
      <c r="Q67" s="2">
        <v>9.56</v>
      </c>
      <c r="R67" s="2">
        <v>10.10295</v>
      </c>
      <c r="S67" s="2">
        <v>10.79</v>
      </c>
      <c r="T67" s="2">
        <v>10.896599999999999</v>
      </c>
      <c r="U67" s="2">
        <v>10.59235</v>
      </c>
      <c r="V67" s="2">
        <v>9.9832000000000001</v>
      </c>
      <c r="W67" s="2">
        <v>11.28</v>
      </c>
      <c r="X67" s="2">
        <v>10.637499999999999</v>
      </c>
      <c r="Y67" s="7"/>
      <c r="Z67" s="7"/>
      <c r="AA67" s="128">
        <v>44140</v>
      </c>
      <c r="AB67" s="2">
        <v>11.857353</v>
      </c>
      <c r="AC67" s="2">
        <v>11.030163</v>
      </c>
      <c r="AD67" s="2">
        <v>10.369864</v>
      </c>
      <c r="AE67" s="2">
        <v>10.354775</v>
      </c>
      <c r="AF67" s="2"/>
      <c r="AG67" s="2"/>
      <c r="AH67" s="7"/>
      <c r="AI67" s="128">
        <v>44140</v>
      </c>
      <c r="AJ67" s="2">
        <v>68.5</v>
      </c>
      <c r="AK67" s="2">
        <v>56.5</v>
      </c>
      <c r="AL67" s="2">
        <v>51.5</v>
      </c>
      <c r="AM67" s="2">
        <v>47.5</v>
      </c>
      <c r="AO67" s="124">
        <v>43825</v>
      </c>
      <c r="AP67">
        <v>101.25</v>
      </c>
      <c r="AQ67">
        <v>97.625</v>
      </c>
      <c r="AR67">
        <v>94.25</v>
      </c>
      <c r="AS67" s="17">
        <v>91.075000000000003</v>
      </c>
      <c r="AT67">
        <v>94.5</v>
      </c>
      <c r="AU67">
        <v>93.625</v>
      </c>
      <c r="AV67">
        <v>91</v>
      </c>
      <c r="AW67">
        <v>88.5</v>
      </c>
      <c r="AX67" s="17">
        <v>97</v>
      </c>
      <c r="AY67" s="17">
        <v>92.975999999999999</v>
      </c>
      <c r="AZ67" s="7"/>
      <c r="BB67" s="124">
        <v>43825</v>
      </c>
      <c r="BC67" s="2">
        <v>10.1</v>
      </c>
      <c r="BD67" s="2">
        <v>9.58</v>
      </c>
      <c r="BE67" s="2">
        <v>9.56</v>
      </c>
      <c r="BF67" s="2">
        <v>10.1</v>
      </c>
      <c r="BG67" s="2">
        <v>10.79</v>
      </c>
      <c r="BH67" s="2">
        <v>10.9</v>
      </c>
      <c r="BI67" s="2">
        <v>10.59</v>
      </c>
      <c r="BJ67" s="2">
        <v>9.98</v>
      </c>
      <c r="BK67" s="2">
        <v>11.28</v>
      </c>
      <c r="BL67" s="2">
        <v>10.64</v>
      </c>
      <c r="BM67" s="7"/>
      <c r="BN67" s="7"/>
      <c r="BO67" s="128">
        <v>44140</v>
      </c>
      <c r="BP67" s="2">
        <v>11.86</v>
      </c>
      <c r="BQ67" s="2">
        <v>10.74</v>
      </c>
      <c r="BR67" s="2">
        <v>10.199999999999999</v>
      </c>
      <c r="BS67" s="2">
        <v>10.62</v>
      </c>
      <c r="BT67" s="2"/>
      <c r="BU67" s="2"/>
      <c r="BV67" s="7"/>
      <c r="BW67" s="128">
        <v>44140</v>
      </c>
      <c r="BX67" s="2">
        <v>68.5</v>
      </c>
      <c r="BY67" s="2">
        <v>58</v>
      </c>
      <c r="BZ67" s="2">
        <v>52.5</v>
      </c>
      <c r="CA67" s="2">
        <v>47.5</v>
      </c>
    </row>
    <row r="68" spans="1:79" x14ac:dyDescent="0.2">
      <c r="A68" s="124">
        <v>43826</v>
      </c>
      <c r="B68">
        <v>102.25</v>
      </c>
      <c r="C68">
        <v>98.75</v>
      </c>
      <c r="D68">
        <v>95</v>
      </c>
      <c r="E68" s="17">
        <v>92.192499999999995</v>
      </c>
      <c r="F68">
        <v>95.25</v>
      </c>
      <c r="G68">
        <v>94.5</v>
      </c>
      <c r="H68">
        <v>92</v>
      </c>
      <c r="I68">
        <v>89.25</v>
      </c>
      <c r="J68" s="17">
        <v>97.75</v>
      </c>
      <c r="K68" s="17">
        <v>93.096000000000004</v>
      </c>
      <c r="L68" s="7"/>
      <c r="N68" s="124">
        <v>43826</v>
      </c>
      <c r="O68" s="2">
        <v>9.5967500000000001</v>
      </c>
      <c r="P68" s="2">
        <v>9.1714500000000001</v>
      </c>
      <c r="Q68" s="2">
        <v>9.34</v>
      </c>
      <c r="R68" s="2">
        <v>9.8041</v>
      </c>
      <c r="S68" s="2">
        <v>10.63</v>
      </c>
      <c r="T68" s="2">
        <v>10.71515</v>
      </c>
      <c r="U68" s="2">
        <v>10.3855</v>
      </c>
      <c r="V68" s="2">
        <v>9.8352000000000004</v>
      </c>
      <c r="W68" s="2">
        <v>11.15</v>
      </c>
      <c r="X68" s="2">
        <v>10.612500000000001</v>
      </c>
      <c r="Y68" s="7"/>
      <c r="Z68" s="7"/>
      <c r="AA68" s="128">
        <v>44141</v>
      </c>
      <c r="AB68" s="2">
        <v>11.73611</v>
      </c>
      <c r="AC68" s="2">
        <v>10.643971000000001</v>
      </c>
      <c r="AD68" s="2">
        <v>10.285786999999999</v>
      </c>
      <c r="AE68" s="2">
        <v>10.207374</v>
      </c>
      <c r="AF68" s="2"/>
      <c r="AG68" s="2"/>
      <c r="AH68" s="7"/>
      <c r="AI68" s="128">
        <v>44141</v>
      </c>
      <c r="AJ68" s="2">
        <v>69</v>
      </c>
      <c r="AK68" s="2">
        <v>58.5</v>
      </c>
      <c r="AL68" s="2">
        <v>52</v>
      </c>
      <c r="AM68" s="2">
        <v>48</v>
      </c>
      <c r="AO68" s="124">
        <v>43826</v>
      </c>
      <c r="AP68">
        <v>102.25</v>
      </c>
      <c r="AQ68">
        <v>98.75</v>
      </c>
      <c r="AR68">
        <v>95</v>
      </c>
      <c r="AS68" s="17">
        <v>92.191999999999993</v>
      </c>
      <c r="AT68">
        <v>95.155000000000001</v>
      </c>
      <c r="AU68">
        <v>94.545000000000002</v>
      </c>
      <c r="AV68">
        <v>92.055000000000007</v>
      </c>
      <c r="AW68">
        <v>89.25</v>
      </c>
      <c r="AX68" s="17">
        <v>97.75</v>
      </c>
      <c r="AY68" s="17">
        <v>93.096000000000004</v>
      </c>
      <c r="AZ68" s="7"/>
      <c r="BB68" s="124">
        <v>43826</v>
      </c>
      <c r="BC68" s="2">
        <v>9.6</v>
      </c>
      <c r="BD68" s="2">
        <v>9.17</v>
      </c>
      <c r="BE68" s="2">
        <v>9.34</v>
      </c>
      <c r="BF68" s="2">
        <v>9.8000000000000007</v>
      </c>
      <c r="BG68" s="2">
        <v>10.65</v>
      </c>
      <c r="BH68" s="2">
        <v>10.71</v>
      </c>
      <c r="BI68" s="2">
        <v>10.38</v>
      </c>
      <c r="BJ68" s="2">
        <v>9.83</v>
      </c>
      <c r="BK68" s="2">
        <v>11.15</v>
      </c>
      <c r="BL68" s="2">
        <v>10.61</v>
      </c>
      <c r="BM68" s="7"/>
      <c r="BN68" s="7"/>
      <c r="BO68" s="128">
        <v>44141</v>
      </c>
      <c r="BP68" s="2">
        <v>11.74</v>
      </c>
      <c r="BQ68" s="2">
        <v>10.64</v>
      </c>
      <c r="BR68" s="2">
        <v>10.119999999999999</v>
      </c>
      <c r="BS68" s="2">
        <v>10.47</v>
      </c>
      <c r="BT68" s="2"/>
      <c r="BU68" s="2"/>
      <c r="BV68" s="7"/>
      <c r="BW68" s="128">
        <v>44141</v>
      </c>
      <c r="BX68" s="2">
        <v>69</v>
      </c>
      <c r="BY68" s="2">
        <v>58.5</v>
      </c>
      <c r="BZ68" s="2">
        <v>53</v>
      </c>
      <c r="CA68" s="2">
        <v>48</v>
      </c>
    </row>
    <row r="69" spans="1:79" x14ac:dyDescent="0.2">
      <c r="A69" s="124">
        <v>43829</v>
      </c>
      <c r="B69">
        <v>102.25</v>
      </c>
      <c r="C69">
        <v>99.25</v>
      </c>
      <c r="D69">
        <v>95.25</v>
      </c>
      <c r="E69" s="17">
        <v>91.691000000000003</v>
      </c>
      <c r="F69">
        <v>95.5</v>
      </c>
      <c r="G69">
        <v>94.75</v>
      </c>
      <c r="H69">
        <v>92.25</v>
      </c>
      <c r="I69">
        <v>89.25</v>
      </c>
      <c r="J69" s="17">
        <v>98</v>
      </c>
      <c r="K69" s="17">
        <v>93.347499999999997</v>
      </c>
      <c r="L69" s="7"/>
      <c r="N69" s="124">
        <v>43829</v>
      </c>
      <c r="O69" s="2">
        <v>9.5943000000000005</v>
      </c>
      <c r="P69" s="2">
        <v>9.0058000000000007</v>
      </c>
      <c r="Q69" s="2">
        <v>9.27</v>
      </c>
      <c r="R69" s="2">
        <v>9.9429999999999996</v>
      </c>
      <c r="S69" s="2">
        <v>10.58</v>
      </c>
      <c r="T69" s="2">
        <v>10.66405</v>
      </c>
      <c r="U69" s="2">
        <v>10.341049999999999</v>
      </c>
      <c r="V69" s="2">
        <v>9.8362999999999996</v>
      </c>
      <c r="W69" s="2">
        <v>11.1</v>
      </c>
      <c r="X69" s="2">
        <v>10.5745</v>
      </c>
      <c r="Y69" s="7"/>
      <c r="Z69" s="7"/>
      <c r="AA69" s="128">
        <v>44144</v>
      </c>
      <c r="AB69" s="2">
        <v>11.496584</v>
      </c>
      <c r="AC69" s="2">
        <v>10.461067</v>
      </c>
      <c r="AD69" s="2">
        <v>10.120557</v>
      </c>
      <c r="AE69" s="2">
        <v>9.4827969999999997</v>
      </c>
      <c r="AF69" s="2"/>
      <c r="AG69" s="2"/>
      <c r="AH69" s="7"/>
      <c r="AI69" s="128">
        <v>44144</v>
      </c>
      <c r="AJ69" s="2">
        <v>70</v>
      </c>
      <c r="AK69" s="2">
        <v>59.5</v>
      </c>
      <c r="AL69" s="2">
        <v>53</v>
      </c>
      <c r="AM69" s="2">
        <v>50.5</v>
      </c>
      <c r="AO69" s="124">
        <v>43829</v>
      </c>
      <c r="AP69">
        <v>102.25</v>
      </c>
      <c r="AQ69">
        <v>99.25</v>
      </c>
      <c r="AR69">
        <v>95.25</v>
      </c>
      <c r="AS69" s="17">
        <v>91.691000000000003</v>
      </c>
      <c r="AT69">
        <v>95.5</v>
      </c>
      <c r="AU69">
        <v>94.75</v>
      </c>
      <c r="AV69">
        <v>92.25</v>
      </c>
      <c r="AW69">
        <v>89.25</v>
      </c>
      <c r="AX69" s="17">
        <v>98</v>
      </c>
      <c r="AY69" s="17">
        <v>93.347999999999999</v>
      </c>
      <c r="AZ69" s="7"/>
      <c r="BB69" s="124">
        <v>43829</v>
      </c>
      <c r="BC69" s="2">
        <v>9.59</v>
      </c>
      <c r="BD69" s="2">
        <v>9.01</v>
      </c>
      <c r="BE69" s="2">
        <v>9.27</v>
      </c>
      <c r="BF69" s="2">
        <v>9.94</v>
      </c>
      <c r="BG69" s="2">
        <v>10.58</v>
      </c>
      <c r="BH69" s="2">
        <v>10.66</v>
      </c>
      <c r="BI69" s="2">
        <v>10.34</v>
      </c>
      <c r="BJ69" s="2">
        <v>9.84</v>
      </c>
      <c r="BK69" s="2">
        <v>11.1</v>
      </c>
      <c r="BL69" s="2">
        <v>10.57</v>
      </c>
      <c r="BM69" s="7"/>
      <c r="BN69" s="7"/>
      <c r="BO69" s="128">
        <v>44144</v>
      </c>
      <c r="BP69" s="2">
        <v>11.5</v>
      </c>
      <c r="BQ69" s="2">
        <v>10.46</v>
      </c>
      <c r="BR69" s="2">
        <v>9.9499999999999993</v>
      </c>
      <c r="BS69" s="2">
        <v>9.7100000000000009</v>
      </c>
      <c r="BT69" s="2"/>
      <c r="BU69" s="2"/>
      <c r="BV69" s="7"/>
      <c r="BW69" s="128">
        <v>44144</v>
      </c>
      <c r="BX69" s="2">
        <v>70</v>
      </c>
      <c r="BY69" s="2">
        <v>59.5</v>
      </c>
      <c r="BZ69" s="2">
        <v>54</v>
      </c>
      <c r="CA69" s="2">
        <v>50.5</v>
      </c>
    </row>
    <row r="70" spans="1:79" x14ac:dyDescent="0.2">
      <c r="A70" s="124">
        <v>43830</v>
      </c>
      <c r="B70">
        <v>102.25</v>
      </c>
      <c r="C70">
        <v>99.25</v>
      </c>
      <c r="D70">
        <v>95.25</v>
      </c>
      <c r="E70" s="17">
        <v>91.694500000000005</v>
      </c>
      <c r="F70">
        <v>95.5</v>
      </c>
      <c r="G70">
        <v>94.75</v>
      </c>
      <c r="H70">
        <v>92.25</v>
      </c>
      <c r="I70">
        <v>89.25</v>
      </c>
      <c r="J70" s="17">
        <v>98</v>
      </c>
      <c r="K70" s="17">
        <v>93.348500000000001</v>
      </c>
      <c r="L70" s="7"/>
      <c r="N70" s="124">
        <v>43830</v>
      </c>
      <c r="O70" s="2">
        <v>9.5930499999999999</v>
      </c>
      <c r="P70" s="2">
        <v>9.0058500000000006</v>
      </c>
      <c r="Q70" s="2">
        <v>9.27</v>
      </c>
      <c r="R70" s="2">
        <v>9.9429999999999996</v>
      </c>
      <c r="S70" s="2">
        <v>10.58</v>
      </c>
      <c r="T70" s="2">
        <v>10.664199999999999</v>
      </c>
      <c r="U70" s="2">
        <v>10.34135</v>
      </c>
      <c r="V70" s="2">
        <v>9.8369</v>
      </c>
      <c r="W70" s="2">
        <v>11.1</v>
      </c>
      <c r="X70" s="2">
        <v>10.5745</v>
      </c>
      <c r="Y70" s="7"/>
      <c r="Z70" s="7"/>
      <c r="AA70" s="128">
        <v>44145</v>
      </c>
      <c r="AB70" s="2">
        <v>11.626078</v>
      </c>
      <c r="AC70" s="2">
        <v>10.652837999999999</v>
      </c>
      <c r="AD70" s="2">
        <v>10.378976</v>
      </c>
      <c r="AE70" s="2">
        <v>9.7747270000000004</v>
      </c>
      <c r="AF70" s="2"/>
      <c r="AG70" s="2"/>
      <c r="AH70" s="7"/>
      <c r="AI70" s="128">
        <v>44145</v>
      </c>
      <c r="AJ70" s="2">
        <v>69.5</v>
      </c>
      <c r="AK70" s="2">
        <v>58.5</v>
      </c>
      <c r="AL70" s="2">
        <v>51.5</v>
      </c>
      <c r="AM70" s="2">
        <v>49.5</v>
      </c>
      <c r="AO70" s="124">
        <v>43830</v>
      </c>
      <c r="AP70">
        <v>102.25</v>
      </c>
      <c r="AQ70">
        <v>99.25</v>
      </c>
      <c r="AR70">
        <v>95.25</v>
      </c>
      <c r="AS70" s="17">
        <v>91.694999999999993</v>
      </c>
      <c r="AT70">
        <v>95.5</v>
      </c>
      <c r="AU70">
        <v>94.75</v>
      </c>
      <c r="AV70">
        <v>92.25</v>
      </c>
      <c r="AW70">
        <v>89.25</v>
      </c>
      <c r="AX70" s="17">
        <v>98</v>
      </c>
      <c r="AY70" s="17">
        <v>93.349000000000004</v>
      </c>
      <c r="AZ70" s="7"/>
      <c r="BB70" s="124">
        <v>43830</v>
      </c>
      <c r="BC70" s="2">
        <v>9.59</v>
      </c>
      <c r="BD70" s="2">
        <v>9.01</v>
      </c>
      <c r="BE70" s="2">
        <v>9.27</v>
      </c>
      <c r="BF70" s="2">
        <v>9.94</v>
      </c>
      <c r="BG70" s="2">
        <v>10.58</v>
      </c>
      <c r="BH70" s="2">
        <v>10.66</v>
      </c>
      <c r="BI70" s="2">
        <v>10.34</v>
      </c>
      <c r="BJ70" s="2">
        <v>9.84</v>
      </c>
      <c r="BK70" s="2">
        <v>11.1</v>
      </c>
      <c r="BL70" s="2">
        <v>10.57</v>
      </c>
      <c r="BM70" s="7"/>
      <c r="BN70" s="7"/>
      <c r="BO70" s="128">
        <v>44145</v>
      </c>
      <c r="BP70" s="2">
        <v>11.63</v>
      </c>
      <c r="BQ70" s="2">
        <v>10.75</v>
      </c>
      <c r="BR70" s="2">
        <v>10.1</v>
      </c>
      <c r="BS70" s="2">
        <v>10.01</v>
      </c>
      <c r="BT70" s="2"/>
      <c r="BU70" s="2"/>
      <c r="BV70" s="7"/>
      <c r="BW70" s="128">
        <v>44145</v>
      </c>
      <c r="BX70" s="2">
        <v>69.5</v>
      </c>
      <c r="BY70" s="2">
        <v>58</v>
      </c>
      <c r="BZ70" s="2">
        <v>53.125</v>
      </c>
      <c r="CA70" s="2">
        <v>49.5</v>
      </c>
    </row>
    <row r="71" spans="1:79" x14ac:dyDescent="0.2">
      <c r="A71" s="124">
        <v>43831</v>
      </c>
      <c r="B71">
        <v>102.25</v>
      </c>
      <c r="C71">
        <v>99.25</v>
      </c>
      <c r="D71">
        <v>95.25</v>
      </c>
      <c r="E71" s="17">
        <v>91.694500000000005</v>
      </c>
      <c r="F71">
        <v>95.5</v>
      </c>
      <c r="G71">
        <v>94.75</v>
      </c>
      <c r="H71">
        <v>92.25</v>
      </c>
      <c r="I71">
        <v>89.25</v>
      </c>
      <c r="J71" s="17">
        <v>98</v>
      </c>
      <c r="K71" s="17">
        <v>93.348500000000001</v>
      </c>
      <c r="L71" s="7"/>
      <c r="N71" s="124">
        <v>43831</v>
      </c>
      <c r="O71" s="2">
        <v>9.5930499999999999</v>
      </c>
      <c r="P71" s="2">
        <v>9.0058500000000006</v>
      </c>
      <c r="Q71" s="2">
        <v>9.27</v>
      </c>
      <c r="R71" s="2">
        <v>9.9429999999999996</v>
      </c>
      <c r="S71" s="2">
        <v>10.58</v>
      </c>
      <c r="T71" s="2">
        <v>10.664199999999999</v>
      </c>
      <c r="U71" s="2">
        <v>10.34135</v>
      </c>
      <c r="V71" s="2">
        <v>9.8369</v>
      </c>
      <c r="W71" s="2">
        <v>11.1</v>
      </c>
      <c r="X71" s="2">
        <v>10.5745</v>
      </c>
      <c r="Y71" s="7"/>
      <c r="Z71" s="7"/>
      <c r="AA71" s="128">
        <v>44146</v>
      </c>
      <c r="AB71" s="2">
        <v>11.878277000000001</v>
      </c>
      <c r="AC71" s="2">
        <v>10.845628</v>
      </c>
      <c r="AD71" s="2">
        <v>10.554997999999999</v>
      </c>
      <c r="AE71" s="2">
        <v>10.069474</v>
      </c>
      <c r="AF71" s="2"/>
      <c r="AG71" s="2"/>
      <c r="AH71" s="7"/>
      <c r="AI71" s="128">
        <v>44146</v>
      </c>
      <c r="AJ71" s="2">
        <v>68.5</v>
      </c>
      <c r="AK71" s="2">
        <v>57.5</v>
      </c>
      <c r="AL71" s="2">
        <v>50.5</v>
      </c>
      <c r="AM71" s="2">
        <v>48.5</v>
      </c>
      <c r="AO71" s="124">
        <v>43831</v>
      </c>
      <c r="AP71">
        <v>102.25</v>
      </c>
      <c r="AQ71">
        <v>99.25</v>
      </c>
      <c r="AR71">
        <v>95.25</v>
      </c>
      <c r="AS71" s="17">
        <v>91.694999999999993</v>
      </c>
      <c r="AT71">
        <v>95.5</v>
      </c>
      <c r="AU71">
        <v>94.75</v>
      </c>
      <c r="AV71">
        <v>92.25</v>
      </c>
      <c r="AW71">
        <v>89.25</v>
      </c>
      <c r="AX71" s="17">
        <v>98</v>
      </c>
      <c r="AY71" s="17">
        <v>93.349000000000004</v>
      </c>
      <c r="AZ71" s="7"/>
      <c r="BB71" s="124">
        <v>43831</v>
      </c>
      <c r="BC71" s="2">
        <v>9.59</v>
      </c>
      <c r="BD71" s="2">
        <v>9.01</v>
      </c>
      <c r="BE71" s="2">
        <v>9.27</v>
      </c>
      <c r="BF71" s="2">
        <v>9.94</v>
      </c>
      <c r="BG71" s="2">
        <v>10.58</v>
      </c>
      <c r="BH71" s="2">
        <v>10.66</v>
      </c>
      <c r="BI71" s="2">
        <v>10.34</v>
      </c>
      <c r="BJ71" s="2">
        <v>9.84</v>
      </c>
      <c r="BK71" s="2">
        <v>11.1</v>
      </c>
      <c r="BL71" s="2">
        <v>10.57</v>
      </c>
      <c r="BM71" s="7"/>
      <c r="BN71" s="7"/>
      <c r="BO71" s="128">
        <v>44146</v>
      </c>
      <c r="BP71" s="2">
        <v>12.36</v>
      </c>
      <c r="BQ71" s="2">
        <v>11.17</v>
      </c>
      <c r="BR71" s="2">
        <v>10.68</v>
      </c>
      <c r="BS71" s="2">
        <v>10.324</v>
      </c>
      <c r="BT71" s="2"/>
      <c r="BU71" s="2"/>
      <c r="BV71" s="7"/>
      <c r="BW71" s="128">
        <v>44146</v>
      </c>
      <c r="BX71" s="2">
        <v>66.655000000000001</v>
      </c>
      <c r="BY71" s="2">
        <v>55.88</v>
      </c>
      <c r="BZ71" s="2">
        <v>49.83</v>
      </c>
      <c r="CA71" s="2">
        <v>48.5</v>
      </c>
    </row>
    <row r="72" spans="1:79" x14ac:dyDescent="0.2">
      <c r="A72" s="124">
        <v>43832</v>
      </c>
      <c r="B72">
        <v>102.25</v>
      </c>
      <c r="C72">
        <v>100.125</v>
      </c>
      <c r="D72">
        <v>96.25</v>
      </c>
      <c r="E72" s="17">
        <v>92.191999999999993</v>
      </c>
      <c r="F72">
        <v>96.5</v>
      </c>
      <c r="G72">
        <v>95.75</v>
      </c>
      <c r="H72">
        <v>93.125</v>
      </c>
      <c r="I72">
        <v>90</v>
      </c>
      <c r="J72" s="17">
        <v>98.875</v>
      </c>
      <c r="K72" s="17">
        <v>94.096999999999994</v>
      </c>
      <c r="L72" s="7"/>
      <c r="N72" s="124">
        <v>43832</v>
      </c>
      <c r="O72" s="2">
        <v>9.5930499999999999</v>
      </c>
      <c r="P72" s="2">
        <v>8.7024500000000007</v>
      </c>
      <c r="Q72" s="2">
        <v>8.99</v>
      </c>
      <c r="R72" s="2">
        <v>9.8149999999999995</v>
      </c>
      <c r="S72" s="2">
        <v>10.37</v>
      </c>
      <c r="T72" s="2">
        <v>10.46045</v>
      </c>
      <c r="U72" s="2">
        <v>10.1684</v>
      </c>
      <c r="V72" s="2">
        <v>9.6919500000000003</v>
      </c>
      <c r="W72" s="2">
        <v>10.95</v>
      </c>
      <c r="X72" s="2">
        <v>10.448449999999999</v>
      </c>
      <c r="Y72" s="7"/>
      <c r="Z72" s="7"/>
      <c r="AA72" s="128">
        <v>44147</v>
      </c>
      <c r="AB72" s="2">
        <v>11.957874</v>
      </c>
      <c r="AC72" s="2">
        <v>10.903575999999999</v>
      </c>
      <c r="AD72" s="2">
        <v>10.606712</v>
      </c>
      <c r="AE72" s="2">
        <v>10.231418</v>
      </c>
      <c r="AF72" s="2"/>
      <c r="AG72" s="2"/>
      <c r="AH72" s="7"/>
      <c r="AI72" s="128">
        <v>44147</v>
      </c>
      <c r="AJ72" s="2">
        <v>68.25</v>
      </c>
      <c r="AK72" s="2">
        <v>57.25</v>
      </c>
      <c r="AL72" s="2">
        <v>50.25</v>
      </c>
      <c r="AM72" s="2">
        <v>48</v>
      </c>
      <c r="AO72" s="124">
        <v>43832</v>
      </c>
      <c r="AP72">
        <v>103</v>
      </c>
      <c r="AQ72">
        <v>100.125</v>
      </c>
      <c r="AR72">
        <v>96.25</v>
      </c>
      <c r="AS72" s="17">
        <v>92.191999999999993</v>
      </c>
      <c r="AT72">
        <v>96.5</v>
      </c>
      <c r="AU72">
        <v>95.75</v>
      </c>
      <c r="AV72">
        <v>93.125</v>
      </c>
      <c r="AW72">
        <v>90</v>
      </c>
      <c r="AX72" s="17">
        <v>98.875</v>
      </c>
      <c r="AY72" s="17">
        <v>94.096999999999994</v>
      </c>
      <c r="AZ72" s="7"/>
      <c r="BB72" s="124">
        <v>43832</v>
      </c>
      <c r="BC72" s="2">
        <v>9.2100000000000009</v>
      </c>
      <c r="BD72" s="2">
        <v>8.6999999999999993</v>
      </c>
      <c r="BE72" s="2">
        <v>8.99</v>
      </c>
      <c r="BF72" s="2">
        <v>9.81</v>
      </c>
      <c r="BG72" s="2">
        <v>10.37</v>
      </c>
      <c r="BH72" s="2">
        <v>10.46</v>
      </c>
      <c r="BI72" s="2">
        <v>10.17</v>
      </c>
      <c r="BJ72" s="2">
        <v>9.69</v>
      </c>
      <c r="BK72" s="2">
        <v>10.95</v>
      </c>
      <c r="BL72" s="2">
        <v>10.45</v>
      </c>
      <c r="BM72" s="7"/>
      <c r="BN72" s="7"/>
      <c r="BO72" s="128">
        <v>44147</v>
      </c>
      <c r="BP72" s="2">
        <v>11.96</v>
      </c>
      <c r="BQ72" s="2">
        <v>11</v>
      </c>
      <c r="BR72" s="2">
        <v>10.32</v>
      </c>
      <c r="BS72" s="2">
        <v>10.494</v>
      </c>
      <c r="BT72" s="2"/>
      <c r="BU72" s="2"/>
      <c r="BV72" s="7"/>
      <c r="BW72" s="128">
        <v>44147</v>
      </c>
      <c r="BX72" s="2">
        <v>68.25</v>
      </c>
      <c r="BY72" s="2">
        <v>56.75</v>
      </c>
      <c r="BZ72" s="2">
        <v>51.875</v>
      </c>
      <c r="CA72" s="2">
        <v>48</v>
      </c>
    </row>
    <row r="73" spans="1:79" x14ac:dyDescent="0.2">
      <c r="A73" s="124">
        <v>43833</v>
      </c>
      <c r="B73">
        <v>102.875</v>
      </c>
      <c r="C73">
        <v>100.25</v>
      </c>
      <c r="D73">
        <v>96.5</v>
      </c>
      <c r="E73" s="17">
        <v>92.9435</v>
      </c>
      <c r="F73">
        <v>96.5</v>
      </c>
      <c r="G73">
        <v>95.625</v>
      </c>
      <c r="H73">
        <v>93.375</v>
      </c>
      <c r="I73">
        <v>89.875</v>
      </c>
      <c r="J73" s="17">
        <v>99.25</v>
      </c>
      <c r="K73" s="17">
        <v>94.472999999999999</v>
      </c>
      <c r="L73" s="7"/>
      <c r="N73" s="124">
        <v>43833</v>
      </c>
      <c r="O73" s="2">
        <v>9.2758000000000003</v>
      </c>
      <c r="P73" s="2">
        <v>8.6591500000000003</v>
      </c>
      <c r="Q73" s="2">
        <v>8.92</v>
      </c>
      <c r="R73" s="2">
        <v>9.6199499999999993</v>
      </c>
      <c r="S73" s="2">
        <v>10.37</v>
      </c>
      <c r="T73" s="2">
        <v>10.485950000000001</v>
      </c>
      <c r="U73" s="2">
        <v>10.119400000000001</v>
      </c>
      <c r="V73" s="2">
        <v>9.7167999999999992</v>
      </c>
      <c r="W73" s="2">
        <v>10.88</v>
      </c>
      <c r="X73" s="2">
        <v>10.3855</v>
      </c>
      <c r="Y73" s="7"/>
      <c r="Z73" s="7"/>
      <c r="AA73" s="128">
        <v>44148</v>
      </c>
      <c r="AB73" s="2">
        <v>12.027334</v>
      </c>
      <c r="AC73" s="2">
        <v>10.857729000000001</v>
      </c>
      <c r="AD73" s="2">
        <v>10.216101999999999</v>
      </c>
      <c r="AE73" s="2">
        <v>10.387333999999999</v>
      </c>
      <c r="AF73" s="2"/>
      <c r="AG73" s="2"/>
      <c r="AH73" s="7"/>
      <c r="AI73" s="128">
        <v>44148</v>
      </c>
      <c r="AJ73" s="2">
        <v>68</v>
      </c>
      <c r="AK73" s="2">
        <v>57.5</v>
      </c>
      <c r="AL73" s="2">
        <v>52.5</v>
      </c>
      <c r="AM73" s="2">
        <v>47.5</v>
      </c>
      <c r="AO73" s="124">
        <v>43833</v>
      </c>
      <c r="AP73">
        <v>103.25</v>
      </c>
      <c r="AQ73">
        <v>100.25</v>
      </c>
      <c r="AR73">
        <v>96.5</v>
      </c>
      <c r="AS73" s="17">
        <v>92.942999999999998</v>
      </c>
      <c r="AT73">
        <v>96.745000000000005</v>
      </c>
      <c r="AU73">
        <v>95.87</v>
      </c>
      <c r="AV73">
        <v>93.375</v>
      </c>
      <c r="AW73">
        <v>89.875</v>
      </c>
      <c r="AX73" s="17">
        <v>99.25</v>
      </c>
      <c r="AY73" s="17">
        <v>94.472999999999999</v>
      </c>
      <c r="AZ73" s="7"/>
      <c r="BB73" s="124">
        <v>43833</v>
      </c>
      <c r="BC73" s="2">
        <v>9.09</v>
      </c>
      <c r="BD73" s="2">
        <v>8.66</v>
      </c>
      <c r="BE73" s="2">
        <v>8.92</v>
      </c>
      <c r="BF73" s="2">
        <v>9.6199999999999992</v>
      </c>
      <c r="BG73" s="2">
        <v>10.32</v>
      </c>
      <c r="BH73" s="2">
        <v>10.44</v>
      </c>
      <c r="BI73" s="2">
        <v>10.119999999999999</v>
      </c>
      <c r="BJ73" s="2">
        <v>9.7200000000000006</v>
      </c>
      <c r="BK73" s="2">
        <v>10.88</v>
      </c>
      <c r="BL73" s="2">
        <v>10.39</v>
      </c>
      <c r="BM73" s="7"/>
      <c r="BN73" s="7"/>
      <c r="BO73" s="128">
        <v>44148</v>
      </c>
      <c r="BP73" s="2">
        <v>12.03</v>
      </c>
      <c r="BQ73" s="2">
        <v>10.86</v>
      </c>
      <c r="BR73" s="2">
        <v>10.32</v>
      </c>
      <c r="BS73" s="2">
        <v>10.66</v>
      </c>
      <c r="BT73" s="2"/>
      <c r="BU73" s="2"/>
      <c r="BV73" s="7"/>
      <c r="BW73" s="128">
        <v>44148</v>
      </c>
      <c r="BX73" s="2">
        <v>68</v>
      </c>
      <c r="BY73" s="2">
        <v>57.5</v>
      </c>
      <c r="BZ73" s="2">
        <v>51.875</v>
      </c>
      <c r="CA73" s="2">
        <v>47.5</v>
      </c>
    </row>
    <row r="74" spans="1:79" x14ac:dyDescent="0.2">
      <c r="A74" s="124">
        <v>43836</v>
      </c>
      <c r="B74">
        <v>103.875</v>
      </c>
      <c r="C74">
        <v>101.375</v>
      </c>
      <c r="D74">
        <v>98.25</v>
      </c>
      <c r="E74" s="17">
        <v>93.1935</v>
      </c>
      <c r="F74">
        <v>97.5</v>
      </c>
      <c r="G74">
        <v>96.5</v>
      </c>
      <c r="H74">
        <v>94.25</v>
      </c>
      <c r="I74">
        <v>90.625</v>
      </c>
      <c r="J74" s="17">
        <v>99.75</v>
      </c>
      <c r="K74" s="17">
        <v>95.727999999999994</v>
      </c>
      <c r="L74" s="7"/>
      <c r="N74" s="124">
        <v>43836</v>
      </c>
      <c r="O74" s="2">
        <v>8.7790999999999997</v>
      </c>
      <c r="P74" s="2">
        <v>8.2734500000000004</v>
      </c>
      <c r="Q74" s="2">
        <v>8.43</v>
      </c>
      <c r="R74" s="2">
        <v>9.5559499999999993</v>
      </c>
      <c r="S74" s="2">
        <v>10.16</v>
      </c>
      <c r="T74" s="2">
        <v>10.309200000000001</v>
      </c>
      <c r="U74" s="2">
        <v>9.9483499999999996</v>
      </c>
      <c r="V74" s="2">
        <v>9.5718999999999994</v>
      </c>
      <c r="W74" s="2">
        <v>10.79</v>
      </c>
      <c r="X74" s="2">
        <v>10.1775</v>
      </c>
      <c r="Y74" s="7"/>
      <c r="Z74" s="7"/>
      <c r="AA74" s="128">
        <v>44151</v>
      </c>
      <c r="AB74" s="2">
        <v>12.032664</v>
      </c>
      <c r="AC74" s="2">
        <v>11.132974000000001</v>
      </c>
      <c r="AD74" s="2">
        <v>10.346992999999999</v>
      </c>
      <c r="AE74" s="2">
        <v>10.391418</v>
      </c>
      <c r="AF74" s="2"/>
      <c r="AG74" s="2"/>
      <c r="AH74" s="7"/>
      <c r="AI74" s="128">
        <v>44151</v>
      </c>
      <c r="AJ74" s="2">
        <v>68</v>
      </c>
      <c r="AK74" s="2">
        <v>56.125</v>
      </c>
      <c r="AL74" s="2">
        <v>51.75</v>
      </c>
      <c r="AM74" s="2">
        <v>47.5</v>
      </c>
      <c r="AO74" s="124">
        <v>43836</v>
      </c>
      <c r="AP74">
        <v>103.875</v>
      </c>
      <c r="AQ74">
        <v>101.375</v>
      </c>
      <c r="AR74">
        <v>98.25</v>
      </c>
      <c r="AS74" s="17">
        <v>93.192999999999998</v>
      </c>
      <c r="AT74">
        <v>97.5</v>
      </c>
      <c r="AU74">
        <v>96.5</v>
      </c>
      <c r="AV74">
        <v>94.25</v>
      </c>
      <c r="AW74">
        <v>90.625</v>
      </c>
      <c r="AX74" s="17">
        <v>99.75</v>
      </c>
      <c r="AY74" s="17">
        <v>95.727999999999994</v>
      </c>
      <c r="AZ74" s="7"/>
      <c r="BB74" s="124">
        <v>43836</v>
      </c>
      <c r="BC74" s="2">
        <v>8.7799999999999994</v>
      </c>
      <c r="BD74" s="2">
        <v>8.27</v>
      </c>
      <c r="BE74" s="2">
        <v>8.43</v>
      </c>
      <c r="BF74" s="2">
        <v>9.56</v>
      </c>
      <c r="BG74" s="2">
        <v>10.16</v>
      </c>
      <c r="BH74" s="2">
        <v>10.31</v>
      </c>
      <c r="BI74" s="2">
        <v>9.9499999999999993</v>
      </c>
      <c r="BJ74" s="2">
        <v>9.57</v>
      </c>
      <c r="BK74" s="2">
        <v>10.79</v>
      </c>
      <c r="BL74" s="2">
        <v>10.18</v>
      </c>
      <c r="BM74" s="7"/>
      <c r="BN74" s="7"/>
      <c r="BO74" s="128">
        <v>44151</v>
      </c>
      <c r="BP74" s="2">
        <v>12.0335</v>
      </c>
      <c r="BQ74" s="2">
        <v>11.13</v>
      </c>
      <c r="BR74" s="2">
        <v>10.35</v>
      </c>
      <c r="BS74" s="2">
        <v>10.66</v>
      </c>
      <c r="BT74" s="2"/>
      <c r="BU74" s="2"/>
      <c r="BV74" s="7"/>
      <c r="BW74" s="128">
        <v>44151</v>
      </c>
      <c r="BX74" s="2">
        <v>68</v>
      </c>
      <c r="BY74" s="2">
        <v>56.125</v>
      </c>
      <c r="BZ74" s="2">
        <v>51.75</v>
      </c>
      <c r="CA74" s="2">
        <v>47.5</v>
      </c>
    </row>
    <row r="75" spans="1:79" x14ac:dyDescent="0.2">
      <c r="A75" s="124">
        <v>43837</v>
      </c>
      <c r="B75">
        <v>104.875</v>
      </c>
      <c r="C75">
        <v>101.5</v>
      </c>
      <c r="D75">
        <v>98.75</v>
      </c>
      <c r="E75" s="17">
        <v>94.698999999999998</v>
      </c>
      <c r="F75">
        <v>99</v>
      </c>
      <c r="G75">
        <v>97.5</v>
      </c>
      <c r="H75">
        <v>95.125</v>
      </c>
      <c r="I75">
        <v>90.625</v>
      </c>
      <c r="J75" s="17">
        <v>100.25</v>
      </c>
      <c r="K75" s="17">
        <v>96.106999999999999</v>
      </c>
      <c r="L75" s="7"/>
      <c r="N75" s="124">
        <v>43837</v>
      </c>
      <c r="O75" s="2">
        <v>8.2874999999999996</v>
      </c>
      <c r="P75" s="2">
        <v>8.2304999999999993</v>
      </c>
      <c r="Q75" s="2">
        <v>8.2899999999999991</v>
      </c>
      <c r="R75" s="2">
        <v>9.1709999999999994</v>
      </c>
      <c r="S75" s="2">
        <v>9.85</v>
      </c>
      <c r="T75" s="2">
        <v>10.1096</v>
      </c>
      <c r="U75" s="2">
        <v>9.7791999999999994</v>
      </c>
      <c r="V75" s="2">
        <v>9.5724499999999999</v>
      </c>
      <c r="W75" s="2">
        <v>10.7</v>
      </c>
      <c r="X75" s="2">
        <v>10.115550000000001</v>
      </c>
      <c r="Y75" s="7"/>
      <c r="Z75" s="7"/>
      <c r="AA75" s="128">
        <v>44152</v>
      </c>
      <c r="AB75" s="2">
        <v>12.102520999999999</v>
      </c>
      <c r="AC75" s="2">
        <v>11.136096</v>
      </c>
      <c r="AD75" s="2">
        <v>10.392681</v>
      </c>
      <c r="AE75" s="2">
        <v>10.395505999999999</v>
      </c>
      <c r="AF75" s="2"/>
      <c r="AG75" s="2"/>
      <c r="AH75" s="7"/>
      <c r="AI75" s="128">
        <v>44152</v>
      </c>
      <c r="AJ75" s="2">
        <v>67.75</v>
      </c>
      <c r="AK75" s="2">
        <v>56.125</v>
      </c>
      <c r="AL75" s="2">
        <v>51.5</v>
      </c>
      <c r="AM75" s="2">
        <v>47.5</v>
      </c>
      <c r="AO75" s="124">
        <v>43837</v>
      </c>
      <c r="AP75">
        <v>104.875</v>
      </c>
      <c r="AQ75">
        <v>101.5</v>
      </c>
      <c r="AR75">
        <v>98.75</v>
      </c>
      <c r="AS75" s="17">
        <v>94.698999999999998</v>
      </c>
      <c r="AT75">
        <v>99</v>
      </c>
      <c r="AU75">
        <v>97.5</v>
      </c>
      <c r="AV75">
        <v>95.125</v>
      </c>
      <c r="AW75">
        <v>90.625</v>
      </c>
      <c r="AX75" s="17">
        <v>100.25</v>
      </c>
      <c r="AY75" s="17">
        <v>96.106999999999999</v>
      </c>
      <c r="AZ75" s="7"/>
      <c r="BB75" s="124">
        <v>43837</v>
      </c>
      <c r="BC75" s="2">
        <v>8.2899999999999991</v>
      </c>
      <c r="BD75" s="2">
        <v>8.23</v>
      </c>
      <c r="BE75" s="2">
        <v>8.2899999999999991</v>
      </c>
      <c r="BF75" s="2">
        <v>9.17</v>
      </c>
      <c r="BG75" s="2">
        <v>9.85</v>
      </c>
      <c r="BH75" s="2">
        <v>10.11</v>
      </c>
      <c r="BI75" s="2">
        <v>9.7799999999999994</v>
      </c>
      <c r="BJ75" s="2">
        <v>9.57</v>
      </c>
      <c r="BK75" s="2">
        <v>10.7</v>
      </c>
      <c r="BL75" s="2">
        <v>10.119999999999999</v>
      </c>
      <c r="BM75" s="7"/>
      <c r="BN75" s="7"/>
      <c r="BO75" s="128">
        <v>44152</v>
      </c>
      <c r="BP75" s="2">
        <v>12.1</v>
      </c>
      <c r="BQ75" s="2">
        <v>11.14</v>
      </c>
      <c r="BR75" s="2">
        <v>10.39</v>
      </c>
      <c r="BS75" s="2">
        <v>10.67</v>
      </c>
      <c r="BT75" s="2"/>
      <c r="BU75" s="2"/>
      <c r="BV75" s="7"/>
      <c r="BW75" s="128">
        <v>44152</v>
      </c>
      <c r="BX75" s="2">
        <v>67.75</v>
      </c>
      <c r="BY75" s="2">
        <v>56.125</v>
      </c>
      <c r="BZ75" s="2">
        <v>51.5</v>
      </c>
      <c r="CA75" s="2">
        <v>47.5</v>
      </c>
    </row>
    <row r="76" spans="1:79" x14ac:dyDescent="0.2">
      <c r="A76" s="124">
        <v>43838</v>
      </c>
      <c r="B76">
        <v>104.375</v>
      </c>
      <c r="C76">
        <v>101.5</v>
      </c>
      <c r="D76">
        <v>97.75</v>
      </c>
      <c r="E76" s="17">
        <v>94.194500000000005</v>
      </c>
      <c r="F76">
        <v>98.25</v>
      </c>
      <c r="G76">
        <v>97.25</v>
      </c>
      <c r="H76">
        <v>94.625</v>
      </c>
      <c r="I76">
        <v>90.25</v>
      </c>
      <c r="J76" s="17">
        <v>100.25</v>
      </c>
      <c r="K76" s="17">
        <v>95.226500000000001</v>
      </c>
      <c r="L76" s="7"/>
      <c r="N76" s="124">
        <v>43838</v>
      </c>
      <c r="O76" s="2">
        <v>8.5290999999999997</v>
      </c>
      <c r="P76" s="2">
        <v>8.2300500000000003</v>
      </c>
      <c r="Q76" s="2">
        <v>8.57</v>
      </c>
      <c r="R76" s="2">
        <v>9.3000500000000006</v>
      </c>
      <c r="S76" s="2">
        <v>10</v>
      </c>
      <c r="T76" s="2">
        <v>10.15935</v>
      </c>
      <c r="U76" s="2">
        <v>9.8759999999999994</v>
      </c>
      <c r="V76" s="2">
        <v>9.6455000000000002</v>
      </c>
      <c r="W76" s="2">
        <v>10.7</v>
      </c>
      <c r="X76" s="2">
        <v>10.2605</v>
      </c>
      <c r="Y76" s="7"/>
      <c r="Z76" s="7"/>
      <c r="AA76" s="128">
        <v>44153</v>
      </c>
      <c r="AB76" s="2">
        <v>12.369061</v>
      </c>
      <c r="AC76" s="2">
        <v>11.445698</v>
      </c>
      <c r="AD76" s="2">
        <v>10.504689000000001</v>
      </c>
      <c r="AE76" s="2">
        <v>10.631084</v>
      </c>
      <c r="AF76" s="2"/>
      <c r="AG76" s="2"/>
      <c r="AH76" s="7"/>
      <c r="AI76" s="128">
        <v>44153</v>
      </c>
      <c r="AJ76" s="2">
        <v>66.75</v>
      </c>
      <c r="AK76" s="2">
        <v>54.625</v>
      </c>
      <c r="AL76" s="2">
        <v>50.875</v>
      </c>
      <c r="AM76" s="2">
        <v>46.75</v>
      </c>
      <c r="AO76" s="124">
        <v>43838</v>
      </c>
      <c r="AP76">
        <v>104.375</v>
      </c>
      <c r="AQ76">
        <v>101.5</v>
      </c>
      <c r="AR76">
        <v>97.75</v>
      </c>
      <c r="AS76" s="17">
        <v>94.194999999999993</v>
      </c>
      <c r="AT76">
        <v>98.25</v>
      </c>
      <c r="AU76">
        <v>97.25</v>
      </c>
      <c r="AV76">
        <v>94.625</v>
      </c>
      <c r="AW76">
        <v>90.25</v>
      </c>
      <c r="AX76" s="17">
        <v>100.25</v>
      </c>
      <c r="AY76" s="17">
        <v>95.227000000000004</v>
      </c>
      <c r="AZ76" s="7"/>
      <c r="BB76" s="124">
        <v>43838</v>
      </c>
      <c r="BC76" s="2">
        <v>8.5299999999999994</v>
      </c>
      <c r="BD76" s="2">
        <v>8.23</v>
      </c>
      <c r="BE76" s="2">
        <v>8.57</v>
      </c>
      <c r="BF76" s="2">
        <v>9.3000000000000007</v>
      </c>
      <c r="BG76" s="2">
        <v>10</v>
      </c>
      <c r="BH76" s="2">
        <v>10.16</v>
      </c>
      <c r="BI76" s="2">
        <v>9.8800000000000008</v>
      </c>
      <c r="BJ76" s="2">
        <v>9.65</v>
      </c>
      <c r="BK76" s="2">
        <v>10.7</v>
      </c>
      <c r="BL76" s="2">
        <v>10.26</v>
      </c>
      <c r="BM76" s="7"/>
      <c r="BN76" s="7"/>
      <c r="BO76" s="128">
        <v>44153</v>
      </c>
      <c r="BP76" s="2">
        <v>12.37</v>
      </c>
      <c r="BQ76" s="2">
        <v>11.45</v>
      </c>
      <c r="BR76" s="2">
        <v>10.5</v>
      </c>
      <c r="BS76" s="2">
        <v>10.91</v>
      </c>
      <c r="BT76" s="2"/>
      <c r="BU76" s="2"/>
      <c r="BV76" s="7"/>
      <c r="BW76" s="128">
        <v>44153</v>
      </c>
      <c r="BX76" s="2">
        <v>66.75</v>
      </c>
      <c r="BY76" s="2">
        <v>54.625</v>
      </c>
      <c r="BZ76" s="2">
        <v>50.875</v>
      </c>
      <c r="CA76" s="2">
        <v>46.75</v>
      </c>
    </row>
    <row r="77" spans="1:79" x14ac:dyDescent="0.2">
      <c r="A77" s="124">
        <v>43839</v>
      </c>
      <c r="B77">
        <v>104.5</v>
      </c>
      <c r="C77">
        <v>101.375</v>
      </c>
      <c r="D77">
        <v>97.125</v>
      </c>
      <c r="E77" s="17">
        <v>94.444999999999993</v>
      </c>
      <c r="F77">
        <v>98.375</v>
      </c>
      <c r="G77">
        <v>97</v>
      </c>
      <c r="H77">
        <v>94</v>
      </c>
      <c r="I77">
        <v>89.625</v>
      </c>
      <c r="J77" s="17">
        <v>99.5</v>
      </c>
      <c r="K77" s="17">
        <v>95.604500000000002</v>
      </c>
      <c r="L77" s="7"/>
      <c r="N77" s="124">
        <v>43839</v>
      </c>
      <c r="O77" s="2">
        <v>8.46035</v>
      </c>
      <c r="P77" s="2">
        <v>8.2713000000000001</v>
      </c>
      <c r="Q77" s="2">
        <v>8.74</v>
      </c>
      <c r="R77" s="2">
        <v>9.2379499999999997</v>
      </c>
      <c r="S77" s="2">
        <v>9.98</v>
      </c>
      <c r="T77" s="2">
        <v>10.2094</v>
      </c>
      <c r="U77" s="2">
        <v>9.9984000000000002</v>
      </c>
      <c r="V77" s="2">
        <v>9.7689500000000002</v>
      </c>
      <c r="W77" s="2">
        <v>10.84</v>
      </c>
      <c r="X77" s="2">
        <v>10.198499999999999</v>
      </c>
      <c r="Y77" s="7"/>
      <c r="Z77" s="7"/>
      <c r="AA77" s="128">
        <v>44154</v>
      </c>
      <c r="AB77" s="2">
        <v>13.095711</v>
      </c>
      <c r="AC77" s="2">
        <v>11.586226999999999</v>
      </c>
      <c r="AD77" s="2">
        <v>10.690894999999999</v>
      </c>
      <c r="AE77" s="2">
        <v>11.282455000000001</v>
      </c>
      <c r="AF77" s="2"/>
      <c r="AG77" s="2"/>
      <c r="AH77" s="7"/>
      <c r="AI77" s="128">
        <v>44154</v>
      </c>
      <c r="AJ77" s="2">
        <v>64.125</v>
      </c>
      <c r="AK77" s="2">
        <v>54</v>
      </c>
      <c r="AL77" s="2">
        <v>49.875</v>
      </c>
      <c r="AM77" s="2">
        <v>44.75</v>
      </c>
      <c r="AO77" s="124">
        <v>43839</v>
      </c>
      <c r="AP77">
        <v>104.5</v>
      </c>
      <c r="AQ77">
        <v>101.375</v>
      </c>
      <c r="AR77">
        <v>97.125</v>
      </c>
      <c r="AS77" s="17">
        <v>94.444999999999993</v>
      </c>
      <c r="AT77">
        <v>97.11</v>
      </c>
      <c r="AU77">
        <v>97</v>
      </c>
      <c r="AV77">
        <v>94</v>
      </c>
      <c r="AW77">
        <v>89.625</v>
      </c>
      <c r="AX77" s="17">
        <v>99.5</v>
      </c>
      <c r="AY77" s="17">
        <v>95.603999999999999</v>
      </c>
      <c r="AZ77" s="7"/>
      <c r="BB77" s="124">
        <v>43839</v>
      </c>
      <c r="BC77" s="2">
        <v>8.4600000000000009</v>
      </c>
      <c r="BD77" s="2">
        <v>8.27</v>
      </c>
      <c r="BE77" s="2">
        <v>8.74</v>
      </c>
      <c r="BF77" s="2">
        <v>9.24</v>
      </c>
      <c r="BG77" s="2">
        <v>10.24</v>
      </c>
      <c r="BH77" s="2">
        <v>10.210000000000001</v>
      </c>
      <c r="BI77" s="2">
        <v>10</v>
      </c>
      <c r="BJ77" s="2">
        <v>9.77</v>
      </c>
      <c r="BK77" s="2">
        <v>10.84</v>
      </c>
      <c r="BL77" s="2">
        <v>10.199999999999999</v>
      </c>
      <c r="BM77" s="7"/>
      <c r="BN77" s="7"/>
      <c r="BO77" s="128">
        <v>44154</v>
      </c>
      <c r="BP77" s="2">
        <v>13.1</v>
      </c>
      <c r="BQ77" s="2">
        <v>11.59</v>
      </c>
      <c r="BR77" s="2">
        <v>10.69</v>
      </c>
      <c r="BS77" s="2">
        <v>10.91</v>
      </c>
      <c r="BT77" s="2"/>
      <c r="BU77" s="2"/>
      <c r="BV77" s="7"/>
      <c r="BW77" s="128">
        <v>44154</v>
      </c>
      <c r="BX77" s="2">
        <v>64.125</v>
      </c>
      <c r="BY77" s="2">
        <v>54</v>
      </c>
      <c r="BZ77" s="2">
        <v>49.875</v>
      </c>
      <c r="CA77" s="2">
        <v>46.75</v>
      </c>
    </row>
    <row r="78" spans="1:79" x14ac:dyDescent="0.2">
      <c r="A78" s="124">
        <v>43840</v>
      </c>
      <c r="B78">
        <v>104.25</v>
      </c>
      <c r="C78">
        <v>100.875</v>
      </c>
      <c r="D78">
        <v>96.75</v>
      </c>
      <c r="E78" s="17">
        <v>91.691000000000003</v>
      </c>
      <c r="F78">
        <v>96.75</v>
      </c>
      <c r="G78">
        <v>96.5</v>
      </c>
      <c r="H78">
        <v>92.625</v>
      </c>
      <c r="I78">
        <v>89.125</v>
      </c>
      <c r="J78" s="17">
        <v>98.5</v>
      </c>
      <c r="K78" s="17">
        <v>92.968000000000004</v>
      </c>
      <c r="L78" s="7"/>
      <c r="N78" s="124">
        <v>43840</v>
      </c>
      <c r="O78" s="2">
        <v>8.5808999999999997</v>
      </c>
      <c r="P78" s="2">
        <v>8.4422499999999996</v>
      </c>
      <c r="Q78" s="2">
        <v>8.85</v>
      </c>
      <c r="R78" s="2">
        <v>9.9539000000000009</v>
      </c>
      <c r="S78" s="2">
        <v>10.32</v>
      </c>
      <c r="T78" s="2">
        <v>10.309799999999999</v>
      </c>
      <c r="U78" s="2">
        <v>10.270200000000001</v>
      </c>
      <c r="V78" s="2">
        <v>9.8678000000000008</v>
      </c>
      <c r="W78" s="2">
        <v>11.01</v>
      </c>
      <c r="X78" s="2">
        <v>10.641500000000001</v>
      </c>
      <c r="Y78" s="7"/>
      <c r="Z78" s="7"/>
      <c r="AA78" s="128">
        <v>44155</v>
      </c>
      <c r="AB78" s="2">
        <v>13.136324</v>
      </c>
      <c r="AC78" s="2">
        <v>11.510755</v>
      </c>
      <c r="AD78" s="2">
        <v>10.670612</v>
      </c>
      <c r="AE78" s="2">
        <v>11.164717</v>
      </c>
      <c r="AF78" s="2"/>
      <c r="AG78" s="2"/>
      <c r="AH78" s="7"/>
      <c r="AI78" s="128">
        <v>44155</v>
      </c>
      <c r="AJ78" s="2">
        <v>64</v>
      </c>
      <c r="AK78" s="2">
        <v>54.375</v>
      </c>
      <c r="AL78" s="2">
        <v>50</v>
      </c>
      <c r="AM78" s="2">
        <v>45.125</v>
      </c>
      <c r="AO78" s="124">
        <v>43840</v>
      </c>
      <c r="AP78">
        <v>104.25</v>
      </c>
      <c r="AQ78">
        <v>100.875</v>
      </c>
      <c r="AR78">
        <v>96.75</v>
      </c>
      <c r="AS78" s="17">
        <v>91.691000000000003</v>
      </c>
      <c r="AT78">
        <v>96.04</v>
      </c>
      <c r="AU78">
        <v>95.68</v>
      </c>
      <c r="AV78">
        <v>92.48</v>
      </c>
      <c r="AW78">
        <v>89.125</v>
      </c>
      <c r="AX78" s="17">
        <v>98.5</v>
      </c>
      <c r="AY78" s="17">
        <v>92.968000000000004</v>
      </c>
      <c r="AZ78" s="7"/>
      <c r="BB78" s="124">
        <v>43840</v>
      </c>
      <c r="BC78" s="2">
        <v>8.58</v>
      </c>
      <c r="BD78" s="2">
        <v>8.44</v>
      </c>
      <c r="BE78" s="2">
        <v>8.85</v>
      </c>
      <c r="BF78" s="2">
        <v>9.9499999999999993</v>
      </c>
      <c r="BG78" s="2">
        <v>10.47</v>
      </c>
      <c r="BH78" s="2">
        <v>10.48</v>
      </c>
      <c r="BI78" s="2">
        <v>10.3</v>
      </c>
      <c r="BJ78" s="2">
        <v>9.8699999999999992</v>
      </c>
      <c r="BK78" s="2">
        <v>11.01</v>
      </c>
      <c r="BL78" s="2">
        <v>10.64</v>
      </c>
      <c r="BM78" s="7"/>
      <c r="BN78" s="7"/>
      <c r="BO78" s="128">
        <v>44155</v>
      </c>
      <c r="BP78" s="2">
        <v>13.14</v>
      </c>
      <c r="BQ78" s="2">
        <v>11.51</v>
      </c>
      <c r="BR78" s="2">
        <v>10.67</v>
      </c>
      <c r="BS78" s="2">
        <v>11.563499999999999</v>
      </c>
      <c r="BT78" s="2"/>
      <c r="BU78" s="2"/>
      <c r="BV78" s="7"/>
      <c r="BW78" s="128">
        <v>44155</v>
      </c>
      <c r="BX78" s="2">
        <v>64</v>
      </c>
      <c r="BY78" s="2">
        <v>54.375</v>
      </c>
      <c r="BZ78" s="2">
        <v>50</v>
      </c>
      <c r="CA78" s="2">
        <v>44.875</v>
      </c>
    </row>
    <row r="79" spans="1:79" x14ac:dyDescent="0.2">
      <c r="A79" s="124">
        <v>43843</v>
      </c>
      <c r="B79">
        <v>104.25</v>
      </c>
      <c r="C79">
        <v>98.875</v>
      </c>
      <c r="D79">
        <v>94</v>
      </c>
      <c r="E79" s="17">
        <v>91.186000000000007</v>
      </c>
      <c r="F79">
        <v>94.5</v>
      </c>
      <c r="G79">
        <v>94</v>
      </c>
      <c r="H79">
        <v>90.75</v>
      </c>
      <c r="I79">
        <v>86.5</v>
      </c>
      <c r="J79" s="17">
        <v>96.5</v>
      </c>
      <c r="K79" s="17">
        <v>92.469499999999996</v>
      </c>
      <c r="L79" s="7"/>
      <c r="N79" s="124">
        <v>43843</v>
      </c>
      <c r="O79" s="2">
        <v>8.5808999999999997</v>
      </c>
      <c r="P79" s="2">
        <v>9.1386500000000002</v>
      </c>
      <c r="Q79" s="2">
        <v>9.64</v>
      </c>
      <c r="R79" s="2">
        <v>10.089</v>
      </c>
      <c r="S79" s="2">
        <v>10.8</v>
      </c>
      <c r="T79" s="2">
        <v>10.82185</v>
      </c>
      <c r="U79" s="2">
        <v>10.6494</v>
      </c>
      <c r="V79" s="2">
        <v>10.39655</v>
      </c>
      <c r="W79" s="2">
        <v>11.38</v>
      </c>
      <c r="X79" s="2">
        <v>10.727449999999999</v>
      </c>
      <c r="Y79" s="7"/>
      <c r="Z79" s="7"/>
      <c r="AA79" s="128">
        <v>44158</v>
      </c>
      <c r="AB79" s="2">
        <v>13.211966</v>
      </c>
      <c r="AC79" s="2">
        <v>11.435886999999999</v>
      </c>
      <c r="AD79" s="2">
        <v>10.695643</v>
      </c>
      <c r="AE79" s="2">
        <v>11.250515</v>
      </c>
      <c r="AF79" s="2"/>
      <c r="AG79" s="2"/>
      <c r="AH79" s="7"/>
      <c r="AI79" s="128">
        <v>44158</v>
      </c>
      <c r="AJ79" s="2">
        <v>63.75</v>
      </c>
      <c r="AK79" s="2">
        <v>54.75</v>
      </c>
      <c r="AL79" s="2">
        <v>49.875</v>
      </c>
      <c r="AM79" s="2">
        <v>44.875</v>
      </c>
      <c r="AO79" s="124">
        <v>43843</v>
      </c>
      <c r="AP79">
        <v>102.625</v>
      </c>
      <c r="AQ79">
        <v>98.875</v>
      </c>
      <c r="AR79">
        <v>94</v>
      </c>
      <c r="AS79" s="17">
        <v>91.186000000000007</v>
      </c>
      <c r="AT79">
        <v>93.825000000000003</v>
      </c>
      <c r="AU79">
        <v>93.174999999999997</v>
      </c>
      <c r="AV79">
        <v>90.174999999999997</v>
      </c>
      <c r="AW79">
        <v>86.5</v>
      </c>
      <c r="AX79" s="17">
        <v>96.5</v>
      </c>
      <c r="AY79" s="17">
        <v>92.468999999999994</v>
      </c>
      <c r="AZ79" s="7"/>
      <c r="BB79" s="124">
        <v>43843</v>
      </c>
      <c r="BC79" s="2">
        <v>9.39</v>
      </c>
      <c r="BD79" s="2">
        <v>9.14</v>
      </c>
      <c r="BE79" s="2">
        <v>9.64</v>
      </c>
      <c r="BF79" s="2">
        <v>10.09</v>
      </c>
      <c r="BG79" s="2">
        <v>10.94</v>
      </c>
      <c r="BH79" s="2">
        <v>10.99</v>
      </c>
      <c r="BI79" s="2">
        <v>10.77</v>
      </c>
      <c r="BJ79" s="2">
        <v>10.4</v>
      </c>
      <c r="BK79" s="2">
        <v>11.38</v>
      </c>
      <c r="BL79" s="2">
        <v>10.73</v>
      </c>
      <c r="BM79" s="7"/>
      <c r="BN79" s="7"/>
      <c r="BO79" s="128">
        <v>44158</v>
      </c>
      <c r="BP79" s="2">
        <v>13.21</v>
      </c>
      <c r="BQ79" s="2">
        <v>11.44</v>
      </c>
      <c r="BR79" s="2">
        <v>10.7</v>
      </c>
      <c r="BS79" s="2">
        <v>11.57</v>
      </c>
      <c r="BT79" s="2"/>
      <c r="BU79" s="2"/>
      <c r="BV79" s="7"/>
      <c r="BW79" s="128">
        <v>44158</v>
      </c>
      <c r="BX79" s="2">
        <v>63.75</v>
      </c>
      <c r="BY79" s="2">
        <v>54.75</v>
      </c>
      <c r="BZ79" s="2">
        <v>49.875</v>
      </c>
      <c r="CA79" s="2">
        <v>44.875</v>
      </c>
    </row>
    <row r="80" spans="1:79" x14ac:dyDescent="0.2">
      <c r="A80" s="124">
        <v>43844</v>
      </c>
      <c r="B80">
        <v>102.75</v>
      </c>
      <c r="C80">
        <v>98.5</v>
      </c>
      <c r="D80">
        <v>94.5</v>
      </c>
      <c r="E80" s="17">
        <v>90.435500000000005</v>
      </c>
      <c r="F80">
        <v>94</v>
      </c>
      <c r="G80">
        <v>93.75</v>
      </c>
      <c r="H80">
        <v>90.375</v>
      </c>
      <c r="I80">
        <v>86.25</v>
      </c>
      <c r="J80" s="17">
        <v>95.75</v>
      </c>
      <c r="K80" s="17">
        <v>91.589500000000001</v>
      </c>
      <c r="L80" s="7"/>
      <c r="N80" s="124">
        <v>43844</v>
      </c>
      <c r="O80" s="2">
        <v>9.3242999999999991</v>
      </c>
      <c r="P80" s="2">
        <v>9.2714999999999996</v>
      </c>
      <c r="Q80" s="2">
        <v>9.5</v>
      </c>
      <c r="R80" s="2">
        <v>10.29105</v>
      </c>
      <c r="S80" s="2">
        <v>10.9</v>
      </c>
      <c r="T80" s="2">
        <v>10.87425</v>
      </c>
      <c r="U80" s="2">
        <v>10.726850000000001</v>
      </c>
      <c r="V80" s="2">
        <v>10.448700000000001</v>
      </c>
      <c r="W80" s="2">
        <v>11.52</v>
      </c>
      <c r="X80" s="2">
        <v>10.8805</v>
      </c>
      <c r="Y80" s="7"/>
      <c r="Z80" s="7"/>
      <c r="AA80" s="128">
        <v>44159</v>
      </c>
      <c r="AB80" s="2">
        <v>13.329219999999999</v>
      </c>
      <c r="AC80" s="2">
        <v>11.546723999999999</v>
      </c>
      <c r="AD80" s="2">
        <v>10.791810999999999</v>
      </c>
      <c r="AE80" s="2">
        <v>11.423844000000001</v>
      </c>
      <c r="AF80" s="2"/>
      <c r="AG80" s="2"/>
      <c r="AH80" s="7"/>
      <c r="AI80" s="128">
        <v>44159</v>
      </c>
      <c r="AJ80" s="2">
        <v>63.375</v>
      </c>
      <c r="AK80" s="2">
        <v>54.25</v>
      </c>
      <c r="AL80" s="2">
        <v>49.375</v>
      </c>
      <c r="AM80" s="2">
        <v>44.375</v>
      </c>
      <c r="AO80" s="124">
        <v>43844</v>
      </c>
      <c r="AP80">
        <v>102.75</v>
      </c>
      <c r="AQ80">
        <v>98.5</v>
      </c>
      <c r="AR80">
        <v>94.5</v>
      </c>
      <c r="AS80" s="17">
        <v>90.436000000000007</v>
      </c>
      <c r="AT80">
        <v>94.05</v>
      </c>
      <c r="AU80">
        <v>93.71</v>
      </c>
      <c r="AV80">
        <v>90.52</v>
      </c>
      <c r="AW80">
        <v>86.25</v>
      </c>
      <c r="AX80" s="17">
        <v>95.75</v>
      </c>
      <c r="AY80" s="17">
        <v>91.59</v>
      </c>
      <c r="AZ80" s="7"/>
      <c r="BB80" s="124">
        <v>43844</v>
      </c>
      <c r="BC80" s="2">
        <v>9.32</v>
      </c>
      <c r="BD80" s="2">
        <v>9.27</v>
      </c>
      <c r="BE80" s="2">
        <v>9.5</v>
      </c>
      <c r="BF80" s="2">
        <v>10.29</v>
      </c>
      <c r="BG80" s="2">
        <v>10.89</v>
      </c>
      <c r="BH80" s="2">
        <v>10.88</v>
      </c>
      <c r="BI80" s="2">
        <v>10.7</v>
      </c>
      <c r="BJ80" s="2">
        <v>10.45</v>
      </c>
      <c r="BK80" s="2">
        <v>11.52</v>
      </c>
      <c r="BL80" s="2">
        <v>10.88</v>
      </c>
      <c r="BM80" s="7"/>
      <c r="BN80" s="7"/>
      <c r="BO80" s="128">
        <v>44159</v>
      </c>
      <c r="BP80" s="2">
        <v>13.33</v>
      </c>
      <c r="BQ80" s="2">
        <v>11.55</v>
      </c>
      <c r="BR80" s="2">
        <v>10.79</v>
      </c>
      <c r="BS80" s="2">
        <v>11.75</v>
      </c>
      <c r="BT80" s="2"/>
      <c r="BU80" s="2"/>
      <c r="BV80" s="7"/>
      <c r="BW80" s="128">
        <v>44159</v>
      </c>
      <c r="BX80" s="2">
        <v>63.375</v>
      </c>
      <c r="BY80" s="2">
        <v>54.25</v>
      </c>
      <c r="BZ80" s="2">
        <v>49.375</v>
      </c>
      <c r="CA80" s="2">
        <v>44.375</v>
      </c>
    </row>
    <row r="81" spans="1:79" x14ac:dyDescent="0.2">
      <c r="A81" s="124">
        <v>43845</v>
      </c>
      <c r="B81">
        <v>102.375</v>
      </c>
      <c r="C81">
        <v>98.375</v>
      </c>
      <c r="D81">
        <v>94.125</v>
      </c>
      <c r="E81" s="17">
        <v>89.933000000000007</v>
      </c>
      <c r="F81">
        <v>94.25</v>
      </c>
      <c r="G81">
        <v>93.875</v>
      </c>
      <c r="H81">
        <v>90.375</v>
      </c>
      <c r="I81">
        <v>86.375</v>
      </c>
      <c r="J81" s="17">
        <v>96.25</v>
      </c>
      <c r="K81" s="17">
        <v>90.710499999999996</v>
      </c>
      <c r="L81" s="7"/>
      <c r="N81" s="124">
        <v>43845</v>
      </c>
      <c r="O81" s="2">
        <v>9.5122</v>
      </c>
      <c r="P81" s="2">
        <v>9.3162000000000003</v>
      </c>
      <c r="Q81" s="2">
        <v>9.61</v>
      </c>
      <c r="R81" s="2">
        <v>10.428000000000001</v>
      </c>
      <c r="S81" s="2">
        <v>10.85</v>
      </c>
      <c r="T81" s="2">
        <v>10.84835</v>
      </c>
      <c r="U81" s="2">
        <v>10.7273</v>
      </c>
      <c r="V81" s="2">
        <v>10.4237</v>
      </c>
      <c r="W81" s="2">
        <v>11.42</v>
      </c>
      <c r="X81" s="2">
        <v>11.035450000000001</v>
      </c>
      <c r="Y81" s="7"/>
      <c r="Z81" s="7"/>
      <c r="AA81" s="128">
        <v>44160</v>
      </c>
      <c r="AB81" s="2">
        <v>13.389112000000001</v>
      </c>
      <c r="AC81" s="2">
        <v>11.560103</v>
      </c>
      <c r="AD81" s="2">
        <v>10.71017</v>
      </c>
      <c r="AE81" s="2">
        <v>11.566869000000001</v>
      </c>
      <c r="AF81" s="2"/>
      <c r="AG81" s="2"/>
      <c r="AH81" s="7"/>
      <c r="AI81" s="128">
        <v>44160</v>
      </c>
      <c r="AJ81" s="2">
        <v>63.25</v>
      </c>
      <c r="AK81" s="2">
        <v>54.25</v>
      </c>
      <c r="AL81" s="2">
        <v>49.875</v>
      </c>
      <c r="AM81" s="2">
        <v>44</v>
      </c>
      <c r="AO81" s="124">
        <v>43845</v>
      </c>
      <c r="AP81">
        <v>102.375</v>
      </c>
      <c r="AQ81">
        <v>98.375</v>
      </c>
      <c r="AR81">
        <v>94.125</v>
      </c>
      <c r="AS81" s="17">
        <v>89.933000000000007</v>
      </c>
      <c r="AT81">
        <v>94.25</v>
      </c>
      <c r="AU81">
        <v>93.875</v>
      </c>
      <c r="AV81">
        <v>90.375</v>
      </c>
      <c r="AW81">
        <v>86.375</v>
      </c>
      <c r="AX81" s="17">
        <v>96.25</v>
      </c>
      <c r="AY81" s="17">
        <v>90.710999999999999</v>
      </c>
      <c r="AZ81" s="7"/>
      <c r="BB81" s="124">
        <v>43845</v>
      </c>
      <c r="BC81" s="2">
        <v>9.51</v>
      </c>
      <c r="BD81" s="2">
        <v>9.32</v>
      </c>
      <c r="BE81" s="2">
        <v>9.61</v>
      </c>
      <c r="BF81" s="2">
        <v>10.43</v>
      </c>
      <c r="BG81" s="2">
        <v>10.85</v>
      </c>
      <c r="BH81" s="2">
        <v>10.85</v>
      </c>
      <c r="BI81" s="2">
        <v>10.73</v>
      </c>
      <c r="BJ81" s="2">
        <v>10.42</v>
      </c>
      <c r="BK81" s="2">
        <v>11.42</v>
      </c>
      <c r="BL81" s="2">
        <v>11.04</v>
      </c>
      <c r="BM81" s="7"/>
      <c r="BN81" s="7"/>
      <c r="BO81" s="128">
        <v>44160</v>
      </c>
      <c r="BP81" s="2">
        <v>13.39</v>
      </c>
      <c r="BQ81" s="2">
        <v>11.56</v>
      </c>
      <c r="BR81" s="2">
        <v>10.71</v>
      </c>
      <c r="BS81" s="2">
        <v>11.9</v>
      </c>
      <c r="BT81" s="2"/>
      <c r="BU81" s="2"/>
      <c r="BV81" s="7"/>
      <c r="BW81" s="128">
        <v>44160</v>
      </c>
      <c r="BX81" s="2">
        <v>63.25</v>
      </c>
      <c r="BY81" s="2">
        <v>54.25</v>
      </c>
      <c r="BZ81" s="2">
        <v>49.875</v>
      </c>
      <c r="CA81" s="2">
        <v>44</v>
      </c>
    </row>
    <row r="82" spans="1:79" x14ac:dyDescent="0.2">
      <c r="A82" s="124">
        <v>43846</v>
      </c>
      <c r="B82">
        <v>103.125</v>
      </c>
      <c r="C82">
        <v>99.25</v>
      </c>
      <c r="D82">
        <v>94.875</v>
      </c>
      <c r="E82" s="17">
        <v>90.935500000000005</v>
      </c>
      <c r="F82">
        <v>95.625</v>
      </c>
      <c r="G82">
        <v>95</v>
      </c>
      <c r="H82">
        <v>91.625</v>
      </c>
      <c r="I82">
        <v>87.875</v>
      </c>
      <c r="J82" s="17">
        <v>97.5</v>
      </c>
      <c r="K82" s="17">
        <v>92.465500000000006</v>
      </c>
      <c r="L82" s="7"/>
      <c r="N82" s="124">
        <v>43846</v>
      </c>
      <c r="O82" s="2">
        <v>9.1272500000000001</v>
      </c>
      <c r="P82" s="2">
        <v>9.0072500000000009</v>
      </c>
      <c r="Q82" s="2">
        <v>9.39</v>
      </c>
      <c r="R82" s="2">
        <v>10.162000000000001</v>
      </c>
      <c r="S82" s="2">
        <v>10.55</v>
      </c>
      <c r="T82" s="2">
        <v>10.616099999999999</v>
      </c>
      <c r="U82" s="2">
        <v>10.473699999999999</v>
      </c>
      <c r="V82" s="2">
        <v>10.12135</v>
      </c>
      <c r="W82" s="2">
        <v>11.2</v>
      </c>
      <c r="X82" s="2">
        <v>10.72945</v>
      </c>
      <c r="Y82" s="7"/>
      <c r="Z82" s="7"/>
      <c r="AA82" s="128">
        <v>44161</v>
      </c>
      <c r="AB82" s="2">
        <v>13.353757999999999</v>
      </c>
      <c r="AC82" s="2">
        <v>11.507698</v>
      </c>
      <c r="AD82" s="2">
        <v>10.824752</v>
      </c>
      <c r="AE82" s="2">
        <v>11.441997000000001</v>
      </c>
      <c r="AF82" s="2"/>
      <c r="AG82" s="2"/>
      <c r="AH82" s="7"/>
      <c r="AI82" s="128">
        <v>44161</v>
      </c>
      <c r="AJ82" s="2">
        <v>63.375</v>
      </c>
      <c r="AK82" s="2">
        <v>54.5</v>
      </c>
      <c r="AL82" s="2">
        <v>49.25</v>
      </c>
      <c r="AM82" s="2">
        <v>44.375</v>
      </c>
      <c r="AO82" s="124">
        <v>43846</v>
      </c>
      <c r="AP82">
        <v>103.125</v>
      </c>
      <c r="AQ82">
        <v>99.25</v>
      </c>
      <c r="AR82">
        <v>94.875</v>
      </c>
      <c r="AS82" s="17">
        <v>90.936000000000007</v>
      </c>
      <c r="AT82">
        <v>95.625</v>
      </c>
      <c r="AU82">
        <v>95</v>
      </c>
      <c r="AV82">
        <v>91.625</v>
      </c>
      <c r="AW82">
        <v>87.875</v>
      </c>
      <c r="AX82" s="17">
        <v>97.5</v>
      </c>
      <c r="AY82" s="17">
        <v>92.465000000000003</v>
      </c>
      <c r="AZ82" s="7"/>
      <c r="BB82" s="124">
        <v>43846</v>
      </c>
      <c r="BC82" s="2">
        <v>9.1300000000000008</v>
      </c>
      <c r="BD82" s="2">
        <v>9.01</v>
      </c>
      <c r="BE82" s="2">
        <v>9.39</v>
      </c>
      <c r="BF82" s="2">
        <v>10.16</v>
      </c>
      <c r="BG82" s="2">
        <v>10.55</v>
      </c>
      <c r="BH82" s="2">
        <v>10.62</v>
      </c>
      <c r="BI82" s="2">
        <v>10.47</v>
      </c>
      <c r="BJ82" s="2">
        <v>10.119999999999999</v>
      </c>
      <c r="BK82" s="2">
        <v>11.2</v>
      </c>
      <c r="BL82" s="2">
        <v>10.73</v>
      </c>
      <c r="BM82" s="7"/>
      <c r="BN82" s="7"/>
      <c r="BO82" s="128">
        <v>44161</v>
      </c>
      <c r="BP82" s="2">
        <v>13.35</v>
      </c>
      <c r="BQ82" s="2">
        <v>11.51</v>
      </c>
      <c r="BR82" s="2">
        <v>10.82</v>
      </c>
      <c r="BS82" s="2">
        <v>11.77</v>
      </c>
      <c r="BT82" s="2"/>
      <c r="BU82" s="2"/>
      <c r="BV82" s="7"/>
      <c r="BW82" s="128">
        <v>44161</v>
      </c>
      <c r="BX82" s="2">
        <v>63.375</v>
      </c>
      <c r="BY82" s="2">
        <v>54.5</v>
      </c>
      <c r="BZ82" s="2">
        <v>49.25</v>
      </c>
      <c r="CA82" s="2">
        <v>44.375</v>
      </c>
    </row>
    <row r="83" spans="1:79" x14ac:dyDescent="0.2">
      <c r="A83" s="124">
        <v>43847</v>
      </c>
      <c r="B83">
        <v>103.25</v>
      </c>
      <c r="C83">
        <v>99.375</v>
      </c>
      <c r="D83">
        <v>94.75</v>
      </c>
      <c r="E83" s="17">
        <v>91.313500000000005</v>
      </c>
      <c r="F83">
        <v>95.875</v>
      </c>
      <c r="G83">
        <v>95.625</v>
      </c>
      <c r="H83">
        <v>92.75</v>
      </c>
      <c r="I83">
        <v>88.5</v>
      </c>
      <c r="J83" s="17">
        <v>98</v>
      </c>
      <c r="K83" s="17">
        <v>92.715999999999994</v>
      </c>
      <c r="L83" s="7"/>
      <c r="N83" s="124">
        <v>43847</v>
      </c>
      <c r="O83" s="2">
        <v>9.0625</v>
      </c>
      <c r="P83" s="2">
        <v>8.9633000000000003</v>
      </c>
      <c r="Q83" s="2">
        <v>9.43</v>
      </c>
      <c r="R83" s="2">
        <v>10.0619</v>
      </c>
      <c r="S83" s="2">
        <v>10.5</v>
      </c>
      <c r="T83" s="2">
        <v>10.488200000000001</v>
      </c>
      <c r="U83" s="2">
        <v>10.247999999999999</v>
      </c>
      <c r="V83" s="2">
        <v>9.9967000000000006</v>
      </c>
      <c r="W83" s="2">
        <v>11.11</v>
      </c>
      <c r="X83" s="2">
        <v>10.686500000000001</v>
      </c>
      <c r="Y83" s="7"/>
      <c r="Z83" s="7"/>
      <c r="AA83" s="128">
        <v>44162</v>
      </c>
      <c r="AB83" s="2">
        <v>13.388719</v>
      </c>
      <c r="AC83" s="2">
        <v>11.559811</v>
      </c>
      <c r="AD83" s="2">
        <v>10.824495000000001</v>
      </c>
      <c r="AE83" s="2">
        <v>11.566869000000001</v>
      </c>
      <c r="AF83" s="2"/>
      <c r="AG83" s="2"/>
      <c r="AH83" s="7"/>
      <c r="AI83" s="128">
        <v>44162</v>
      </c>
      <c r="AJ83" s="2">
        <v>63.25</v>
      </c>
      <c r="AK83" s="2">
        <v>54.25</v>
      </c>
      <c r="AL83" s="2">
        <v>49.25</v>
      </c>
      <c r="AM83" s="2">
        <v>44</v>
      </c>
      <c r="AO83" s="124">
        <v>43847</v>
      </c>
      <c r="AP83">
        <v>103.25</v>
      </c>
      <c r="AQ83">
        <v>99.375</v>
      </c>
      <c r="AR83">
        <v>94.75</v>
      </c>
      <c r="AS83" s="17">
        <v>91.313000000000002</v>
      </c>
      <c r="AT83">
        <v>96.14</v>
      </c>
      <c r="AU83">
        <v>95.625</v>
      </c>
      <c r="AV83">
        <v>92.75</v>
      </c>
      <c r="AW83">
        <v>88.5</v>
      </c>
      <c r="AX83" s="17">
        <v>98</v>
      </c>
      <c r="AY83" s="17">
        <v>92.715999999999994</v>
      </c>
      <c r="AZ83" s="7"/>
      <c r="BB83" s="124">
        <v>43847</v>
      </c>
      <c r="BC83" s="2">
        <v>9.06</v>
      </c>
      <c r="BD83" s="2">
        <v>8.9600000000000009</v>
      </c>
      <c r="BE83" s="2">
        <v>9.43</v>
      </c>
      <c r="BF83" s="2">
        <v>10.06</v>
      </c>
      <c r="BG83" s="2">
        <v>10.45</v>
      </c>
      <c r="BH83" s="2">
        <v>10.49</v>
      </c>
      <c r="BI83" s="2">
        <v>10.25</v>
      </c>
      <c r="BJ83" s="2">
        <v>10</v>
      </c>
      <c r="BK83" s="2">
        <v>11.11</v>
      </c>
      <c r="BL83" s="2">
        <v>10.69</v>
      </c>
      <c r="BM83" s="7"/>
      <c r="BN83" s="7"/>
      <c r="BO83" s="128">
        <v>44162</v>
      </c>
      <c r="BP83" s="2">
        <v>13.39</v>
      </c>
      <c r="BQ83" s="2">
        <v>11.56</v>
      </c>
      <c r="BR83" s="2">
        <v>10.82</v>
      </c>
      <c r="BS83" s="2">
        <v>11.9</v>
      </c>
      <c r="BT83" s="2"/>
      <c r="BU83" s="2"/>
      <c r="BV83" s="7"/>
      <c r="BW83" s="128">
        <v>44162</v>
      </c>
      <c r="BX83" s="2">
        <v>63.25</v>
      </c>
      <c r="BY83" s="2">
        <v>54.25</v>
      </c>
      <c r="BZ83" s="2">
        <v>49.25</v>
      </c>
      <c r="CA83" s="2">
        <v>44</v>
      </c>
    </row>
    <row r="84" spans="1:79" x14ac:dyDescent="0.2">
      <c r="A84" s="124">
        <v>43850</v>
      </c>
      <c r="B84">
        <v>103</v>
      </c>
      <c r="C84">
        <v>99.25</v>
      </c>
      <c r="D84">
        <v>92.5</v>
      </c>
      <c r="E84" s="17">
        <v>91.313500000000005</v>
      </c>
      <c r="F84">
        <v>95.75</v>
      </c>
      <c r="G84">
        <v>95.125</v>
      </c>
      <c r="H84">
        <v>92</v>
      </c>
      <c r="I84">
        <v>87.875</v>
      </c>
      <c r="J84" s="17">
        <v>98</v>
      </c>
      <c r="K84" s="17">
        <v>92.715999999999994</v>
      </c>
      <c r="L84" s="7"/>
      <c r="N84" s="124">
        <v>43850</v>
      </c>
      <c r="O84" s="2">
        <v>9.1885999999999992</v>
      </c>
      <c r="P84" s="2">
        <v>9.0073500000000006</v>
      </c>
      <c r="Q84" s="2">
        <v>10.09</v>
      </c>
      <c r="R84" s="2">
        <v>10.0619</v>
      </c>
      <c r="S84" s="2">
        <v>10.53</v>
      </c>
      <c r="T84" s="2">
        <v>10.59055</v>
      </c>
      <c r="U84" s="2">
        <v>10.398350000000001</v>
      </c>
      <c r="V84" s="2">
        <v>10.122</v>
      </c>
      <c r="W84" s="2">
        <v>11.11</v>
      </c>
      <c r="X84" s="2">
        <v>10.686500000000001</v>
      </c>
      <c r="Y84" s="7"/>
      <c r="Z84" s="7"/>
      <c r="AA84" s="128">
        <v>44165</v>
      </c>
      <c r="AB84" s="2">
        <v>13.288930000000001</v>
      </c>
      <c r="AC84" s="2">
        <v>11.432579</v>
      </c>
      <c r="AD84" s="2">
        <v>10.757928</v>
      </c>
      <c r="AE84" s="2">
        <v>11.363910000000001</v>
      </c>
      <c r="AF84" s="2"/>
      <c r="AG84" s="2"/>
      <c r="AH84" s="7"/>
      <c r="AI84" s="128">
        <v>44165</v>
      </c>
      <c r="AJ84" s="2">
        <v>63.625</v>
      </c>
      <c r="AK84" s="2">
        <v>54.875</v>
      </c>
      <c r="AL84" s="2">
        <v>49.625</v>
      </c>
      <c r="AM84" s="2">
        <v>44.625</v>
      </c>
      <c r="AO84" s="124">
        <v>43850</v>
      </c>
      <c r="AP84">
        <v>103</v>
      </c>
      <c r="AQ84">
        <v>99.25</v>
      </c>
      <c r="AR84">
        <v>92.5</v>
      </c>
      <c r="AS84" s="17">
        <v>91.313000000000002</v>
      </c>
      <c r="AT84">
        <v>96.32</v>
      </c>
      <c r="AU84">
        <v>95.61</v>
      </c>
      <c r="AV84">
        <v>92.69</v>
      </c>
      <c r="AW84">
        <v>87.875</v>
      </c>
      <c r="AX84" s="17">
        <v>98</v>
      </c>
      <c r="AY84" s="17">
        <v>92.715999999999994</v>
      </c>
      <c r="AZ84" s="7"/>
      <c r="BB84" s="124">
        <v>43850</v>
      </c>
      <c r="BC84" s="2">
        <v>9.19</v>
      </c>
      <c r="BD84" s="2">
        <v>9.01</v>
      </c>
      <c r="BE84" s="2">
        <v>10.09</v>
      </c>
      <c r="BF84" s="2">
        <v>10.06</v>
      </c>
      <c r="BG84" s="2">
        <v>10.41</v>
      </c>
      <c r="BH84" s="2">
        <v>10.49</v>
      </c>
      <c r="BI84" s="2">
        <v>10.26</v>
      </c>
      <c r="BJ84" s="2">
        <v>10.119999999999999</v>
      </c>
      <c r="BK84" s="2">
        <v>11.11</v>
      </c>
      <c r="BL84" s="2">
        <v>10.69</v>
      </c>
      <c r="BM84" s="7"/>
      <c r="BN84" s="7"/>
      <c r="BO84" s="128">
        <v>44165</v>
      </c>
      <c r="BP84" s="2">
        <v>13.29</v>
      </c>
      <c r="BQ84" s="2">
        <v>11.43</v>
      </c>
      <c r="BR84" s="2">
        <v>10.76</v>
      </c>
      <c r="BS84" s="2">
        <v>11.69</v>
      </c>
      <c r="BT84" s="2"/>
      <c r="BU84" s="2"/>
      <c r="BV84" s="7"/>
      <c r="BW84" s="128">
        <v>44165</v>
      </c>
      <c r="BX84" s="2">
        <v>63.625</v>
      </c>
      <c r="BY84" s="2">
        <v>54.875</v>
      </c>
      <c r="BZ84" s="2">
        <v>49.625</v>
      </c>
      <c r="CA84" s="2">
        <v>44.625</v>
      </c>
    </row>
    <row r="85" spans="1:79" x14ac:dyDescent="0.2">
      <c r="A85" s="124">
        <v>43851</v>
      </c>
      <c r="B85">
        <v>103</v>
      </c>
      <c r="C85">
        <v>99.375</v>
      </c>
      <c r="D85">
        <v>94.5</v>
      </c>
      <c r="E85" s="17">
        <v>91.313000000000002</v>
      </c>
      <c r="F85">
        <v>96.125</v>
      </c>
      <c r="G85">
        <v>95.375</v>
      </c>
      <c r="H85">
        <v>92.125</v>
      </c>
      <c r="I85">
        <v>87.875</v>
      </c>
      <c r="J85" s="17">
        <v>98.25</v>
      </c>
      <c r="K85" s="17">
        <v>92.468000000000004</v>
      </c>
      <c r="L85" s="7"/>
      <c r="N85" s="124">
        <v>43851</v>
      </c>
      <c r="O85" s="2">
        <v>9.1869499999999995</v>
      </c>
      <c r="P85" s="2">
        <v>8.9633500000000002</v>
      </c>
      <c r="Q85" s="2">
        <v>9.5</v>
      </c>
      <c r="R85" s="2">
        <v>10.063000000000001</v>
      </c>
      <c r="S85" s="2">
        <v>10.45</v>
      </c>
      <c r="T85" s="2">
        <v>10.5395</v>
      </c>
      <c r="U85" s="2">
        <v>10.3735</v>
      </c>
      <c r="V85" s="2">
        <v>10.1227</v>
      </c>
      <c r="W85" s="2">
        <v>11.06</v>
      </c>
      <c r="X85" s="2">
        <v>10.7295</v>
      </c>
      <c r="Y85" s="7"/>
      <c r="Z85" s="7"/>
      <c r="AA85" s="128">
        <v>44166</v>
      </c>
      <c r="AB85" s="2">
        <v>13.154920000000001</v>
      </c>
      <c r="AC85" s="2">
        <v>11.307045</v>
      </c>
      <c r="AD85" s="2">
        <v>10.64676</v>
      </c>
      <c r="AE85" s="2">
        <v>11.245380000000001</v>
      </c>
      <c r="AF85" s="2"/>
      <c r="AG85" s="2"/>
      <c r="AH85" s="7"/>
      <c r="AI85" s="128">
        <v>44166</v>
      </c>
      <c r="AJ85" s="2">
        <v>64.125</v>
      </c>
      <c r="AK85" s="2">
        <v>55.5</v>
      </c>
      <c r="AL85" s="2">
        <v>50.25</v>
      </c>
      <c r="AM85" s="2">
        <v>45</v>
      </c>
      <c r="AO85" s="124">
        <v>43851</v>
      </c>
      <c r="AP85">
        <v>103</v>
      </c>
      <c r="AQ85">
        <v>99.375</v>
      </c>
      <c r="AR85">
        <v>94.5</v>
      </c>
      <c r="AS85" s="17">
        <v>91.313000000000002</v>
      </c>
      <c r="AT85">
        <v>96.125</v>
      </c>
      <c r="AU85">
        <v>95.375</v>
      </c>
      <c r="AV85">
        <v>92.125</v>
      </c>
      <c r="AW85">
        <v>87.875</v>
      </c>
      <c r="AX85" s="17">
        <v>98.25</v>
      </c>
      <c r="AY85" s="17">
        <v>92.468000000000004</v>
      </c>
      <c r="AZ85" s="7"/>
      <c r="BB85" s="124">
        <v>43851</v>
      </c>
      <c r="BC85" s="2">
        <v>9.19</v>
      </c>
      <c r="BD85" s="2">
        <v>8.9600000000000009</v>
      </c>
      <c r="BE85" s="2">
        <v>9.5</v>
      </c>
      <c r="BF85" s="2">
        <v>10.06</v>
      </c>
      <c r="BG85" s="2">
        <v>10.45</v>
      </c>
      <c r="BH85" s="2">
        <v>10.54</v>
      </c>
      <c r="BI85" s="2">
        <v>10.37</v>
      </c>
      <c r="BJ85" s="2">
        <v>10.119999999999999</v>
      </c>
      <c r="BK85" s="2">
        <v>11.06</v>
      </c>
      <c r="BL85" s="2">
        <v>10.73</v>
      </c>
      <c r="BM85" s="7"/>
      <c r="BN85" s="7"/>
      <c r="BO85" s="128">
        <v>44166</v>
      </c>
      <c r="BP85" s="2">
        <v>13.15</v>
      </c>
      <c r="BQ85" s="2">
        <v>11.31</v>
      </c>
      <c r="BR85" s="2">
        <v>10.65</v>
      </c>
      <c r="BS85" s="2">
        <v>11.56</v>
      </c>
      <c r="BT85" s="2"/>
      <c r="BU85" s="2"/>
      <c r="BV85" s="7"/>
      <c r="BW85" s="128">
        <v>44166</v>
      </c>
      <c r="BX85" s="2">
        <v>64.125</v>
      </c>
      <c r="BY85" s="2">
        <v>55.5</v>
      </c>
      <c r="BZ85" s="2">
        <v>50.25</v>
      </c>
      <c r="CA85" s="2">
        <v>45</v>
      </c>
    </row>
    <row r="86" spans="1:79" x14ac:dyDescent="0.2">
      <c r="A86" s="124">
        <v>43852</v>
      </c>
      <c r="B86">
        <v>102.75</v>
      </c>
      <c r="C86">
        <v>98.625</v>
      </c>
      <c r="D86">
        <v>94</v>
      </c>
      <c r="E86" s="17">
        <v>90.936000000000007</v>
      </c>
      <c r="F86">
        <v>95.5</v>
      </c>
      <c r="G86">
        <v>95</v>
      </c>
      <c r="H86">
        <v>91.75</v>
      </c>
      <c r="I86">
        <v>87.75</v>
      </c>
      <c r="J86" s="17">
        <v>97.5</v>
      </c>
      <c r="K86" s="17">
        <v>92.215000000000003</v>
      </c>
      <c r="L86" s="7"/>
      <c r="N86" s="124">
        <v>43852</v>
      </c>
      <c r="O86" s="2">
        <v>9.3120999999999992</v>
      </c>
      <c r="P86" s="2">
        <v>9.2292000000000005</v>
      </c>
      <c r="Q86" s="2">
        <v>9.65</v>
      </c>
      <c r="R86" s="2">
        <v>10.164949999999999</v>
      </c>
      <c r="S86" s="2">
        <v>10.58</v>
      </c>
      <c r="T86" s="2">
        <v>10.61665</v>
      </c>
      <c r="U86" s="2">
        <v>10.44955</v>
      </c>
      <c r="V86" s="2">
        <v>10.148300000000001</v>
      </c>
      <c r="W86" s="2">
        <v>11.2</v>
      </c>
      <c r="X86" s="2">
        <v>10.77355</v>
      </c>
      <c r="Y86" s="7"/>
      <c r="Z86" s="7"/>
      <c r="AA86" s="128">
        <v>44167</v>
      </c>
      <c r="AB86" s="2">
        <v>13.371539</v>
      </c>
      <c r="AC86" s="2">
        <v>11.361554</v>
      </c>
      <c r="AD86" s="2">
        <v>10.604182</v>
      </c>
      <c r="AE86" s="2">
        <v>11.047193</v>
      </c>
      <c r="AF86" s="2"/>
      <c r="AG86" s="2"/>
      <c r="AH86" s="7"/>
      <c r="AI86" s="128">
        <v>44167</v>
      </c>
      <c r="AJ86" s="2">
        <v>63.375</v>
      </c>
      <c r="AK86" s="2">
        <v>55.25</v>
      </c>
      <c r="AL86" s="2">
        <v>50.5</v>
      </c>
      <c r="AM86" s="2">
        <v>45.625</v>
      </c>
      <c r="AO86" s="124">
        <v>43852</v>
      </c>
      <c r="AP86">
        <v>102.75</v>
      </c>
      <c r="AQ86">
        <v>98.625</v>
      </c>
      <c r="AR86">
        <v>94</v>
      </c>
      <c r="AS86" s="17">
        <v>90.936000000000007</v>
      </c>
      <c r="AT86">
        <v>95.44</v>
      </c>
      <c r="AU86">
        <v>94.984999999999999</v>
      </c>
      <c r="AV86">
        <v>91.734999999999999</v>
      </c>
      <c r="AW86">
        <v>87.75</v>
      </c>
      <c r="AX86" s="17">
        <v>97.5</v>
      </c>
      <c r="AY86" s="17">
        <v>92.215000000000003</v>
      </c>
      <c r="AZ86" s="7"/>
      <c r="BB86" s="124">
        <v>43852</v>
      </c>
      <c r="BC86" s="2">
        <v>9.31</v>
      </c>
      <c r="BD86" s="2">
        <v>9.23</v>
      </c>
      <c r="BE86" s="2">
        <v>9.65</v>
      </c>
      <c r="BF86" s="2">
        <v>10.16</v>
      </c>
      <c r="BG86" s="2">
        <v>10.6</v>
      </c>
      <c r="BH86" s="2">
        <v>10.62</v>
      </c>
      <c r="BI86" s="2">
        <v>10.45</v>
      </c>
      <c r="BJ86" s="2">
        <v>10.15</v>
      </c>
      <c r="BK86" s="2">
        <v>11.2</v>
      </c>
      <c r="BL86" s="2">
        <v>10.77</v>
      </c>
      <c r="BM86" s="7"/>
      <c r="BN86" s="7"/>
      <c r="BO86" s="128">
        <v>44167</v>
      </c>
      <c r="BP86" s="2">
        <v>13.37</v>
      </c>
      <c r="BQ86" s="2">
        <v>11.36</v>
      </c>
      <c r="BR86" s="2">
        <v>10.6</v>
      </c>
      <c r="BS86" s="2">
        <v>11.35</v>
      </c>
      <c r="BT86" s="2"/>
      <c r="BU86" s="2"/>
      <c r="BV86" s="7"/>
      <c r="BW86" s="128">
        <v>44167</v>
      </c>
      <c r="BX86" s="2">
        <v>63.375</v>
      </c>
      <c r="BY86" s="2">
        <v>55.25</v>
      </c>
      <c r="BZ86" s="2">
        <v>50.5</v>
      </c>
      <c r="CA86" s="2">
        <v>45.625</v>
      </c>
    </row>
    <row r="87" spans="1:79" x14ac:dyDescent="0.2">
      <c r="A87" s="124">
        <v>43853</v>
      </c>
      <c r="B87">
        <v>102</v>
      </c>
      <c r="C87">
        <v>97.625</v>
      </c>
      <c r="D87">
        <v>93.625</v>
      </c>
      <c r="E87" s="17">
        <v>90.936000000000007</v>
      </c>
      <c r="F87">
        <v>94.75</v>
      </c>
      <c r="G87">
        <v>94.5</v>
      </c>
      <c r="H87">
        <v>91.125</v>
      </c>
      <c r="I87">
        <v>86.5</v>
      </c>
      <c r="J87" s="17">
        <v>96.5</v>
      </c>
      <c r="K87" s="17">
        <v>92.213999999999999</v>
      </c>
      <c r="L87" s="7"/>
      <c r="N87" s="124">
        <v>43853</v>
      </c>
      <c r="O87" s="2">
        <v>9.6915999999999993</v>
      </c>
      <c r="P87" s="2">
        <v>9.5890500000000003</v>
      </c>
      <c r="Q87" s="2">
        <v>9.76</v>
      </c>
      <c r="R87" s="2">
        <v>10.168100000000001</v>
      </c>
      <c r="S87" s="2">
        <v>10.74</v>
      </c>
      <c r="T87" s="2">
        <v>10.720649999999999</v>
      </c>
      <c r="U87" s="2">
        <v>10.57785</v>
      </c>
      <c r="V87" s="2">
        <v>10.404500000000001</v>
      </c>
      <c r="W87" s="2">
        <v>11.38</v>
      </c>
      <c r="X87" s="2">
        <v>10.77445</v>
      </c>
      <c r="Y87" s="7"/>
      <c r="Z87" s="7"/>
      <c r="AA87" s="128">
        <v>44168</v>
      </c>
      <c r="AB87" s="2">
        <v>13.425233</v>
      </c>
      <c r="AC87" s="2">
        <v>11.371202</v>
      </c>
      <c r="AD87" s="2">
        <v>10.611255</v>
      </c>
      <c r="AE87" s="2">
        <v>11.100699000000001</v>
      </c>
      <c r="AF87" s="2"/>
      <c r="AG87" s="2"/>
      <c r="AH87" s="7"/>
      <c r="AI87" s="128">
        <v>44168</v>
      </c>
      <c r="AJ87" s="2">
        <v>63.25</v>
      </c>
      <c r="AK87" s="2">
        <v>55.25</v>
      </c>
      <c r="AL87" s="2">
        <v>50.5</v>
      </c>
      <c r="AM87" s="2">
        <v>45.5</v>
      </c>
      <c r="AO87" s="124">
        <v>43853</v>
      </c>
      <c r="AP87">
        <v>102</v>
      </c>
      <c r="AQ87">
        <v>97.625</v>
      </c>
      <c r="AR87">
        <v>93.625</v>
      </c>
      <c r="AS87" s="17">
        <v>90.936000000000007</v>
      </c>
      <c r="AT87">
        <v>94.75</v>
      </c>
      <c r="AU87">
        <v>93.92</v>
      </c>
      <c r="AV87">
        <v>91.125</v>
      </c>
      <c r="AW87">
        <v>86.5</v>
      </c>
      <c r="AX87" s="17">
        <v>96.5</v>
      </c>
      <c r="AY87" s="17">
        <v>92.213999999999999</v>
      </c>
      <c r="AZ87" s="7"/>
      <c r="BB87" s="124">
        <v>43853</v>
      </c>
      <c r="BC87" s="2">
        <v>9.69</v>
      </c>
      <c r="BD87" s="2">
        <v>9.59</v>
      </c>
      <c r="BE87" s="2">
        <v>9.76</v>
      </c>
      <c r="BF87" s="2">
        <v>10.17</v>
      </c>
      <c r="BG87" s="2">
        <v>10.74</v>
      </c>
      <c r="BH87" s="2">
        <v>10.84</v>
      </c>
      <c r="BI87" s="2">
        <v>10.58</v>
      </c>
      <c r="BJ87" s="2">
        <v>10.4</v>
      </c>
      <c r="BK87" s="2">
        <v>11.38</v>
      </c>
      <c r="BL87" s="2">
        <v>10.77</v>
      </c>
      <c r="BM87" s="7"/>
      <c r="BN87" s="7"/>
      <c r="BO87" s="128">
        <v>44168</v>
      </c>
      <c r="BP87" s="2">
        <v>13.43</v>
      </c>
      <c r="BQ87" s="2">
        <v>11.37</v>
      </c>
      <c r="BR87" s="2">
        <v>10.61</v>
      </c>
      <c r="BS87" s="2">
        <v>11.41</v>
      </c>
      <c r="BT87" s="2"/>
      <c r="BU87" s="2"/>
      <c r="BV87" s="7"/>
      <c r="BW87" s="128">
        <v>44168</v>
      </c>
      <c r="BX87" s="2">
        <v>63.25</v>
      </c>
      <c r="BY87" s="2">
        <v>55.25</v>
      </c>
      <c r="BZ87" s="2">
        <v>50.5</v>
      </c>
      <c r="CA87" s="2">
        <v>45.5</v>
      </c>
    </row>
    <row r="88" spans="1:79" x14ac:dyDescent="0.2">
      <c r="A88" s="124">
        <v>43854</v>
      </c>
      <c r="B88">
        <v>101.75</v>
      </c>
      <c r="C88">
        <v>97.25</v>
      </c>
      <c r="D88">
        <v>92.75</v>
      </c>
      <c r="E88" s="17">
        <v>90.936999999999998</v>
      </c>
      <c r="F88">
        <v>94.25</v>
      </c>
      <c r="G88">
        <v>93.75</v>
      </c>
      <c r="H88">
        <v>90.625</v>
      </c>
      <c r="I88">
        <v>86.5</v>
      </c>
      <c r="J88" s="17">
        <v>96.25</v>
      </c>
      <c r="K88" s="17">
        <v>91.213999999999999</v>
      </c>
      <c r="L88" s="7"/>
      <c r="N88" s="124">
        <v>43854</v>
      </c>
      <c r="O88" s="2">
        <v>9.8195499999999996</v>
      </c>
      <c r="P88" s="2">
        <v>9.7255500000000001</v>
      </c>
      <c r="Q88" s="2">
        <v>10.029999999999999</v>
      </c>
      <c r="R88" s="2">
        <v>10.168900000000001</v>
      </c>
      <c r="S88" s="2">
        <v>10.85</v>
      </c>
      <c r="T88" s="2">
        <v>10.87735</v>
      </c>
      <c r="U88" s="2">
        <v>10.6808</v>
      </c>
      <c r="V88" s="2">
        <v>10.404999999999999</v>
      </c>
      <c r="W88" s="2">
        <v>11.43</v>
      </c>
      <c r="X88" s="2">
        <v>10.94955</v>
      </c>
      <c r="Y88" s="7"/>
      <c r="Z88" s="7"/>
      <c r="AA88" s="128">
        <v>44169</v>
      </c>
      <c r="AB88" s="2">
        <v>13.14986</v>
      </c>
      <c r="AC88" s="2">
        <v>11.12027</v>
      </c>
      <c r="AD88" s="2">
        <v>10.436375999999999</v>
      </c>
      <c r="AE88" s="2">
        <v>10.746297999999999</v>
      </c>
      <c r="AF88" s="2"/>
      <c r="AG88" s="2"/>
      <c r="AH88" s="7"/>
      <c r="AI88" s="128">
        <v>44169</v>
      </c>
      <c r="AJ88" s="2">
        <v>64.25</v>
      </c>
      <c r="AK88" s="2">
        <v>56.5</v>
      </c>
      <c r="AL88" s="2">
        <v>51.5</v>
      </c>
      <c r="AM88" s="2">
        <v>46.625</v>
      </c>
      <c r="AO88" s="124">
        <v>43854</v>
      </c>
      <c r="AP88">
        <v>101.75</v>
      </c>
      <c r="AQ88">
        <v>97.25</v>
      </c>
      <c r="AR88">
        <v>92.75</v>
      </c>
      <c r="AS88" s="17">
        <v>90.936999999999998</v>
      </c>
      <c r="AT88">
        <v>93.405000000000001</v>
      </c>
      <c r="AU88">
        <v>93.484999999999999</v>
      </c>
      <c r="AV88">
        <v>89.98</v>
      </c>
      <c r="AW88">
        <v>86.5</v>
      </c>
      <c r="AX88" s="17">
        <v>96.25</v>
      </c>
      <c r="AY88" s="17">
        <v>91.213999999999999</v>
      </c>
      <c r="AZ88" s="7"/>
      <c r="BB88" s="124">
        <v>43854</v>
      </c>
      <c r="BC88" s="2">
        <v>9.82</v>
      </c>
      <c r="BD88" s="2">
        <v>9.7200000000000006</v>
      </c>
      <c r="BE88" s="2">
        <v>10.029999999999999</v>
      </c>
      <c r="BF88" s="2">
        <v>10.17</v>
      </c>
      <c r="BG88" s="2">
        <v>11.04</v>
      </c>
      <c r="BH88" s="2">
        <v>10.93</v>
      </c>
      <c r="BI88" s="2">
        <v>10.81</v>
      </c>
      <c r="BJ88" s="2">
        <v>10.4</v>
      </c>
      <c r="BK88" s="2">
        <v>11.43</v>
      </c>
      <c r="BL88" s="2">
        <v>10.95</v>
      </c>
      <c r="BM88" s="7"/>
      <c r="BN88" s="7"/>
      <c r="BO88" s="128">
        <v>44169</v>
      </c>
      <c r="BP88" s="2">
        <v>13.15</v>
      </c>
      <c r="BQ88" s="2">
        <v>11.12</v>
      </c>
      <c r="BR88" s="2">
        <v>10.44</v>
      </c>
      <c r="BS88" s="2">
        <v>11.41</v>
      </c>
      <c r="BT88" s="2"/>
      <c r="BU88" s="2"/>
      <c r="BV88" s="7"/>
      <c r="BW88" s="128">
        <v>44169</v>
      </c>
      <c r="BX88" s="2">
        <v>64.25</v>
      </c>
      <c r="BY88" s="2">
        <v>56.5</v>
      </c>
      <c r="BZ88" s="2">
        <v>51.5</v>
      </c>
      <c r="CA88" s="2">
        <v>45.5</v>
      </c>
    </row>
    <row r="89" spans="1:79" x14ac:dyDescent="0.2">
      <c r="A89" s="124">
        <v>43857</v>
      </c>
      <c r="B89">
        <v>100.5</v>
      </c>
      <c r="C89">
        <v>95</v>
      </c>
      <c r="D89">
        <v>89.5</v>
      </c>
      <c r="E89" s="17">
        <v>86.176000000000002</v>
      </c>
      <c r="F89">
        <v>89.75</v>
      </c>
      <c r="G89">
        <v>89.75</v>
      </c>
      <c r="H89">
        <v>88.5</v>
      </c>
      <c r="I89">
        <v>82.5</v>
      </c>
      <c r="J89" s="17">
        <v>94</v>
      </c>
      <c r="K89" s="17">
        <v>87.198999999999998</v>
      </c>
      <c r="L89" s="7"/>
      <c r="N89" s="124">
        <v>43857</v>
      </c>
      <c r="O89" s="2">
        <v>10.470599999999999</v>
      </c>
      <c r="P89" s="2">
        <v>10.556150000000001</v>
      </c>
      <c r="Q89" s="2">
        <v>11.02</v>
      </c>
      <c r="R89" s="2">
        <v>11.4939</v>
      </c>
      <c r="S89" s="2">
        <v>11.87</v>
      </c>
      <c r="T89" s="2">
        <v>11.7407</v>
      </c>
      <c r="U89" s="2">
        <v>11.12555</v>
      </c>
      <c r="V89" s="2">
        <v>11.254300000000001</v>
      </c>
      <c r="W89" s="2">
        <v>11.85</v>
      </c>
      <c r="X89" s="2">
        <v>11.679399999999999</v>
      </c>
      <c r="Y89" s="7"/>
      <c r="Z89" s="7"/>
      <c r="AA89" s="128">
        <v>44172</v>
      </c>
      <c r="AB89" s="2">
        <v>13.017027000000001</v>
      </c>
      <c r="AC89" s="2">
        <v>11.073373999999999</v>
      </c>
      <c r="AD89" s="2">
        <v>10.351648000000001</v>
      </c>
      <c r="AE89" s="2">
        <v>10.633041</v>
      </c>
      <c r="AF89" s="2"/>
      <c r="AG89" s="2"/>
      <c r="AH89" s="7"/>
      <c r="AI89" s="128">
        <v>44172</v>
      </c>
      <c r="AJ89" s="2">
        <v>64.75</v>
      </c>
      <c r="AK89" s="2">
        <v>56.75</v>
      </c>
      <c r="AL89" s="2">
        <v>52</v>
      </c>
      <c r="AM89" s="2">
        <v>47</v>
      </c>
      <c r="AO89" s="124">
        <v>43857</v>
      </c>
      <c r="AP89">
        <v>99</v>
      </c>
      <c r="AQ89">
        <v>95</v>
      </c>
      <c r="AR89">
        <v>89.5</v>
      </c>
      <c r="AS89" s="17">
        <v>86.176000000000002</v>
      </c>
      <c r="AT89">
        <v>89.75</v>
      </c>
      <c r="AU89">
        <v>92.775000000000006</v>
      </c>
      <c r="AV89">
        <v>86.41</v>
      </c>
      <c r="AW89">
        <v>82.5</v>
      </c>
      <c r="AX89" s="17">
        <v>94</v>
      </c>
      <c r="AY89" s="17">
        <v>87.198999999999998</v>
      </c>
      <c r="AZ89" s="7"/>
      <c r="BB89" s="124">
        <v>43857</v>
      </c>
      <c r="BC89" s="2">
        <v>11.27</v>
      </c>
      <c r="BD89" s="2">
        <v>10.56</v>
      </c>
      <c r="BE89" s="2">
        <v>11.02</v>
      </c>
      <c r="BF89" s="2">
        <v>11.49</v>
      </c>
      <c r="BG89" s="2">
        <v>11.87</v>
      </c>
      <c r="BH89" s="2">
        <v>11.08</v>
      </c>
      <c r="BI89" s="2">
        <v>11.58</v>
      </c>
      <c r="BJ89" s="2">
        <v>11.25</v>
      </c>
      <c r="BK89" s="2">
        <v>11.85</v>
      </c>
      <c r="BL89" s="2">
        <v>11.68</v>
      </c>
      <c r="BM89" s="7"/>
      <c r="BN89" s="7"/>
      <c r="BO89" s="128">
        <v>44172</v>
      </c>
      <c r="BP89" s="2">
        <v>13.02</v>
      </c>
      <c r="BQ89" s="2">
        <v>11.07</v>
      </c>
      <c r="BR89" s="2">
        <v>10.35</v>
      </c>
      <c r="BS89" s="2">
        <v>10.92</v>
      </c>
      <c r="BT89" s="2"/>
      <c r="BU89" s="2"/>
      <c r="BV89" s="7"/>
      <c r="BW89" s="128">
        <v>44172</v>
      </c>
      <c r="BX89" s="2">
        <v>64.75</v>
      </c>
      <c r="BY89" s="2">
        <v>56.75</v>
      </c>
      <c r="BZ89" s="2">
        <v>52</v>
      </c>
      <c r="CA89" s="2">
        <v>47</v>
      </c>
    </row>
    <row r="90" spans="1:79" x14ac:dyDescent="0.2">
      <c r="A90" s="124">
        <v>43858</v>
      </c>
      <c r="B90">
        <v>100.25</v>
      </c>
      <c r="C90">
        <v>95.75</v>
      </c>
      <c r="D90">
        <v>91</v>
      </c>
      <c r="E90" s="17">
        <v>86.174499999999995</v>
      </c>
      <c r="F90">
        <v>91.5</v>
      </c>
      <c r="G90">
        <v>91</v>
      </c>
      <c r="H90">
        <v>88.375</v>
      </c>
      <c r="I90">
        <v>84.125</v>
      </c>
      <c r="J90" s="17">
        <v>94</v>
      </c>
      <c r="K90" s="17">
        <v>87.451999999999998</v>
      </c>
      <c r="L90" s="7"/>
      <c r="N90" s="124">
        <v>43858</v>
      </c>
      <c r="O90" s="2">
        <v>10.60225</v>
      </c>
      <c r="P90" s="2">
        <v>10.277850000000001</v>
      </c>
      <c r="Q90" s="2">
        <v>10.56</v>
      </c>
      <c r="R90" s="2">
        <v>11.496</v>
      </c>
      <c r="S90" s="2">
        <v>11.47</v>
      </c>
      <c r="T90" s="2">
        <v>11.466150000000001</v>
      </c>
      <c r="U90" s="2">
        <v>11.15265</v>
      </c>
      <c r="V90" s="2">
        <v>10.9039</v>
      </c>
      <c r="W90" s="2">
        <v>11.85</v>
      </c>
      <c r="X90" s="2">
        <v>11.63245</v>
      </c>
      <c r="Y90" s="7"/>
      <c r="Z90" s="7"/>
      <c r="AA90" s="128">
        <v>44173</v>
      </c>
      <c r="AB90" s="2">
        <v>12.953984</v>
      </c>
      <c r="AC90" s="2">
        <v>11.126547</v>
      </c>
      <c r="AD90" s="2">
        <v>10.310796</v>
      </c>
      <c r="AE90" s="2">
        <v>10.328751</v>
      </c>
      <c r="AF90" s="2"/>
      <c r="AG90" s="2"/>
      <c r="AH90" s="7"/>
      <c r="AI90" s="128">
        <v>44173</v>
      </c>
      <c r="AJ90" s="2">
        <v>65</v>
      </c>
      <c r="AK90" s="2">
        <v>56.5</v>
      </c>
      <c r="AL90" s="2">
        <v>52.25</v>
      </c>
      <c r="AM90" s="2">
        <v>48</v>
      </c>
      <c r="AO90" s="124">
        <v>43858</v>
      </c>
      <c r="AP90">
        <v>100.125</v>
      </c>
      <c r="AQ90">
        <v>95.75</v>
      </c>
      <c r="AR90">
        <v>91</v>
      </c>
      <c r="AS90" s="17">
        <v>86.174000000000007</v>
      </c>
      <c r="AT90">
        <v>92.08</v>
      </c>
      <c r="AU90">
        <v>89.81</v>
      </c>
      <c r="AV90">
        <v>88.375</v>
      </c>
      <c r="AW90">
        <v>84.125</v>
      </c>
      <c r="AX90" s="17">
        <v>94</v>
      </c>
      <c r="AY90" s="17">
        <v>87.451999999999998</v>
      </c>
      <c r="AZ90" s="7"/>
      <c r="BB90" s="124">
        <v>43858</v>
      </c>
      <c r="BC90" s="2">
        <v>10.67</v>
      </c>
      <c r="BD90" s="2">
        <v>10.28</v>
      </c>
      <c r="BE90" s="2">
        <v>10.56</v>
      </c>
      <c r="BF90" s="2">
        <v>11.5</v>
      </c>
      <c r="BG90" s="2">
        <v>11.33</v>
      </c>
      <c r="BH90" s="2">
        <v>11.73</v>
      </c>
      <c r="BI90" s="2">
        <v>11.15</v>
      </c>
      <c r="BJ90" s="2">
        <v>10.9</v>
      </c>
      <c r="BK90" s="2">
        <v>11.85</v>
      </c>
      <c r="BL90" s="2">
        <v>11.63</v>
      </c>
      <c r="BM90" s="7"/>
      <c r="BN90" s="7"/>
      <c r="BO90" s="128">
        <v>44173</v>
      </c>
      <c r="BP90" s="2">
        <v>12.95</v>
      </c>
      <c r="BQ90" s="2">
        <v>11.13</v>
      </c>
      <c r="BR90" s="2">
        <v>10.31</v>
      </c>
      <c r="BS90" s="2">
        <v>10.92</v>
      </c>
      <c r="BT90" s="2"/>
      <c r="BU90" s="2"/>
      <c r="BV90" s="7"/>
      <c r="BW90" s="128">
        <v>44173</v>
      </c>
      <c r="BX90" s="2">
        <v>65</v>
      </c>
      <c r="BY90" s="2">
        <v>56.5</v>
      </c>
      <c r="BZ90" s="2">
        <v>52.25</v>
      </c>
      <c r="CA90" s="2">
        <v>47</v>
      </c>
    </row>
    <row r="91" spans="1:79" x14ac:dyDescent="0.2">
      <c r="A91" s="124">
        <v>43859</v>
      </c>
      <c r="B91">
        <v>100.625</v>
      </c>
      <c r="C91">
        <v>95.875</v>
      </c>
      <c r="D91">
        <v>91</v>
      </c>
      <c r="E91" s="17">
        <v>88.180499999999995</v>
      </c>
      <c r="F91">
        <v>91.75</v>
      </c>
      <c r="G91">
        <v>91.25</v>
      </c>
      <c r="H91">
        <v>88.25</v>
      </c>
      <c r="I91">
        <v>84.75</v>
      </c>
      <c r="J91" s="17">
        <v>94.125</v>
      </c>
      <c r="K91" s="17">
        <v>89.332999999999998</v>
      </c>
      <c r="L91" s="7"/>
      <c r="N91" s="124">
        <v>43859</v>
      </c>
      <c r="O91" s="2">
        <v>10.4047</v>
      </c>
      <c r="P91" s="2">
        <v>10.2225</v>
      </c>
      <c r="Q91" s="2">
        <v>10.55</v>
      </c>
      <c r="R91" s="2">
        <v>10.920999999999999</v>
      </c>
      <c r="S91" s="2">
        <v>11.41</v>
      </c>
      <c r="T91" s="2">
        <v>11.41165</v>
      </c>
      <c r="U91" s="2">
        <v>11.173999999999999</v>
      </c>
      <c r="V91" s="2">
        <v>10.771100000000001</v>
      </c>
      <c r="W91" s="2">
        <v>11.83</v>
      </c>
      <c r="X91" s="2">
        <v>11.281549999999999</v>
      </c>
      <c r="Y91" s="7"/>
      <c r="Z91" s="7"/>
      <c r="AA91" s="128">
        <v>44174</v>
      </c>
      <c r="AB91" s="2">
        <v>12.687167000000001</v>
      </c>
      <c r="AC91" s="2">
        <v>11.054689</v>
      </c>
      <c r="AD91" s="2">
        <v>10.206307000000001</v>
      </c>
      <c r="AE91" s="2">
        <v>10.143546000000001</v>
      </c>
      <c r="AF91" s="2"/>
      <c r="AG91" s="2"/>
      <c r="AH91" s="7"/>
      <c r="AI91" s="128">
        <v>44174</v>
      </c>
      <c r="AJ91" s="2">
        <v>66</v>
      </c>
      <c r="AK91" s="2">
        <v>56.875</v>
      </c>
      <c r="AL91" s="2">
        <v>52.875</v>
      </c>
      <c r="AM91" s="2">
        <v>48.625</v>
      </c>
      <c r="AO91" s="124">
        <v>43859</v>
      </c>
      <c r="AP91">
        <v>100.625</v>
      </c>
      <c r="AQ91">
        <v>95.875</v>
      </c>
      <c r="AR91">
        <v>91</v>
      </c>
      <c r="AS91" s="17">
        <v>88.18</v>
      </c>
      <c r="AT91">
        <v>91.75</v>
      </c>
      <c r="AU91">
        <v>91.25</v>
      </c>
      <c r="AV91">
        <v>88.25</v>
      </c>
      <c r="AW91">
        <v>84.75</v>
      </c>
      <c r="AX91" s="17">
        <v>94.125</v>
      </c>
      <c r="AY91" s="17">
        <v>89.332999999999998</v>
      </c>
      <c r="AZ91" s="7"/>
      <c r="BB91" s="124">
        <v>43859</v>
      </c>
      <c r="BC91" s="2">
        <v>10.4</v>
      </c>
      <c r="BD91" s="2">
        <v>10.220000000000001</v>
      </c>
      <c r="BE91" s="2">
        <v>10.56</v>
      </c>
      <c r="BF91" s="2">
        <v>10.92</v>
      </c>
      <c r="BG91" s="2">
        <v>11.41</v>
      </c>
      <c r="BH91" s="2">
        <v>11.41</v>
      </c>
      <c r="BI91" s="2">
        <v>11.18</v>
      </c>
      <c r="BJ91" s="2">
        <v>10.77</v>
      </c>
      <c r="BK91" s="2">
        <v>11.83</v>
      </c>
      <c r="BL91" s="2">
        <v>11.28</v>
      </c>
      <c r="BM91" s="7"/>
      <c r="BN91" s="7"/>
      <c r="BO91" s="128">
        <v>44174</v>
      </c>
      <c r="BP91" s="2">
        <v>12.69</v>
      </c>
      <c r="BQ91" s="2">
        <v>11.05</v>
      </c>
      <c r="BR91" s="2">
        <v>10.210000000000001</v>
      </c>
      <c r="BS91" s="2">
        <v>10.4</v>
      </c>
      <c r="BT91" s="2"/>
      <c r="BU91" s="2"/>
      <c r="BV91" s="7"/>
      <c r="BW91" s="128">
        <v>44174</v>
      </c>
      <c r="BX91" s="2">
        <v>66</v>
      </c>
      <c r="BY91" s="2">
        <v>56.875</v>
      </c>
      <c r="BZ91" s="2">
        <v>52.875</v>
      </c>
      <c r="CA91" s="2">
        <v>48.625</v>
      </c>
    </row>
    <row r="92" spans="1:79" x14ac:dyDescent="0.2">
      <c r="A92" s="124">
        <v>43860</v>
      </c>
      <c r="B92">
        <v>100.75</v>
      </c>
      <c r="C92">
        <v>95.5</v>
      </c>
      <c r="D92">
        <v>89.875</v>
      </c>
      <c r="E92" s="17">
        <v>88.68</v>
      </c>
      <c r="F92">
        <v>91.5</v>
      </c>
      <c r="G92">
        <v>90.375</v>
      </c>
      <c r="H92">
        <v>87.25</v>
      </c>
      <c r="I92">
        <v>83.5</v>
      </c>
      <c r="J92" s="17">
        <v>93.375</v>
      </c>
      <c r="K92" s="17">
        <v>89.459000000000003</v>
      </c>
      <c r="L92" s="7"/>
      <c r="N92" s="124">
        <v>43860</v>
      </c>
      <c r="O92" s="2">
        <v>10.338100000000001</v>
      </c>
      <c r="P92" s="2">
        <v>10.374000000000001</v>
      </c>
      <c r="Q92" s="2">
        <v>10.91</v>
      </c>
      <c r="R92" s="2">
        <v>10.79195</v>
      </c>
      <c r="S92" s="2">
        <v>11.47</v>
      </c>
      <c r="T92" s="2">
        <v>11.6044</v>
      </c>
      <c r="U92" s="2">
        <v>11.395899999999999</v>
      </c>
      <c r="V92" s="2">
        <v>11.039899999999999</v>
      </c>
      <c r="W92" s="2">
        <v>11.97</v>
      </c>
      <c r="X92" s="2">
        <v>11.2645</v>
      </c>
      <c r="Y92" s="7"/>
      <c r="Z92" s="7"/>
      <c r="AA92" s="128">
        <v>44175</v>
      </c>
      <c r="AB92" s="2">
        <v>12.840299</v>
      </c>
      <c r="AC92" s="2">
        <v>11.139127</v>
      </c>
      <c r="AD92" s="2">
        <v>10.255616</v>
      </c>
      <c r="AE92" s="2">
        <v>10.269014</v>
      </c>
      <c r="AF92" s="2"/>
      <c r="AG92" s="2"/>
      <c r="AH92" s="7"/>
      <c r="AI92" s="128">
        <v>44175</v>
      </c>
      <c r="AJ92" s="2">
        <v>65.5</v>
      </c>
      <c r="AK92" s="2">
        <v>56.5</v>
      </c>
      <c r="AL92" s="2">
        <v>52.625</v>
      </c>
      <c r="AM92" s="2">
        <v>48.25</v>
      </c>
      <c r="AO92" s="124">
        <v>43860</v>
      </c>
      <c r="AP92">
        <v>100.75</v>
      </c>
      <c r="AQ92">
        <v>95.5</v>
      </c>
      <c r="AR92">
        <v>89.875</v>
      </c>
      <c r="AS92" s="17">
        <v>88.68</v>
      </c>
      <c r="AT92">
        <v>90.79</v>
      </c>
      <c r="AU92">
        <v>90.375</v>
      </c>
      <c r="AV92">
        <v>86.65</v>
      </c>
      <c r="AW92">
        <v>83.5</v>
      </c>
      <c r="AX92" s="17">
        <v>93.375</v>
      </c>
      <c r="AY92" s="17">
        <v>89.459000000000003</v>
      </c>
      <c r="AZ92" s="7"/>
      <c r="BB92" s="124">
        <v>43860</v>
      </c>
      <c r="BC92" s="2">
        <v>10.34</v>
      </c>
      <c r="BD92" s="2">
        <v>10.37</v>
      </c>
      <c r="BE92" s="2">
        <v>10.91</v>
      </c>
      <c r="BF92" s="2">
        <v>10.79</v>
      </c>
      <c r="BG92" s="2">
        <v>11.63</v>
      </c>
      <c r="BH92" s="2">
        <v>11.6</v>
      </c>
      <c r="BI92" s="2">
        <v>11.53</v>
      </c>
      <c r="BJ92" s="2">
        <v>11.04</v>
      </c>
      <c r="BK92" s="2">
        <v>11.97</v>
      </c>
      <c r="BL92" s="2">
        <v>11.26</v>
      </c>
      <c r="BM92" s="7"/>
      <c r="BN92" s="7"/>
      <c r="BO92" s="128">
        <v>44175</v>
      </c>
      <c r="BP92" s="2">
        <v>12.84</v>
      </c>
      <c r="BQ92" s="2">
        <v>11.14</v>
      </c>
      <c r="BR92" s="2">
        <v>10.26</v>
      </c>
      <c r="BS92" s="2">
        <v>10.53</v>
      </c>
      <c r="BT92" s="2"/>
      <c r="BU92" s="2"/>
      <c r="BV92" s="7"/>
      <c r="BW92" s="128">
        <v>44175</v>
      </c>
      <c r="BX92" s="2">
        <v>65.5</v>
      </c>
      <c r="BY92" s="2">
        <v>56.5</v>
      </c>
      <c r="BZ92" s="2">
        <v>52.625</v>
      </c>
      <c r="CA92" s="2">
        <v>48.25</v>
      </c>
    </row>
    <row r="93" spans="1:79" x14ac:dyDescent="0.2">
      <c r="A93" s="124">
        <v>43861</v>
      </c>
      <c r="B93">
        <v>100.5</v>
      </c>
      <c r="C93">
        <v>93.75</v>
      </c>
      <c r="D93">
        <v>88</v>
      </c>
      <c r="E93" s="17">
        <v>87.176000000000002</v>
      </c>
      <c r="F93">
        <v>88.625</v>
      </c>
      <c r="G93">
        <v>87.875</v>
      </c>
      <c r="H93">
        <v>84.75</v>
      </c>
      <c r="I93">
        <v>80.875</v>
      </c>
      <c r="J93" s="17">
        <v>90.5</v>
      </c>
      <c r="K93" s="17">
        <v>88.078500000000005</v>
      </c>
      <c r="L93" s="7"/>
      <c r="N93" s="124">
        <v>43861</v>
      </c>
      <c r="O93" s="2">
        <v>10.469749999999999</v>
      </c>
      <c r="P93" s="2">
        <v>11.03575</v>
      </c>
      <c r="Q93" s="2">
        <v>11.51</v>
      </c>
      <c r="R93" s="2">
        <v>11.215999999999999</v>
      </c>
      <c r="S93" s="2">
        <v>12.13</v>
      </c>
      <c r="T93" s="2">
        <v>12.165800000000001</v>
      </c>
      <c r="U93" s="2">
        <v>11.94825</v>
      </c>
      <c r="V93" s="2">
        <v>11.618449999999999</v>
      </c>
      <c r="W93" s="2">
        <v>12.54</v>
      </c>
      <c r="X93" s="2">
        <v>11.51755</v>
      </c>
      <c r="Y93" s="7"/>
      <c r="Z93" s="7"/>
      <c r="AA93" s="128">
        <v>44176</v>
      </c>
      <c r="AB93" s="2">
        <v>12.846120000000001</v>
      </c>
      <c r="AC93" s="2">
        <v>11.142277999999999</v>
      </c>
      <c r="AD93" s="2">
        <v>10.322203</v>
      </c>
      <c r="AE93" s="2">
        <v>10.197354000000001</v>
      </c>
      <c r="AF93" s="2"/>
      <c r="AG93" s="2"/>
      <c r="AH93" s="7"/>
      <c r="AI93" s="128">
        <v>44176</v>
      </c>
      <c r="AJ93" s="2">
        <v>65.5</v>
      </c>
      <c r="AK93" s="2">
        <v>56.5</v>
      </c>
      <c r="AL93" s="2">
        <v>52.25</v>
      </c>
      <c r="AM93" s="2">
        <v>48.5</v>
      </c>
      <c r="AO93" s="124">
        <v>43861</v>
      </c>
      <c r="AP93">
        <v>99.25</v>
      </c>
      <c r="AQ93">
        <v>93.75</v>
      </c>
      <c r="AR93">
        <v>88</v>
      </c>
      <c r="AS93" s="17">
        <v>87.176000000000002</v>
      </c>
      <c r="AT93">
        <v>89.435000000000002</v>
      </c>
      <c r="AU93">
        <v>89.084999999999994</v>
      </c>
      <c r="AV93">
        <v>84.75</v>
      </c>
      <c r="AW93">
        <v>80.875</v>
      </c>
      <c r="AX93" s="17">
        <v>90.5</v>
      </c>
      <c r="AY93" s="17">
        <v>88.078000000000003</v>
      </c>
      <c r="AZ93" s="7"/>
      <c r="BB93" s="124">
        <v>43861</v>
      </c>
      <c r="BC93" s="2">
        <v>11.14</v>
      </c>
      <c r="BD93" s="2">
        <v>11.04</v>
      </c>
      <c r="BE93" s="2">
        <v>11.51</v>
      </c>
      <c r="BF93" s="2">
        <v>11.22</v>
      </c>
      <c r="BG93" s="2">
        <v>11.94</v>
      </c>
      <c r="BH93" s="2">
        <v>11.89</v>
      </c>
      <c r="BI93" s="2">
        <v>11.95</v>
      </c>
      <c r="BJ93" s="2">
        <v>11.62</v>
      </c>
      <c r="BK93" s="2">
        <v>12.54</v>
      </c>
      <c r="BL93" s="2">
        <v>11.52</v>
      </c>
      <c r="BM93" s="7"/>
      <c r="BN93" s="7"/>
      <c r="BO93" s="128">
        <v>44176</v>
      </c>
      <c r="BP93" s="2">
        <v>12.85</v>
      </c>
      <c r="BQ93" s="2">
        <v>11.14</v>
      </c>
      <c r="BR93" s="2">
        <v>10.32</v>
      </c>
      <c r="BS93" s="2">
        <v>10.46</v>
      </c>
      <c r="BT93" s="2"/>
      <c r="BU93" s="2"/>
      <c r="BV93" s="7"/>
      <c r="BW93" s="128">
        <v>44176</v>
      </c>
      <c r="BX93" s="2">
        <v>65.5</v>
      </c>
      <c r="BY93" s="2">
        <v>56.5</v>
      </c>
      <c r="BZ93" s="2">
        <v>52.25</v>
      </c>
      <c r="CA93" s="2">
        <v>48.5</v>
      </c>
    </row>
    <row r="94" spans="1:79" x14ac:dyDescent="0.2">
      <c r="A94" s="124">
        <v>43864</v>
      </c>
      <c r="B94">
        <v>99.125</v>
      </c>
      <c r="C94">
        <v>93.625</v>
      </c>
      <c r="D94">
        <v>88.625</v>
      </c>
      <c r="E94" s="17">
        <v>85.671000000000006</v>
      </c>
      <c r="F94">
        <v>88.375</v>
      </c>
      <c r="G94">
        <v>88.25</v>
      </c>
      <c r="H94">
        <v>84.75</v>
      </c>
      <c r="I94">
        <v>81.375</v>
      </c>
      <c r="J94">
        <v>90.75</v>
      </c>
      <c r="K94" s="17">
        <v>86.1965</v>
      </c>
      <c r="L94" s="7"/>
      <c r="N94" s="124">
        <v>43864</v>
      </c>
      <c r="O94" s="2">
        <v>11.204499999999999</v>
      </c>
      <c r="P94" s="2">
        <v>11.085100000000001</v>
      </c>
      <c r="Q94" s="2">
        <v>11.31</v>
      </c>
      <c r="R94" s="2">
        <v>11.64995</v>
      </c>
      <c r="S94" s="2">
        <v>12.19</v>
      </c>
      <c r="T94" s="2">
        <v>12.08095</v>
      </c>
      <c r="U94" s="2">
        <v>11.949</v>
      </c>
      <c r="V94" s="2">
        <v>11.507300000000001</v>
      </c>
      <c r="W94" s="2">
        <v>12.49</v>
      </c>
      <c r="X94" s="2">
        <v>11.871449999999999</v>
      </c>
      <c r="Y94" s="7"/>
      <c r="Z94" s="7"/>
      <c r="AA94" s="128">
        <v>44179</v>
      </c>
      <c r="AB94" s="2">
        <v>12.851946999999999</v>
      </c>
      <c r="AC94" s="2">
        <v>11.120321000000001</v>
      </c>
      <c r="AD94" s="2">
        <v>10.324488000000001</v>
      </c>
      <c r="AE94" s="2">
        <v>10.163681</v>
      </c>
      <c r="AF94" s="2"/>
      <c r="AG94" s="2"/>
      <c r="AH94" s="7"/>
      <c r="AI94" s="128">
        <v>44179</v>
      </c>
      <c r="AJ94" s="2">
        <v>65.5</v>
      </c>
      <c r="AK94" s="2">
        <v>56.625</v>
      </c>
      <c r="AL94" s="2">
        <v>52.25</v>
      </c>
      <c r="AM94" s="2">
        <v>48.625</v>
      </c>
      <c r="AO94" s="124">
        <v>43864</v>
      </c>
      <c r="AP94">
        <v>99.125</v>
      </c>
      <c r="AQ94">
        <v>93.625</v>
      </c>
      <c r="AR94">
        <v>88.625</v>
      </c>
      <c r="AS94" s="17">
        <v>85.671000000000006</v>
      </c>
      <c r="AT94">
        <v>88.375</v>
      </c>
      <c r="AU94">
        <v>88.25</v>
      </c>
      <c r="AV94">
        <v>84.75</v>
      </c>
      <c r="AW94">
        <v>81.375</v>
      </c>
      <c r="AX94">
        <v>90.75</v>
      </c>
      <c r="AY94" s="17">
        <v>86.197000000000003</v>
      </c>
      <c r="AZ94" s="7"/>
      <c r="BB94" s="124">
        <v>43864</v>
      </c>
      <c r="BC94" s="2">
        <v>11.2</v>
      </c>
      <c r="BD94" s="2">
        <v>11.08</v>
      </c>
      <c r="BE94" s="2">
        <v>11.31</v>
      </c>
      <c r="BF94" s="2">
        <v>11.65</v>
      </c>
      <c r="BG94" s="2">
        <v>12.19</v>
      </c>
      <c r="BH94" s="2">
        <v>12.08</v>
      </c>
      <c r="BI94" s="2">
        <v>11.95</v>
      </c>
      <c r="BJ94" s="2">
        <v>11.51</v>
      </c>
      <c r="BK94" s="2">
        <v>12.49</v>
      </c>
      <c r="BL94" s="2">
        <v>11.87</v>
      </c>
      <c r="BM94" s="7"/>
      <c r="BN94" s="7"/>
      <c r="BO94" s="128">
        <v>44179</v>
      </c>
      <c r="BP94" s="2">
        <v>12.85</v>
      </c>
      <c r="BQ94" s="2">
        <v>11.12</v>
      </c>
      <c r="BR94" s="2">
        <v>10.32</v>
      </c>
      <c r="BS94" s="2">
        <v>10.42</v>
      </c>
      <c r="BT94" s="2"/>
      <c r="BU94" s="2"/>
      <c r="BV94" s="7"/>
      <c r="BW94" s="128">
        <v>44179</v>
      </c>
      <c r="BX94" s="2">
        <v>65.5</v>
      </c>
      <c r="BY94" s="2">
        <v>56.625</v>
      </c>
      <c r="BZ94" s="2">
        <v>52.25</v>
      </c>
      <c r="CA94" s="2">
        <v>48.625</v>
      </c>
    </row>
    <row r="95" spans="1:79" x14ac:dyDescent="0.2">
      <c r="A95" s="124">
        <v>43865</v>
      </c>
      <c r="B95">
        <v>99</v>
      </c>
      <c r="C95">
        <v>93.375</v>
      </c>
      <c r="D95">
        <v>88.25</v>
      </c>
      <c r="E95" s="17">
        <v>85.673000000000002</v>
      </c>
      <c r="F95">
        <v>88.5</v>
      </c>
      <c r="G95">
        <v>87.75</v>
      </c>
      <c r="H95">
        <v>84.75</v>
      </c>
      <c r="I95">
        <v>81.125</v>
      </c>
      <c r="J95">
        <v>90.375</v>
      </c>
      <c r="K95" s="17">
        <v>85.442999999999998</v>
      </c>
      <c r="L95" s="7"/>
      <c r="N95" s="124">
        <v>43865</v>
      </c>
      <c r="O95" s="2">
        <v>11.272500000000001</v>
      </c>
      <c r="P95" s="2">
        <v>11.182650000000001</v>
      </c>
      <c r="Q95" s="2">
        <v>11.43</v>
      </c>
      <c r="R95" s="2">
        <v>11.65105</v>
      </c>
      <c r="S95" s="2">
        <v>12.16</v>
      </c>
      <c r="T95" s="2">
        <v>12.195600000000001</v>
      </c>
      <c r="U95" s="2">
        <v>11.9498</v>
      </c>
      <c r="V95" s="2">
        <v>11.56395</v>
      </c>
      <c r="W95" s="2">
        <v>12.57</v>
      </c>
      <c r="X95" s="2">
        <v>12.016450000000001</v>
      </c>
      <c r="Y95" s="7"/>
      <c r="Z95" s="7"/>
      <c r="AA95" s="128">
        <v>44180</v>
      </c>
      <c r="AB95" s="2">
        <v>12.995193</v>
      </c>
      <c r="AC95" s="2">
        <v>11.300706999999999</v>
      </c>
      <c r="AD95" s="2">
        <v>10.413484</v>
      </c>
      <c r="AE95" s="2">
        <v>10.357494000000001</v>
      </c>
      <c r="AF95" s="2"/>
      <c r="AG95" s="2"/>
      <c r="AH95" s="7"/>
      <c r="AI95" s="128">
        <v>44180</v>
      </c>
      <c r="AJ95" s="2">
        <v>65</v>
      </c>
      <c r="AK95" s="2">
        <v>55.75</v>
      </c>
      <c r="AL95" s="2">
        <v>51.75</v>
      </c>
      <c r="AM95" s="2">
        <v>48</v>
      </c>
      <c r="AO95" s="124">
        <v>43865</v>
      </c>
      <c r="AP95">
        <v>99</v>
      </c>
      <c r="AQ95">
        <v>93.375</v>
      </c>
      <c r="AR95">
        <v>88.25</v>
      </c>
      <c r="AS95" s="17">
        <v>85.673000000000002</v>
      </c>
      <c r="AT95">
        <v>87.81</v>
      </c>
      <c r="AU95">
        <v>86.924999999999997</v>
      </c>
      <c r="AV95">
        <v>83.965000000000003</v>
      </c>
      <c r="AW95">
        <v>81.125</v>
      </c>
      <c r="AX95">
        <v>90.375</v>
      </c>
      <c r="AY95" s="17">
        <v>85.441999999999993</v>
      </c>
      <c r="AZ95" s="7"/>
      <c r="BB95" s="124">
        <v>43865</v>
      </c>
      <c r="BC95" s="2">
        <v>11.27</v>
      </c>
      <c r="BD95" s="2">
        <v>11.18</v>
      </c>
      <c r="BE95" s="2">
        <v>11.43</v>
      </c>
      <c r="BF95" s="2">
        <v>11.65</v>
      </c>
      <c r="BG95" s="2">
        <v>12.33</v>
      </c>
      <c r="BH95" s="2">
        <v>12.39</v>
      </c>
      <c r="BI95" s="2">
        <v>12.13</v>
      </c>
      <c r="BJ95" s="2">
        <v>11.56</v>
      </c>
      <c r="BK95" s="2">
        <v>12.57</v>
      </c>
      <c r="BL95" s="2">
        <v>12.02</v>
      </c>
      <c r="BM95" s="7"/>
      <c r="BN95" s="7"/>
      <c r="BO95" s="128">
        <v>44180</v>
      </c>
      <c r="BP95" s="2">
        <v>13</v>
      </c>
      <c r="BQ95" s="2">
        <v>11.3</v>
      </c>
      <c r="BR95" s="2">
        <v>10.41</v>
      </c>
      <c r="BS95" s="2">
        <v>10.63</v>
      </c>
      <c r="BT95" s="2"/>
      <c r="BU95" s="2"/>
      <c r="BV95" s="7"/>
      <c r="BW95" s="128">
        <v>44180</v>
      </c>
      <c r="BX95" s="2">
        <v>65</v>
      </c>
      <c r="BY95" s="2">
        <v>55.75</v>
      </c>
      <c r="BZ95" s="2">
        <v>51.75</v>
      </c>
      <c r="CA95" s="2">
        <v>48</v>
      </c>
    </row>
    <row r="96" spans="1:79" x14ac:dyDescent="0.2">
      <c r="A96" s="124">
        <v>43866</v>
      </c>
      <c r="B96">
        <v>98.125</v>
      </c>
      <c r="C96">
        <v>92.5</v>
      </c>
      <c r="D96">
        <v>87.5</v>
      </c>
      <c r="E96" s="17">
        <v>85.421499999999995</v>
      </c>
      <c r="F96">
        <v>87.625</v>
      </c>
      <c r="G96">
        <v>87.125</v>
      </c>
      <c r="H96">
        <v>84</v>
      </c>
      <c r="I96">
        <v>81.125</v>
      </c>
      <c r="J96">
        <v>89.625</v>
      </c>
      <c r="K96" s="17">
        <v>83.188000000000002</v>
      </c>
      <c r="L96" s="7"/>
      <c r="N96" s="124">
        <v>43866</v>
      </c>
      <c r="O96" s="2">
        <v>11.749499999999999</v>
      </c>
      <c r="P96" s="2">
        <v>11.5229</v>
      </c>
      <c r="Q96" s="2">
        <v>11.68</v>
      </c>
      <c r="R96" s="2">
        <v>11.726050000000001</v>
      </c>
      <c r="S96" s="2">
        <v>12.37</v>
      </c>
      <c r="T96" s="2">
        <v>12.3401</v>
      </c>
      <c r="U96" s="2">
        <v>12.1204</v>
      </c>
      <c r="V96" s="2">
        <v>11.5648</v>
      </c>
      <c r="W96" s="2">
        <v>12.72</v>
      </c>
      <c r="X96" s="2">
        <v>12.46045</v>
      </c>
      <c r="Y96" s="7"/>
      <c r="Z96" s="7"/>
      <c r="AA96" s="128">
        <v>44181</v>
      </c>
      <c r="AB96" s="2">
        <v>12.966611</v>
      </c>
      <c r="AC96" s="2">
        <v>11.227520999999999</v>
      </c>
      <c r="AD96" s="2">
        <v>10.350648</v>
      </c>
      <c r="AE96" s="2">
        <v>10.247374000000001</v>
      </c>
      <c r="AF96" s="2"/>
      <c r="AG96" s="2"/>
      <c r="AH96" s="7"/>
      <c r="AI96" s="128">
        <v>44181</v>
      </c>
      <c r="AJ96" s="2">
        <v>65.125</v>
      </c>
      <c r="AK96" s="2">
        <v>56.125</v>
      </c>
      <c r="AL96" s="2">
        <v>52.125</v>
      </c>
      <c r="AM96" s="2">
        <v>48.375</v>
      </c>
      <c r="AO96" s="124">
        <v>43866</v>
      </c>
      <c r="AP96">
        <v>98.125</v>
      </c>
      <c r="AQ96">
        <v>92.5</v>
      </c>
      <c r="AR96">
        <v>87.5</v>
      </c>
      <c r="AS96" s="17">
        <v>85.421999999999997</v>
      </c>
      <c r="AT96">
        <v>87.625</v>
      </c>
      <c r="AU96">
        <v>87.125</v>
      </c>
      <c r="AV96">
        <v>84</v>
      </c>
      <c r="AW96">
        <v>81.125</v>
      </c>
      <c r="AX96">
        <v>89.625</v>
      </c>
      <c r="AY96" s="17">
        <v>83.188000000000002</v>
      </c>
      <c r="AZ96" s="7"/>
      <c r="BB96" s="124">
        <v>43866</v>
      </c>
      <c r="BC96" s="2">
        <v>11.75</v>
      </c>
      <c r="BD96" s="2">
        <v>11.52</v>
      </c>
      <c r="BE96" s="2">
        <v>11.68</v>
      </c>
      <c r="BF96" s="2">
        <v>11.73</v>
      </c>
      <c r="BG96" s="2">
        <v>12.37</v>
      </c>
      <c r="BH96" s="2">
        <v>12.34</v>
      </c>
      <c r="BI96" s="2">
        <v>12.12</v>
      </c>
      <c r="BJ96" s="2">
        <v>11.56</v>
      </c>
      <c r="BK96" s="2">
        <v>12.72</v>
      </c>
      <c r="BL96" s="2">
        <v>12.46</v>
      </c>
      <c r="BM96" s="7"/>
      <c r="BN96" s="7"/>
      <c r="BO96" s="128">
        <v>44181</v>
      </c>
      <c r="BP96" s="2">
        <v>12.97</v>
      </c>
      <c r="BQ96" s="2">
        <v>11.23</v>
      </c>
      <c r="BR96" s="2">
        <v>10.35</v>
      </c>
      <c r="BS96" s="2">
        <v>10.51</v>
      </c>
      <c r="BT96" s="2"/>
      <c r="BU96" s="2"/>
      <c r="BV96" s="7"/>
      <c r="BW96" s="128">
        <v>44181</v>
      </c>
      <c r="BX96" s="2">
        <v>65.125</v>
      </c>
      <c r="BY96" s="2">
        <v>56.125</v>
      </c>
      <c r="BZ96" s="2">
        <v>52.125</v>
      </c>
      <c r="CA96" s="2">
        <v>48.375</v>
      </c>
    </row>
    <row r="97" spans="1:79" x14ac:dyDescent="0.2">
      <c r="A97" s="124">
        <v>43867</v>
      </c>
      <c r="B97">
        <v>98.125</v>
      </c>
      <c r="C97">
        <v>93.25</v>
      </c>
      <c r="D97">
        <v>87.5</v>
      </c>
      <c r="E97" s="17">
        <v>84.292500000000004</v>
      </c>
      <c r="F97">
        <v>87.625</v>
      </c>
      <c r="G97">
        <v>87</v>
      </c>
      <c r="H97">
        <v>84.125</v>
      </c>
      <c r="I97">
        <v>80.75</v>
      </c>
      <c r="J97">
        <v>89.875</v>
      </c>
      <c r="K97" s="17">
        <v>84.942499999999995</v>
      </c>
      <c r="L97" s="7"/>
      <c r="N97" s="124">
        <v>43867</v>
      </c>
      <c r="O97" s="2">
        <v>11.753500000000001</v>
      </c>
      <c r="P97" s="2">
        <v>11.23765</v>
      </c>
      <c r="Q97" s="2">
        <v>11.68</v>
      </c>
      <c r="R97" s="2">
        <v>12.06385</v>
      </c>
      <c r="S97" s="2">
        <v>12.38</v>
      </c>
      <c r="T97" s="2">
        <v>12.37105</v>
      </c>
      <c r="U97" s="2">
        <v>12.09445</v>
      </c>
      <c r="V97" s="2">
        <v>11.651450000000001</v>
      </c>
      <c r="W97" s="2">
        <v>12.67</v>
      </c>
      <c r="X97" s="2">
        <v>12.115399999999999</v>
      </c>
      <c r="Y97" s="7"/>
      <c r="Z97" s="7"/>
      <c r="AA97" s="128">
        <v>44182</v>
      </c>
      <c r="AB97" s="2">
        <v>12.643279</v>
      </c>
      <c r="AC97" s="2">
        <v>11.011317</v>
      </c>
      <c r="AD97" s="2">
        <v>9.5984470000000002</v>
      </c>
      <c r="AE97" s="2">
        <v>9.7385210000000004</v>
      </c>
      <c r="AF97" s="2"/>
      <c r="AG97" s="2"/>
      <c r="AH97" s="7"/>
      <c r="AI97" s="128">
        <v>44182</v>
      </c>
      <c r="AJ97" s="2">
        <v>66.375</v>
      </c>
      <c r="AK97" s="2">
        <v>57.25</v>
      </c>
      <c r="AL97" s="2">
        <v>56.75</v>
      </c>
      <c r="AM97" s="2">
        <v>50.125</v>
      </c>
      <c r="AO97" s="124">
        <v>43867</v>
      </c>
      <c r="AP97">
        <v>98.125</v>
      </c>
      <c r="AQ97">
        <v>93.25</v>
      </c>
      <c r="AR97">
        <v>87.5</v>
      </c>
      <c r="AS97" s="17">
        <v>84.293000000000006</v>
      </c>
      <c r="AT97">
        <v>87.625</v>
      </c>
      <c r="AU97">
        <v>86.775000000000006</v>
      </c>
      <c r="AV97">
        <v>84.125</v>
      </c>
      <c r="AW97">
        <v>80.75</v>
      </c>
      <c r="AX97">
        <v>89.875</v>
      </c>
      <c r="AY97" s="17">
        <v>84.941999999999993</v>
      </c>
      <c r="AZ97" s="7"/>
      <c r="BB97" s="124">
        <v>43867</v>
      </c>
      <c r="BC97" s="2">
        <v>11.75</v>
      </c>
      <c r="BD97" s="2">
        <v>11.24</v>
      </c>
      <c r="BE97" s="2">
        <v>11.68</v>
      </c>
      <c r="BF97" s="2">
        <v>12.06</v>
      </c>
      <c r="BG97" s="2">
        <v>12.38</v>
      </c>
      <c r="BH97" s="2">
        <v>12.42</v>
      </c>
      <c r="BI97" s="2">
        <v>12.09</v>
      </c>
      <c r="BJ97" s="2">
        <v>11.65</v>
      </c>
      <c r="BK97" s="2">
        <v>12.67</v>
      </c>
      <c r="BL97" s="2">
        <v>12.12</v>
      </c>
      <c r="BM97" s="7"/>
      <c r="BN97" s="7"/>
      <c r="BO97" s="128">
        <v>44182</v>
      </c>
      <c r="BP97" s="2">
        <v>12.51</v>
      </c>
      <c r="BQ97" s="2">
        <v>11.11</v>
      </c>
      <c r="BR97" s="2">
        <v>9.6</v>
      </c>
      <c r="BS97" s="2">
        <v>9.98</v>
      </c>
      <c r="BT97" s="2"/>
      <c r="BU97" s="2"/>
      <c r="BV97" s="7"/>
      <c r="BW97" s="128">
        <v>44182</v>
      </c>
      <c r="BX97" s="2">
        <v>66.875</v>
      </c>
      <c r="BY97" s="2">
        <v>56.75</v>
      </c>
      <c r="BZ97" s="2">
        <v>56.75</v>
      </c>
      <c r="CA97" s="2">
        <v>50.125</v>
      </c>
    </row>
    <row r="98" spans="1:79" x14ac:dyDescent="0.2">
      <c r="A98" s="124">
        <v>43868</v>
      </c>
      <c r="B98">
        <v>96.125</v>
      </c>
      <c r="C98">
        <v>90.75</v>
      </c>
      <c r="D98">
        <v>85</v>
      </c>
      <c r="E98" s="17">
        <v>84.921000000000006</v>
      </c>
      <c r="F98">
        <v>84.875</v>
      </c>
      <c r="G98">
        <v>84.25</v>
      </c>
      <c r="H98">
        <v>81.25</v>
      </c>
      <c r="I98">
        <v>78.25</v>
      </c>
      <c r="J98">
        <v>86.875</v>
      </c>
      <c r="K98" s="17">
        <v>84.566000000000003</v>
      </c>
      <c r="L98" s="7"/>
      <c r="N98" s="124">
        <v>43868</v>
      </c>
      <c r="O98" s="2">
        <v>12.8705</v>
      </c>
      <c r="P98" s="2">
        <v>12.2218</v>
      </c>
      <c r="Q98" s="2">
        <v>12.51</v>
      </c>
      <c r="R98" s="2">
        <v>11.879949999999999</v>
      </c>
      <c r="S98" s="2">
        <v>13.05</v>
      </c>
      <c r="T98" s="2">
        <v>13.023199999999999</v>
      </c>
      <c r="U98" s="2">
        <v>12.7644</v>
      </c>
      <c r="V98" s="2">
        <v>12.22785</v>
      </c>
      <c r="W98" s="2">
        <v>13.3</v>
      </c>
      <c r="X98" s="2">
        <v>12.189450000000001</v>
      </c>
      <c r="Y98" s="7"/>
      <c r="Z98" s="7"/>
      <c r="AA98" s="128">
        <v>44183</v>
      </c>
      <c r="AB98" s="2">
        <v>12.887034</v>
      </c>
      <c r="AC98" s="2">
        <v>12.006959</v>
      </c>
      <c r="AD98" s="2">
        <v>10.295197</v>
      </c>
      <c r="AE98" s="2">
        <v>10.187951</v>
      </c>
      <c r="AF98" s="2"/>
      <c r="AG98" s="2"/>
      <c r="AH98" s="7"/>
      <c r="AI98" s="128">
        <v>44183</v>
      </c>
      <c r="AJ98" s="2">
        <v>65.5</v>
      </c>
      <c r="AK98" s="2">
        <v>52.5</v>
      </c>
      <c r="AL98" s="2">
        <v>52.5</v>
      </c>
      <c r="AM98" s="2">
        <v>48.625</v>
      </c>
      <c r="AO98" s="124">
        <v>43868</v>
      </c>
      <c r="AP98">
        <v>96.125</v>
      </c>
      <c r="AQ98">
        <v>90.75</v>
      </c>
      <c r="AR98">
        <v>85</v>
      </c>
      <c r="AS98" s="17">
        <v>84.921000000000006</v>
      </c>
      <c r="AT98">
        <v>84.875</v>
      </c>
      <c r="AU98">
        <v>84.14</v>
      </c>
      <c r="AV98">
        <v>81.25</v>
      </c>
      <c r="AW98">
        <v>78.25</v>
      </c>
      <c r="AX98">
        <v>86.875</v>
      </c>
      <c r="AY98" s="17">
        <v>84.564999999999998</v>
      </c>
      <c r="AZ98" s="7"/>
      <c r="BB98" s="124">
        <v>43868</v>
      </c>
      <c r="BC98" s="2">
        <v>12.87</v>
      </c>
      <c r="BD98" s="2">
        <v>12.22</v>
      </c>
      <c r="BE98" s="2">
        <v>12.51</v>
      </c>
      <c r="BF98" s="2">
        <v>11.88</v>
      </c>
      <c r="BG98" s="2">
        <v>13.05</v>
      </c>
      <c r="BH98" s="2">
        <v>13.05</v>
      </c>
      <c r="BI98" s="2">
        <v>12.76</v>
      </c>
      <c r="BJ98" s="2">
        <v>12.23</v>
      </c>
      <c r="BK98" s="2">
        <v>13.3</v>
      </c>
      <c r="BL98" s="2">
        <v>12.19</v>
      </c>
      <c r="BM98" s="7"/>
      <c r="BN98" s="7"/>
      <c r="BO98" s="128">
        <v>44183</v>
      </c>
      <c r="BP98" s="2">
        <v>12.89</v>
      </c>
      <c r="BQ98" s="2">
        <v>12.01</v>
      </c>
      <c r="BR98" s="2">
        <v>10.3</v>
      </c>
      <c r="BS98" s="2">
        <v>10.45</v>
      </c>
      <c r="BT98" s="2"/>
      <c r="BU98" s="2"/>
      <c r="BV98" s="7"/>
      <c r="BW98" s="128">
        <v>44183</v>
      </c>
      <c r="BX98" s="2">
        <v>65.5</v>
      </c>
      <c r="BY98" s="2">
        <v>52.5</v>
      </c>
      <c r="BZ98" s="2">
        <v>52.5</v>
      </c>
      <c r="CA98" s="2">
        <v>48.625</v>
      </c>
    </row>
    <row r="99" spans="1:79" x14ac:dyDescent="0.2">
      <c r="A99" s="124">
        <v>43871</v>
      </c>
      <c r="B99">
        <v>94.625</v>
      </c>
      <c r="C99">
        <v>89.5</v>
      </c>
      <c r="D99">
        <v>84.125</v>
      </c>
      <c r="E99" s="17">
        <v>82.414000000000001</v>
      </c>
      <c r="F99">
        <v>83.75</v>
      </c>
      <c r="G99">
        <v>83</v>
      </c>
      <c r="H99">
        <v>79.5</v>
      </c>
      <c r="I99">
        <v>77.625</v>
      </c>
      <c r="J99">
        <v>85.5</v>
      </c>
      <c r="K99" s="17">
        <v>82.060500000000005</v>
      </c>
      <c r="L99" s="7"/>
      <c r="N99" s="124">
        <v>43871</v>
      </c>
      <c r="O99" s="2">
        <v>13.73</v>
      </c>
      <c r="P99" s="2">
        <v>12.72855</v>
      </c>
      <c r="Q99" s="2">
        <v>12.81</v>
      </c>
      <c r="R99" s="2">
        <v>12.634</v>
      </c>
      <c r="S99" s="2">
        <v>13.34</v>
      </c>
      <c r="T99" s="2">
        <v>13.329549999999999</v>
      </c>
      <c r="U99" s="2">
        <v>13.18825</v>
      </c>
      <c r="V99" s="2">
        <v>12.37645</v>
      </c>
      <c r="W99" s="2">
        <v>13.59</v>
      </c>
      <c r="X99" s="2">
        <v>12.6915</v>
      </c>
      <c r="Y99" s="7"/>
      <c r="Z99" s="7"/>
      <c r="AA99" s="128">
        <v>44186</v>
      </c>
      <c r="AB99" s="2">
        <v>13.169908</v>
      </c>
      <c r="AC99" s="2">
        <v>11.319983000000001</v>
      </c>
      <c r="AD99" s="2">
        <v>10.427372</v>
      </c>
      <c r="AE99" s="2">
        <v>10.382261</v>
      </c>
      <c r="AF99" s="2"/>
      <c r="AG99" s="2"/>
      <c r="AH99" s="7"/>
      <c r="AI99" s="128">
        <v>44186</v>
      </c>
      <c r="AJ99" s="2">
        <v>64.5</v>
      </c>
      <c r="AK99" s="2">
        <v>55.75</v>
      </c>
      <c r="AL99" s="2">
        <v>51.75</v>
      </c>
      <c r="AM99" s="2">
        <v>48</v>
      </c>
      <c r="AO99" s="124">
        <v>43871</v>
      </c>
      <c r="AP99">
        <v>94.625</v>
      </c>
      <c r="AQ99">
        <v>89.5</v>
      </c>
      <c r="AR99">
        <v>84.125</v>
      </c>
      <c r="AS99" s="17">
        <v>82.412999999999997</v>
      </c>
      <c r="AT99">
        <v>83.75</v>
      </c>
      <c r="AU99">
        <v>83</v>
      </c>
      <c r="AV99">
        <v>80.814999999999998</v>
      </c>
      <c r="AW99">
        <v>77.625</v>
      </c>
      <c r="AX99">
        <v>85.5</v>
      </c>
      <c r="AY99" s="17">
        <v>82.061000000000007</v>
      </c>
      <c r="AZ99" s="7"/>
      <c r="BB99" s="124">
        <v>43871</v>
      </c>
      <c r="BC99" s="2">
        <v>13.73</v>
      </c>
      <c r="BD99" s="2">
        <v>12.73</v>
      </c>
      <c r="BE99" s="2">
        <v>12.81</v>
      </c>
      <c r="BF99" s="2">
        <v>12.63</v>
      </c>
      <c r="BG99" s="2">
        <v>13.34</v>
      </c>
      <c r="BH99" s="2">
        <v>13.33</v>
      </c>
      <c r="BI99" s="2">
        <v>12.87</v>
      </c>
      <c r="BJ99" s="2">
        <v>12.38</v>
      </c>
      <c r="BK99" s="2">
        <v>13.59</v>
      </c>
      <c r="BL99" s="2">
        <v>12.69</v>
      </c>
      <c r="BM99" s="7"/>
      <c r="BN99" s="7"/>
      <c r="BO99" s="128">
        <v>44186</v>
      </c>
      <c r="BP99" s="2">
        <v>13.17</v>
      </c>
      <c r="BQ99" s="2">
        <v>11.32</v>
      </c>
      <c r="BR99" s="2">
        <v>10.43</v>
      </c>
      <c r="BS99" s="2">
        <v>10.65</v>
      </c>
      <c r="BT99" s="2"/>
      <c r="BU99" s="2"/>
      <c r="BV99" s="7"/>
      <c r="BW99" s="128">
        <v>44186</v>
      </c>
      <c r="BX99" s="2">
        <v>64.5</v>
      </c>
      <c r="BY99" s="2">
        <v>55.75</v>
      </c>
      <c r="BZ99" s="2">
        <v>51.75</v>
      </c>
      <c r="CA99" s="2">
        <v>48</v>
      </c>
    </row>
    <row r="100" spans="1:79" x14ac:dyDescent="0.2">
      <c r="A100" s="124">
        <v>43872</v>
      </c>
      <c r="B100">
        <v>95</v>
      </c>
      <c r="C100">
        <v>89.5</v>
      </c>
      <c r="D100">
        <v>84.375</v>
      </c>
      <c r="E100" s="17">
        <v>81.537499999999994</v>
      </c>
      <c r="F100">
        <v>84.125</v>
      </c>
      <c r="G100">
        <v>83.375</v>
      </c>
      <c r="H100">
        <v>80.625</v>
      </c>
      <c r="I100">
        <v>78.25</v>
      </c>
      <c r="J100">
        <v>85.625</v>
      </c>
      <c r="K100" s="17">
        <v>80.552000000000007</v>
      </c>
      <c r="L100" s="7"/>
      <c r="N100" s="124">
        <v>43872</v>
      </c>
      <c r="O100" s="2">
        <v>13.5175</v>
      </c>
      <c r="P100" s="2">
        <v>12.731400000000001</v>
      </c>
      <c r="Q100" s="2">
        <v>12.73</v>
      </c>
      <c r="R100" s="2">
        <v>12.90605</v>
      </c>
      <c r="S100" s="2">
        <v>13.24</v>
      </c>
      <c r="T100" s="2">
        <v>13.238149999999999</v>
      </c>
      <c r="U100" s="2">
        <v>12.91605</v>
      </c>
      <c r="V100" s="2">
        <v>12.229749999999999</v>
      </c>
      <c r="W100" s="2">
        <v>13.57</v>
      </c>
      <c r="X100" s="2">
        <v>13.00445</v>
      </c>
      <c r="Y100" s="7"/>
      <c r="Z100" s="7"/>
      <c r="AA100" s="128">
        <v>44187</v>
      </c>
      <c r="AB100" s="2">
        <v>13.175929</v>
      </c>
      <c r="AC100" s="2">
        <v>11.478182</v>
      </c>
      <c r="AD100" s="2">
        <v>10.561992999999999</v>
      </c>
      <c r="AE100" s="2">
        <v>10.463305</v>
      </c>
      <c r="AF100" s="2"/>
      <c r="AG100" s="2"/>
      <c r="AH100" s="7"/>
      <c r="AI100" s="128">
        <v>44187</v>
      </c>
      <c r="AJ100" s="2">
        <v>64.5</v>
      </c>
      <c r="AK100" s="2">
        <v>55</v>
      </c>
      <c r="AL100" s="2">
        <v>51</v>
      </c>
      <c r="AM100" s="2">
        <v>47.75</v>
      </c>
      <c r="AO100" s="124">
        <v>43872</v>
      </c>
      <c r="AP100">
        <v>95</v>
      </c>
      <c r="AQ100">
        <v>89.5</v>
      </c>
      <c r="AR100">
        <v>84.375</v>
      </c>
      <c r="AS100" s="17">
        <v>81.537000000000006</v>
      </c>
      <c r="AT100">
        <v>84.65</v>
      </c>
      <c r="AU100">
        <v>83.82</v>
      </c>
      <c r="AV100">
        <v>81.114999999999995</v>
      </c>
      <c r="AW100">
        <v>78.25</v>
      </c>
      <c r="AX100">
        <v>85.625</v>
      </c>
      <c r="AY100" s="17">
        <v>80.552000000000007</v>
      </c>
      <c r="AZ100" s="7"/>
      <c r="BB100" s="124">
        <v>43872</v>
      </c>
      <c r="BC100" s="2">
        <v>13.52</v>
      </c>
      <c r="BD100" s="2">
        <v>12.73</v>
      </c>
      <c r="BE100" s="2">
        <v>12.73</v>
      </c>
      <c r="BF100" s="2">
        <v>12.91</v>
      </c>
      <c r="BG100" s="2">
        <v>13.11</v>
      </c>
      <c r="BH100" s="2">
        <v>13.13</v>
      </c>
      <c r="BI100" s="2">
        <v>12.8</v>
      </c>
      <c r="BJ100" s="2">
        <v>12.23</v>
      </c>
      <c r="BK100" s="2">
        <v>13.57</v>
      </c>
      <c r="BL100" s="2">
        <v>13</v>
      </c>
      <c r="BM100" s="7"/>
      <c r="BN100" s="7"/>
      <c r="BO100" s="128">
        <v>44187</v>
      </c>
      <c r="BP100" s="2">
        <v>13.18</v>
      </c>
      <c r="BQ100" s="2">
        <v>11.48</v>
      </c>
      <c r="BR100" s="2">
        <v>10.56</v>
      </c>
      <c r="BS100" s="2">
        <v>10.74</v>
      </c>
      <c r="BT100" s="2"/>
      <c r="BU100" s="2"/>
      <c r="BV100" s="7"/>
      <c r="BW100" s="128">
        <v>44187</v>
      </c>
      <c r="BX100" s="2">
        <v>64.5</v>
      </c>
      <c r="BY100" s="2">
        <v>55</v>
      </c>
      <c r="BZ100" s="2">
        <v>51</v>
      </c>
      <c r="CA100" s="2">
        <v>47.75</v>
      </c>
    </row>
    <row r="101" spans="1:79" x14ac:dyDescent="0.2">
      <c r="A101" s="124">
        <v>43873</v>
      </c>
      <c r="B101">
        <v>95.375</v>
      </c>
      <c r="C101">
        <v>90.375</v>
      </c>
      <c r="D101">
        <v>85.875</v>
      </c>
      <c r="E101" s="17">
        <v>81.910499999999999</v>
      </c>
      <c r="F101">
        <v>85</v>
      </c>
      <c r="G101">
        <v>84.125</v>
      </c>
      <c r="H101">
        <v>81.375</v>
      </c>
      <c r="I101">
        <v>79</v>
      </c>
      <c r="J101">
        <v>86.875</v>
      </c>
      <c r="K101" s="17">
        <v>81.933999999999997</v>
      </c>
      <c r="L101" s="7"/>
      <c r="N101" s="124">
        <v>43873</v>
      </c>
      <c r="O101" s="2">
        <v>13.3055</v>
      </c>
      <c r="P101" s="2">
        <v>12.379799999999999</v>
      </c>
      <c r="Q101" s="2">
        <v>12.23</v>
      </c>
      <c r="R101" s="2">
        <v>12.792999999999999</v>
      </c>
      <c r="S101" s="2">
        <v>13.02</v>
      </c>
      <c r="T101" s="2">
        <v>13.055999999999999</v>
      </c>
      <c r="U101" s="2">
        <v>12.73765</v>
      </c>
      <c r="V101" s="2">
        <v>12.05545</v>
      </c>
      <c r="W101" s="2">
        <v>13.3</v>
      </c>
      <c r="X101" s="2">
        <v>12.718500000000001</v>
      </c>
      <c r="Y101" s="7"/>
      <c r="Z101" s="7"/>
      <c r="AA101" s="128">
        <v>44188</v>
      </c>
      <c r="AB101" s="2">
        <v>13.165067000000001</v>
      </c>
      <c r="AC101" s="2">
        <v>11.517407</v>
      </c>
      <c r="AD101" s="2">
        <v>10.661089</v>
      </c>
      <c r="AE101" s="2">
        <v>10.480024999999999</v>
      </c>
      <c r="AF101" s="2"/>
      <c r="AG101" s="2"/>
      <c r="AH101" s="7"/>
      <c r="AI101" s="128">
        <v>44188</v>
      </c>
      <c r="AJ101" s="2">
        <v>64.625</v>
      </c>
      <c r="AK101" s="2">
        <v>54.875</v>
      </c>
      <c r="AL101" s="2">
        <v>50.5</v>
      </c>
      <c r="AM101" s="2">
        <v>47.75</v>
      </c>
      <c r="AO101" s="124">
        <v>43873</v>
      </c>
      <c r="AP101">
        <v>95.375</v>
      </c>
      <c r="AQ101">
        <v>90.375</v>
      </c>
      <c r="AR101">
        <v>85.875</v>
      </c>
      <c r="AS101" s="17">
        <v>81.91</v>
      </c>
      <c r="AT101">
        <v>85</v>
      </c>
      <c r="AU101">
        <v>84.125</v>
      </c>
      <c r="AV101">
        <v>81.775000000000006</v>
      </c>
      <c r="AW101">
        <v>79</v>
      </c>
      <c r="AX101">
        <v>86.875</v>
      </c>
      <c r="AY101" s="17">
        <v>81.933999999999997</v>
      </c>
      <c r="AZ101" s="7"/>
      <c r="BB101" s="124">
        <v>43873</v>
      </c>
      <c r="BC101" s="2">
        <v>13.3</v>
      </c>
      <c r="BD101" s="2">
        <v>12.38</v>
      </c>
      <c r="BE101" s="2">
        <v>12.23</v>
      </c>
      <c r="BF101" s="2">
        <v>12.79</v>
      </c>
      <c r="BG101" s="2">
        <v>13.02</v>
      </c>
      <c r="BH101" s="2">
        <v>13.06</v>
      </c>
      <c r="BI101" s="2">
        <v>12.64</v>
      </c>
      <c r="BJ101" s="2">
        <v>12.06</v>
      </c>
      <c r="BK101" s="2">
        <v>13.3</v>
      </c>
      <c r="BL101" s="2">
        <v>12.72</v>
      </c>
      <c r="BM101" s="7"/>
      <c r="BN101" s="7"/>
      <c r="BO101" s="128">
        <v>44188</v>
      </c>
      <c r="BP101" s="2">
        <v>13.17</v>
      </c>
      <c r="BQ101" s="2">
        <v>11.52</v>
      </c>
      <c r="BR101" s="2">
        <v>10.66</v>
      </c>
      <c r="BS101" s="2">
        <v>10.75</v>
      </c>
      <c r="BT101" s="2"/>
      <c r="BU101" s="2"/>
      <c r="BV101" s="7"/>
      <c r="BW101" s="128">
        <v>44188</v>
      </c>
      <c r="BX101" s="2">
        <v>64.625</v>
      </c>
      <c r="BY101" s="2">
        <v>54.875</v>
      </c>
      <c r="BZ101" s="2">
        <v>50.5</v>
      </c>
      <c r="CA101" s="2">
        <v>47.75</v>
      </c>
    </row>
    <row r="102" spans="1:79" x14ac:dyDescent="0.2">
      <c r="A102" s="124">
        <v>43874</v>
      </c>
      <c r="B102">
        <v>93.125</v>
      </c>
      <c r="C102">
        <v>88.375</v>
      </c>
      <c r="D102">
        <v>83.875</v>
      </c>
      <c r="E102" s="17">
        <v>82.915499999999994</v>
      </c>
      <c r="F102">
        <v>83.25</v>
      </c>
      <c r="G102">
        <v>82</v>
      </c>
      <c r="H102">
        <v>79.625</v>
      </c>
      <c r="I102">
        <v>77.5</v>
      </c>
      <c r="J102">
        <v>85.5</v>
      </c>
      <c r="K102" s="17">
        <v>81.180499999999995</v>
      </c>
      <c r="L102" s="7"/>
      <c r="N102" s="124">
        <v>43874</v>
      </c>
      <c r="O102" s="2">
        <v>14.635</v>
      </c>
      <c r="P102" s="2">
        <v>13.209099999999999</v>
      </c>
      <c r="Q102" s="2">
        <v>12.91</v>
      </c>
      <c r="R102" s="2">
        <v>12.4941</v>
      </c>
      <c r="S102" s="2">
        <v>13.47</v>
      </c>
      <c r="T102" s="2">
        <v>13.584300000000001</v>
      </c>
      <c r="U102" s="2">
        <v>13.164300000000001</v>
      </c>
      <c r="V102" s="2">
        <v>12.41215</v>
      </c>
      <c r="W102" s="2">
        <v>13.6</v>
      </c>
      <c r="X102" s="2">
        <v>12.8765</v>
      </c>
      <c r="Y102" s="7"/>
      <c r="Z102" s="7"/>
      <c r="AA102" s="128">
        <v>44189</v>
      </c>
      <c r="AB102" s="2">
        <v>13.171099999999999</v>
      </c>
      <c r="AC102" s="2">
        <v>11.57316</v>
      </c>
      <c r="AD102" s="2">
        <v>10.663477</v>
      </c>
      <c r="AE102" s="2">
        <v>10.484214</v>
      </c>
      <c r="AF102" s="2"/>
      <c r="AG102" s="2"/>
      <c r="AH102" s="7"/>
      <c r="AI102" s="128">
        <v>44189</v>
      </c>
      <c r="AJ102" s="2">
        <v>64.625</v>
      </c>
      <c r="AK102" s="2">
        <v>54.625</v>
      </c>
      <c r="AL102" s="2">
        <v>50.5</v>
      </c>
      <c r="AM102" s="2">
        <v>47.75</v>
      </c>
      <c r="AO102" s="124">
        <v>43874</v>
      </c>
      <c r="AP102">
        <v>93.125</v>
      </c>
      <c r="AQ102">
        <v>88.375</v>
      </c>
      <c r="AR102">
        <v>83.875</v>
      </c>
      <c r="AS102" s="17">
        <v>82.915000000000006</v>
      </c>
      <c r="AT102">
        <v>83.25</v>
      </c>
      <c r="AU102">
        <v>82</v>
      </c>
      <c r="AV102">
        <v>79.625</v>
      </c>
      <c r="AW102">
        <v>77.5</v>
      </c>
      <c r="AX102">
        <v>85.5</v>
      </c>
      <c r="AY102" s="17">
        <v>81.180000000000007</v>
      </c>
      <c r="AZ102" s="7"/>
      <c r="BB102" s="124">
        <v>43874</v>
      </c>
      <c r="BC102" s="2">
        <v>14.63</v>
      </c>
      <c r="BD102" s="2">
        <v>13.21</v>
      </c>
      <c r="BE102" s="2">
        <v>12.91</v>
      </c>
      <c r="BF102" s="2">
        <v>12.49</v>
      </c>
      <c r="BG102" s="2">
        <v>13.47</v>
      </c>
      <c r="BH102" s="2">
        <v>13.58</v>
      </c>
      <c r="BI102" s="2">
        <v>13.16</v>
      </c>
      <c r="BJ102" s="2">
        <v>12.41</v>
      </c>
      <c r="BK102" s="2">
        <v>13.6</v>
      </c>
      <c r="BL102" s="2">
        <v>12.88</v>
      </c>
      <c r="BM102" s="7"/>
      <c r="BN102" s="7"/>
      <c r="BO102" s="128">
        <v>44189</v>
      </c>
      <c r="BP102" s="2">
        <v>13.17</v>
      </c>
      <c r="BQ102" s="2">
        <v>11.57</v>
      </c>
      <c r="BR102" s="2">
        <v>10.66</v>
      </c>
      <c r="BS102" s="2">
        <v>10.76</v>
      </c>
      <c r="BT102" s="2"/>
      <c r="BU102" s="2"/>
      <c r="BV102" s="7"/>
      <c r="BW102" s="128">
        <v>44189</v>
      </c>
      <c r="BX102" s="2">
        <v>64.625</v>
      </c>
      <c r="BY102" s="2">
        <v>54.625</v>
      </c>
      <c r="BZ102" s="2">
        <v>50.5</v>
      </c>
      <c r="CA102" s="2">
        <v>47.75</v>
      </c>
    </row>
    <row r="103" spans="1:79" x14ac:dyDescent="0.2">
      <c r="A103" s="124">
        <v>43875</v>
      </c>
      <c r="B103">
        <v>93.5</v>
      </c>
      <c r="C103">
        <v>89</v>
      </c>
      <c r="D103">
        <v>84.875</v>
      </c>
      <c r="E103" s="17">
        <v>81.785499999999999</v>
      </c>
      <c r="F103">
        <v>83.75</v>
      </c>
      <c r="G103">
        <v>82.75</v>
      </c>
      <c r="H103">
        <v>80.25</v>
      </c>
      <c r="I103">
        <v>78</v>
      </c>
      <c r="J103">
        <v>86</v>
      </c>
      <c r="K103" s="17">
        <v>80.929000000000002</v>
      </c>
      <c r="L103" s="7"/>
      <c r="N103" s="124">
        <v>43875</v>
      </c>
      <c r="O103" s="2">
        <v>14.417</v>
      </c>
      <c r="P103" s="2">
        <v>12.953799999999999</v>
      </c>
      <c r="Q103" s="2">
        <v>12.57</v>
      </c>
      <c r="R103" s="2">
        <v>12.8431</v>
      </c>
      <c r="S103" s="2">
        <v>13.35</v>
      </c>
      <c r="T103" s="2">
        <v>13.39795</v>
      </c>
      <c r="U103" s="2">
        <v>13.01305</v>
      </c>
      <c r="V103" s="2">
        <v>12.294499999999999</v>
      </c>
      <c r="W103" s="2">
        <v>13.49</v>
      </c>
      <c r="X103" s="2">
        <v>12.929449999999999</v>
      </c>
      <c r="Y103" s="7"/>
      <c r="Z103" s="7"/>
      <c r="AA103" s="128">
        <v>44190</v>
      </c>
      <c r="AB103" s="2">
        <v>13.171099999999999</v>
      </c>
      <c r="AC103" s="2">
        <v>11.57316</v>
      </c>
      <c r="AD103" s="2">
        <v>10.663477</v>
      </c>
      <c r="AE103" s="2">
        <v>10.484214</v>
      </c>
      <c r="AF103" s="2"/>
      <c r="AG103" s="2"/>
      <c r="AH103" s="7"/>
      <c r="AI103" s="128">
        <v>44190</v>
      </c>
      <c r="AJ103" s="2">
        <v>64.625</v>
      </c>
      <c r="AK103" s="2">
        <v>54.625</v>
      </c>
      <c r="AL103" s="2">
        <v>50.5</v>
      </c>
      <c r="AM103" s="2">
        <v>47.75</v>
      </c>
      <c r="AO103" s="124">
        <v>43875</v>
      </c>
      <c r="AP103">
        <v>93.5</v>
      </c>
      <c r="AQ103">
        <v>89</v>
      </c>
      <c r="AR103">
        <v>84.875</v>
      </c>
      <c r="AS103" s="17">
        <v>81.784999999999997</v>
      </c>
      <c r="AT103">
        <v>83.8</v>
      </c>
      <c r="AU103">
        <v>82.75</v>
      </c>
      <c r="AV103">
        <v>80.25</v>
      </c>
      <c r="AW103">
        <v>78</v>
      </c>
      <c r="AX103">
        <v>86</v>
      </c>
      <c r="AY103" s="17">
        <v>80.927999999999997</v>
      </c>
      <c r="AZ103" s="7"/>
      <c r="BB103" s="124">
        <v>43875</v>
      </c>
      <c r="BC103" s="2">
        <v>14.42</v>
      </c>
      <c r="BD103" s="2">
        <v>12.95</v>
      </c>
      <c r="BE103" s="2">
        <v>12.57</v>
      </c>
      <c r="BF103" s="2">
        <v>12.84</v>
      </c>
      <c r="BG103" s="2">
        <v>13.33</v>
      </c>
      <c r="BH103" s="2">
        <v>13.4</v>
      </c>
      <c r="BI103" s="2">
        <v>13.01</v>
      </c>
      <c r="BJ103" s="2">
        <v>12.29</v>
      </c>
      <c r="BK103" s="2">
        <v>13.49</v>
      </c>
      <c r="BL103" s="2">
        <v>12.93</v>
      </c>
      <c r="BM103" s="7"/>
      <c r="BN103" s="7"/>
      <c r="BO103" s="128">
        <v>44190</v>
      </c>
      <c r="BP103" s="2">
        <v>13.17</v>
      </c>
      <c r="BQ103" s="2">
        <v>11.57</v>
      </c>
      <c r="BR103" s="2">
        <v>10.66</v>
      </c>
      <c r="BS103" s="2">
        <v>10.76</v>
      </c>
      <c r="BT103" s="2"/>
      <c r="BU103" s="2"/>
      <c r="BV103" s="7"/>
      <c r="BW103" s="128">
        <v>44190</v>
      </c>
      <c r="BX103" s="2">
        <v>64.625</v>
      </c>
      <c r="BY103" s="2">
        <v>54.625</v>
      </c>
      <c r="BZ103" s="2">
        <v>50.5</v>
      </c>
      <c r="CA103" s="2">
        <v>47.75</v>
      </c>
    </row>
    <row r="104" spans="1:79" x14ac:dyDescent="0.2">
      <c r="A104" s="124">
        <v>43878</v>
      </c>
      <c r="B104">
        <v>93.5</v>
      </c>
      <c r="C104">
        <v>88.75</v>
      </c>
      <c r="D104">
        <v>84.5</v>
      </c>
      <c r="E104" s="17">
        <v>82.161500000000004</v>
      </c>
      <c r="F104">
        <v>82.75</v>
      </c>
      <c r="G104">
        <v>82.625</v>
      </c>
      <c r="H104">
        <v>79.5</v>
      </c>
      <c r="I104">
        <v>80.75</v>
      </c>
      <c r="J104">
        <v>85.5</v>
      </c>
      <c r="K104" s="17">
        <v>80.427999999999997</v>
      </c>
      <c r="L104" s="7"/>
      <c r="N104" s="124">
        <v>43878</v>
      </c>
      <c r="O104" s="2">
        <v>14.417</v>
      </c>
      <c r="P104" s="2">
        <v>13.056950000000001</v>
      </c>
      <c r="Q104" s="2">
        <v>12.7</v>
      </c>
      <c r="R104" s="2">
        <v>12.72705</v>
      </c>
      <c r="S104" s="2">
        <v>13.6</v>
      </c>
      <c r="T104" s="2">
        <v>13.429</v>
      </c>
      <c r="U104" s="2">
        <v>13.19605</v>
      </c>
      <c r="V104" s="2">
        <v>11.658950000000001</v>
      </c>
      <c r="W104" s="2">
        <v>13.6</v>
      </c>
      <c r="X104" s="2">
        <v>13.03445</v>
      </c>
      <c r="Y104" s="7"/>
      <c r="Z104" s="7"/>
      <c r="AA104" s="128">
        <v>44193</v>
      </c>
      <c r="AB104" s="2">
        <v>13.253784</v>
      </c>
      <c r="AC104" s="2">
        <v>11.580079</v>
      </c>
      <c r="AD104" s="2">
        <v>10.601099</v>
      </c>
      <c r="AE104" s="2">
        <v>10.492601000000001</v>
      </c>
      <c r="AF104" s="2"/>
      <c r="AG104" s="2"/>
      <c r="AH104" s="7"/>
      <c r="AI104" s="128">
        <v>44193</v>
      </c>
      <c r="AJ104" s="2">
        <v>64.375</v>
      </c>
      <c r="AK104" s="2">
        <v>54.625</v>
      </c>
      <c r="AL104" s="2">
        <v>50.875</v>
      </c>
      <c r="AM104" s="2">
        <v>47.75</v>
      </c>
      <c r="AO104" s="124">
        <v>43878</v>
      </c>
      <c r="AP104">
        <v>93.5</v>
      </c>
      <c r="AQ104">
        <v>88.75</v>
      </c>
      <c r="AR104">
        <v>84.5</v>
      </c>
      <c r="AS104" s="17">
        <v>82.161000000000001</v>
      </c>
      <c r="AT104">
        <v>83.935000000000002</v>
      </c>
      <c r="AU104">
        <v>82.89</v>
      </c>
      <c r="AV104">
        <v>79.5</v>
      </c>
      <c r="AW104">
        <v>80.75</v>
      </c>
      <c r="AX104">
        <v>85.5</v>
      </c>
      <c r="AY104" s="17">
        <v>80.427999999999997</v>
      </c>
      <c r="AZ104" s="7"/>
      <c r="BB104" s="124">
        <v>43878</v>
      </c>
      <c r="BC104" s="2">
        <v>14.42</v>
      </c>
      <c r="BD104" s="2">
        <v>13.06</v>
      </c>
      <c r="BE104" s="2">
        <v>12.7</v>
      </c>
      <c r="BF104" s="2">
        <v>12.73</v>
      </c>
      <c r="BG104" s="2">
        <v>13.3</v>
      </c>
      <c r="BH104" s="2">
        <v>13.36</v>
      </c>
      <c r="BI104" s="2">
        <v>13.2</v>
      </c>
      <c r="BJ104" s="2">
        <v>11.66</v>
      </c>
      <c r="BK104" s="2">
        <v>13.6</v>
      </c>
      <c r="BL104" s="2">
        <v>13.03</v>
      </c>
      <c r="BM104" s="7"/>
      <c r="BN104" s="7"/>
      <c r="BO104" s="128">
        <v>44193</v>
      </c>
      <c r="BP104" s="2">
        <v>13.25</v>
      </c>
      <c r="BQ104" s="2">
        <v>11.58</v>
      </c>
      <c r="BR104" s="2">
        <v>10.6</v>
      </c>
      <c r="BS104" s="2">
        <v>10.77</v>
      </c>
      <c r="BT104" s="2"/>
      <c r="BU104" s="2"/>
      <c r="BV104" s="7"/>
      <c r="BW104" s="128">
        <v>44193</v>
      </c>
      <c r="BX104" s="2">
        <v>64.375</v>
      </c>
      <c r="BY104" s="2">
        <v>54.625</v>
      </c>
      <c r="BZ104" s="2">
        <v>50.875</v>
      </c>
      <c r="CA104" s="2">
        <v>47.75</v>
      </c>
    </row>
    <row r="105" spans="1:79" x14ac:dyDescent="0.2">
      <c r="A105" s="124">
        <v>43879</v>
      </c>
      <c r="B105">
        <v>93.375</v>
      </c>
      <c r="C105">
        <v>89.125</v>
      </c>
      <c r="D105">
        <v>84.5</v>
      </c>
      <c r="E105" s="17">
        <v>81.661000000000001</v>
      </c>
      <c r="F105">
        <v>84</v>
      </c>
      <c r="G105">
        <v>82.875</v>
      </c>
      <c r="H105">
        <v>80.5</v>
      </c>
      <c r="I105">
        <v>78</v>
      </c>
      <c r="J105">
        <v>86.125</v>
      </c>
      <c r="K105" s="17">
        <v>80.932000000000002</v>
      </c>
      <c r="L105" s="7"/>
      <c r="N105" s="124">
        <v>43879</v>
      </c>
      <c r="O105" s="2">
        <v>14.496</v>
      </c>
      <c r="P105" s="2">
        <v>12.90535</v>
      </c>
      <c r="Q105" s="2">
        <v>12.7</v>
      </c>
      <c r="R105" s="2">
        <v>12.88405</v>
      </c>
      <c r="S105" s="2">
        <v>13.28</v>
      </c>
      <c r="T105" s="2">
        <v>13.367900000000001</v>
      </c>
      <c r="U105" s="2">
        <v>12.9536</v>
      </c>
      <c r="V105" s="2">
        <v>12.295500000000001</v>
      </c>
      <c r="W105" s="2">
        <v>13.46</v>
      </c>
      <c r="X105" s="2">
        <v>12.929449999999999</v>
      </c>
      <c r="Y105" s="7"/>
      <c r="Z105" s="7"/>
      <c r="AA105" s="128">
        <v>44194</v>
      </c>
      <c r="AB105" s="2">
        <v>13.183573000000001</v>
      </c>
      <c r="AC105" s="2">
        <v>11.580079</v>
      </c>
      <c r="AD105" s="2">
        <v>10.556506000000001</v>
      </c>
      <c r="AE105" s="2">
        <v>10.492601000000001</v>
      </c>
      <c r="AF105" s="2"/>
      <c r="AG105" s="2"/>
      <c r="AH105" s="7"/>
      <c r="AI105" s="128">
        <v>44194</v>
      </c>
      <c r="AJ105" s="2">
        <v>64.625</v>
      </c>
      <c r="AK105" s="2">
        <v>54.625</v>
      </c>
      <c r="AL105" s="2">
        <v>51.125</v>
      </c>
      <c r="AM105" s="2">
        <v>47.75</v>
      </c>
      <c r="AO105" s="124">
        <v>43879</v>
      </c>
      <c r="AP105">
        <v>93.375</v>
      </c>
      <c r="AQ105">
        <v>89.125</v>
      </c>
      <c r="AR105">
        <v>84.5</v>
      </c>
      <c r="AS105" s="17">
        <v>81.661000000000001</v>
      </c>
      <c r="AT105">
        <v>83.84</v>
      </c>
      <c r="AU105">
        <v>82.875</v>
      </c>
      <c r="AV105">
        <v>80.37</v>
      </c>
      <c r="AW105">
        <v>78</v>
      </c>
      <c r="AX105">
        <v>86.125</v>
      </c>
      <c r="AY105" s="17">
        <v>80.932000000000002</v>
      </c>
      <c r="AZ105" s="7"/>
      <c r="BB105" s="124">
        <v>43879</v>
      </c>
      <c r="BC105" s="2">
        <v>14.49</v>
      </c>
      <c r="BD105" s="2">
        <v>12.9</v>
      </c>
      <c r="BE105" s="2">
        <v>12.7</v>
      </c>
      <c r="BF105" s="2">
        <v>12.88</v>
      </c>
      <c r="BG105" s="2">
        <v>13.32</v>
      </c>
      <c r="BH105" s="2">
        <v>13.37</v>
      </c>
      <c r="BI105" s="2">
        <v>12.98</v>
      </c>
      <c r="BJ105" s="2">
        <v>12.3</v>
      </c>
      <c r="BK105" s="2">
        <v>13.46</v>
      </c>
      <c r="BL105" s="2">
        <v>12.93</v>
      </c>
      <c r="BM105" s="7"/>
      <c r="BN105" s="7"/>
      <c r="BO105" s="128">
        <v>44194</v>
      </c>
      <c r="BP105" s="2">
        <v>13.18</v>
      </c>
      <c r="BQ105" s="2">
        <v>11.58</v>
      </c>
      <c r="BR105" s="2">
        <v>10.56</v>
      </c>
      <c r="BS105" s="2">
        <v>10.77</v>
      </c>
      <c r="BT105" s="2"/>
      <c r="BU105" s="2"/>
      <c r="BV105" s="7"/>
      <c r="BW105" s="128">
        <v>44194</v>
      </c>
      <c r="BX105" s="2">
        <v>64.625</v>
      </c>
      <c r="BY105" s="2">
        <v>54.625</v>
      </c>
      <c r="BZ105" s="2">
        <v>51.125</v>
      </c>
      <c r="CA105" s="2">
        <v>47.75</v>
      </c>
    </row>
    <row r="106" spans="1:79" x14ac:dyDescent="0.2">
      <c r="A106" s="124">
        <v>43880</v>
      </c>
      <c r="B106">
        <v>93.75</v>
      </c>
      <c r="C106">
        <v>89.875</v>
      </c>
      <c r="D106">
        <v>85.875</v>
      </c>
      <c r="E106" s="17">
        <v>81.787999999999997</v>
      </c>
      <c r="F106">
        <v>85.375</v>
      </c>
      <c r="G106">
        <v>84</v>
      </c>
      <c r="H106">
        <v>81.5</v>
      </c>
      <c r="I106">
        <v>79.25</v>
      </c>
      <c r="J106">
        <v>87.375</v>
      </c>
      <c r="K106" s="17">
        <v>80.805999999999997</v>
      </c>
      <c r="L106" s="7"/>
      <c r="N106" s="124">
        <v>43880</v>
      </c>
      <c r="O106" s="2">
        <v>14.278499999999999</v>
      </c>
      <c r="P106" s="2">
        <v>12.601150000000001</v>
      </c>
      <c r="Q106" s="2">
        <v>12.24</v>
      </c>
      <c r="R106" s="2">
        <v>12.847</v>
      </c>
      <c r="S106" s="2">
        <v>12.94</v>
      </c>
      <c r="T106" s="2">
        <v>13.0924</v>
      </c>
      <c r="U106" s="2">
        <v>12.71495</v>
      </c>
      <c r="V106" s="2">
        <v>12.0039</v>
      </c>
      <c r="W106" s="2">
        <v>13.19</v>
      </c>
      <c r="X106" s="2">
        <v>12.95645</v>
      </c>
      <c r="Y106" s="7"/>
      <c r="Z106" s="7"/>
      <c r="AA106" s="128">
        <v>44195</v>
      </c>
      <c r="AB106" s="2">
        <v>13.306965</v>
      </c>
      <c r="AC106" s="2">
        <v>11.537191999999999</v>
      </c>
      <c r="AD106" s="2">
        <v>10.563343</v>
      </c>
      <c r="AE106" s="2">
        <v>10.427979000000001</v>
      </c>
      <c r="AF106" s="2"/>
      <c r="AG106" s="2"/>
      <c r="AH106" s="7"/>
      <c r="AI106" s="128">
        <v>44195</v>
      </c>
      <c r="AJ106" s="2">
        <v>64.25</v>
      </c>
      <c r="AK106" s="2">
        <v>54.875</v>
      </c>
      <c r="AL106" s="2">
        <v>51.125</v>
      </c>
      <c r="AM106" s="2">
        <v>48</v>
      </c>
      <c r="AO106" s="124">
        <v>43880</v>
      </c>
      <c r="AP106">
        <v>93.75</v>
      </c>
      <c r="AQ106">
        <v>89.875</v>
      </c>
      <c r="AR106">
        <v>85.875</v>
      </c>
      <c r="AS106" s="17">
        <v>81.787999999999997</v>
      </c>
      <c r="AT106">
        <v>84.51</v>
      </c>
      <c r="AU106">
        <v>84</v>
      </c>
      <c r="AV106">
        <v>80.92</v>
      </c>
      <c r="AW106">
        <v>79.25</v>
      </c>
      <c r="AX106">
        <v>87.375</v>
      </c>
      <c r="AY106" s="17">
        <v>80.805999999999997</v>
      </c>
      <c r="AZ106" s="7"/>
      <c r="BB106" s="124">
        <v>43880</v>
      </c>
      <c r="BC106" s="2">
        <v>14.28</v>
      </c>
      <c r="BD106" s="2">
        <v>12.6</v>
      </c>
      <c r="BE106" s="2">
        <v>12.24</v>
      </c>
      <c r="BF106" s="2">
        <v>12.85</v>
      </c>
      <c r="BG106" s="2">
        <v>13.15</v>
      </c>
      <c r="BH106" s="2">
        <v>13.09</v>
      </c>
      <c r="BI106" s="2">
        <v>12.85</v>
      </c>
      <c r="BJ106" s="2">
        <v>12</v>
      </c>
      <c r="BK106" s="2">
        <v>13.19</v>
      </c>
      <c r="BL106" s="2">
        <v>12.96</v>
      </c>
      <c r="BM106" s="7"/>
      <c r="BN106" s="7"/>
      <c r="BO106" s="128">
        <v>44195</v>
      </c>
      <c r="BP106" s="2">
        <v>13.31</v>
      </c>
      <c r="BQ106" s="2">
        <v>11.54</v>
      </c>
      <c r="BR106" s="2">
        <v>10.56</v>
      </c>
      <c r="BS106" s="2">
        <v>10.7</v>
      </c>
      <c r="BT106" s="2"/>
      <c r="BU106" s="2"/>
      <c r="BV106" s="7"/>
      <c r="BW106" s="128">
        <v>44195</v>
      </c>
      <c r="BX106" s="2">
        <v>64.25</v>
      </c>
      <c r="BY106" s="2">
        <v>54.875</v>
      </c>
      <c r="BZ106" s="2">
        <v>51.125</v>
      </c>
      <c r="CA106" s="2">
        <v>48</v>
      </c>
    </row>
    <row r="107" spans="1:79" x14ac:dyDescent="0.2">
      <c r="A107" s="124">
        <v>43881</v>
      </c>
      <c r="B107">
        <v>93.125</v>
      </c>
      <c r="C107">
        <v>88.625</v>
      </c>
      <c r="D107">
        <v>84.625</v>
      </c>
      <c r="E107" s="17">
        <v>81.034999999999997</v>
      </c>
      <c r="F107">
        <v>84.5</v>
      </c>
      <c r="G107">
        <v>83</v>
      </c>
      <c r="H107">
        <v>80.5</v>
      </c>
      <c r="I107">
        <v>79</v>
      </c>
      <c r="J107">
        <v>86.875</v>
      </c>
      <c r="K107" s="17">
        <v>80.930000000000007</v>
      </c>
      <c r="L107" s="7"/>
      <c r="N107" s="124">
        <v>43881</v>
      </c>
      <c r="O107" s="2">
        <v>14.6645</v>
      </c>
      <c r="P107" s="2">
        <v>13.124549999999999</v>
      </c>
      <c r="Q107" s="2">
        <v>12.67</v>
      </c>
      <c r="R107" s="2">
        <v>13.089</v>
      </c>
      <c r="S107" s="2">
        <v>13.16</v>
      </c>
      <c r="T107" s="2">
        <v>13.3407</v>
      </c>
      <c r="U107" s="2">
        <v>12.9579</v>
      </c>
      <c r="V107" s="2">
        <v>12.06475</v>
      </c>
      <c r="W107" s="2">
        <v>13.3</v>
      </c>
      <c r="X107" s="2">
        <v>12.932499999999999</v>
      </c>
      <c r="Y107" s="7"/>
      <c r="Z107" s="7"/>
      <c r="AA107" s="128">
        <v>44196</v>
      </c>
      <c r="AB107" s="2">
        <v>13.207428</v>
      </c>
      <c r="AC107" s="2">
        <v>11.566744999999999</v>
      </c>
      <c r="AD107" s="2">
        <v>10.543488</v>
      </c>
      <c r="AE107" s="2">
        <v>10.509416999999999</v>
      </c>
      <c r="AF107" s="2"/>
      <c r="AG107" s="2"/>
      <c r="AH107" s="7"/>
      <c r="AI107" s="128">
        <v>44196</v>
      </c>
      <c r="AJ107" s="2">
        <v>64.625</v>
      </c>
      <c r="AK107" s="2">
        <v>54.75</v>
      </c>
      <c r="AL107" s="2">
        <v>51.25</v>
      </c>
      <c r="AM107" s="2">
        <v>47.75</v>
      </c>
      <c r="AO107" s="124">
        <v>43881</v>
      </c>
      <c r="AP107">
        <v>93.125</v>
      </c>
      <c r="AQ107">
        <v>88.625</v>
      </c>
      <c r="AR107">
        <v>84.625</v>
      </c>
      <c r="AS107" s="17">
        <v>81.034999999999997</v>
      </c>
      <c r="AT107">
        <v>84.5</v>
      </c>
      <c r="AU107">
        <v>83</v>
      </c>
      <c r="AV107">
        <v>80.5</v>
      </c>
      <c r="AW107">
        <v>79</v>
      </c>
      <c r="AX107">
        <v>86.875</v>
      </c>
      <c r="AY107" s="17">
        <v>80.929000000000002</v>
      </c>
      <c r="AZ107" s="7"/>
      <c r="BB107" s="124">
        <v>43881</v>
      </c>
      <c r="BC107" s="2">
        <v>14.66</v>
      </c>
      <c r="BD107" s="2">
        <v>13.12</v>
      </c>
      <c r="BE107" s="2">
        <v>12.67</v>
      </c>
      <c r="BF107" s="2">
        <v>13.09</v>
      </c>
      <c r="BG107" s="2">
        <v>13.16</v>
      </c>
      <c r="BH107" s="2">
        <v>13.34</v>
      </c>
      <c r="BI107" s="2">
        <v>12.96</v>
      </c>
      <c r="BJ107" s="2">
        <v>12.06</v>
      </c>
      <c r="BK107" s="2">
        <v>13.3</v>
      </c>
      <c r="BL107" s="2">
        <v>12.93</v>
      </c>
      <c r="BM107" s="7"/>
      <c r="BN107" s="7"/>
      <c r="BO107" s="128">
        <v>44196</v>
      </c>
      <c r="BP107" s="2">
        <v>13.21</v>
      </c>
      <c r="BQ107" s="2">
        <v>11.57</v>
      </c>
      <c r="BR107" s="2">
        <v>10.54</v>
      </c>
      <c r="BS107" s="2">
        <v>10.79</v>
      </c>
      <c r="BT107" s="2"/>
      <c r="BU107" s="2"/>
      <c r="BV107" s="7"/>
      <c r="BW107" s="128">
        <v>44196</v>
      </c>
      <c r="BX107" s="2">
        <v>64.625</v>
      </c>
      <c r="BY107" s="2">
        <v>54.75</v>
      </c>
      <c r="BZ107" s="2">
        <v>51.25</v>
      </c>
      <c r="CA107" s="2">
        <v>47.75</v>
      </c>
    </row>
    <row r="108" spans="1:79" x14ac:dyDescent="0.2">
      <c r="A108" s="124">
        <v>43882</v>
      </c>
      <c r="B108">
        <v>91.75</v>
      </c>
      <c r="C108">
        <v>87.5</v>
      </c>
      <c r="D108">
        <v>82.75</v>
      </c>
      <c r="E108" s="17">
        <v>80.156999999999996</v>
      </c>
      <c r="F108">
        <v>82.625</v>
      </c>
      <c r="G108">
        <v>81.625</v>
      </c>
      <c r="H108">
        <v>78.625</v>
      </c>
      <c r="I108">
        <v>76.25</v>
      </c>
      <c r="J108">
        <v>84</v>
      </c>
      <c r="K108" s="17">
        <v>79.673500000000004</v>
      </c>
      <c r="L108" s="7"/>
      <c r="N108" s="124">
        <v>43882</v>
      </c>
      <c r="O108" s="2">
        <v>15.5015</v>
      </c>
      <c r="P108" s="2">
        <v>13.599349999999999</v>
      </c>
      <c r="Q108" s="2">
        <v>13.32</v>
      </c>
      <c r="R108" s="2">
        <v>13.369</v>
      </c>
      <c r="S108" s="2">
        <v>13.64</v>
      </c>
      <c r="T108" s="2">
        <v>13.68595</v>
      </c>
      <c r="U108" s="2">
        <v>13.419650000000001</v>
      </c>
      <c r="V108" s="2">
        <v>12.7209</v>
      </c>
      <c r="W108" s="2">
        <v>13.93</v>
      </c>
      <c r="X108" s="2">
        <v>13.198499999999999</v>
      </c>
      <c r="Y108" s="7"/>
      <c r="Z108" s="7"/>
      <c r="AA108" s="128">
        <v>44197</v>
      </c>
      <c r="AB108" s="2">
        <v>13.207428</v>
      </c>
      <c r="AC108" s="2">
        <v>11.566744999999999</v>
      </c>
      <c r="AD108" s="2">
        <v>10.543488</v>
      </c>
      <c r="AE108" s="2">
        <v>10.509416999999999</v>
      </c>
      <c r="AF108" s="2"/>
      <c r="AG108" s="2"/>
      <c r="AH108" s="7"/>
      <c r="AI108" s="128">
        <v>44197</v>
      </c>
      <c r="AJ108" s="2">
        <v>64.625</v>
      </c>
      <c r="AK108" s="2">
        <v>54.75</v>
      </c>
      <c r="AL108" s="2">
        <v>51.25</v>
      </c>
      <c r="AM108" s="2">
        <v>47.75</v>
      </c>
      <c r="AO108" s="124">
        <v>43882</v>
      </c>
      <c r="AP108">
        <v>91.75</v>
      </c>
      <c r="AQ108">
        <v>87.5</v>
      </c>
      <c r="AR108">
        <v>82.75</v>
      </c>
      <c r="AS108" s="17">
        <v>80.156999999999996</v>
      </c>
      <c r="AT108">
        <v>82.625</v>
      </c>
      <c r="AU108">
        <v>81.625</v>
      </c>
      <c r="AV108">
        <v>79.885000000000005</v>
      </c>
      <c r="AW108">
        <v>76.25</v>
      </c>
      <c r="AX108">
        <v>84</v>
      </c>
      <c r="AY108" s="17">
        <v>79.674000000000007</v>
      </c>
      <c r="AZ108" s="7"/>
      <c r="BB108" s="124">
        <v>43882</v>
      </c>
      <c r="BC108" s="2">
        <v>15.5</v>
      </c>
      <c r="BD108" s="2">
        <v>13.6</v>
      </c>
      <c r="BE108" s="2">
        <v>13.32</v>
      </c>
      <c r="BF108" s="2">
        <v>13.37</v>
      </c>
      <c r="BG108" s="2">
        <v>13.64</v>
      </c>
      <c r="BH108" s="2">
        <v>13.69</v>
      </c>
      <c r="BI108" s="2">
        <v>13.11</v>
      </c>
      <c r="BJ108" s="2">
        <v>12.72</v>
      </c>
      <c r="BK108" s="2">
        <v>13.93</v>
      </c>
      <c r="BL108" s="2">
        <v>13.2</v>
      </c>
      <c r="BM108" s="7"/>
      <c r="BN108" s="7"/>
      <c r="BO108" s="128">
        <v>44197</v>
      </c>
      <c r="BP108" s="2">
        <v>13.21</v>
      </c>
      <c r="BQ108" s="2">
        <v>11.57</v>
      </c>
      <c r="BR108" s="2">
        <v>10.54</v>
      </c>
      <c r="BS108" s="2">
        <v>10.79</v>
      </c>
      <c r="BT108" s="2"/>
      <c r="BU108" s="2"/>
      <c r="BV108" s="7"/>
      <c r="BW108" s="128">
        <v>44197</v>
      </c>
      <c r="BX108" s="2">
        <v>64.625</v>
      </c>
      <c r="BY108" s="2">
        <v>54.75</v>
      </c>
      <c r="BZ108" s="2">
        <v>51.25</v>
      </c>
      <c r="CA108" s="2">
        <v>47.75</v>
      </c>
    </row>
    <row r="109" spans="1:79" x14ac:dyDescent="0.2">
      <c r="A109" s="124">
        <v>43885</v>
      </c>
      <c r="B109">
        <v>88.625</v>
      </c>
      <c r="C109">
        <v>84.625</v>
      </c>
      <c r="D109">
        <v>79.25</v>
      </c>
      <c r="E109" s="17">
        <v>78.153000000000006</v>
      </c>
      <c r="F109">
        <v>79.5</v>
      </c>
      <c r="G109">
        <v>79.375</v>
      </c>
      <c r="H109">
        <v>76</v>
      </c>
      <c r="I109">
        <v>72.875</v>
      </c>
      <c r="J109">
        <v>80.5</v>
      </c>
      <c r="K109" s="17">
        <v>77.293000000000006</v>
      </c>
      <c r="L109" s="7"/>
      <c r="N109" s="124">
        <v>43885</v>
      </c>
      <c r="O109" s="2">
        <v>17.462</v>
      </c>
      <c r="P109" s="2">
        <v>14.844250000000001</v>
      </c>
      <c r="Q109" s="2">
        <v>14.59</v>
      </c>
      <c r="R109" s="2">
        <v>14.01995</v>
      </c>
      <c r="S109" s="2">
        <v>14.48</v>
      </c>
      <c r="T109" s="2">
        <v>14.26745</v>
      </c>
      <c r="U109" s="2">
        <v>14.090949999999999</v>
      </c>
      <c r="V109" s="2">
        <v>13.569750000000001</v>
      </c>
      <c r="W109" s="2">
        <v>14.74</v>
      </c>
      <c r="X109" s="2">
        <v>13.718500000000001</v>
      </c>
      <c r="Y109" s="7"/>
      <c r="Z109" s="7"/>
      <c r="AA109" s="128">
        <v>44200</v>
      </c>
      <c r="AB109" s="2">
        <v>13.178433</v>
      </c>
      <c r="AC109" s="2">
        <v>11.517620000000001</v>
      </c>
      <c r="AD109" s="2">
        <v>10.545847</v>
      </c>
      <c r="AE109" s="2">
        <v>10.513629999999999</v>
      </c>
      <c r="AF109" s="2"/>
      <c r="AG109" s="2"/>
      <c r="AH109" s="7"/>
      <c r="AI109" s="128">
        <v>44200</v>
      </c>
      <c r="AJ109" s="2">
        <v>64.75</v>
      </c>
      <c r="AK109" s="2">
        <v>55</v>
      </c>
      <c r="AL109" s="2">
        <v>51.25</v>
      </c>
      <c r="AM109" s="2">
        <v>47.75</v>
      </c>
      <c r="AO109" s="124">
        <v>43885</v>
      </c>
      <c r="AP109">
        <v>88.625</v>
      </c>
      <c r="AQ109">
        <v>84.625</v>
      </c>
      <c r="AR109">
        <v>79.25</v>
      </c>
      <c r="AS109" s="17">
        <v>78.153000000000006</v>
      </c>
      <c r="AT109">
        <v>79.5</v>
      </c>
      <c r="AU109">
        <v>78.655000000000001</v>
      </c>
      <c r="AV109">
        <v>76</v>
      </c>
      <c r="AW109">
        <v>72.875</v>
      </c>
      <c r="AX109">
        <v>80.5</v>
      </c>
      <c r="AY109" s="17">
        <v>77.293000000000006</v>
      </c>
      <c r="AZ109" s="7"/>
      <c r="BB109" s="124">
        <v>43885</v>
      </c>
      <c r="BC109" s="2">
        <v>17.46</v>
      </c>
      <c r="BD109" s="2">
        <v>14.84</v>
      </c>
      <c r="BE109" s="2">
        <v>14.59</v>
      </c>
      <c r="BF109" s="2">
        <v>14.02</v>
      </c>
      <c r="BG109" s="2">
        <v>14.48</v>
      </c>
      <c r="BH109" s="2">
        <v>14.46</v>
      </c>
      <c r="BI109" s="2">
        <v>14.09</v>
      </c>
      <c r="BJ109" s="2">
        <v>13.57</v>
      </c>
      <c r="BK109" s="2">
        <v>14.74</v>
      </c>
      <c r="BL109" s="2">
        <v>13.72</v>
      </c>
      <c r="BM109" s="7"/>
      <c r="BN109" s="7"/>
      <c r="BO109" s="128">
        <v>44200</v>
      </c>
      <c r="BP109" s="2">
        <v>13.18</v>
      </c>
      <c r="BQ109" s="2">
        <v>11.52</v>
      </c>
      <c r="BR109" s="2">
        <v>10.55</v>
      </c>
      <c r="BS109" s="2">
        <v>10.79</v>
      </c>
      <c r="BT109" s="2"/>
      <c r="BU109" s="2"/>
      <c r="BV109" s="7"/>
      <c r="BW109" s="128">
        <v>44200</v>
      </c>
      <c r="BX109" s="2">
        <v>64.75</v>
      </c>
      <c r="BY109" s="2">
        <v>55</v>
      </c>
      <c r="BZ109" s="2">
        <v>51.25</v>
      </c>
      <c r="CA109" s="2">
        <v>47.75</v>
      </c>
    </row>
    <row r="110" spans="1:79" x14ac:dyDescent="0.2">
      <c r="A110" s="124">
        <v>43886</v>
      </c>
      <c r="B110">
        <v>85.5</v>
      </c>
      <c r="C110">
        <v>80.625</v>
      </c>
      <c r="D110">
        <v>76.875</v>
      </c>
      <c r="E110" s="17">
        <v>75.895499999999998</v>
      </c>
      <c r="F110">
        <v>76.75</v>
      </c>
      <c r="G110">
        <v>75.375</v>
      </c>
      <c r="H110">
        <v>72.875</v>
      </c>
      <c r="I110">
        <v>70.75</v>
      </c>
      <c r="J110">
        <v>77.5</v>
      </c>
      <c r="K110" s="17">
        <v>74.785499999999999</v>
      </c>
      <c r="L110" s="7"/>
      <c r="N110" s="124">
        <v>43886</v>
      </c>
      <c r="O110" s="2">
        <v>19.520499999999998</v>
      </c>
      <c r="P110" s="2">
        <v>16.667850000000001</v>
      </c>
      <c r="Q110" s="2">
        <v>15.49</v>
      </c>
      <c r="R110" s="2">
        <v>14.7789</v>
      </c>
      <c r="S110" s="2">
        <v>15.25</v>
      </c>
      <c r="T110" s="2">
        <v>15.356949999999999</v>
      </c>
      <c r="U110" s="2">
        <v>14.9315</v>
      </c>
      <c r="V110" s="2">
        <v>14.1319</v>
      </c>
      <c r="W110" s="2">
        <v>15.48</v>
      </c>
      <c r="X110" s="2">
        <v>14.291449999999999</v>
      </c>
      <c r="Y110" s="7"/>
      <c r="Z110" s="7"/>
      <c r="AA110" s="128">
        <v>44201</v>
      </c>
      <c r="AB110" s="2">
        <v>13.396305999999999</v>
      </c>
      <c r="AC110" s="2">
        <v>11.599717999999999</v>
      </c>
      <c r="AD110" s="2">
        <v>10.773633</v>
      </c>
      <c r="AE110" s="2">
        <v>10.752552</v>
      </c>
      <c r="AF110" s="2"/>
      <c r="AG110" s="2"/>
      <c r="AH110" s="7"/>
      <c r="AI110" s="128">
        <v>44201</v>
      </c>
      <c r="AJ110" s="2">
        <v>64</v>
      </c>
      <c r="AK110" s="2">
        <v>54.625</v>
      </c>
      <c r="AL110" s="2">
        <v>50</v>
      </c>
      <c r="AM110" s="2">
        <v>47</v>
      </c>
      <c r="AO110" s="124">
        <v>43886</v>
      </c>
      <c r="AP110">
        <v>85.5</v>
      </c>
      <c r="AQ110">
        <v>80.625</v>
      </c>
      <c r="AR110">
        <v>76.875</v>
      </c>
      <c r="AS110" s="17">
        <v>75.896000000000001</v>
      </c>
      <c r="AT110">
        <v>76.75</v>
      </c>
      <c r="AU110">
        <v>77.185000000000002</v>
      </c>
      <c r="AV110">
        <v>72.875</v>
      </c>
      <c r="AW110">
        <v>70.75</v>
      </c>
      <c r="AX110">
        <v>77.5</v>
      </c>
      <c r="AY110" s="17">
        <v>74.784999999999997</v>
      </c>
      <c r="AZ110" s="7"/>
      <c r="BB110" s="124">
        <v>43886</v>
      </c>
      <c r="BC110" s="2">
        <v>19.52</v>
      </c>
      <c r="BD110" s="2">
        <v>16.670000000000002</v>
      </c>
      <c r="BE110" s="2">
        <v>15.49</v>
      </c>
      <c r="BF110" s="2">
        <v>14.78</v>
      </c>
      <c r="BG110" s="2">
        <v>15.25</v>
      </c>
      <c r="BH110" s="2">
        <v>14.85</v>
      </c>
      <c r="BI110" s="2">
        <v>14.93</v>
      </c>
      <c r="BJ110" s="2">
        <v>14.13</v>
      </c>
      <c r="BK110" s="2">
        <v>15.48</v>
      </c>
      <c r="BL110" s="2">
        <v>14.29</v>
      </c>
      <c r="BM110" s="7"/>
      <c r="BN110" s="7"/>
      <c r="BO110" s="128">
        <v>44201</v>
      </c>
      <c r="BP110" s="2">
        <v>13.4</v>
      </c>
      <c r="BQ110" s="2">
        <v>11.6</v>
      </c>
      <c r="BR110" s="2">
        <v>10.77</v>
      </c>
      <c r="BS110" s="2">
        <v>11.04</v>
      </c>
      <c r="BT110" s="2"/>
      <c r="BU110" s="2"/>
      <c r="BV110" s="7"/>
      <c r="BW110" s="128">
        <v>44201</v>
      </c>
      <c r="BX110" s="2">
        <v>64</v>
      </c>
      <c r="BY110" s="2">
        <v>54.625</v>
      </c>
      <c r="BZ110" s="2">
        <v>50</v>
      </c>
      <c r="CA110" s="2">
        <v>47</v>
      </c>
    </row>
    <row r="111" spans="1:79" x14ac:dyDescent="0.2">
      <c r="A111" s="124">
        <v>43887</v>
      </c>
      <c r="B111">
        <v>85.875</v>
      </c>
      <c r="C111">
        <v>81.125</v>
      </c>
      <c r="D111">
        <v>76.875</v>
      </c>
      <c r="E111" s="17">
        <v>75.144499999999994</v>
      </c>
      <c r="F111">
        <v>76.875</v>
      </c>
      <c r="G111">
        <v>75.875</v>
      </c>
      <c r="H111">
        <v>73.125</v>
      </c>
      <c r="I111">
        <v>71.375</v>
      </c>
      <c r="J111">
        <v>78</v>
      </c>
      <c r="K111" s="17">
        <v>74.281999999999996</v>
      </c>
      <c r="L111" s="7"/>
      <c r="N111" s="124">
        <v>43887</v>
      </c>
      <c r="O111" s="2">
        <v>19.2805</v>
      </c>
      <c r="P111" s="2">
        <v>16.440049999999999</v>
      </c>
      <c r="Q111" s="2">
        <v>15.49</v>
      </c>
      <c r="R111" s="2">
        <v>15.040050000000001</v>
      </c>
      <c r="S111" s="2">
        <v>15.22</v>
      </c>
      <c r="T111" s="2">
        <v>15.2182</v>
      </c>
      <c r="U111" s="2">
        <v>14.8642</v>
      </c>
      <c r="V111" s="2">
        <v>13.966049999999999</v>
      </c>
      <c r="W111" s="2">
        <v>15.35</v>
      </c>
      <c r="X111" s="2">
        <v>14.410500000000001</v>
      </c>
      <c r="Y111" s="7"/>
      <c r="Z111" s="7"/>
      <c r="AA111" s="128">
        <v>44202</v>
      </c>
      <c r="AB111" s="2">
        <v>13.509605000000001</v>
      </c>
      <c r="AC111" s="2">
        <v>11.816494</v>
      </c>
      <c r="AD111" s="2">
        <v>10.730399</v>
      </c>
      <c r="AE111" s="2">
        <v>10.756871</v>
      </c>
      <c r="AF111" s="2"/>
      <c r="AG111" s="2"/>
      <c r="AH111" s="7"/>
      <c r="AI111" s="128">
        <v>44202</v>
      </c>
      <c r="AJ111" s="2">
        <v>63.625</v>
      </c>
      <c r="AK111" s="2">
        <v>53.625</v>
      </c>
      <c r="AL111" s="2">
        <v>50.25</v>
      </c>
      <c r="AM111" s="2">
        <v>47</v>
      </c>
      <c r="AO111" s="124">
        <v>43887</v>
      </c>
      <c r="AP111">
        <v>85.875</v>
      </c>
      <c r="AQ111">
        <v>81.125</v>
      </c>
      <c r="AR111">
        <v>76.875</v>
      </c>
      <c r="AS111" s="17">
        <v>75.144999999999996</v>
      </c>
      <c r="AT111">
        <v>77.06</v>
      </c>
      <c r="AU111">
        <v>75.875</v>
      </c>
      <c r="AV111">
        <v>73.62</v>
      </c>
      <c r="AW111">
        <v>71.375</v>
      </c>
      <c r="AX111">
        <v>78</v>
      </c>
      <c r="AY111" s="17">
        <v>74.281999999999996</v>
      </c>
      <c r="AZ111" s="7"/>
      <c r="BB111" s="124">
        <v>43887</v>
      </c>
      <c r="BC111" s="2">
        <v>19.28</v>
      </c>
      <c r="BD111" s="2">
        <v>16.440000000000001</v>
      </c>
      <c r="BE111" s="2">
        <v>15.49</v>
      </c>
      <c r="BF111" s="2">
        <v>15.04</v>
      </c>
      <c r="BG111" s="2">
        <v>15.17</v>
      </c>
      <c r="BH111" s="2">
        <v>15.22</v>
      </c>
      <c r="BI111" s="2">
        <v>14.73</v>
      </c>
      <c r="BJ111" s="2">
        <v>13.97</v>
      </c>
      <c r="BK111" s="2">
        <v>15.35</v>
      </c>
      <c r="BL111" s="2">
        <v>14.41</v>
      </c>
      <c r="BM111" s="7"/>
      <c r="BN111" s="7"/>
      <c r="BO111" s="128">
        <v>44202</v>
      </c>
      <c r="BP111" s="2">
        <v>13.51</v>
      </c>
      <c r="BQ111" s="2">
        <v>11.82</v>
      </c>
      <c r="BR111" s="2">
        <v>10.73</v>
      </c>
      <c r="BS111" s="2">
        <v>11.05</v>
      </c>
      <c r="BT111" s="2"/>
      <c r="BU111" s="2"/>
      <c r="BV111" s="7"/>
      <c r="BW111" s="128">
        <v>44202</v>
      </c>
      <c r="BX111" s="2">
        <v>63.625</v>
      </c>
      <c r="BY111" s="2">
        <v>53.625</v>
      </c>
      <c r="BZ111" s="2">
        <v>50.25</v>
      </c>
      <c r="CA111" s="2">
        <v>47</v>
      </c>
    </row>
    <row r="112" spans="1:79" x14ac:dyDescent="0.2">
      <c r="A112" s="124">
        <v>43888</v>
      </c>
      <c r="B112">
        <v>82.375</v>
      </c>
      <c r="C112">
        <v>78.75</v>
      </c>
      <c r="D112">
        <v>75</v>
      </c>
      <c r="E112" s="17">
        <v>75.644999999999996</v>
      </c>
      <c r="F112">
        <v>74.5</v>
      </c>
      <c r="G112">
        <v>74.5</v>
      </c>
      <c r="H112">
        <v>72.125</v>
      </c>
      <c r="I112">
        <v>70.75</v>
      </c>
      <c r="J112">
        <v>75.25</v>
      </c>
      <c r="K112" s="17">
        <v>72.405000000000001</v>
      </c>
      <c r="L112" s="7"/>
      <c r="N112" s="124">
        <v>43888</v>
      </c>
      <c r="O112" s="2">
        <v>21.741499999999998</v>
      </c>
      <c r="P112" s="2">
        <v>17.592700000000001</v>
      </c>
      <c r="Q112" s="2">
        <v>16.239999999999998</v>
      </c>
      <c r="R112" s="2">
        <v>14.881</v>
      </c>
      <c r="S112" s="2">
        <v>15.92</v>
      </c>
      <c r="T112" s="2">
        <v>15.613</v>
      </c>
      <c r="U112" s="2">
        <v>15.148300000000001</v>
      </c>
      <c r="V112" s="2">
        <v>14.138999999999999</v>
      </c>
      <c r="W112" s="2">
        <v>16.059999999999999</v>
      </c>
      <c r="X112" s="2">
        <v>14.865449999999999</v>
      </c>
      <c r="Y112" s="7"/>
      <c r="Z112" s="7"/>
      <c r="AA112" s="128">
        <v>44203</v>
      </c>
      <c r="AB112" s="2">
        <v>13.854983000000001</v>
      </c>
      <c r="AC112" s="2">
        <v>11.962726999999999</v>
      </c>
      <c r="AD112" s="2">
        <v>11.016211</v>
      </c>
      <c r="AE112" s="2">
        <v>11.089886</v>
      </c>
      <c r="AF112" s="2"/>
      <c r="AG112" s="2"/>
      <c r="AH112" s="7"/>
      <c r="AI112" s="128">
        <v>44203</v>
      </c>
      <c r="AJ112" s="2">
        <v>62.5</v>
      </c>
      <c r="AK112" s="2">
        <v>53</v>
      </c>
      <c r="AL112" s="2">
        <v>48.75</v>
      </c>
      <c r="AM112" s="2">
        <v>46</v>
      </c>
      <c r="AO112" s="124">
        <v>43888</v>
      </c>
      <c r="AP112">
        <v>82.375</v>
      </c>
      <c r="AQ112">
        <v>78.75</v>
      </c>
      <c r="AR112">
        <v>75</v>
      </c>
      <c r="AS112" s="17">
        <v>75.644999999999996</v>
      </c>
      <c r="AT112">
        <v>75.540000000000006</v>
      </c>
      <c r="AU112">
        <v>74.33</v>
      </c>
      <c r="AV112">
        <v>72.150000000000006</v>
      </c>
      <c r="AW112">
        <v>70.75</v>
      </c>
      <c r="AX112">
        <v>75.25</v>
      </c>
      <c r="AY112" s="17">
        <v>72.405000000000001</v>
      </c>
      <c r="AZ112" s="7"/>
      <c r="BB112" s="124">
        <v>43888</v>
      </c>
      <c r="BC112" s="2">
        <v>21.74</v>
      </c>
      <c r="BD112" s="2">
        <v>17.59</v>
      </c>
      <c r="BE112" s="2">
        <v>16.239999999999998</v>
      </c>
      <c r="BF112" s="2">
        <v>14.88</v>
      </c>
      <c r="BG112" s="2">
        <v>15.61</v>
      </c>
      <c r="BH112" s="2">
        <v>15.66</v>
      </c>
      <c r="BI112" s="2">
        <v>15.14</v>
      </c>
      <c r="BJ112" s="2">
        <v>14.14</v>
      </c>
      <c r="BK112" s="2">
        <v>16.059999999999999</v>
      </c>
      <c r="BL112" s="2">
        <v>14.87</v>
      </c>
      <c r="BM112" s="7"/>
      <c r="BN112" s="7"/>
      <c r="BO112" s="128">
        <v>44203</v>
      </c>
      <c r="BP112" s="2">
        <v>13.85</v>
      </c>
      <c r="BQ112" s="2">
        <v>11.96</v>
      </c>
      <c r="BR112" s="2">
        <v>11.02</v>
      </c>
      <c r="BS112" s="2">
        <v>11.4</v>
      </c>
      <c r="BT112" s="2"/>
      <c r="BU112" s="2"/>
      <c r="BV112" s="7"/>
      <c r="BW112" s="128">
        <v>44203</v>
      </c>
      <c r="BX112" s="2">
        <v>62.5</v>
      </c>
      <c r="BY112" s="2">
        <v>53</v>
      </c>
      <c r="BZ112" s="2">
        <v>48.75</v>
      </c>
      <c r="CA112" s="2">
        <v>46</v>
      </c>
    </row>
    <row r="113" spans="1:79" x14ac:dyDescent="0.2">
      <c r="A113" s="124">
        <v>43889</v>
      </c>
      <c r="B113">
        <v>83.125</v>
      </c>
      <c r="C113">
        <v>78.75</v>
      </c>
      <c r="D113">
        <v>74.625</v>
      </c>
      <c r="E113" s="17">
        <v>73.515500000000003</v>
      </c>
      <c r="F113">
        <v>75</v>
      </c>
      <c r="G113">
        <v>74.125</v>
      </c>
      <c r="H113">
        <v>72.625</v>
      </c>
      <c r="I113">
        <v>70.75</v>
      </c>
      <c r="J113">
        <v>76.125</v>
      </c>
      <c r="K113" s="17">
        <v>72.777500000000003</v>
      </c>
      <c r="L113" s="7"/>
      <c r="N113" s="124">
        <v>43889</v>
      </c>
      <c r="O113" s="2">
        <v>21.225999999999999</v>
      </c>
      <c r="P113" s="2">
        <v>17.599299999999999</v>
      </c>
      <c r="Q113" s="2">
        <v>16.39</v>
      </c>
      <c r="R113" s="2">
        <v>15.629</v>
      </c>
      <c r="S113" s="2">
        <v>15.78</v>
      </c>
      <c r="T113" s="2">
        <v>15.72235</v>
      </c>
      <c r="U113" s="2">
        <v>15.010400000000001</v>
      </c>
      <c r="V113" s="2">
        <v>14.14045</v>
      </c>
      <c r="W113" s="2">
        <v>15.83</v>
      </c>
      <c r="X113" s="2">
        <v>14.775550000000001</v>
      </c>
      <c r="Y113" s="7"/>
      <c r="Z113" s="7"/>
      <c r="AA113" s="128">
        <v>44204</v>
      </c>
      <c r="AB113" s="2">
        <v>14.653149000000001</v>
      </c>
      <c r="AC113" s="2">
        <v>12.472645</v>
      </c>
      <c r="AD113" s="2">
        <v>11.407484</v>
      </c>
      <c r="AE113" s="2">
        <v>11.505625999999999</v>
      </c>
      <c r="AF113" s="2"/>
      <c r="AG113" s="2"/>
      <c r="AH113" s="7"/>
      <c r="AI113" s="128">
        <v>44204</v>
      </c>
      <c r="AJ113" s="2">
        <v>59.875</v>
      </c>
      <c r="AK113" s="2">
        <v>50.75</v>
      </c>
      <c r="AL113" s="2">
        <v>46.75</v>
      </c>
      <c r="AM113" s="2">
        <v>44.75</v>
      </c>
      <c r="AO113" s="124">
        <v>43889</v>
      </c>
      <c r="AP113">
        <v>83.125</v>
      </c>
      <c r="AQ113">
        <v>78.75</v>
      </c>
      <c r="AR113">
        <v>74.625</v>
      </c>
      <c r="AS113" s="17">
        <v>73.516000000000005</v>
      </c>
      <c r="AT113">
        <v>75.650000000000006</v>
      </c>
      <c r="AU113">
        <v>74.62</v>
      </c>
      <c r="AV113">
        <v>72.625</v>
      </c>
      <c r="AW113">
        <v>70.75</v>
      </c>
      <c r="AX113">
        <v>76.125</v>
      </c>
      <c r="AY113" s="17">
        <v>72.777000000000001</v>
      </c>
      <c r="AZ113" s="7"/>
      <c r="BB113" s="124">
        <v>43889</v>
      </c>
      <c r="BC113" s="2">
        <v>21.22</v>
      </c>
      <c r="BD113" s="2">
        <v>17.600000000000001</v>
      </c>
      <c r="BE113" s="2">
        <v>16.39</v>
      </c>
      <c r="BF113" s="2">
        <v>15.63</v>
      </c>
      <c r="BG113" s="2">
        <v>15.58</v>
      </c>
      <c r="BH113" s="2">
        <v>15.58</v>
      </c>
      <c r="BI113" s="2">
        <v>15.01</v>
      </c>
      <c r="BJ113" s="2">
        <v>14.14</v>
      </c>
      <c r="BK113" s="2">
        <v>15.83</v>
      </c>
      <c r="BL113" s="2">
        <v>14.78</v>
      </c>
      <c r="BM113" s="7"/>
      <c r="BN113" s="7"/>
      <c r="BO113" s="128">
        <v>44204</v>
      </c>
      <c r="BP113" s="2">
        <v>14.65</v>
      </c>
      <c r="BQ113" s="2">
        <v>12.47</v>
      </c>
      <c r="BR113" s="2">
        <v>11.41</v>
      </c>
      <c r="BS113" s="2">
        <v>11.84</v>
      </c>
      <c r="BT113" s="2"/>
      <c r="BU113" s="2"/>
      <c r="BV113" s="7"/>
      <c r="BW113" s="128">
        <v>44204</v>
      </c>
      <c r="BX113" s="2">
        <v>59.875</v>
      </c>
      <c r="BY113" s="2">
        <v>50.75</v>
      </c>
      <c r="BZ113" s="2">
        <v>46.75</v>
      </c>
      <c r="CA113" s="2">
        <v>44.75</v>
      </c>
    </row>
    <row r="114" spans="1:79" x14ac:dyDescent="0.2">
      <c r="A114" s="124">
        <v>43892</v>
      </c>
      <c r="B114">
        <v>82.875</v>
      </c>
      <c r="C114">
        <v>78.875</v>
      </c>
      <c r="D114">
        <v>74.625</v>
      </c>
      <c r="E114" s="17">
        <v>73.641000000000005</v>
      </c>
      <c r="F114">
        <v>75.5</v>
      </c>
      <c r="G114">
        <v>75</v>
      </c>
      <c r="H114">
        <v>72.625</v>
      </c>
      <c r="I114">
        <v>70.875</v>
      </c>
      <c r="J114">
        <v>76.625</v>
      </c>
      <c r="K114" s="17">
        <v>74.157499999999999</v>
      </c>
      <c r="L114" s="7"/>
      <c r="N114" s="124">
        <v>43892</v>
      </c>
      <c r="O114" s="2">
        <v>21.415500000000002</v>
      </c>
      <c r="P114" s="2">
        <v>17.545300000000001</v>
      </c>
      <c r="Q114" s="2">
        <v>16.399999999999999</v>
      </c>
      <c r="R114" s="2">
        <v>15.587999999999999</v>
      </c>
      <c r="S114" s="2">
        <v>15.63</v>
      </c>
      <c r="T114" s="2">
        <v>15.47345</v>
      </c>
      <c r="U114" s="2">
        <v>15.012</v>
      </c>
      <c r="V114" s="2">
        <v>14.1082</v>
      </c>
      <c r="W114" s="2">
        <v>15.71</v>
      </c>
      <c r="X114" s="2">
        <v>14.445499999999999</v>
      </c>
      <c r="Y114" s="7"/>
      <c r="Z114" s="7"/>
      <c r="AA114" s="128">
        <v>44207</v>
      </c>
      <c r="AB114" s="2">
        <v>14.776712</v>
      </c>
      <c r="AC114" s="2">
        <v>12.769722</v>
      </c>
      <c r="AD114" s="2">
        <v>11.310931999999999</v>
      </c>
      <c r="AE114" s="2">
        <v>11.510274000000001</v>
      </c>
      <c r="AF114" s="2"/>
      <c r="AG114" s="2"/>
      <c r="AH114" s="7"/>
      <c r="AI114" s="128">
        <v>44207</v>
      </c>
      <c r="AJ114" s="2">
        <v>59.5</v>
      </c>
      <c r="AK114" s="2">
        <v>49.5</v>
      </c>
      <c r="AL114" s="2">
        <v>47.25</v>
      </c>
      <c r="AM114" s="2">
        <v>44.75</v>
      </c>
      <c r="AO114" s="124">
        <v>43892</v>
      </c>
      <c r="AP114">
        <v>82.875</v>
      </c>
      <c r="AQ114">
        <v>78.875</v>
      </c>
      <c r="AR114">
        <v>74.625</v>
      </c>
      <c r="AS114" s="17">
        <v>73.641000000000005</v>
      </c>
      <c r="AT114">
        <v>75.5</v>
      </c>
      <c r="AU114">
        <v>74.84</v>
      </c>
      <c r="AV114">
        <v>72.45</v>
      </c>
      <c r="AW114">
        <v>70.875</v>
      </c>
      <c r="AX114">
        <v>76.625</v>
      </c>
      <c r="AY114" s="17">
        <v>74.158000000000001</v>
      </c>
      <c r="AZ114" s="7"/>
      <c r="BB114" s="124">
        <v>43892</v>
      </c>
      <c r="BC114" s="2">
        <v>21.41</v>
      </c>
      <c r="BD114" s="2">
        <v>17.54</v>
      </c>
      <c r="BE114" s="2">
        <v>16.399999999999999</v>
      </c>
      <c r="BF114" s="2">
        <v>15.59</v>
      </c>
      <c r="BG114" s="2">
        <v>15.63</v>
      </c>
      <c r="BH114" s="2">
        <v>15.52</v>
      </c>
      <c r="BI114" s="2">
        <v>15.06</v>
      </c>
      <c r="BJ114" s="2">
        <v>14.11</v>
      </c>
      <c r="BK114" s="2">
        <v>15.71</v>
      </c>
      <c r="BL114" s="2">
        <v>14.45</v>
      </c>
      <c r="BM114" s="7"/>
      <c r="BN114" s="7"/>
      <c r="BO114" s="128">
        <v>44207</v>
      </c>
      <c r="BP114" s="2">
        <v>14.78</v>
      </c>
      <c r="BQ114" s="2">
        <v>12.77</v>
      </c>
      <c r="BR114" s="2">
        <v>11.31</v>
      </c>
      <c r="BS114" s="2">
        <v>11.84</v>
      </c>
      <c r="BT114" s="2"/>
      <c r="BU114" s="2"/>
      <c r="BV114" s="7"/>
      <c r="BW114" s="128">
        <v>44207</v>
      </c>
      <c r="BX114" s="2">
        <v>59.5</v>
      </c>
      <c r="BY114" s="2">
        <v>49.5</v>
      </c>
      <c r="BZ114" s="2">
        <v>47.25</v>
      </c>
      <c r="CA114" s="2">
        <v>44.75</v>
      </c>
    </row>
    <row r="115" spans="1:79" x14ac:dyDescent="0.2">
      <c r="A115" s="124">
        <v>43893</v>
      </c>
      <c r="B115">
        <v>84.75</v>
      </c>
      <c r="C115">
        <v>80</v>
      </c>
      <c r="D115">
        <v>75</v>
      </c>
      <c r="E115" s="17">
        <v>73.138499999999993</v>
      </c>
      <c r="F115">
        <v>76</v>
      </c>
      <c r="G115">
        <v>76.375</v>
      </c>
      <c r="H115">
        <v>72.5</v>
      </c>
      <c r="I115">
        <v>73.625</v>
      </c>
      <c r="J115">
        <v>76.625</v>
      </c>
      <c r="K115" s="17">
        <v>72.654499999999999</v>
      </c>
      <c r="L115" s="7"/>
      <c r="N115" s="124">
        <v>43893</v>
      </c>
      <c r="O115" s="2">
        <v>20.1235</v>
      </c>
      <c r="P115" s="2">
        <v>17.011299999999999</v>
      </c>
      <c r="Q115" s="2">
        <v>16.25</v>
      </c>
      <c r="R115" s="2">
        <v>15.771100000000001</v>
      </c>
      <c r="S115" s="2">
        <v>15.48</v>
      </c>
      <c r="T115" s="2">
        <v>15.08905</v>
      </c>
      <c r="U115" s="2">
        <v>15.048450000000001</v>
      </c>
      <c r="V115" s="2">
        <v>13.388249999999999</v>
      </c>
      <c r="W115" s="2">
        <v>15.71</v>
      </c>
      <c r="X115" s="2">
        <v>14.807499999999999</v>
      </c>
      <c r="Y115" s="7"/>
      <c r="Z115" s="7"/>
      <c r="AA115" s="128">
        <v>44208</v>
      </c>
      <c r="AB115" s="2">
        <v>14.862005</v>
      </c>
      <c r="AC115" s="2">
        <v>12.451053</v>
      </c>
      <c r="AD115" s="2">
        <v>11.362944000000001</v>
      </c>
      <c r="AE115" s="2">
        <v>11.514926000000001</v>
      </c>
      <c r="AF115" s="2"/>
      <c r="AG115" s="2"/>
      <c r="AH115" s="7"/>
      <c r="AI115" s="128">
        <v>44208</v>
      </c>
      <c r="AJ115" s="2">
        <v>59.25</v>
      </c>
      <c r="AK115" s="2">
        <v>50.875</v>
      </c>
      <c r="AL115" s="2">
        <v>47</v>
      </c>
      <c r="AM115" s="2">
        <v>44.75</v>
      </c>
      <c r="AO115" s="124">
        <v>43893</v>
      </c>
      <c r="AP115">
        <v>84.75</v>
      </c>
      <c r="AQ115">
        <v>80</v>
      </c>
      <c r="AR115">
        <v>75</v>
      </c>
      <c r="AS115" s="17">
        <v>73.138000000000005</v>
      </c>
      <c r="AT115">
        <v>78.180000000000007</v>
      </c>
      <c r="AU115">
        <v>76.375</v>
      </c>
      <c r="AV115">
        <v>74.454999999999998</v>
      </c>
      <c r="AW115">
        <v>73.625</v>
      </c>
      <c r="AX115">
        <v>77.875</v>
      </c>
      <c r="AY115" s="17">
        <v>72.655000000000001</v>
      </c>
      <c r="AZ115" s="7"/>
      <c r="BB115" s="124">
        <v>43893</v>
      </c>
      <c r="BC115" s="2">
        <v>20.12</v>
      </c>
      <c r="BD115" s="2">
        <v>17.010000000000002</v>
      </c>
      <c r="BE115" s="2">
        <v>16.25</v>
      </c>
      <c r="BF115" s="2">
        <v>15.77</v>
      </c>
      <c r="BG115" s="2">
        <v>14.86</v>
      </c>
      <c r="BH115" s="2">
        <v>15.09</v>
      </c>
      <c r="BI115" s="2">
        <v>14.51</v>
      </c>
      <c r="BJ115" s="2">
        <v>13.39</v>
      </c>
      <c r="BK115" s="2">
        <v>15.39</v>
      </c>
      <c r="BL115" s="2">
        <v>14.81</v>
      </c>
      <c r="BM115" s="7"/>
      <c r="BN115" s="7"/>
      <c r="BO115" s="128">
        <v>44208</v>
      </c>
      <c r="BP115" s="2">
        <v>14.86</v>
      </c>
      <c r="BQ115" s="2">
        <v>12.45</v>
      </c>
      <c r="BR115" s="2">
        <v>11.36</v>
      </c>
      <c r="BS115" s="2">
        <v>11.85</v>
      </c>
      <c r="BT115" s="2"/>
      <c r="BU115" s="2"/>
      <c r="BV115" s="7"/>
      <c r="BW115" s="128">
        <v>44208</v>
      </c>
      <c r="BX115" s="2">
        <v>59.25</v>
      </c>
      <c r="BY115" s="2">
        <v>50.875</v>
      </c>
      <c r="BZ115" s="2">
        <v>47</v>
      </c>
      <c r="CA115" s="2">
        <v>44.75</v>
      </c>
    </row>
    <row r="116" spans="1:79" x14ac:dyDescent="0.2">
      <c r="A116" s="124">
        <v>43894</v>
      </c>
      <c r="B116">
        <v>84.125</v>
      </c>
      <c r="C116">
        <v>80.125</v>
      </c>
      <c r="D116">
        <v>75.125</v>
      </c>
      <c r="E116" s="17">
        <v>72.638999999999996</v>
      </c>
      <c r="F116">
        <v>74.75</v>
      </c>
      <c r="G116">
        <v>74.375</v>
      </c>
      <c r="H116">
        <v>71.5</v>
      </c>
      <c r="I116">
        <v>69.625</v>
      </c>
      <c r="J116">
        <v>76.125</v>
      </c>
      <c r="K116" s="17">
        <v>72.027000000000001</v>
      </c>
      <c r="L116" s="7"/>
      <c r="N116" s="124">
        <v>43894</v>
      </c>
      <c r="O116" s="2">
        <v>20.567</v>
      </c>
      <c r="P116" s="2">
        <v>16.957999999999998</v>
      </c>
      <c r="Q116" s="2">
        <v>16.21</v>
      </c>
      <c r="R116" s="2">
        <v>15.95485</v>
      </c>
      <c r="S116" s="2">
        <v>15.85</v>
      </c>
      <c r="T116" s="2">
        <v>15.655099999999999</v>
      </c>
      <c r="U116" s="2">
        <v>15.3314</v>
      </c>
      <c r="V116" s="2">
        <v>14.45135</v>
      </c>
      <c r="W116" s="2">
        <v>15.84</v>
      </c>
      <c r="X116" s="2">
        <v>14.962400000000001</v>
      </c>
      <c r="Y116" s="7"/>
      <c r="Z116" s="7"/>
      <c r="AA116" s="128">
        <v>44209</v>
      </c>
      <c r="AB116" s="2">
        <v>14.829765999999999</v>
      </c>
      <c r="AC116" s="2">
        <v>12.454684</v>
      </c>
      <c r="AD116" s="2">
        <v>11.365543000000001</v>
      </c>
      <c r="AE116" s="2">
        <v>11.519581000000001</v>
      </c>
      <c r="AF116" s="2"/>
      <c r="AG116" s="2"/>
      <c r="AH116" s="7"/>
      <c r="AI116" s="128">
        <v>44209</v>
      </c>
      <c r="AJ116" s="2">
        <v>59.375</v>
      </c>
      <c r="AK116" s="2">
        <v>50.875</v>
      </c>
      <c r="AL116" s="2">
        <v>47</v>
      </c>
      <c r="AM116" s="2">
        <v>44.75</v>
      </c>
      <c r="AO116" s="124">
        <v>43894</v>
      </c>
      <c r="AP116">
        <v>84.125</v>
      </c>
      <c r="AQ116">
        <v>80.125</v>
      </c>
      <c r="AR116">
        <v>75.125</v>
      </c>
      <c r="AS116" s="17">
        <v>72.638999999999996</v>
      </c>
      <c r="AT116">
        <v>75.924999999999997</v>
      </c>
      <c r="AU116">
        <v>74.72</v>
      </c>
      <c r="AV116">
        <v>72.459999999999994</v>
      </c>
      <c r="AW116">
        <v>69.625</v>
      </c>
      <c r="AX116">
        <v>76.125</v>
      </c>
      <c r="AY116" s="17">
        <v>72.027000000000001</v>
      </c>
      <c r="AZ116" s="7"/>
      <c r="BB116" s="124">
        <v>43894</v>
      </c>
      <c r="BC116" s="2">
        <v>20.57</v>
      </c>
      <c r="BD116" s="2">
        <v>16.96</v>
      </c>
      <c r="BE116" s="2">
        <v>16.21</v>
      </c>
      <c r="BF116" s="2">
        <v>15.95</v>
      </c>
      <c r="BG116" s="2">
        <v>15.51</v>
      </c>
      <c r="BH116" s="2">
        <v>15.56</v>
      </c>
      <c r="BI116" s="2">
        <v>15.063000000000001</v>
      </c>
      <c r="BJ116" s="2">
        <v>14.45</v>
      </c>
      <c r="BK116" s="2">
        <v>15.84</v>
      </c>
      <c r="BL116" s="2">
        <v>14.96</v>
      </c>
      <c r="BM116" s="7"/>
      <c r="BN116" s="7"/>
      <c r="BO116" s="128">
        <v>44209</v>
      </c>
      <c r="BP116" s="2">
        <v>14.83</v>
      </c>
      <c r="BQ116" s="2">
        <v>12.45</v>
      </c>
      <c r="BR116" s="2">
        <v>11.37</v>
      </c>
      <c r="BS116" s="2">
        <v>11.85</v>
      </c>
      <c r="BT116" s="2"/>
      <c r="BU116" s="2"/>
      <c r="BV116" s="7"/>
      <c r="BW116" s="128">
        <v>44209</v>
      </c>
      <c r="BX116" s="2">
        <v>59.375</v>
      </c>
      <c r="BY116" s="2">
        <v>50.875</v>
      </c>
      <c r="BZ116" s="2">
        <v>47</v>
      </c>
      <c r="CA116" s="2">
        <v>44.75</v>
      </c>
    </row>
    <row r="117" spans="1:79" x14ac:dyDescent="0.2">
      <c r="A117" s="124">
        <v>43895</v>
      </c>
      <c r="B117">
        <v>80.5</v>
      </c>
      <c r="C117">
        <v>75.5</v>
      </c>
      <c r="D117">
        <v>70</v>
      </c>
      <c r="E117" s="17">
        <v>67.123999999999995</v>
      </c>
      <c r="F117">
        <v>68.5</v>
      </c>
      <c r="G117">
        <v>68</v>
      </c>
      <c r="H117">
        <v>69.5</v>
      </c>
      <c r="I117">
        <v>64</v>
      </c>
      <c r="J117">
        <v>76.125</v>
      </c>
      <c r="K117" s="17">
        <v>68.64</v>
      </c>
      <c r="L117" s="7"/>
      <c r="N117" s="124">
        <v>43895</v>
      </c>
      <c r="O117" s="2">
        <v>23.205500000000001</v>
      </c>
      <c r="P117" s="2">
        <v>19.2652</v>
      </c>
      <c r="Q117" s="2">
        <v>18.36</v>
      </c>
      <c r="R117" s="2">
        <v>18.066949999999999</v>
      </c>
      <c r="S117" s="2">
        <v>17.84</v>
      </c>
      <c r="T117" s="2">
        <v>17.606999999999999</v>
      </c>
      <c r="U117" s="2">
        <v>15.915900000000001</v>
      </c>
      <c r="V117" s="2">
        <v>16.095199999999998</v>
      </c>
      <c r="W117" s="2">
        <v>15.84</v>
      </c>
      <c r="X117" s="2">
        <v>15.8315</v>
      </c>
      <c r="Y117" s="7"/>
      <c r="Z117" s="7"/>
      <c r="AA117" s="128">
        <v>44210</v>
      </c>
      <c r="AB117" s="2">
        <v>15.055457000000001</v>
      </c>
      <c r="AC117" s="2">
        <v>12.792215000000001</v>
      </c>
      <c r="AD117" s="2">
        <v>11.475960000000001</v>
      </c>
      <c r="AE117" s="2">
        <v>11.622279000000001</v>
      </c>
      <c r="AF117" s="2"/>
      <c r="AG117" s="2"/>
      <c r="AH117" s="7"/>
      <c r="AI117" s="128">
        <v>44210</v>
      </c>
      <c r="AJ117" s="2">
        <v>58.75</v>
      </c>
      <c r="AK117" s="2">
        <v>49.5</v>
      </c>
      <c r="AL117" s="2">
        <v>46.5</v>
      </c>
      <c r="AM117" s="2">
        <v>44.5</v>
      </c>
      <c r="AO117" s="124">
        <v>43895</v>
      </c>
      <c r="AP117">
        <v>80.5</v>
      </c>
      <c r="AQ117">
        <v>75.5</v>
      </c>
      <c r="AR117">
        <v>70</v>
      </c>
      <c r="AS117" s="17">
        <v>67.123999999999995</v>
      </c>
      <c r="AT117">
        <v>75.924999999999997</v>
      </c>
      <c r="AU117">
        <v>74.72</v>
      </c>
      <c r="AV117">
        <v>72.459999999999994</v>
      </c>
      <c r="AW117">
        <v>64</v>
      </c>
      <c r="AX117">
        <v>70.5</v>
      </c>
      <c r="AY117" s="17">
        <v>68.64</v>
      </c>
      <c r="AZ117" s="7"/>
      <c r="BB117" s="124">
        <v>43895</v>
      </c>
      <c r="BC117" s="2">
        <v>23.2</v>
      </c>
      <c r="BD117" s="2">
        <v>19.260000000000002</v>
      </c>
      <c r="BE117" s="2">
        <v>18.36</v>
      </c>
      <c r="BF117" s="2">
        <v>18.07</v>
      </c>
      <c r="BG117" s="2">
        <v>15.51</v>
      </c>
      <c r="BH117" s="2">
        <v>15.56</v>
      </c>
      <c r="BI117" s="2">
        <v>15.063000000000001</v>
      </c>
      <c r="BJ117" s="2">
        <v>16.09</v>
      </c>
      <c r="BK117" s="2">
        <v>17.37</v>
      </c>
      <c r="BL117" s="2">
        <v>15.83</v>
      </c>
      <c r="BM117" s="7"/>
      <c r="BN117" s="7"/>
      <c r="BO117" s="128">
        <v>44210</v>
      </c>
      <c r="BP117" s="2">
        <v>15.06</v>
      </c>
      <c r="BQ117" s="2">
        <v>12.79</v>
      </c>
      <c r="BR117" s="2">
        <v>11.48</v>
      </c>
      <c r="BS117" s="2">
        <v>11.96</v>
      </c>
      <c r="BT117" s="2"/>
      <c r="BU117" s="2"/>
      <c r="BV117" s="7"/>
      <c r="BW117" s="128">
        <v>44210</v>
      </c>
      <c r="BX117" s="2">
        <v>58.75</v>
      </c>
      <c r="BY117" s="2">
        <v>49.5</v>
      </c>
      <c r="BZ117" s="2">
        <v>46.5</v>
      </c>
      <c r="CA117" s="2">
        <v>44.5</v>
      </c>
    </row>
    <row r="118" spans="1:79" x14ac:dyDescent="0.2">
      <c r="A118" s="124">
        <v>43896</v>
      </c>
      <c r="B118">
        <v>71.5</v>
      </c>
      <c r="C118">
        <v>67.875</v>
      </c>
      <c r="D118">
        <v>63.375</v>
      </c>
      <c r="E118" s="17">
        <v>61.738</v>
      </c>
      <c r="F118">
        <v>64.875</v>
      </c>
      <c r="G118">
        <v>63.25</v>
      </c>
      <c r="H118">
        <v>62.5</v>
      </c>
      <c r="I118">
        <v>58.875</v>
      </c>
      <c r="J118">
        <v>65.625</v>
      </c>
      <c r="K118" s="17">
        <v>61.622500000000002</v>
      </c>
      <c r="L118" s="7"/>
      <c r="N118" s="124">
        <v>43896</v>
      </c>
      <c r="O118" s="2">
        <v>30.412500000000001</v>
      </c>
      <c r="P118" s="2">
        <v>23.46405</v>
      </c>
      <c r="Q118" s="2">
        <v>21.43</v>
      </c>
      <c r="R118" s="2">
        <v>20.347049999999999</v>
      </c>
      <c r="S118" s="2">
        <v>19.100000000000001</v>
      </c>
      <c r="T118" s="2">
        <v>19.229500000000002</v>
      </c>
      <c r="U118" s="2">
        <v>18.138300000000001</v>
      </c>
      <c r="V118" s="2">
        <v>17.768799999999999</v>
      </c>
      <c r="W118" s="2">
        <v>18.86</v>
      </c>
      <c r="X118" s="2">
        <v>17.842500000000001</v>
      </c>
      <c r="Y118" s="7"/>
      <c r="Z118" s="7"/>
      <c r="AA118" s="128">
        <v>44211</v>
      </c>
      <c r="AB118" s="2">
        <v>15.222721</v>
      </c>
      <c r="AC118" s="2">
        <v>12.976863</v>
      </c>
      <c r="AD118" s="2">
        <v>11.580000999999999</v>
      </c>
      <c r="AE118" s="2">
        <v>11.711589999999999</v>
      </c>
      <c r="AF118" s="2"/>
      <c r="AG118" s="2"/>
      <c r="AH118" s="7"/>
      <c r="AI118" s="128">
        <v>44211</v>
      </c>
      <c r="AJ118" s="2">
        <v>58.25</v>
      </c>
      <c r="AK118" s="2">
        <v>48.75</v>
      </c>
      <c r="AL118" s="2">
        <v>46</v>
      </c>
      <c r="AM118" s="2">
        <v>44.25</v>
      </c>
      <c r="AO118" s="124">
        <v>43896</v>
      </c>
      <c r="AP118">
        <v>71.5</v>
      </c>
      <c r="AQ118">
        <v>67.875</v>
      </c>
      <c r="AR118">
        <v>63.375</v>
      </c>
      <c r="AS118" s="17">
        <v>61.738</v>
      </c>
      <c r="AT118">
        <v>75.924999999999997</v>
      </c>
      <c r="AU118">
        <v>74.72</v>
      </c>
      <c r="AV118">
        <v>72.459999999999994</v>
      </c>
      <c r="AW118">
        <v>58.875</v>
      </c>
      <c r="AX118">
        <v>65.625</v>
      </c>
      <c r="AY118" s="17">
        <v>61.622999999999998</v>
      </c>
      <c r="AZ118" s="7"/>
      <c r="BB118" s="124">
        <v>43896</v>
      </c>
      <c r="BC118" s="2">
        <v>30.41</v>
      </c>
      <c r="BD118" s="2">
        <v>23.46</v>
      </c>
      <c r="BE118" s="2">
        <v>21.43</v>
      </c>
      <c r="BF118" s="2">
        <v>20.350000000000001</v>
      </c>
      <c r="BG118" s="2">
        <v>15.51</v>
      </c>
      <c r="BH118" s="2">
        <v>15.56</v>
      </c>
      <c r="BI118" s="2">
        <v>15.063000000000001</v>
      </c>
      <c r="BJ118" s="2">
        <v>17.77</v>
      </c>
      <c r="BK118" s="2">
        <v>18.86</v>
      </c>
      <c r="BL118" s="2">
        <v>17.84</v>
      </c>
      <c r="BM118" s="7"/>
      <c r="BN118" s="7"/>
      <c r="BO118" s="128">
        <v>44211</v>
      </c>
      <c r="BP118" s="2">
        <v>15.22</v>
      </c>
      <c r="BQ118" s="2">
        <v>12.98</v>
      </c>
      <c r="BR118" s="2">
        <v>11.58</v>
      </c>
      <c r="BS118" s="2">
        <v>12.05</v>
      </c>
      <c r="BT118" s="2"/>
      <c r="BU118" s="2"/>
      <c r="BV118" s="7"/>
      <c r="BW118" s="128">
        <v>44211</v>
      </c>
      <c r="BX118" s="2">
        <v>58.25</v>
      </c>
      <c r="BY118" s="2">
        <v>48.75</v>
      </c>
      <c r="BZ118" s="2">
        <v>46</v>
      </c>
      <c r="CA118" s="2">
        <v>44.25</v>
      </c>
    </row>
    <row r="119" spans="1:79" x14ac:dyDescent="0.2">
      <c r="A119" s="124">
        <v>43899</v>
      </c>
      <c r="B119">
        <v>54.5</v>
      </c>
      <c r="C119">
        <v>50.5</v>
      </c>
      <c r="D119">
        <v>50</v>
      </c>
      <c r="E119" s="17">
        <v>49.835000000000001</v>
      </c>
      <c r="F119">
        <v>49.625</v>
      </c>
      <c r="G119">
        <v>50</v>
      </c>
      <c r="H119">
        <v>47.875</v>
      </c>
      <c r="I119">
        <v>46</v>
      </c>
      <c r="J119">
        <v>52.125</v>
      </c>
      <c r="K119" s="17">
        <v>46.704999999999998</v>
      </c>
      <c r="L119" s="7"/>
      <c r="N119" s="124">
        <v>43899</v>
      </c>
      <c r="O119" s="2">
        <v>48.015500000000003</v>
      </c>
      <c r="P119" s="2">
        <v>35.781100000000002</v>
      </c>
      <c r="Q119" s="2">
        <v>29.1</v>
      </c>
      <c r="R119" s="2">
        <v>26.4359</v>
      </c>
      <c r="S119" s="2">
        <v>25.72</v>
      </c>
      <c r="T119" s="2">
        <v>24.822500000000002</v>
      </c>
      <c r="U119" s="2">
        <v>24.136299999999999</v>
      </c>
      <c r="V119" s="2">
        <v>23.031099999999999</v>
      </c>
      <c r="W119" s="2">
        <v>23.99</v>
      </c>
      <c r="X119" s="2">
        <v>23.544450000000001</v>
      </c>
      <c r="Y119" s="7"/>
      <c r="Z119" s="7"/>
      <c r="AA119" s="128">
        <v>44214</v>
      </c>
      <c r="AB119" s="2">
        <v>15.222721</v>
      </c>
      <c r="AC119" s="2">
        <v>12.976863</v>
      </c>
      <c r="AD119" s="2">
        <v>11.580000999999999</v>
      </c>
      <c r="AE119" s="2">
        <v>11.711589999999999</v>
      </c>
      <c r="AF119" s="2"/>
      <c r="AG119" s="2"/>
      <c r="AH119" s="7"/>
      <c r="AI119" s="128">
        <v>44214</v>
      </c>
      <c r="AJ119" s="2">
        <v>58.25</v>
      </c>
      <c r="AK119" s="2">
        <v>48.75</v>
      </c>
      <c r="AL119" s="2">
        <v>46</v>
      </c>
      <c r="AM119" s="2">
        <v>44.25</v>
      </c>
      <c r="AO119" s="124">
        <v>43899</v>
      </c>
      <c r="AP119">
        <v>54.5</v>
      </c>
      <c r="AQ119">
        <v>50.5</v>
      </c>
      <c r="AR119">
        <v>50</v>
      </c>
      <c r="AS119" s="17">
        <v>49.835000000000001</v>
      </c>
      <c r="AT119">
        <v>49.625</v>
      </c>
      <c r="AU119">
        <v>74.72</v>
      </c>
      <c r="AV119">
        <v>72.459999999999994</v>
      </c>
      <c r="AW119">
        <v>46</v>
      </c>
      <c r="AX119">
        <v>49.5</v>
      </c>
      <c r="AY119" s="17">
        <v>46.704999999999998</v>
      </c>
      <c r="AZ119" s="7"/>
      <c r="BB119" s="124">
        <v>43899</v>
      </c>
      <c r="BC119" s="2">
        <v>48.01</v>
      </c>
      <c r="BD119" s="2">
        <v>35.78</v>
      </c>
      <c r="BE119" s="2">
        <v>29.1</v>
      </c>
      <c r="BF119" s="2">
        <v>26.44</v>
      </c>
      <c r="BG119" s="2">
        <v>25.72</v>
      </c>
      <c r="BH119" s="2">
        <v>15.56</v>
      </c>
      <c r="BI119" s="2">
        <v>15.063000000000001</v>
      </c>
      <c r="BJ119" s="2">
        <v>23.03</v>
      </c>
      <c r="BK119" s="2">
        <v>25.23</v>
      </c>
      <c r="BL119" s="2">
        <v>23.54</v>
      </c>
      <c r="BM119" s="7"/>
      <c r="BN119" s="7"/>
      <c r="BO119" s="128">
        <v>44214</v>
      </c>
      <c r="BP119" s="2">
        <v>15.22</v>
      </c>
      <c r="BQ119" s="2">
        <v>12.98</v>
      </c>
      <c r="BR119" s="2">
        <v>11.58</v>
      </c>
      <c r="BS119" s="2">
        <v>12.05</v>
      </c>
      <c r="BT119" s="2"/>
      <c r="BU119" s="2"/>
      <c r="BV119" s="7"/>
      <c r="BW119" s="128">
        <v>44214</v>
      </c>
      <c r="BX119" s="2">
        <v>58.25</v>
      </c>
      <c r="BY119" s="2">
        <v>48.75</v>
      </c>
      <c r="BZ119" s="2">
        <v>46</v>
      </c>
      <c r="CA119" s="2">
        <v>44.25</v>
      </c>
    </row>
    <row r="120" spans="1:79" x14ac:dyDescent="0.2">
      <c r="A120" s="124">
        <v>43900</v>
      </c>
      <c r="B120">
        <v>51.75</v>
      </c>
      <c r="C120">
        <v>49.625</v>
      </c>
      <c r="D120">
        <v>47.375</v>
      </c>
      <c r="E120" s="17">
        <v>46.076500000000003</v>
      </c>
      <c r="F120">
        <v>48.125</v>
      </c>
      <c r="G120">
        <v>48.125</v>
      </c>
      <c r="H120">
        <v>47</v>
      </c>
      <c r="I120">
        <v>43.75</v>
      </c>
      <c r="J120">
        <v>52.125</v>
      </c>
      <c r="K120" s="17">
        <v>46.076999999999998</v>
      </c>
      <c r="L120" s="7"/>
      <c r="N120" s="124">
        <v>43900</v>
      </c>
      <c r="O120" s="2">
        <v>51.608499999999999</v>
      </c>
      <c r="P120" s="2">
        <v>36.562600000000003</v>
      </c>
      <c r="Q120" s="2">
        <v>30.93</v>
      </c>
      <c r="R120" s="2">
        <v>28.773700000000002</v>
      </c>
      <c r="S120" s="2">
        <v>26.53</v>
      </c>
      <c r="T120" s="2">
        <v>25.78905</v>
      </c>
      <c r="U120" s="2">
        <v>24.5806</v>
      </c>
      <c r="V120" s="2">
        <v>24.169550000000001</v>
      </c>
      <c r="W120" s="2">
        <v>23.99</v>
      </c>
      <c r="X120" s="2">
        <v>23.848600000000001</v>
      </c>
      <c r="Y120" s="7"/>
      <c r="Z120" s="7"/>
      <c r="AA120" s="128">
        <v>44215</v>
      </c>
      <c r="AB120" s="2">
        <v>15.189730000000001</v>
      </c>
      <c r="AC120" s="2">
        <v>12.889787999999999</v>
      </c>
      <c r="AD120" s="2">
        <v>11.582667000000001</v>
      </c>
      <c r="AE120" s="2">
        <v>11.505736000000001</v>
      </c>
      <c r="AF120" s="2"/>
      <c r="AG120" s="2"/>
      <c r="AH120" s="7"/>
      <c r="AI120" s="128">
        <v>44215</v>
      </c>
      <c r="AJ120" s="2">
        <v>58.375</v>
      </c>
      <c r="AK120" s="2">
        <v>49.125</v>
      </c>
      <c r="AL120" s="2">
        <v>46</v>
      </c>
      <c r="AM120" s="2">
        <v>44.875</v>
      </c>
      <c r="AO120" s="124">
        <v>43900</v>
      </c>
      <c r="AP120">
        <v>51.75</v>
      </c>
      <c r="AQ120">
        <v>49.625</v>
      </c>
      <c r="AR120">
        <v>47.375</v>
      </c>
      <c r="AS120" s="17">
        <v>46.076000000000001</v>
      </c>
      <c r="AT120">
        <v>48.125</v>
      </c>
      <c r="AU120">
        <v>74.72</v>
      </c>
      <c r="AV120">
        <v>72.459999999999994</v>
      </c>
      <c r="AW120">
        <v>43.75</v>
      </c>
      <c r="AX120">
        <v>48.875</v>
      </c>
      <c r="AY120" s="17">
        <v>46.076999999999998</v>
      </c>
      <c r="AZ120" s="7"/>
      <c r="BB120" s="124">
        <v>43900</v>
      </c>
      <c r="BC120" s="2">
        <v>51.6</v>
      </c>
      <c r="BD120" s="2">
        <v>36.56</v>
      </c>
      <c r="BE120" s="2">
        <v>30.93</v>
      </c>
      <c r="BF120" s="2">
        <v>28.77</v>
      </c>
      <c r="BG120" s="2">
        <v>26.53</v>
      </c>
      <c r="BH120" s="2">
        <v>15.56</v>
      </c>
      <c r="BI120" s="2">
        <v>15.063000000000001</v>
      </c>
      <c r="BJ120" s="2">
        <v>24.17</v>
      </c>
      <c r="BK120" s="2">
        <v>25.54</v>
      </c>
      <c r="BL120" s="2">
        <v>23.85</v>
      </c>
      <c r="BM120" s="7"/>
      <c r="BN120" s="7"/>
      <c r="BO120" s="128">
        <v>44215</v>
      </c>
      <c r="BP120" s="2">
        <v>15.19</v>
      </c>
      <c r="BQ120" s="2">
        <v>12.89</v>
      </c>
      <c r="BR120" s="2">
        <v>11.58</v>
      </c>
      <c r="BS120" s="2">
        <v>11.84</v>
      </c>
      <c r="BT120" s="2"/>
      <c r="BU120" s="2"/>
      <c r="BV120" s="7"/>
      <c r="BW120" s="128">
        <v>44215</v>
      </c>
      <c r="BX120" s="2">
        <v>58.375</v>
      </c>
      <c r="BY120" s="2">
        <v>49.125</v>
      </c>
      <c r="BZ120" s="2">
        <v>46</v>
      </c>
      <c r="CA120" s="2">
        <v>44.875</v>
      </c>
    </row>
    <row r="121" spans="1:79" x14ac:dyDescent="0.2">
      <c r="A121" s="124">
        <v>43901</v>
      </c>
      <c r="B121">
        <v>49.625</v>
      </c>
      <c r="C121">
        <v>47.375</v>
      </c>
      <c r="D121">
        <v>45</v>
      </c>
      <c r="E121" s="17">
        <v>46.091500000000003</v>
      </c>
      <c r="F121">
        <v>45.875</v>
      </c>
      <c r="G121">
        <v>45.125</v>
      </c>
      <c r="H121">
        <v>43.875</v>
      </c>
      <c r="I121">
        <v>42.75</v>
      </c>
      <c r="J121">
        <v>48.875</v>
      </c>
      <c r="K121" s="17">
        <v>48.459499999999998</v>
      </c>
      <c r="L121" s="7"/>
      <c r="N121" s="124">
        <v>43901</v>
      </c>
      <c r="O121" s="2">
        <v>54.584000000000003</v>
      </c>
      <c r="P121" s="2">
        <v>38.624099999999999</v>
      </c>
      <c r="Q121" s="2">
        <v>32.71</v>
      </c>
      <c r="R121" s="2">
        <v>28.773849999999999</v>
      </c>
      <c r="S121" s="2">
        <v>27.81</v>
      </c>
      <c r="T121" s="2">
        <v>27.453050000000001</v>
      </c>
      <c r="U121" s="2">
        <v>26.2605</v>
      </c>
      <c r="V121" s="2">
        <v>24.704899999999999</v>
      </c>
      <c r="W121" s="2">
        <v>25.54</v>
      </c>
      <c r="X121" s="2">
        <v>22.7395</v>
      </c>
      <c r="Y121" s="7"/>
      <c r="Z121" s="7"/>
      <c r="AA121" s="128">
        <v>44216</v>
      </c>
      <c r="AB121" s="2">
        <v>16.366230999999999</v>
      </c>
      <c r="AC121" s="2">
        <v>13.711409</v>
      </c>
      <c r="AD121" s="2">
        <v>12.141961999999999</v>
      </c>
      <c r="AE121" s="2">
        <v>12.065189</v>
      </c>
      <c r="AF121" s="2"/>
      <c r="AG121" s="2"/>
      <c r="AH121" s="7"/>
      <c r="AI121" s="128">
        <v>44216</v>
      </c>
      <c r="AJ121" s="2">
        <v>54.875</v>
      </c>
      <c r="AK121" s="2">
        <v>45.875</v>
      </c>
      <c r="AL121" s="2">
        <v>43.375</v>
      </c>
      <c r="AM121" s="2">
        <v>43.25</v>
      </c>
      <c r="AO121" s="124">
        <v>43901</v>
      </c>
      <c r="AP121">
        <v>49.625</v>
      </c>
      <c r="AQ121">
        <v>47.375</v>
      </c>
      <c r="AR121">
        <v>45</v>
      </c>
      <c r="AS121" s="17">
        <v>46.091000000000001</v>
      </c>
      <c r="AT121">
        <v>48.125</v>
      </c>
      <c r="AU121">
        <v>74.72</v>
      </c>
      <c r="AV121">
        <v>72.459999999999994</v>
      </c>
      <c r="AW121">
        <v>42.75</v>
      </c>
      <c r="AX121">
        <v>46</v>
      </c>
      <c r="AY121" s="17">
        <v>48.459000000000003</v>
      </c>
      <c r="AZ121" s="7"/>
      <c r="BB121" s="124">
        <v>43901</v>
      </c>
      <c r="BC121" s="2">
        <v>54.58</v>
      </c>
      <c r="BD121" s="2">
        <v>38.619999999999997</v>
      </c>
      <c r="BE121" s="2">
        <v>32.71</v>
      </c>
      <c r="BF121" s="2">
        <v>28.77</v>
      </c>
      <c r="BG121" s="2">
        <v>26.54</v>
      </c>
      <c r="BH121" s="2">
        <v>15.56</v>
      </c>
      <c r="BI121" s="2">
        <v>15.063000000000001</v>
      </c>
      <c r="BJ121" s="2">
        <v>24.7</v>
      </c>
      <c r="BK121" s="2">
        <v>27.06</v>
      </c>
      <c r="BL121" s="2">
        <v>22.74</v>
      </c>
      <c r="BM121" s="7"/>
      <c r="BN121" s="7"/>
      <c r="BO121" s="128">
        <v>44216</v>
      </c>
      <c r="BP121" s="2">
        <v>16.37</v>
      </c>
      <c r="BQ121" s="2">
        <v>13.71</v>
      </c>
      <c r="BR121" s="2">
        <v>12.14</v>
      </c>
      <c r="BS121" s="2">
        <v>12.43</v>
      </c>
      <c r="BT121" s="2"/>
      <c r="BU121" s="2"/>
      <c r="BV121" s="7"/>
      <c r="BW121" s="128">
        <v>44216</v>
      </c>
      <c r="BX121" s="2">
        <v>54.875</v>
      </c>
      <c r="BY121" s="2">
        <v>45.875</v>
      </c>
      <c r="BZ121" s="2">
        <v>43.375</v>
      </c>
      <c r="CA121" s="2">
        <v>43.25</v>
      </c>
    </row>
    <row r="122" spans="1:79" x14ac:dyDescent="0.2">
      <c r="A122" s="124">
        <v>43902</v>
      </c>
      <c r="B122">
        <v>41.5</v>
      </c>
      <c r="C122">
        <v>39.875</v>
      </c>
      <c r="D122">
        <v>37.5</v>
      </c>
      <c r="E122" s="17">
        <v>34.552</v>
      </c>
      <c r="F122">
        <v>36.75</v>
      </c>
      <c r="G122">
        <v>36.5</v>
      </c>
      <c r="H122">
        <v>35.25</v>
      </c>
      <c r="I122">
        <v>34.625</v>
      </c>
      <c r="J122">
        <v>48.875</v>
      </c>
      <c r="K122" s="17">
        <v>37.305500000000002</v>
      </c>
      <c r="L122" s="7"/>
      <c r="N122" s="124">
        <v>43902</v>
      </c>
      <c r="O122" s="2">
        <v>67.764499999999998</v>
      </c>
      <c r="P122" s="2">
        <v>46.544449999999998</v>
      </c>
      <c r="Q122" s="2">
        <v>39.229999999999997</v>
      </c>
      <c r="R122" s="2">
        <v>37.927999999999997</v>
      </c>
      <c r="S122" s="2">
        <v>34.130000000000003</v>
      </c>
      <c r="T122" s="2">
        <v>33.325099999999999</v>
      </c>
      <c r="U122" s="2">
        <v>32.000300000000003</v>
      </c>
      <c r="V122" s="2">
        <v>29.841249999999999</v>
      </c>
      <c r="W122" s="2">
        <v>25.54</v>
      </c>
      <c r="X122" s="2">
        <v>28.917200000000001</v>
      </c>
      <c r="Y122" s="7"/>
      <c r="Z122" s="7"/>
      <c r="AA122" s="128">
        <v>44217</v>
      </c>
      <c r="AB122" s="2">
        <v>16.786387999999999</v>
      </c>
      <c r="AC122" s="2">
        <v>13.723694</v>
      </c>
      <c r="AD122" s="2">
        <v>12.095591000000001</v>
      </c>
      <c r="AE122" s="2">
        <v>12.211414</v>
      </c>
      <c r="AF122" s="2"/>
      <c r="AG122" s="2"/>
      <c r="AH122" s="7"/>
      <c r="AI122" s="128">
        <v>44217</v>
      </c>
      <c r="AJ122" s="2">
        <v>53.75</v>
      </c>
      <c r="AK122" s="2">
        <v>45.875</v>
      </c>
      <c r="AL122" s="2">
        <v>43.625</v>
      </c>
      <c r="AM122" s="2">
        <v>42.875</v>
      </c>
      <c r="AO122" s="124">
        <v>43902</v>
      </c>
      <c r="AP122">
        <v>41.5</v>
      </c>
      <c r="AQ122">
        <v>39.875</v>
      </c>
      <c r="AR122">
        <v>37.5</v>
      </c>
      <c r="AS122" s="17">
        <v>34.552</v>
      </c>
      <c r="AT122">
        <v>48.125</v>
      </c>
      <c r="AU122">
        <v>36.5</v>
      </c>
      <c r="AV122">
        <v>72.459999999999994</v>
      </c>
      <c r="AW122">
        <v>34.625</v>
      </c>
      <c r="AX122">
        <v>35.875</v>
      </c>
      <c r="AY122" s="17">
        <v>37.305999999999997</v>
      </c>
      <c r="AZ122" s="7"/>
      <c r="BB122" s="124">
        <v>43902</v>
      </c>
      <c r="BC122" s="2">
        <v>67.760000000000005</v>
      </c>
      <c r="BD122" s="2">
        <v>46.54</v>
      </c>
      <c r="BE122" s="2">
        <v>39.229999999999997</v>
      </c>
      <c r="BF122" s="2">
        <v>37.93</v>
      </c>
      <c r="BG122" s="2">
        <v>26.54</v>
      </c>
      <c r="BH122" s="2">
        <v>33.32</v>
      </c>
      <c r="BI122" s="2">
        <v>15.063000000000001</v>
      </c>
      <c r="BJ122" s="2">
        <v>29.84</v>
      </c>
      <c r="BK122" s="2">
        <v>33.9</v>
      </c>
      <c r="BL122" s="2">
        <v>28.92</v>
      </c>
      <c r="BM122" s="7"/>
      <c r="BN122" s="7"/>
      <c r="BO122" s="128">
        <v>44217</v>
      </c>
      <c r="BP122" s="2">
        <v>16.79</v>
      </c>
      <c r="BQ122" s="2">
        <v>13.72</v>
      </c>
      <c r="BR122" s="2">
        <v>12.1</v>
      </c>
      <c r="BS122" s="2">
        <v>12.58</v>
      </c>
      <c r="BT122" s="2"/>
      <c r="BU122" s="2"/>
      <c r="BV122" s="7"/>
      <c r="BW122" s="128">
        <v>44217</v>
      </c>
      <c r="BX122" s="2">
        <v>53.75</v>
      </c>
      <c r="BY122" s="2">
        <v>45.875</v>
      </c>
      <c r="BZ122" s="2">
        <v>43.625</v>
      </c>
      <c r="CA122" s="2">
        <v>42.875</v>
      </c>
    </row>
    <row r="123" spans="1:79" x14ac:dyDescent="0.2">
      <c r="A123" s="124">
        <v>43903</v>
      </c>
      <c r="B123">
        <v>43.75</v>
      </c>
      <c r="C123">
        <v>41.5</v>
      </c>
      <c r="D123">
        <v>37.875</v>
      </c>
      <c r="E123" s="17">
        <v>35.554000000000002</v>
      </c>
      <c r="F123">
        <v>38.375</v>
      </c>
      <c r="G123">
        <v>38.75</v>
      </c>
      <c r="H123">
        <v>36.125</v>
      </c>
      <c r="I123">
        <v>34.25</v>
      </c>
      <c r="J123">
        <v>37.75</v>
      </c>
      <c r="K123" s="17">
        <v>38.0565</v>
      </c>
      <c r="L123" s="7"/>
      <c r="N123" s="124">
        <v>43903</v>
      </c>
      <c r="O123" s="2">
        <v>63.917499999999997</v>
      </c>
      <c r="P123" s="2">
        <v>44.715449999999997</v>
      </c>
      <c r="Q123" s="2">
        <v>38.89</v>
      </c>
      <c r="R123" s="2">
        <v>36.994199999999999</v>
      </c>
      <c r="S123" s="2">
        <v>32.85</v>
      </c>
      <c r="T123" s="2">
        <v>31.613050000000001</v>
      </c>
      <c r="U123" s="2">
        <v>31.33155</v>
      </c>
      <c r="V123" s="2">
        <v>30.1251</v>
      </c>
      <c r="W123" s="2">
        <v>32.409999999999997</v>
      </c>
      <c r="X123" s="2">
        <v>28.412299999999998</v>
      </c>
      <c r="Y123" s="7"/>
      <c r="Z123" s="7"/>
      <c r="AA123" s="128">
        <v>44218</v>
      </c>
      <c r="AB123" s="2">
        <v>16.661133</v>
      </c>
      <c r="AC123" s="2">
        <v>13.500446999999999</v>
      </c>
      <c r="AD123" s="2">
        <v>11.936086</v>
      </c>
      <c r="AE123" s="2">
        <v>12.128549</v>
      </c>
      <c r="AF123" s="2"/>
      <c r="AG123" s="2"/>
      <c r="AH123" s="7"/>
      <c r="AI123" s="128">
        <v>44218</v>
      </c>
      <c r="AJ123" s="2">
        <v>54.125</v>
      </c>
      <c r="AK123" s="2">
        <v>46.75</v>
      </c>
      <c r="AL123" s="2">
        <v>44.375</v>
      </c>
      <c r="AM123" s="2">
        <v>43.125</v>
      </c>
      <c r="AO123" s="124">
        <v>43903</v>
      </c>
      <c r="AP123">
        <v>43.75</v>
      </c>
      <c r="AQ123">
        <v>41.5</v>
      </c>
      <c r="AR123">
        <v>37.875</v>
      </c>
      <c r="AS123" s="17">
        <v>35.554000000000002</v>
      </c>
      <c r="AT123">
        <v>48.125</v>
      </c>
      <c r="AU123">
        <v>36.5</v>
      </c>
      <c r="AV123">
        <v>72.459999999999994</v>
      </c>
      <c r="AW123">
        <v>34.25</v>
      </c>
      <c r="AX123">
        <v>37.75</v>
      </c>
      <c r="AY123" s="17">
        <v>38.055999999999997</v>
      </c>
      <c r="AZ123" s="7"/>
      <c r="BB123" s="124">
        <v>43903</v>
      </c>
      <c r="BC123" s="2">
        <v>63.91</v>
      </c>
      <c r="BD123" s="2">
        <v>44.71</v>
      </c>
      <c r="BE123" s="2">
        <v>38.89</v>
      </c>
      <c r="BF123" s="2">
        <v>36.99</v>
      </c>
      <c r="BG123" s="2">
        <v>26.54</v>
      </c>
      <c r="BH123" s="2">
        <v>33.33</v>
      </c>
      <c r="BI123" s="2">
        <v>15.063000000000001</v>
      </c>
      <c r="BJ123" s="2">
        <v>30.12</v>
      </c>
      <c r="BK123" s="2">
        <v>32.409999999999997</v>
      </c>
      <c r="BL123" s="2">
        <v>28.41</v>
      </c>
      <c r="BM123" s="7"/>
      <c r="BN123" s="7"/>
      <c r="BO123" s="128">
        <v>44218</v>
      </c>
      <c r="BP123" s="2">
        <v>16.66</v>
      </c>
      <c r="BQ123" s="2">
        <v>13.5</v>
      </c>
      <c r="BR123" s="2">
        <v>11.94</v>
      </c>
      <c r="BS123" s="2">
        <v>12.5</v>
      </c>
      <c r="BT123" s="2"/>
      <c r="BU123" s="2"/>
      <c r="BV123" s="7"/>
      <c r="BW123" s="128">
        <v>44218</v>
      </c>
      <c r="BX123" s="2">
        <v>54.125</v>
      </c>
      <c r="BY123" s="2">
        <v>46.75</v>
      </c>
      <c r="BZ123" s="2">
        <v>44.375</v>
      </c>
      <c r="CA123" s="2">
        <v>43.125</v>
      </c>
    </row>
    <row r="124" spans="1:79" x14ac:dyDescent="0.2">
      <c r="A124" s="124">
        <v>43906</v>
      </c>
      <c r="B124">
        <v>40.125</v>
      </c>
      <c r="C124">
        <v>38.125</v>
      </c>
      <c r="D124">
        <v>35.375</v>
      </c>
      <c r="E124" s="17">
        <v>32.296999999999997</v>
      </c>
      <c r="F124">
        <v>33.375</v>
      </c>
      <c r="G124">
        <v>34.375</v>
      </c>
      <c r="H124">
        <v>34.375</v>
      </c>
      <c r="I124">
        <v>31.5</v>
      </c>
      <c r="J124">
        <v>35.375</v>
      </c>
      <c r="K124" s="17">
        <v>33.043999999999997</v>
      </c>
      <c r="L124" s="7"/>
      <c r="N124" s="124">
        <v>43906</v>
      </c>
      <c r="O124" s="2">
        <v>70.48</v>
      </c>
      <c r="P124" s="2">
        <v>48.720849999999999</v>
      </c>
      <c r="Q124" s="2">
        <v>41.43</v>
      </c>
      <c r="R124" s="2">
        <v>40.238750000000003</v>
      </c>
      <c r="S124" s="2">
        <v>37.11</v>
      </c>
      <c r="T124" s="2">
        <v>35.1158</v>
      </c>
      <c r="U124" s="2">
        <v>32.712949999999999</v>
      </c>
      <c r="V124" s="2">
        <v>32.333599999999997</v>
      </c>
      <c r="W124" s="2">
        <v>34.33</v>
      </c>
      <c r="X124" s="2">
        <v>32.179650000000002</v>
      </c>
      <c r="Y124" s="7"/>
      <c r="Z124" s="7"/>
      <c r="AA124" s="128">
        <v>44221</v>
      </c>
      <c r="AB124" s="2">
        <v>16.713557999999999</v>
      </c>
      <c r="AC124" s="2">
        <v>13.313650000000001</v>
      </c>
      <c r="AD124" s="2">
        <v>11.832535999999999</v>
      </c>
      <c r="AE124" s="2">
        <v>12.089764000000001</v>
      </c>
      <c r="AF124" s="2"/>
      <c r="AG124" s="2"/>
      <c r="AH124" s="7"/>
      <c r="AI124" s="128">
        <v>44221</v>
      </c>
      <c r="AJ124" s="2">
        <v>54</v>
      </c>
      <c r="AK124" s="2">
        <v>47.5</v>
      </c>
      <c r="AL124" s="2">
        <v>44.875</v>
      </c>
      <c r="AM124" s="2">
        <v>43.25</v>
      </c>
      <c r="AO124" s="124">
        <v>43906</v>
      </c>
      <c r="AP124">
        <v>40.125</v>
      </c>
      <c r="AQ124">
        <v>38.125</v>
      </c>
      <c r="AR124">
        <v>35.375</v>
      </c>
      <c r="AS124" s="17">
        <v>32.296999999999997</v>
      </c>
      <c r="AT124">
        <v>48.125</v>
      </c>
      <c r="AU124">
        <v>36.5</v>
      </c>
      <c r="AV124">
        <v>33.125</v>
      </c>
      <c r="AW124">
        <v>31.5</v>
      </c>
      <c r="AX124">
        <v>35.375</v>
      </c>
      <c r="AY124" s="17">
        <v>33.545999999999999</v>
      </c>
      <c r="AZ124" s="7"/>
      <c r="BB124" s="124">
        <v>43906</v>
      </c>
      <c r="BC124" s="2">
        <v>70.47</v>
      </c>
      <c r="BD124" s="2">
        <v>48.72</v>
      </c>
      <c r="BE124" s="2">
        <v>41.43</v>
      </c>
      <c r="BF124" s="2">
        <v>40.24</v>
      </c>
      <c r="BG124" s="2">
        <v>26.54</v>
      </c>
      <c r="BH124" s="2">
        <v>33.33</v>
      </c>
      <c r="BI124" s="2">
        <v>33.76</v>
      </c>
      <c r="BJ124" s="2">
        <v>32.33</v>
      </c>
      <c r="BK124" s="2">
        <v>34.33</v>
      </c>
      <c r="BL124" s="2">
        <v>31.76</v>
      </c>
      <c r="BM124" s="7"/>
      <c r="BN124" s="7"/>
      <c r="BO124" s="128">
        <v>44221</v>
      </c>
      <c r="BP124" s="2">
        <v>16.71</v>
      </c>
      <c r="BQ124" s="2">
        <v>13.31</v>
      </c>
      <c r="BR124" s="2">
        <v>11.83</v>
      </c>
      <c r="BS124" s="2">
        <v>12.46</v>
      </c>
      <c r="BT124" s="2"/>
      <c r="BU124" s="2"/>
      <c r="BV124" s="7"/>
      <c r="BW124" s="128">
        <v>44221</v>
      </c>
      <c r="BX124" s="2">
        <v>54</v>
      </c>
      <c r="BY124" s="2">
        <v>47.5</v>
      </c>
      <c r="BZ124" s="2">
        <v>44.875</v>
      </c>
      <c r="CA124" s="2">
        <v>43.25</v>
      </c>
    </row>
    <row r="125" spans="1:79" x14ac:dyDescent="0.2">
      <c r="A125" s="124">
        <v>43907</v>
      </c>
      <c r="B125">
        <v>39.625</v>
      </c>
      <c r="C125">
        <v>37.75</v>
      </c>
      <c r="D125">
        <v>33.75</v>
      </c>
      <c r="E125" s="17">
        <v>34.577500000000001</v>
      </c>
      <c r="F125">
        <v>34</v>
      </c>
      <c r="G125">
        <v>35.625</v>
      </c>
      <c r="H125">
        <v>34</v>
      </c>
      <c r="I125">
        <v>29.875</v>
      </c>
      <c r="J125">
        <v>36.25</v>
      </c>
      <c r="K125" s="17">
        <v>36.604500000000002</v>
      </c>
      <c r="L125" s="7"/>
      <c r="N125" s="124">
        <v>43907</v>
      </c>
      <c r="O125" s="2">
        <v>71.526499999999999</v>
      </c>
      <c r="P125" s="2">
        <v>49.229849999999999</v>
      </c>
      <c r="Q125" s="2">
        <v>43.22</v>
      </c>
      <c r="R125" s="2">
        <v>37.947099999999999</v>
      </c>
      <c r="S125" s="2">
        <v>36.53</v>
      </c>
      <c r="T125" s="2">
        <v>34.060250000000003</v>
      </c>
      <c r="U125" s="2">
        <v>33.033999999999999</v>
      </c>
      <c r="V125" s="2">
        <v>33.793999999999997</v>
      </c>
      <c r="W125" s="2">
        <v>33.6</v>
      </c>
      <c r="X125" s="2">
        <v>29.418150000000001</v>
      </c>
      <c r="Y125" s="7"/>
      <c r="Z125" s="7"/>
      <c r="AA125" s="128">
        <v>44222</v>
      </c>
      <c r="AB125" s="2">
        <v>16.633016999999999</v>
      </c>
      <c r="AC125" s="2">
        <v>13.068765000000001</v>
      </c>
      <c r="AD125" s="2">
        <v>11.782666000000001</v>
      </c>
      <c r="AE125" s="2">
        <v>12.051086</v>
      </c>
      <c r="AF125" s="2"/>
      <c r="AG125" s="2"/>
      <c r="AH125" s="7"/>
      <c r="AI125" s="128">
        <v>44222</v>
      </c>
      <c r="AJ125" s="2">
        <v>54.25</v>
      </c>
      <c r="AK125" s="2">
        <v>48.5</v>
      </c>
      <c r="AL125" s="2">
        <v>45.125</v>
      </c>
      <c r="AM125" s="2">
        <v>43.375</v>
      </c>
      <c r="AO125" s="124">
        <v>43907</v>
      </c>
      <c r="AP125">
        <v>39.625</v>
      </c>
      <c r="AQ125">
        <v>37.75</v>
      </c>
      <c r="AR125">
        <v>33.75</v>
      </c>
      <c r="AS125" s="17">
        <v>34.576999999999998</v>
      </c>
      <c r="AT125">
        <v>48.125</v>
      </c>
      <c r="AU125">
        <v>35.625</v>
      </c>
      <c r="AV125">
        <v>34</v>
      </c>
      <c r="AW125">
        <v>29.875</v>
      </c>
      <c r="AX125">
        <v>36.25</v>
      </c>
      <c r="AY125" s="17">
        <v>36.603999999999999</v>
      </c>
      <c r="AZ125" s="7"/>
      <c r="BB125" s="124">
        <v>43907</v>
      </c>
      <c r="BC125" s="2">
        <v>71.52</v>
      </c>
      <c r="BD125" s="2">
        <v>49.22</v>
      </c>
      <c r="BE125" s="2">
        <v>43.22</v>
      </c>
      <c r="BF125" s="2">
        <v>37.950000000000003</v>
      </c>
      <c r="BG125" s="2">
        <v>26.54</v>
      </c>
      <c r="BH125" s="2">
        <v>34.049999999999997</v>
      </c>
      <c r="BI125" s="2">
        <v>33.020000000000003</v>
      </c>
      <c r="BJ125" s="2">
        <v>33.78</v>
      </c>
      <c r="BK125" s="2">
        <v>33.6</v>
      </c>
      <c r="BL125" s="2">
        <v>29.42</v>
      </c>
      <c r="BM125" s="7"/>
      <c r="BN125" s="7"/>
      <c r="BO125" s="128">
        <v>44222</v>
      </c>
      <c r="BP125" s="2">
        <v>16.63</v>
      </c>
      <c r="BQ125" s="2">
        <v>13.07</v>
      </c>
      <c r="BR125" s="2">
        <v>11.78</v>
      </c>
      <c r="BS125" s="2">
        <v>12.41</v>
      </c>
      <c r="BT125" s="2"/>
      <c r="BU125" s="2"/>
      <c r="BV125" s="7"/>
      <c r="BW125" s="128">
        <v>44222</v>
      </c>
      <c r="BX125" s="2">
        <v>54.25</v>
      </c>
      <c r="BY125" s="2">
        <v>48.5</v>
      </c>
      <c r="BZ125" s="2">
        <v>45.125</v>
      </c>
      <c r="CA125" s="2">
        <v>43.375</v>
      </c>
    </row>
    <row r="126" spans="1:79" x14ac:dyDescent="0.2">
      <c r="A126" s="124">
        <v>43908</v>
      </c>
      <c r="B126">
        <v>41.875</v>
      </c>
      <c r="C126">
        <v>40.125</v>
      </c>
      <c r="D126">
        <v>36.75</v>
      </c>
      <c r="E126" s="17">
        <v>34.577500000000001</v>
      </c>
      <c r="F126">
        <v>33.75</v>
      </c>
      <c r="G126">
        <v>36.625</v>
      </c>
      <c r="H126">
        <v>36</v>
      </c>
      <c r="I126">
        <v>34.125</v>
      </c>
      <c r="J126">
        <v>37.625</v>
      </c>
      <c r="K126" s="17">
        <v>35.475000000000001</v>
      </c>
      <c r="L126" s="7"/>
      <c r="N126" s="124">
        <v>43908</v>
      </c>
      <c r="O126" s="2">
        <v>67.418499999999995</v>
      </c>
      <c r="P126" s="2">
        <v>46.375300000000003</v>
      </c>
      <c r="Q126" s="2">
        <v>40.049999999999997</v>
      </c>
      <c r="R126" s="2">
        <v>37.961750000000002</v>
      </c>
      <c r="S126" s="2">
        <v>36.770000000000003</v>
      </c>
      <c r="T126" s="2">
        <v>33.252800000000001</v>
      </c>
      <c r="U126" s="2">
        <v>31.448399999999999</v>
      </c>
      <c r="V126" s="2">
        <v>30.237649999999999</v>
      </c>
      <c r="W126" s="2">
        <v>32.51</v>
      </c>
      <c r="X126" s="2">
        <v>30.2471</v>
      </c>
      <c r="Y126" s="7"/>
      <c r="Z126" s="7"/>
      <c r="AA126" s="128">
        <v>44223</v>
      </c>
      <c r="AB126" s="2">
        <v>16.818975999999999</v>
      </c>
      <c r="AC126" s="2">
        <v>13.290096999999999</v>
      </c>
      <c r="AD126" s="2">
        <v>11.864488</v>
      </c>
      <c r="AE126" s="2">
        <v>12.055999</v>
      </c>
      <c r="AF126" s="2"/>
      <c r="AG126" s="2"/>
      <c r="AH126" s="7"/>
      <c r="AI126" s="128">
        <v>44223</v>
      </c>
      <c r="AJ126" s="2">
        <v>53.75</v>
      </c>
      <c r="AK126" s="2">
        <v>47.625</v>
      </c>
      <c r="AL126" s="2">
        <v>44.75</v>
      </c>
      <c r="AM126" s="2">
        <v>43.375</v>
      </c>
      <c r="AO126" s="124">
        <v>43908</v>
      </c>
      <c r="AP126">
        <v>41.875</v>
      </c>
      <c r="AQ126">
        <v>40.125</v>
      </c>
      <c r="AR126">
        <v>36.75</v>
      </c>
      <c r="AS126" s="17">
        <v>34.576999999999998</v>
      </c>
      <c r="AT126">
        <v>48.125</v>
      </c>
      <c r="AU126">
        <v>35.625</v>
      </c>
      <c r="AV126">
        <v>34</v>
      </c>
      <c r="AW126">
        <v>34.125</v>
      </c>
      <c r="AX126">
        <v>37.625</v>
      </c>
      <c r="AY126" s="17">
        <v>35.475000000000001</v>
      </c>
      <c r="AZ126" s="7"/>
      <c r="BB126" s="124">
        <v>43908</v>
      </c>
      <c r="BC126" s="2">
        <v>67.41</v>
      </c>
      <c r="BD126" s="2">
        <v>46.36</v>
      </c>
      <c r="BE126" s="2">
        <v>40.049999999999997</v>
      </c>
      <c r="BF126" s="2">
        <v>37.96</v>
      </c>
      <c r="BG126" s="2">
        <v>26.54</v>
      </c>
      <c r="BH126" s="2">
        <v>34.06</v>
      </c>
      <c r="BI126" s="2">
        <v>33.03</v>
      </c>
      <c r="BJ126" s="2">
        <v>30.23</v>
      </c>
      <c r="BK126" s="2">
        <v>32.51</v>
      </c>
      <c r="BL126" s="2">
        <v>30.25</v>
      </c>
      <c r="BM126" s="7"/>
      <c r="BN126" s="7"/>
      <c r="BO126" s="128">
        <v>44223</v>
      </c>
      <c r="BP126" s="2">
        <v>16.82</v>
      </c>
      <c r="BQ126" s="2">
        <v>13.29</v>
      </c>
      <c r="BR126" s="2">
        <v>11.79</v>
      </c>
      <c r="BS126" s="2">
        <v>12.42</v>
      </c>
      <c r="BT126" s="2"/>
      <c r="BU126" s="2"/>
      <c r="BV126" s="7"/>
      <c r="BW126" s="128">
        <v>44223</v>
      </c>
      <c r="BX126" s="2">
        <v>53.75</v>
      </c>
      <c r="BY126" s="2">
        <v>47.625</v>
      </c>
      <c r="BZ126" s="2">
        <v>45.125</v>
      </c>
      <c r="CA126" s="2">
        <v>43.375</v>
      </c>
    </row>
    <row r="127" spans="1:79" x14ac:dyDescent="0.2">
      <c r="A127" s="124">
        <v>43909</v>
      </c>
      <c r="B127">
        <v>40.5</v>
      </c>
      <c r="C127">
        <v>38</v>
      </c>
      <c r="D127">
        <v>35</v>
      </c>
      <c r="E127" s="17">
        <v>32.947499999999998</v>
      </c>
      <c r="F127">
        <v>35</v>
      </c>
      <c r="G127">
        <v>34.75</v>
      </c>
      <c r="H127">
        <v>33.75</v>
      </c>
      <c r="I127">
        <v>32.375</v>
      </c>
      <c r="J127">
        <v>35.625</v>
      </c>
      <c r="K127" s="17">
        <v>33.716000000000001</v>
      </c>
      <c r="L127" s="7"/>
      <c r="N127" s="124">
        <v>43909</v>
      </c>
      <c r="O127" s="2">
        <v>70.207999999999998</v>
      </c>
      <c r="P127" s="2">
        <v>49.041400000000003</v>
      </c>
      <c r="Q127" s="2">
        <v>41.92</v>
      </c>
      <c r="R127" s="2">
        <v>39.635899999999999</v>
      </c>
      <c r="S127" s="2">
        <v>35.659999999999997</v>
      </c>
      <c r="T127" s="2">
        <v>34.8249</v>
      </c>
      <c r="U127" s="2">
        <v>33.267749999999999</v>
      </c>
      <c r="V127" s="2">
        <v>31.629850000000001</v>
      </c>
      <c r="W127" s="2">
        <v>34.130000000000003</v>
      </c>
      <c r="X127" s="2">
        <v>31.638999999999999</v>
      </c>
      <c r="Y127" s="7"/>
      <c r="Z127" s="7"/>
      <c r="AA127" s="128">
        <v>44224</v>
      </c>
      <c r="AB127" s="2">
        <v>16.701550000000001</v>
      </c>
      <c r="AC127" s="2">
        <v>13.361077</v>
      </c>
      <c r="AD127" s="2">
        <v>11.870006</v>
      </c>
      <c r="AE127" s="2">
        <v>12.065835999999999</v>
      </c>
      <c r="AF127" s="2"/>
      <c r="AG127" s="2"/>
      <c r="AH127" s="7"/>
      <c r="AI127" s="128">
        <v>44224</v>
      </c>
      <c r="AJ127" s="2">
        <v>54.125</v>
      </c>
      <c r="AK127" s="2">
        <v>47.375</v>
      </c>
      <c r="AL127" s="2">
        <v>44.75</v>
      </c>
      <c r="AM127" s="2">
        <v>43.375</v>
      </c>
      <c r="AO127" s="124">
        <v>43909</v>
      </c>
      <c r="AP127">
        <v>40.5</v>
      </c>
      <c r="AQ127">
        <v>38</v>
      </c>
      <c r="AR127">
        <v>35</v>
      </c>
      <c r="AS127" s="17">
        <v>32.947000000000003</v>
      </c>
      <c r="AT127">
        <v>48.125</v>
      </c>
      <c r="AU127">
        <v>35.625</v>
      </c>
      <c r="AV127">
        <v>33.75</v>
      </c>
      <c r="AW127">
        <v>32.375</v>
      </c>
      <c r="AX127">
        <v>35.625</v>
      </c>
      <c r="AY127" s="17">
        <v>33.716000000000001</v>
      </c>
      <c r="AZ127" s="7"/>
      <c r="BB127" s="124">
        <v>43909</v>
      </c>
      <c r="BC127" s="2">
        <v>70.2</v>
      </c>
      <c r="BD127" s="2">
        <v>49.03</v>
      </c>
      <c r="BE127" s="2">
        <v>41.92</v>
      </c>
      <c r="BF127" s="2">
        <v>39.64</v>
      </c>
      <c r="BG127" s="2">
        <v>26.54</v>
      </c>
      <c r="BH127" s="2">
        <v>34.06</v>
      </c>
      <c r="BI127" s="2">
        <v>33.26</v>
      </c>
      <c r="BJ127" s="2">
        <v>31.62</v>
      </c>
      <c r="BK127" s="2">
        <v>34.130000000000003</v>
      </c>
      <c r="BL127" s="2">
        <v>31.64</v>
      </c>
      <c r="BM127" s="7"/>
      <c r="BN127" s="7"/>
      <c r="BO127" s="128">
        <v>44224</v>
      </c>
      <c r="BP127" s="2">
        <v>16.71</v>
      </c>
      <c r="BQ127" s="2">
        <v>13.37</v>
      </c>
      <c r="BR127" s="2">
        <v>11.87</v>
      </c>
      <c r="BS127" s="2">
        <v>12.43</v>
      </c>
      <c r="BT127" s="2"/>
      <c r="BU127" s="2"/>
      <c r="BV127" s="7"/>
      <c r="BW127" s="128">
        <v>44224</v>
      </c>
      <c r="BX127" s="2">
        <v>54.125</v>
      </c>
      <c r="BY127" s="2">
        <v>47.375</v>
      </c>
      <c r="BZ127" s="2">
        <v>44.75</v>
      </c>
      <c r="CA127" s="2">
        <v>43.375</v>
      </c>
    </row>
    <row r="128" spans="1:79" x14ac:dyDescent="0.2">
      <c r="A128" s="124">
        <v>43910</v>
      </c>
      <c r="B128">
        <v>44</v>
      </c>
      <c r="C128">
        <v>41.75</v>
      </c>
      <c r="D128">
        <v>37.875</v>
      </c>
      <c r="E128" s="17">
        <v>34.954000000000001</v>
      </c>
      <c r="F128">
        <v>38</v>
      </c>
      <c r="G128">
        <v>37.75</v>
      </c>
      <c r="H128">
        <v>36.25</v>
      </c>
      <c r="I128">
        <v>33.625</v>
      </c>
      <c r="J128">
        <v>37.875</v>
      </c>
      <c r="K128" s="17">
        <v>35.851500000000001</v>
      </c>
      <c r="L128" s="7"/>
      <c r="N128" s="124">
        <v>43910</v>
      </c>
      <c r="O128" s="2">
        <v>64.035499999999999</v>
      </c>
      <c r="P128" s="2">
        <v>44.639499999999998</v>
      </c>
      <c r="Q128" s="2">
        <v>39</v>
      </c>
      <c r="R128" s="2">
        <v>37.658999999999999</v>
      </c>
      <c r="S128" s="2">
        <v>33.18</v>
      </c>
      <c r="T128" s="2">
        <v>32.399850000000001</v>
      </c>
      <c r="U128" s="2">
        <v>31.2819</v>
      </c>
      <c r="V128" s="2">
        <v>30.638100000000001</v>
      </c>
      <c r="W128" s="2">
        <v>32.33</v>
      </c>
      <c r="X128" s="2">
        <v>29.9818</v>
      </c>
      <c r="Y128" s="7"/>
      <c r="Z128" s="7"/>
      <c r="AA128" s="128">
        <v>44225</v>
      </c>
      <c r="AB128" s="2">
        <v>16.621039</v>
      </c>
      <c r="AC128" s="2">
        <v>13.365035000000001</v>
      </c>
      <c r="AD128" s="2">
        <v>11.819887</v>
      </c>
      <c r="AE128" s="2">
        <v>12.02722</v>
      </c>
      <c r="AF128" s="2"/>
      <c r="AG128" s="2"/>
      <c r="AH128" s="7"/>
      <c r="AI128" s="128">
        <v>44225</v>
      </c>
      <c r="AJ128" s="2">
        <v>54.375</v>
      </c>
      <c r="AK128" s="2">
        <v>47.375</v>
      </c>
      <c r="AL128" s="2">
        <v>45</v>
      </c>
      <c r="AM128" s="2">
        <v>43.5</v>
      </c>
      <c r="AO128" s="124">
        <v>43910</v>
      </c>
      <c r="AP128">
        <v>44</v>
      </c>
      <c r="AQ128">
        <v>41.75</v>
      </c>
      <c r="AR128">
        <v>37.875</v>
      </c>
      <c r="AS128" s="17">
        <v>34.954000000000001</v>
      </c>
      <c r="AT128">
        <v>48.125</v>
      </c>
      <c r="AU128">
        <v>37.75</v>
      </c>
      <c r="AV128">
        <v>35.875</v>
      </c>
      <c r="AW128">
        <v>33.625</v>
      </c>
      <c r="AX128">
        <v>37.875</v>
      </c>
      <c r="AY128" s="17">
        <v>35.851999999999997</v>
      </c>
      <c r="AZ128" s="7"/>
      <c r="BB128" s="124">
        <v>43910</v>
      </c>
      <c r="BC128" s="2">
        <v>64.03</v>
      </c>
      <c r="BD128" s="2">
        <v>44.63</v>
      </c>
      <c r="BE128" s="2">
        <v>39</v>
      </c>
      <c r="BF128" s="2">
        <v>37.659999999999997</v>
      </c>
      <c r="BG128" s="2">
        <v>26.54</v>
      </c>
      <c r="BH128" s="2">
        <v>32.39</v>
      </c>
      <c r="BI128" s="2">
        <v>31.56</v>
      </c>
      <c r="BJ128" s="2">
        <v>30.63</v>
      </c>
      <c r="BK128" s="2">
        <v>32.33</v>
      </c>
      <c r="BL128" s="2">
        <v>29.98</v>
      </c>
      <c r="BM128" s="7"/>
      <c r="BN128" s="7"/>
      <c r="BO128" s="128">
        <v>44225</v>
      </c>
      <c r="BP128" s="2">
        <v>16.62</v>
      </c>
      <c r="BQ128" s="2">
        <v>13.36</v>
      </c>
      <c r="BR128" s="2">
        <v>11.82</v>
      </c>
      <c r="BS128" s="2">
        <v>12.39</v>
      </c>
      <c r="BT128" s="2"/>
      <c r="BU128" s="2"/>
      <c r="BV128" s="7"/>
      <c r="BW128" s="128">
        <v>44225</v>
      </c>
      <c r="BX128" s="2">
        <v>54.375</v>
      </c>
      <c r="BY128" s="2">
        <v>47.375</v>
      </c>
      <c r="BZ128" s="2">
        <v>45</v>
      </c>
      <c r="CA128" s="2">
        <v>43.5</v>
      </c>
    </row>
    <row r="129" spans="1:79" x14ac:dyDescent="0.2">
      <c r="A129" s="124">
        <v>43913</v>
      </c>
      <c r="B129">
        <v>37</v>
      </c>
      <c r="C129">
        <v>33.75</v>
      </c>
      <c r="D129">
        <v>31.125</v>
      </c>
      <c r="E129" s="17">
        <v>24.297000000000001</v>
      </c>
      <c r="F129">
        <v>29.25</v>
      </c>
      <c r="G129">
        <v>28.375</v>
      </c>
      <c r="H129">
        <v>28.875</v>
      </c>
      <c r="I129">
        <v>28.625</v>
      </c>
      <c r="J129">
        <v>28.375</v>
      </c>
      <c r="K129" s="17">
        <v>24.4255</v>
      </c>
      <c r="L129" s="7"/>
      <c r="N129" s="124">
        <v>43913</v>
      </c>
      <c r="O129" s="2">
        <v>77.441500000000005</v>
      </c>
      <c r="P129" s="2">
        <v>54.892000000000003</v>
      </c>
      <c r="Q129" s="2">
        <v>46.47</v>
      </c>
      <c r="R129" s="2">
        <v>50.744750000000003</v>
      </c>
      <c r="S129" s="2">
        <v>41.48</v>
      </c>
      <c r="T129" s="2">
        <v>41.305599999999998</v>
      </c>
      <c r="U129" s="2">
        <v>37.928400000000003</v>
      </c>
      <c r="V129" s="2">
        <v>35.025550000000003</v>
      </c>
      <c r="W129" s="2">
        <v>41.57</v>
      </c>
      <c r="X129" s="2">
        <v>41.8429</v>
      </c>
      <c r="Y129" s="7"/>
      <c r="Z129" s="7"/>
      <c r="AA129" s="128">
        <v>44228</v>
      </c>
      <c r="AB129" s="2">
        <v>16.497069</v>
      </c>
      <c r="AC129" s="2">
        <v>13.528613999999999</v>
      </c>
      <c r="AD129" s="2">
        <v>11.92876</v>
      </c>
      <c r="AE129" s="2">
        <v>11.988709</v>
      </c>
      <c r="AF129" s="2"/>
      <c r="AG129" s="2"/>
      <c r="AH129" s="7"/>
      <c r="AI129" s="128">
        <v>44228</v>
      </c>
      <c r="AJ129" s="2">
        <v>54.75</v>
      </c>
      <c r="AK129" s="2">
        <v>46.75</v>
      </c>
      <c r="AL129" s="2">
        <v>44.5</v>
      </c>
      <c r="AM129" s="2">
        <v>43.625</v>
      </c>
      <c r="AO129" s="124">
        <v>43913</v>
      </c>
      <c r="AP129">
        <v>37</v>
      </c>
      <c r="AQ129">
        <v>33.75</v>
      </c>
      <c r="AR129">
        <v>31.125</v>
      </c>
      <c r="AS129" s="17">
        <v>24.297000000000001</v>
      </c>
      <c r="AT129">
        <v>29.25</v>
      </c>
      <c r="AU129">
        <v>37.225000000000001</v>
      </c>
      <c r="AV129">
        <v>28.875</v>
      </c>
      <c r="AW129">
        <v>28.625</v>
      </c>
      <c r="AX129">
        <v>28.375</v>
      </c>
      <c r="AY129" s="17">
        <v>24.425999999999998</v>
      </c>
      <c r="AZ129" s="7"/>
      <c r="BB129" s="124">
        <v>43913</v>
      </c>
      <c r="BC129" s="2">
        <v>77.430000000000007</v>
      </c>
      <c r="BD129" s="2">
        <v>54.88</v>
      </c>
      <c r="BE129" s="2">
        <v>46.47</v>
      </c>
      <c r="BF129" s="2">
        <v>50.74</v>
      </c>
      <c r="BG129" s="2">
        <v>41.48</v>
      </c>
      <c r="BH129" s="2">
        <v>32.799999999999997</v>
      </c>
      <c r="BI129" s="2">
        <v>37.909999999999997</v>
      </c>
      <c r="BJ129" s="2">
        <v>35.01</v>
      </c>
      <c r="BK129" s="2">
        <v>41.57</v>
      </c>
      <c r="BL129" s="2">
        <v>41.84</v>
      </c>
      <c r="BM129" s="7"/>
      <c r="BN129" s="7"/>
      <c r="BO129" s="128">
        <v>44228</v>
      </c>
      <c r="BP129" s="2">
        <v>16.5</v>
      </c>
      <c r="BQ129" s="2">
        <v>13.53</v>
      </c>
      <c r="BR129" s="2">
        <v>11.93</v>
      </c>
      <c r="BS129" s="2">
        <v>12.35</v>
      </c>
      <c r="BT129" s="2"/>
      <c r="BU129" s="2"/>
      <c r="BV129" s="7"/>
      <c r="BW129" s="128">
        <v>44228</v>
      </c>
      <c r="BX129" s="2">
        <v>54.75</v>
      </c>
      <c r="BY129" s="2">
        <v>46.75</v>
      </c>
      <c r="BZ129" s="2">
        <v>44.5</v>
      </c>
      <c r="CA129" s="2">
        <v>43.625</v>
      </c>
    </row>
    <row r="130" spans="1:79" x14ac:dyDescent="0.2">
      <c r="A130" s="124">
        <v>43914</v>
      </c>
      <c r="B130">
        <v>25.5</v>
      </c>
      <c r="C130">
        <v>26.125</v>
      </c>
      <c r="D130">
        <v>23.625</v>
      </c>
      <c r="E130" s="17">
        <v>20.786999999999999</v>
      </c>
      <c r="F130">
        <v>22.375</v>
      </c>
      <c r="G130">
        <v>22.875</v>
      </c>
      <c r="H130">
        <v>22.5</v>
      </c>
      <c r="I130">
        <v>20.125</v>
      </c>
      <c r="J130">
        <v>23</v>
      </c>
      <c r="K130" s="17">
        <v>19.783000000000001</v>
      </c>
      <c r="L130" s="7"/>
      <c r="N130" s="124">
        <v>43914</v>
      </c>
      <c r="O130" s="2">
        <v>109.3545</v>
      </c>
      <c r="P130" s="2">
        <v>68.261799999999994</v>
      </c>
      <c r="Q130" s="2">
        <v>57.9</v>
      </c>
      <c r="R130" s="2">
        <v>57.075150000000001</v>
      </c>
      <c r="S130" s="2">
        <v>51.45</v>
      </c>
      <c r="T130" s="2">
        <v>49.198</v>
      </c>
      <c r="U130" s="2">
        <v>46.427549999999997</v>
      </c>
      <c r="V130" s="2">
        <v>46.31</v>
      </c>
      <c r="W130" s="2">
        <v>49.79</v>
      </c>
      <c r="X130" s="2">
        <v>50.328299999999999</v>
      </c>
      <c r="Y130" s="7"/>
      <c r="Z130" s="7"/>
      <c r="AA130" s="128">
        <v>44229</v>
      </c>
      <c r="AB130" s="2">
        <v>16.072832999999999</v>
      </c>
      <c r="AC130" s="2">
        <v>13.436518</v>
      </c>
      <c r="AD130" s="2">
        <v>11.490373999999999</v>
      </c>
      <c r="AE130" s="2">
        <v>11.778461999999999</v>
      </c>
      <c r="AF130" s="2"/>
      <c r="AG130" s="2"/>
      <c r="AH130" s="7"/>
      <c r="AI130" s="128">
        <v>44229</v>
      </c>
      <c r="AJ130" s="2">
        <v>56</v>
      </c>
      <c r="AK130" s="2">
        <v>47.125</v>
      </c>
      <c r="AL130" s="2">
        <v>46.625</v>
      </c>
      <c r="AM130" s="2">
        <v>44.25</v>
      </c>
      <c r="AO130" s="124">
        <v>43914</v>
      </c>
      <c r="AP130">
        <v>25.5</v>
      </c>
      <c r="AQ130">
        <v>26.125</v>
      </c>
      <c r="AR130">
        <v>23.625</v>
      </c>
      <c r="AS130" s="17">
        <v>20.786999999999999</v>
      </c>
      <c r="AT130">
        <v>22.375</v>
      </c>
      <c r="AU130">
        <v>22.875</v>
      </c>
      <c r="AV130">
        <v>22.5</v>
      </c>
      <c r="AW130">
        <v>20.125</v>
      </c>
      <c r="AX130">
        <v>23</v>
      </c>
      <c r="AY130" s="17">
        <v>19.783000000000001</v>
      </c>
      <c r="AZ130" s="7"/>
      <c r="BB130" s="124">
        <v>43914</v>
      </c>
      <c r="BC130" s="2">
        <v>109.33</v>
      </c>
      <c r="BD130" s="2">
        <v>68.23</v>
      </c>
      <c r="BE130" s="2">
        <v>57.9</v>
      </c>
      <c r="BF130" s="2">
        <v>57.08</v>
      </c>
      <c r="BG130" s="2">
        <v>51.45</v>
      </c>
      <c r="BH130" s="2">
        <v>49.16</v>
      </c>
      <c r="BI130" s="2">
        <v>46.39</v>
      </c>
      <c r="BJ130" s="2">
        <v>46.27</v>
      </c>
      <c r="BK130" s="2">
        <v>49.79</v>
      </c>
      <c r="BL130" s="2">
        <v>50.33</v>
      </c>
      <c r="BM130" s="7"/>
      <c r="BN130" s="7"/>
      <c r="BO130" s="128">
        <v>44229</v>
      </c>
      <c r="BP130" s="2">
        <v>16.07</v>
      </c>
      <c r="BQ130" s="2">
        <v>13.44</v>
      </c>
      <c r="BR130" s="2">
        <v>11.93</v>
      </c>
      <c r="BS130" s="2">
        <v>12.13</v>
      </c>
      <c r="BT130" s="2"/>
      <c r="BU130" s="2"/>
      <c r="BV130" s="7"/>
      <c r="BW130" s="128">
        <v>44229</v>
      </c>
      <c r="BX130" s="2">
        <v>56</v>
      </c>
      <c r="BY130" s="2">
        <v>47.125</v>
      </c>
      <c r="BZ130" s="2">
        <v>44.5</v>
      </c>
      <c r="CA130" s="2">
        <v>44.25</v>
      </c>
    </row>
    <row r="131" spans="1:79" x14ac:dyDescent="0.2">
      <c r="A131" s="124">
        <v>43915</v>
      </c>
      <c r="B131">
        <v>25.5</v>
      </c>
      <c r="C131">
        <v>25.125</v>
      </c>
      <c r="D131">
        <v>24</v>
      </c>
      <c r="E131" s="17">
        <v>20.5365</v>
      </c>
      <c r="F131">
        <v>22.5</v>
      </c>
      <c r="G131">
        <v>22.5</v>
      </c>
      <c r="H131">
        <v>22.125</v>
      </c>
      <c r="I131">
        <v>22.25</v>
      </c>
      <c r="J131">
        <v>22.75</v>
      </c>
      <c r="K131" s="17">
        <v>19.281500000000001</v>
      </c>
      <c r="L131" s="7"/>
      <c r="N131" s="124">
        <v>43915</v>
      </c>
      <c r="O131" s="2">
        <v>109.51649999999999</v>
      </c>
      <c r="P131" s="2">
        <v>70.453149999999994</v>
      </c>
      <c r="Q131" s="2">
        <v>57.24</v>
      </c>
      <c r="R131" s="2">
        <v>57.612400000000001</v>
      </c>
      <c r="S131" s="2">
        <v>51.24</v>
      </c>
      <c r="T131" s="2">
        <v>49.863500000000002</v>
      </c>
      <c r="U131" s="2">
        <v>47.066249999999997</v>
      </c>
      <c r="V131" s="2">
        <v>42.818350000000002</v>
      </c>
      <c r="W131" s="2">
        <v>50.26</v>
      </c>
      <c r="X131" s="2">
        <v>51.498550000000002</v>
      </c>
      <c r="Y131" s="7"/>
      <c r="Z131" s="7"/>
      <c r="AA131" s="128">
        <v>44230</v>
      </c>
      <c r="AB131" s="2">
        <v>15.170328</v>
      </c>
      <c r="AC131" s="2">
        <v>13.536659</v>
      </c>
      <c r="AD131" s="2">
        <v>11.934294</v>
      </c>
      <c r="AE131" s="2">
        <v>11.529408</v>
      </c>
      <c r="AF131" s="2"/>
      <c r="AG131" s="2"/>
      <c r="AH131" s="7"/>
      <c r="AI131" s="128">
        <v>44230</v>
      </c>
      <c r="AJ131" s="2">
        <v>58.75</v>
      </c>
      <c r="AK131" s="2">
        <v>46.75</v>
      </c>
      <c r="AL131" s="2">
        <v>44.5</v>
      </c>
      <c r="AM131" s="2">
        <v>45</v>
      </c>
      <c r="AO131" s="124">
        <v>43915</v>
      </c>
      <c r="AP131">
        <v>25.5</v>
      </c>
      <c r="AQ131">
        <v>25.125</v>
      </c>
      <c r="AR131">
        <v>24</v>
      </c>
      <c r="AS131" s="17">
        <v>20.536999999999999</v>
      </c>
      <c r="AT131">
        <v>22.5</v>
      </c>
      <c r="AU131">
        <v>22.5</v>
      </c>
      <c r="AV131">
        <v>22.125</v>
      </c>
      <c r="AW131">
        <v>22.25</v>
      </c>
      <c r="AX131">
        <v>22.75</v>
      </c>
      <c r="AY131" s="17">
        <v>19.280999999999999</v>
      </c>
      <c r="AZ131" s="7"/>
      <c r="BB131" s="124">
        <v>43915</v>
      </c>
      <c r="BC131" s="2">
        <v>109.49</v>
      </c>
      <c r="BD131" s="2">
        <v>70.42</v>
      </c>
      <c r="BE131" s="2">
        <v>57.24</v>
      </c>
      <c r="BF131" s="2">
        <v>57.61</v>
      </c>
      <c r="BG131" s="2">
        <v>51.24</v>
      </c>
      <c r="BH131" s="2">
        <v>49.82</v>
      </c>
      <c r="BI131" s="2">
        <v>47.03</v>
      </c>
      <c r="BJ131" s="2">
        <v>42.79</v>
      </c>
      <c r="BK131" s="2">
        <v>50.26</v>
      </c>
      <c r="BL131" s="2">
        <v>51.5</v>
      </c>
      <c r="BM131" s="7"/>
      <c r="BN131" s="7"/>
      <c r="BO131" s="128">
        <v>44230</v>
      </c>
      <c r="BP131" s="2">
        <v>15.17</v>
      </c>
      <c r="BQ131" s="2">
        <v>13.54</v>
      </c>
      <c r="BR131" s="2">
        <v>11.93</v>
      </c>
      <c r="BS131" s="2">
        <v>11.86</v>
      </c>
      <c r="BT131" s="2"/>
      <c r="BU131" s="2"/>
      <c r="BV131" s="7"/>
      <c r="BW131" s="128">
        <v>44230</v>
      </c>
      <c r="BX131" s="2">
        <v>58.75</v>
      </c>
      <c r="BY131" s="2">
        <v>46.75</v>
      </c>
      <c r="BZ131" s="2">
        <v>44.5</v>
      </c>
      <c r="CA131" s="2">
        <v>45</v>
      </c>
    </row>
    <row r="132" spans="1:79" x14ac:dyDescent="0.2">
      <c r="A132" s="124">
        <v>43916</v>
      </c>
      <c r="B132">
        <v>26.75</v>
      </c>
      <c r="C132">
        <v>23.75</v>
      </c>
      <c r="D132">
        <v>21.25</v>
      </c>
      <c r="E132" s="17">
        <v>20.5365</v>
      </c>
      <c r="F132">
        <v>20.875</v>
      </c>
      <c r="G132">
        <v>21.75</v>
      </c>
      <c r="H132">
        <v>20.75</v>
      </c>
      <c r="I132">
        <v>21.375</v>
      </c>
      <c r="J132">
        <v>21.75</v>
      </c>
      <c r="K132" s="17">
        <v>20.536000000000001</v>
      </c>
      <c r="L132" s="7"/>
      <c r="N132" s="124">
        <v>43916</v>
      </c>
      <c r="O132" s="2">
        <v>105.53100000000001</v>
      </c>
      <c r="P132" s="2">
        <v>73.757300000000001</v>
      </c>
      <c r="Q132" s="2">
        <v>62.76</v>
      </c>
      <c r="R132" s="2">
        <v>57.65605</v>
      </c>
      <c r="S132" s="2">
        <v>54.38</v>
      </c>
      <c r="T132" s="2">
        <v>51.264099999999999</v>
      </c>
      <c r="U132" s="2">
        <v>49.576599999999999</v>
      </c>
      <c r="V132" s="2">
        <v>44.201549999999997</v>
      </c>
      <c r="W132" s="2">
        <v>52.26</v>
      </c>
      <c r="X132" s="2">
        <v>48.693399999999997</v>
      </c>
      <c r="Y132" s="7"/>
      <c r="Z132" s="7"/>
      <c r="AA132" s="128">
        <v>44231</v>
      </c>
      <c r="AB132" s="2">
        <v>15.071832000000001</v>
      </c>
      <c r="AC132" s="2">
        <v>12.833931</v>
      </c>
      <c r="AD132" s="2">
        <v>11.326420000000001</v>
      </c>
      <c r="AE132" s="2">
        <v>11.585557</v>
      </c>
      <c r="AF132" s="2"/>
      <c r="AG132" s="2"/>
      <c r="AH132" s="7"/>
      <c r="AI132" s="128">
        <v>44231</v>
      </c>
      <c r="AJ132" s="2">
        <v>59.125</v>
      </c>
      <c r="AK132" s="2">
        <v>49.625</v>
      </c>
      <c r="AL132" s="2">
        <v>47.5</v>
      </c>
      <c r="AM132" s="2">
        <v>44.875</v>
      </c>
      <c r="AO132" s="124">
        <v>43916</v>
      </c>
      <c r="AP132">
        <v>26.75</v>
      </c>
      <c r="AQ132">
        <v>23.75</v>
      </c>
      <c r="AR132">
        <v>21.25</v>
      </c>
      <c r="AS132" s="17">
        <v>20.536999999999999</v>
      </c>
      <c r="AT132">
        <v>20.875</v>
      </c>
      <c r="AU132">
        <v>21.75</v>
      </c>
      <c r="AV132">
        <v>20.75</v>
      </c>
      <c r="AW132">
        <v>21.375</v>
      </c>
      <c r="AX132">
        <v>21.75</v>
      </c>
      <c r="AY132" s="17">
        <v>20.536000000000001</v>
      </c>
      <c r="AZ132" s="7"/>
      <c r="BB132" s="124">
        <v>43916</v>
      </c>
      <c r="BC132" s="2">
        <v>105.51</v>
      </c>
      <c r="BD132" s="2">
        <v>73.72</v>
      </c>
      <c r="BE132" s="2">
        <v>62.76</v>
      </c>
      <c r="BF132" s="2">
        <v>57.66</v>
      </c>
      <c r="BG132" s="2">
        <v>54.38</v>
      </c>
      <c r="BH132" s="2">
        <v>51.22</v>
      </c>
      <c r="BI132" s="2">
        <v>49.53</v>
      </c>
      <c r="BJ132" s="2">
        <v>44.16</v>
      </c>
      <c r="BK132" s="2">
        <v>52.26</v>
      </c>
      <c r="BL132" s="2">
        <v>48.69</v>
      </c>
      <c r="BM132" s="7"/>
      <c r="BN132" s="7"/>
      <c r="BO132" s="128">
        <v>44231</v>
      </c>
      <c r="BP132" s="2">
        <v>15.07</v>
      </c>
      <c r="BQ132" s="2">
        <v>12.83</v>
      </c>
      <c r="BR132" s="2">
        <v>11.33</v>
      </c>
      <c r="BS132" s="2">
        <v>11.92</v>
      </c>
      <c r="BT132" s="2"/>
      <c r="BU132" s="2"/>
      <c r="BV132" s="7"/>
      <c r="BW132" s="128">
        <v>44231</v>
      </c>
      <c r="BX132" s="2">
        <v>59.125</v>
      </c>
      <c r="BY132" s="2">
        <v>49.625</v>
      </c>
      <c r="BZ132" s="2">
        <v>47.5</v>
      </c>
      <c r="CA132" s="2">
        <v>44.875</v>
      </c>
    </row>
    <row r="133" spans="1:79" x14ac:dyDescent="0.2">
      <c r="A133" s="124">
        <v>43917</v>
      </c>
      <c r="B133">
        <v>26.625</v>
      </c>
      <c r="C133">
        <v>23.875</v>
      </c>
      <c r="D133">
        <v>21</v>
      </c>
      <c r="E133" s="17">
        <v>20.411000000000001</v>
      </c>
      <c r="F133">
        <v>17.25</v>
      </c>
      <c r="G133">
        <v>21.25</v>
      </c>
      <c r="H133">
        <v>20.25</v>
      </c>
      <c r="I133">
        <v>21.25</v>
      </c>
      <c r="J133">
        <v>21.875</v>
      </c>
      <c r="K133" s="17">
        <v>20.285</v>
      </c>
      <c r="L133" s="7"/>
      <c r="N133" s="124">
        <v>43917</v>
      </c>
      <c r="O133" s="2">
        <v>105.956</v>
      </c>
      <c r="P133" s="2">
        <v>73.402600000000007</v>
      </c>
      <c r="Q133" s="2">
        <v>63.25</v>
      </c>
      <c r="R133" s="2">
        <v>57.870600000000003</v>
      </c>
      <c r="S133" s="2">
        <v>63.18</v>
      </c>
      <c r="T133" s="2">
        <v>52.228149999999999</v>
      </c>
      <c r="U133" s="2">
        <v>50.504249999999999</v>
      </c>
      <c r="V133" s="2">
        <v>44.40475</v>
      </c>
      <c r="W133" s="2">
        <v>52</v>
      </c>
      <c r="X133" s="2">
        <v>49.167749999999998</v>
      </c>
      <c r="Y133" s="7"/>
      <c r="Z133" s="7"/>
      <c r="AA133" s="128">
        <v>44232</v>
      </c>
      <c r="AB133" s="2">
        <v>14.646072</v>
      </c>
      <c r="AC133" s="2">
        <v>12.600804</v>
      </c>
      <c r="AD133" s="2">
        <v>11.158465</v>
      </c>
      <c r="AE133" s="2">
        <v>11.339893999999999</v>
      </c>
      <c r="AF133" s="2"/>
      <c r="AG133" s="2"/>
      <c r="AH133" s="7"/>
      <c r="AI133" s="128">
        <v>44232</v>
      </c>
      <c r="AJ133" s="2">
        <v>60.5</v>
      </c>
      <c r="AK133" s="2">
        <v>50.625</v>
      </c>
      <c r="AL133" s="2">
        <v>48.375</v>
      </c>
      <c r="AM133" s="2">
        <v>45.625</v>
      </c>
      <c r="AO133" s="124">
        <v>43917</v>
      </c>
      <c r="AP133">
        <v>26.625</v>
      </c>
      <c r="AQ133">
        <v>23.875</v>
      </c>
      <c r="AR133">
        <v>21</v>
      </c>
      <c r="AS133" s="17">
        <v>20.411000000000001</v>
      </c>
      <c r="AT133">
        <v>17.25</v>
      </c>
      <c r="AU133">
        <v>21.25</v>
      </c>
      <c r="AV133">
        <v>20.25</v>
      </c>
      <c r="AW133">
        <v>21.25</v>
      </c>
      <c r="AX133">
        <v>21.875</v>
      </c>
      <c r="AY133" s="17">
        <v>20.285</v>
      </c>
      <c r="AZ133" s="7"/>
      <c r="BB133" s="124">
        <v>43917</v>
      </c>
      <c r="BC133" s="2">
        <v>105.93</v>
      </c>
      <c r="BD133" s="2">
        <v>73.36</v>
      </c>
      <c r="BE133" s="2">
        <v>63.3</v>
      </c>
      <c r="BF133" s="2">
        <v>57.87</v>
      </c>
      <c r="BG133" s="2">
        <v>63.18</v>
      </c>
      <c r="BH133" s="2">
        <v>52.18</v>
      </c>
      <c r="BI133" s="2">
        <v>50.5</v>
      </c>
      <c r="BJ133" s="2">
        <v>44.37</v>
      </c>
      <c r="BK133" s="2">
        <v>52</v>
      </c>
      <c r="BL133" s="2">
        <v>49.17</v>
      </c>
      <c r="BM133" s="7"/>
      <c r="BN133" s="7"/>
      <c r="BO133" s="128">
        <v>44232</v>
      </c>
      <c r="BP133" s="2">
        <v>14.65</v>
      </c>
      <c r="BQ133" s="2">
        <v>12.6</v>
      </c>
      <c r="BR133" s="2">
        <v>11.16</v>
      </c>
      <c r="BS133" s="2">
        <v>11.66</v>
      </c>
      <c r="BT133" s="2"/>
      <c r="BU133" s="2"/>
      <c r="BV133" s="7"/>
      <c r="BW133" s="128">
        <v>44232</v>
      </c>
      <c r="BX133" s="2">
        <v>60.5</v>
      </c>
      <c r="BY133" s="2">
        <v>50.625</v>
      </c>
      <c r="BZ133" s="2">
        <v>48.375</v>
      </c>
      <c r="CA133" s="2">
        <v>45.625</v>
      </c>
    </row>
    <row r="134" spans="1:79" x14ac:dyDescent="0.2">
      <c r="A134" s="124">
        <v>43920</v>
      </c>
      <c r="B134">
        <v>26.75</v>
      </c>
      <c r="C134">
        <v>23.875</v>
      </c>
      <c r="D134">
        <v>21</v>
      </c>
      <c r="E134" s="17">
        <v>21.288499999999999</v>
      </c>
      <c r="F134">
        <v>17.375</v>
      </c>
      <c r="G134">
        <v>21</v>
      </c>
      <c r="H134">
        <v>20.375</v>
      </c>
      <c r="I134">
        <v>21.375</v>
      </c>
      <c r="J134">
        <v>22.125</v>
      </c>
      <c r="K134" s="17">
        <v>21.916</v>
      </c>
      <c r="L134" s="7"/>
      <c r="N134" s="124">
        <v>43920</v>
      </c>
      <c r="O134" s="2">
        <v>105.64400000000001</v>
      </c>
      <c r="P134" s="2">
        <v>73.512649999999994</v>
      </c>
      <c r="Q134" s="2">
        <v>63.33</v>
      </c>
      <c r="R134" s="2">
        <v>56.161850000000001</v>
      </c>
      <c r="S134" s="2">
        <v>62.83</v>
      </c>
      <c r="T134" s="2">
        <v>52.734749999999998</v>
      </c>
      <c r="U134" s="2">
        <v>50.31615</v>
      </c>
      <c r="V134" s="2">
        <v>44.207099999999997</v>
      </c>
      <c r="W134" s="2">
        <v>51.49</v>
      </c>
      <c r="X134" s="2">
        <v>45.990499999999997</v>
      </c>
      <c r="Y134" s="7"/>
      <c r="Z134" s="7"/>
      <c r="AA134" s="128">
        <v>44235</v>
      </c>
      <c r="AB134" s="2">
        <v>15.206529</v>
      </c>
      <c r="AC134" s="2">
        <v>12.517102</v>
      </c>
      <c r="AD134" s="2">
        <v>11.556877</v>
      </c>
      <c r="AE134" s="2">
        <v>11.807359</v>
      </c>
      <c r="AF134" s="2"/>
      <c r="AG134" s="2"/>
      <c r="AH134" s="7"/>
      <c r="AI134" s="128">
        <v>44235</v>
      </c>
      <c r="AJ134" s="2">
        <v>58.75</v>
      </c>
      <c r="AK134" s="2">
        <v>51</v>
      </c>
      <c r="AL134" s="2">
        <v>46.375</v>
      </c>
      <c r="AM134" s="2">
        <v>44.25</v>
      </c>
      <c r="AO134" s="124">
        <v>43920</v>
      </c>
      <c r="AP134">
        <v>26.75</v>
      </c>
      <c r="AQ134">
        <v>23.875</v>
      </c>
      <c r="AR134">
        <v>21</v>
      </c>
      <c r="AS134" s="17">
        <v>21.288</v>
      </c>
      <c r="AT134">
        <v>17.375</v>
      </c>
      <c r="AU134">
        <v>21</v>
      </c>
      <c r="AV134">
        <v>20.375</v>
      </c>
      <c r="AW134">
        <v>21.375</v>
      </c>
      <c r="AX134">
        <v>22.125</v>
      </c>
      <c r="AY134" s="17">
        <v>21.916</v>
      </c>
      <c r="AZ134" s="7"/>
      <c r="BB134" s="124">
        <v>43920</v>
      </c>
      <c r="BC134" s="2">
        <v>105.62</v>
      </c>
      <c r="BD134" s="2">
        <v>73.47</v>
      </c>
      <c r="BE134" s="2">
        <v>63.33</v>
      </c>
      <c r="BF134" s="2">
        <v>56.16</v>
      </c>
      <c r="BG134" s="2">
        <v>62.83</v>
      </c>
      <c r="BH134" s="2">
        <v>52.69</v>
      </c>
      <c r="BI134" s="2">
        <v>50.27</v>
      </c>
      <c r="BJ134" s="2">
        <v>44.17</v>
      </c>
      <c r="BK134" s="2">
        <v>51.49</v>
      </c>
      <c r="BL134" s="2">
        <v>45.99</v>
      </c>
      <c r="BM134" s="7"/>
      <c r="BN134" s="7"/>
      <c r="BO134" s="128">
        <v>44235</v>
      </c>
      <c r="BP134" s="2">
        <v>15.21</v>
      </c>
      <c r="BQ134" s="2">
        <v>12.52</v>
      </c>
      <c r="BR134" s="2">
        <v>11.56</v>
      </c>
      <c r="BS134" s="2">
        <v>12.16</v>
      </c>
      <c r="BT134" s="2"/>
      <c r="BU134" s="2"/>
      <c r="BV134" s="7"/>
      <c r="BW134" s="128">
        <v>44235</v>
      </c>
      <c r="BX134" s="2">
        <v>58.75</v>
      </c>
      <c r="BY134" s="2">
        <v>51</v>
      </c>
      <c r="BZ134" s="2">
        <v>46.375</v>
      </c>
      <c r="CA134" s="2">
        <v>44.25</v>
      </c>
    </row>
    <row r="135" spans="1:79" x14ac:dyDescent="0.2">
      <c r="A135" s="124">
        <v>43921</v>
      </c>
      <c r="B135">
        <v>30.875</v>
      </c>
      <c r="C135">
        <v>28.625</v>
      </c>
      <c r="D135">
        <v>24.875</v>
      </c>
      <c r="E135" s="17">
        <v>27.5565</v>
      </c>
      <c r="F135">
        <v>26.5</v>
      </c>
      <c r="G135">
        <v>25.875</v>
      </c>
      <c r="H135">
        <v>23.75</v>
      </c>
      <c r="I135">
        <v>24.75</v>
      </c>
      <c r="J135">
        <v>28.875</v>
      </c>
      <c r="K135" s="17">
        <v>28.568000000000001</v>
      </c>
      <c r="L135" s="7"/>
      <c r="N135" s="124">
        <v>43921</v>
      </c>
      <c r="O135" s="2">
        <v>93.090249999999997</v>
      </c>
      <c r="P135" s="2">
        <v>63.629100000000001</v>
      </c>
      <c r="Q135" s="2">
        <v>55.83</v>
      </c>
      <c r="R135" s="2">
        <v>46.092849999999999</v>
      </c>
      <c r="S135" s="2">
        <v>45.01</v>
      </c>
      <c r="T135" s="2">
        <v>44.591099999999997</v>
      </c>
      <c r="U135" s="2">
        <v>44.512799999999999</v>
      </c>
      <c r="V135" s="2">
        <v>39.398800000000001</v>
      </c>
      <c r="W135" s="2">
        <v>40.97</v>
      </c>
      <c r="X135" s="2">
        <v>36.554749999999999</v>
      </c>
      <c r="Y135" s="7"/>
      <c r="Z135" s="7"/>
      <c r="AA135" s="128">
        <v>44236</v>
      </c>
      <c r="AB135" s="2">
        <v>15.580823000000001</v>
      </c>
      <c r="AC135" s="2">
        <v>13.119081</v>
      </c>
      <c r="AD135" s="2">
        <v>11.636194</v>
      </c>
      <c r="AE135" s="2">
        <v>12.071557</v>
      </c>
      <c r="AF135" s="2"/>
      <c r="AG135" s="2"/>
      <c r="AH135" s="7"/>
      <c r="AI135" s="128">
        <v>44236</v>
      </c>
      <c r="AJ135" s="2">
        <v>57.625</v>
      </c>
      <c r="AK135" s="2">
        <v>48.5</v>
      </c>
      <c r="AL135" s="2">
        <v>46</v>
      </c>
      <c r="AM135" s="2">
        <v>43.5</v>
      </c>
      <c r="AO135" s="124">
        <v>43921</v>
      </c>
      <c r="AP135">
        <v>31.125</v>
      </c>
      <c r="AQ135">
        <v>28.625</v>
      </c>
      <c r="AR135">
        <v>24.875</v>
      </c>
      <c r="AS135" s="17">
        <v>27.556000000000001</v>
      </c>
      <c r="AT135">
        <v>26.5</v>
      </c>
      <c r="AU135">
        <v>25.875</v>
      </c>
      <c r="AV135">
        <v>23.75</v>
      </c>
      <c r="AW135">
        <v>24.75</v>
      </c>
      <c r="AX135">
        <v>28.875</v>
      </c>
      <c r="AY135" s="17">
        <v>28.568000000000001</v>
      </c>
      <c r="AZ135" s="7"/>
      <c r="BB135" s="124">
        <v>43921</v>
      </c>
      <c r="BC135" s="2">
        <v>92.38</v>
      </c>
      <c r="BD135" s="2">
        <v>63.6</v>
      </c>
      <c r="BE135" s="2">
        <v>55.83</v>
      </c>
      <c r="BF135" s="2">
        <v>46.09</v>
      </c>
      <c r="BG135" s="2">
        <v>45.01</v>
      </c>
      <c r="BH135" s="2">
        <v>44.57</v>
      </c>
      <c r="BI135" s="2">
        <v>44.48</v>
      </c>
      <c r="BJ135" s="2">
        <v>39.380000000000003</v>
      </c>
      <c r="BK135" s="2">
        <v>40.97</v>
      </c>
      <c r="BL135" s="2">
        <v>36.549999999999997</v>
      </c>
      <c r="BM135" s="7"/>
      <c r="BN135" s="7"/>
      <c r="BO135" s="128">
        <v>44236</v>
      </c>
      <c r="BP135" s="2">
        <v>15.58</v>
      </c>
      <c r="BQ135" s="2">
        <v>13.12</v>
      </c>
      <c r="BR135" s="2">
        <v>11.53</v>
      </c>
      <c r="BS135" s="2">
        <v>12.44</v>
      </c>
      <c r="BT135" s="2"/>
      <c r="BU135" s="2"/>
      <c r="BV135" s="7"/>
      <c r="BW135" s="128">
        <v>44236</v>
      </c>
      <c r="BX135" s="2">
        <v>57.625</v>
      </c>
      <c r="BY135" s="2">
        <v>48.5</v>
      </c>
      <c r="BZ135" s="2">
        <v>46.5</v>
      </c>
      <c r="CA135" s="2">
        <v>43.5</v>
      </c>
    </row>
    <row r="136" spans="1:79" x14ac:dyDescent="0.2">
      <c r="A136" s="124">
        <v>43922</v>
      </c>
      <c r="B136">
        <v>30.75</v>
      </c>
      <c r="C136">
        <v>29</v>
      </c>
      <c r="D136">
        <v>24.375</v>
      </c>
      <c r="E136" s="17">
        <v>26.428000000000001</v>
      </c>
      <c r="F136">
        <v>23.875</v>
      </c>
      <c r="G136">
        <v>26.75</v>
      </c>
      <c r="H136">
        <v>26.25</v>
      </c>
      <c r="I136">
        <v>27.375</v>
      </c>
      <c r="J136">
        <v>27.5</v>
      </c>
      <c r="K136" s="17">
        <v>27.3125</v>
      </c>
      <c r="L136" s="7"/>
      <c r="N136" s="124">
        <v>43922</v>
      </c>
      <c r="O136" s="2">
        <v>93.539450000000002</v>
      </c>
      <c r="P136" s="2">
        <v>62.985349999999997</v>
      </c>
      <c r="Q136" s="2">
        <v>56.73</v>
      </c>
      <c r="R136" s="2">
        <v>47.659599999999998</v>
      </c>
      <c r="S136" s="2">
        <v>48.94</v>
      </c>
      <c r="T136" s="2">
        <v>43.409550000000003</v>
      </c>
      <c r="U136" s="2">
        <v>41.066600000000001</v>
      </c>
      <c r="V136" s="2">
        <v>36.356400000000001</v>
      </c>
      <c r="W136" s="2">
        <v>42.72</v>
      </c>
      <c r="X136" s="2">
        <v>38.001049999999999</v>
      </c>
      <c r="Y136" s="7"/>
      <c r="Z136" s="7"/>
      <c r="AA136" s="128">
        <v>44237</v>
      </c>
      <c r="AB136" s="2">
        <v>16.049530000000001</v>
      </c>
      <c r="AC136" s="2">
        <v>13.468513</v>
      </c>
      <c r="AD136" s="2">
        <v>11.900312</v>
      </c>
      <c r="AE136" s="2">
        <v>12.520239999999999</v>
      </c>
      <c r="AF136" s="2"/>
      <c r="AG136" s="2"/>
      <c r="AH136" s="7"/>
      <c r="AI136" s="128">
        <v>44237</v>
      </c>
      <c r="AJ136" s="2">
        <v>56.25</v>
      </c>
      <c r="AK136" s="2">
        <v>47.125</v>
      </c>
      <c r="AL136" s="2">
        <v>44.75</v>
      </c>
      <c r="AM136" s="2">
        <v>42.25</v>
      </c>
      <c r="AO136" s="124">
        <v>43922</v>
      </c>
      <c r="AP136">
        <v>31.5</v>
      </c>
      <c r="AQ136">
        <v>29</v>
      </c>
      <c r="AR136">
        <v>24.375</v>
      </c>
      <c r="AS136" s="17">
        <v>26.428000000000001</v>
      </c>
      <c r="AT136">
        <v>23.875</v>
      </c>
      <c r="AU136">
        <v>26.75</v>
      </c>
      <c r="AV136">
        <v>26.25</v>
      </c>
      <c r="AW136">
        <v>27.375</v>
      </c>
      <c r="AX136">
        <v>27.5</v>
      </c>
      <c r="AY136" s="17">
        <v>27.312999999999999</v>
      </c>
      <c r="AZ136" s="7"/>
      <c r="BB136" s="124">
        <v>43922</v>
      </c>
      <c r="BC136" s="2">
        <v>91.46</v>
      </c>
      <c r="BD136" s="2">
        <v>62.96</v>
      </c>
      <c r="BE136" s="2">
        <v>56.73</v>
      </c>
      <c r="BF136" s="2">
        <v>47.66</v>
      </c>
      <c r="BG136" s="2">
        <v>48.94</v>
      </c>
      <c r="BH136" s="2">
        <v>43.39</v>
      </c>
      <c r="BI136" s="2">
        <v>41.04</v>
      </c>
      <c r="BJ136" s="2">
        <v>36.340000000000003</v>
      </c>
      <c r="BK136" s="2">
        <v>42.72</v>
      </c>
      <c r="BL136" s="2">
        <v>38</v>
      </c>
      <c r="BM136" s="7"/>
      <c r="BN136" s="7"/>
      <c r="BO136" s="128">
        <v>44237</v>
      </c>
      <c r="BP136" s="2">
        <v>16.05</v>
      </c>
      <c r="BQ136" s="2">
        <v>13.47</v>
      </c>
      <c r="BR136" s="2">
        <v>12.12</v>
      </c>
      <c r="BS136" s="2">
        <v>12.91</v>
      </c>
      <c r="BT136" s="2"/>
      <c r="BU136" s="2"/>
      <c r="BV136" s="7"/>
      <c r="BW136" s="128">
        <v>44237</v>
      </c>
      <c r="BX136" s="2">
        <v>56.25</v>
      </c>
      <c r="BY136" s="2">
        <v>47.125</v>
      </c>
      <c r="BZ136" s="2">
        <v>43.75</v>
      </c>
      <c r="CA136" s="2">
        <v>42.25</v>
      </c>
    </row>
    <row r="137" spans="1:79" x14ac:dyDescent="0.2">
      <c r="A137" s="124">
        <v>43923</v>
      </c>
      <c r="B137">
        <v>30.75</v>
      </c>
      <c r="C137">
        <v>29.5</v>
      </c>
      <c r="D137">
        <v>28.625</v>
      </c>
      <c r="E137" s="17">
        <v>27.6815</v>
      </c>
      <c r="F137">
        <v>27.625</v>
      </c>
      <c r="G137">
        <v>27.625</v>
      </c>
      <c r="H137">
        <v>27</v>
      </c>
      <c r="I137">
        <v>27.625</v>
      </c>
      <c r="J137">
        <v>28.875</v>
      </c>
      <c r="K137" s="17">
        <v>28.568000000000001</v>
      </c>
      <c r="L137" s="7"/>
      <c r="N137" s="124">
        <v>43923</v>
      </c>
      <c r="O137" s="2">
        <v>93.539450000000002</v>
      </c>
      <c r="P137" s="2">
        <v>62.216799999999999</v>
      </c>
      <c r="Q137" s="2">
        <v>50.06</v>
      </c>
      <c r="R137" s="2">
        <v>45.980150000000002</v>
      </c>
      <c r="S137" s="2">
        <v>43.56</v>
      </c>
      <c r="T137" s="2">
        <v>42.306600000000003</v>
      </c>
      <c r="U137" s="2">
        <v>40.161200000000001</v>
      </c>
      <c r="V137" s="2">
        <v>36.106699999999996</v>
      </c>
      <c r="W137" s="2">
        <v>40.98</v>
      </c>
      <c r="X137" s="2">
        <v>36.556699999999999</v>
      </c>
      <c r="Y137" s="7"/>
      <c r="Z137" s="7"/>
      <c r="AA137" s="128">
        <v>44238</v>
      </c>
      <c r="AB137" s="2">
        <v>16.080575</v>
      </c>
      <c r="AC137" s="2">
        <v>13.015675</v>
      </c>
      <c r="AD137" s="2">
        <v>11.782297</v>
      </c>
      <c r="AE137" s="2">
        <v>11.750845999999999</v>
      </c>
      <c r="AF137" s="2"/>
      <c r="AG137" s="2"/>
      <c r="AH137" s="7"/>
      <c r="AI137" s="128">
        <v>44238</v>
      </c>
      <c r="AJ137" s="2">
        <v>56.25</v>
      </c>
      <c r="AK137" s="2">
        <v>49</v>
      </c>
      <c r="AL137" s="2">
        <v>45.360999999999997</v>
      </c>
      <c r="AM137" s="2">
        <v>44.5</v>
      </c>
      <c r="AO137" s="124">
        <v>43923</v>
      </c>
      <c r="AP137">
        <v>32.375</v>
      </c>
      <c r="AQ137">
        <v>29.5</v>
      </c>
      <c r="AR137">
        <v>28.625</v>
      </c>
      <c r="AS137" s="17">
        <v>27.681000000000001</v>
      </c>
      <c r="AT137">
        <v>27.625</v>
      </c>
      <c r="AU137">
        <v>27.625</v>
      </c>
      <c r="AV137">
        <v>27</v>
      </c>
      <c r="AW137">
        <v>27.625</v>
      </c>
      <c r="AX137">
        <v>28.875</v>
      </c>
      <c r="AY137" s="17">
        <v>28.568000000000001</v>
      </c>
      <c r="AZ137" s="7"/>
      <c r="BB137" s="124">
        <v>43923</v>
      </c>
      <c r="BC137" s="2">
        <v>89.42</v>
      </c>
      <c r="BD137" s="2">
        <v>62.19</v>
      </c>
      <c r="BE137" s="2">
        <v>50.06</v>
      </c>
      <c r="BF137" s="2">
        <v>45.98</v>
      </c>
      <c r="BG137" s="2">
        <v>43.56</v>
      </c>
      <c r="BH137" s="2">
        <v>42.29</v>
      </c>
      <c r="BI137" s="2">
        <v>40.14</v>
      </c>
      <c r="BJ137" s="2">
        <v>36.090000000000003</v>
      </c>
      <c r="BK137" s="2">
        <v>40.98</v>
      </c>
      <c r="BL137" s="2">
        <v>36.56</v>
      </c>
      <c r="BM137" s="7"/>
      <c r="BN137" s="7"/>
      <c r="BO137" s="128">
        <v>44238</v>
      </c>
      <c r="BP137" s="2">
        <v>15.01</v>
      </c>
      <c r="BQ137" s="2">
        <v>13.02</v>
      </c>
      <c r="BR137" s="2">
        <v>11.55</v>
      </c>
      <c r="BS137" s="2">
        <v>12.1</v>
      </c>
      <c r="BT137" s="2"/>
      <c r="BU137" s="2"/>
      <c r="BV137" s="7"/>
      <c r="BW137" s="128">
        <v>44238</v>
      </c>
      <c r="BX137" s="2">
        <v>59.5</v>
      </c>
      <c r="BY137" s="2">
        <v>49</v>
      </c>
      <c r="BZ137" s="2">
        <v>46.5</v>
      </c>
      <c r="CA137" s="2">
        <v>44.5</v>
      </c>
    </row>
    <row r="138" spans="1:79" x14ac:dyDescent="0.2">
      <c r="A138" s="124">
        <v>43924</v>
      </c>
      <c r="B138">
        <v>30.75</v>
      </c>
      <c r="C138">
        <v>30.875</v>
      </c>
      <c r="D138">
        <v>31</v>
      </c>
      <c r="E138" s="17">
        <v>29.186</v>
      </c>
      <c r="F138">
        <v>27.75</v>
      </c>
      <c r="G138">
        <v>29.25</v>
      </c>
      <c r="H138">
        <v>27.625</v>
      </c>
      <c r="I138">
        <v>29.25</v>
      </c>
      <c r="J138">
        <v>30.5</v>
      </c>
      <c r="K138" s="17">
        <v>30.325500000000002</v>
      </c>
      <c r="L138" s="7"/>
      <c r="N138" s="124">
        <v>43924</v>
      </c>
      <c r="O138" s="2">
        <v>93.539450000000002</v>
      </c>
      <c r="P138" s="2">
        <v>59.882300000000001</v>
      </c>
      <c r="Q138" s="2">
        <v>46.88</v>
      </c>
      <c r="R138" s="2">
        <v>44.069499999999998</v>
      </c>
      <c r="S138" s="2">
        <v>43.41</v>
      </c>
      <c r="T138" s="2">
        <v>40.370800000000003</v>
      </c>
      <c r="U138" s="2">
        <v>39.425899999999999</v>
      </c>
      <c r="V138" s="2">
        <v>34.474499999999999</v>
      </c>
      <c r="W138" s="2">
        <v>39.1</v>
      </c>
      <c r="X138" s="2">
        <v>34.719749999999998</v>
      </c>
      <c r="Y138" s="7"/>
      <c r="Z138" s="7"/>
      <c r="AA138" s="128">
        <v>44239</v>
      </c>
      <c r="AB138" s="2">
        <v>15.016889000000001</v>
      </c>
      <c r="AC138" s="2">
        <v>13.266902</v>
      </c>
      <c r="AD138" s="2">
        <v>12.196723</v>
      </c>
      <c r="AE138" s="2">
        <v>12.101300999999999</v>
      </c>
      <c r="AF138" s="2"/>
      <c r="AG138" s="2"/>
      <c r="AH138" s="7"/>
      <c r="AI138" s="128">
        <v>44239</v>
      </c>
      <c r="AJ138" s="2">
        <v>59.5</v>
      </c>
      <c r="AK138" s="2">
        <v>48</v>
      </c>
      <c r="AL138" s="2">
        <v>43.448999999999998</v>
      </c>
      <c r="AM138" s="2">
        <v>43.5</v>
      </c>
      <c r="AO138" s="124">
        <v>43924</v>
      </c>
      <c r="AP138">
        <v>34.5</v>
      </c>
      <c r="AQ138">
        <v>30.875</v>
      </c>
      <c r="AR138">
        <v>31</v>
      </c>
      <c r="AS138" s="17">
        <v>29.186</v>
      </c>
      <c r="AT138">
        <v>27.75</v>
      </c>
      <c r="AU138">
        <v>29.25</v>
      </c>
      <c r="AV138">
        <v>27.625</v>
      </c>
      <c r="AW138">
        <v>29.25</v>
      </c>
      <c r="AX138">
        <v>30.5</v>
      </c>
      <c r="AY138" s="17">
        <v>30.326000000000001</v>
      </c>
      <c r="AZ138" s="7"/>
      <c r="BB138" s="124">
        <v>43924</v>
      </c>
      <c r="BC138" s="2">
        <v>84.2</v>
      </c>
      <c r="BD138" s="2">
        <v>59.86</v>
      </c>
      <c r="BE138" s="2">
        <v>46.88</v>
      </c>
      <c r="BF138" s="2">
        <v>44.07</v>
      </c>
      <c r="BG138" s="2">
        <v>43.41</v>
      </c>
      <c r="BH138" s="2">
        <v>40.35</v>
      </c>
      <c r="BI138" s="2">
        <v>39.409999999999997</v>
      </c>
      <c r="BJ138" s="2">
        <v>34.46</v>
      </c>
      <c r="BK138" s="2">
        <v>39.1</v>
      </c>
      <c r="BL138" s="2">
        <v>34.72</v>
      </c>
      <c r="BM138" s="7"/>
      <c r="BN138" s="7"/>
      <c r="BO138" s="128">
        <v>44239</v>
      </c>
      <c r="BP138" s="2">
        <v>15.34</v>
      </c>
      <c r="BQ138" s="2">
        <v>13.27</v>
      </c>
      <c r="BR138" s="2">
        <v>11.91</v>
      </c>
      <c r="BS138" s="2">
        <v>12.47</v>
      </c>
      <c r="BT138" s="2"/>
      <c r="BU138" s="2"/>
      <c r="BV138" s="7"/>
      <c r="BW138" s="128">
        <v>44239</v>
      </c>
      <c r="BX138" s="2">
        <v>58.5</v>
      </c>
      <c r="BY138" s="2">
        <v>48</v>
      </c>
      <c r="BZ138" s="2">
        <v>44.75</v>
      </c>
      <c r="CA138" s="2">
        <v>43.5</v>
      </c>
    </row>
    <row r="139" spans="1:79" x14ac:dyDescent="0.2">
      <c r="A139" s="124">
        <v>43927</v>
      </c>
      <c r="B139">
        <v>30.75</v>
      </c>
      <c r="C139">
        <v>32.625</v>
      </c>
      <c r="D139">
        <v>28.625</v>
      </c>
      <c r="E139" s="17">
        <v>29.6875</v>
      </c>
      <c r="F139">
        <v>27.375</v>
      </c>
      <c r="G139">
        <v>28.375</v>
      </c>
      <c r="H139">
        <v>28.5</v>
      </c>
      <c r="I139">
        <v>30</v>
      </c>
      <c r="J139">
        <v>30.625</v>
      </c>
      <c r="K139" s="17">
        <v>30.326000000000001</v>
      </c>
      <c r="L139" s="7"/>
      <c r="N139" s="124">
        <v>43927</v>
      </c>
      <c r="O139" s="2">
        <v>93.539450000000002</v>
      </c>
      <c r="P139" s="2">
        <v>57.093200000000003</v>
      </c>
      <c r="Q139" s="2">
        <v>50.1</v>
      </c>
      <c r="R139" s="2">
        <v>43.472149999999999</v>
      </c>
      <c r="S139" s="2">
        <v>43.9</v>
      </c>
      <c r="T139" s="2">
        <v>41.402299999999997</v>
      </c>
      <c r="U139" s="2">
        <v>38.43835</v>
      </c>
      <c r="V139" s="2">
        <v>33.771599999999999</v>
      </c>
      <c r="W139" s="2">
        <v>38.96</v>
      </c>
      <c r="X139" s="2">
        <v>34.720050000000001</v>
      </c>
      <c r="Y139" s="7"/>
      <c r="Z139" s="7"/>
      <c r="AA139" s="128">
        <v>44242</v>
      </c>
      <c r="AB139" s="2">
        <v>14.897983</v>
      </c>
      <c r="AC139" s="2">
        <v>13.361302999999999</v>
      </c>
      <c r="AD139" s="2">
        <v>12.196723</v>
      </c>
      <c r="AE139" s="2">
        <v>12.189094000000001</v>
      </c>
      <c r="AF139" s="2"/>
      <c r="AG139" s="2"/>
      <c r="AH139" s="7"/>
      <c r="AI139" s="128">
        <v>44242</v>
      </c>
      <c r="AJ139" s="2">
        <v>59.875</v>
      </c>
      <c r="AK139" s="2">
        <v>47.625</v>
      </c>
      <c r="AL139" s="2">
        <v>43.448999999999998</v>
      </c>
      <c r="AM139" s="2">
        <v>43.25</v>
      </c>
      <c r="AO139" s="124">
        <v>43927</v>
      </c>
      <c r="AP139">
        <v>34.5</v>
      </c>
      <c r="AQ139">
        <v>32.625</v>
      </c>
      <c r="AR139">
        <v>28.625</v>
      </c>
      <c r="AS139" s="17">
        <v>29.687999999999999</v>
      </c>
      <c r="AT139">
        <v>27.375</v>
      </c>
      <c r="AU139">
        <v>28.375</v>
      </c>
      <c r="AV139">
        <v>28.5</v>
      </c>
      <c r="AW139">
        <v>30</v>
      </c>
      <c r="AX139">
        <v>30.625</v>
      </c>
      <c r="AY139" s="17">
        <v>30.326000000000001</v>
      </c>
      <c r="AZ139" s="7"/>
      <c r="BB139" s="124">
        <v>43927</v>
      </c>
      <c r="BC139" s="2">
        <v>84.29</v>
      </c>
      <c r="BD139" s="2">
        <v>57.08</v>
      </c>
      <c r="BE139" s="2">
        <v>50.1</v>
      </c>
      <c r="BF139" s="2">
        <v>43.47</v>
      </c>
      <c r="BG139" s="2">
        <v>43.9</v>
      </c>
      <c r="BH139" s="2">
        <v>41.38</v>
      </c>
      <c r="BI139" s="2">
        <v>38.42</v>
      </c>
      <c r="BJ139" s="2">
        <v>33.76</v>
      </c>
      <c r="BK139" s="2">
        <v>38.96</v>
      </c>
      <c r="BL139" s="2">
        <v>34.72</v>
      </c>
      <c r="BM139" s="7"/>
      <c r="BN139" s="7"/>
      <c r="BO139" s="128">
        <v>44242</v>
      </c>
      <c r="BP139" s="2">
        <v>14.9</v>
      </c>
      <c r="BQ139" s="2">
        <v>13.36</v>
      </c>
      <c r="BR139" s="2">
        <v>11.91</v>
      </c>
      <c r="BS139" s="2">
        <v>12.56</v>
      </c>
      <c r="BT139" s="2"/>
      <c r="BU139" s="2"/>
      <c r="BV139" s="7"/>
      <c r="BW139" s="128">
        <v>44242</v>
      </c>
      <c r="BX139" s="2">
        <v>59.875</v>
      </c>
      <c r="BY139" s="2">
        <v>47.625</v>
      </c>
      <c r="BZ139" s="2">
        <v>44.75</v>
      </c>
      <c r="CA139" s="2">
        <v>43.25</v>
      </c>
    </row>
    <row r="140" spans="1:79" x14ac:dyDescent="0.2">
      <c r="A140" s="124">
        <v>43928</v>
      </c>
      <c r="B140">
        <v>35.5</v>
      </c>
      <c r="C140">
        <v>32.5</v>
      </c>
      <c r="D140">
        <v>28.125</v>
      </c>
      <c r="E140" s="17">
        <v>29.937999999999999</v>
      </c>
      <c r="F140">
        <v>27.875</v>
      </c>
      <c r="G140">
        <v>28.5</v>
      </c>
      <c r="H140">
        <v>28.75</v>
      </c>
      <c r="I140">
        <v>30.125</v>
      </c>
      <c r="J140">
        <v>30.875</v>
      </c>
      <c r="K140" s="17">
        <v>30.577000000000002</v>
      </c>
      <c r="L140" s="7"/>
      <c r="N140" s="124">
        <v>43928</v>
      </c>
      <c r="O140" s="2">
        <v>82.032700000000006</v>
      </c>
      <c r="P140" s="2">
        <v>57.32855</v>
      </c>
      <c r="Q140" s="2">
        <v>50.85</v>
      </c>
      <c r="R140" s="2">
        <v>43.185600000000001</v>
      </c>
      <c r="S140" s="2">
        <v>43.27</v>
      </c>
      <c r="T140" s="2">
        <v>41.2605</v>
      </c>
      <c r="U140" s="2">
        <v>38.170949999999998</v>
      </c>
      <c r="V140" s="2">
        <v>33.661450000000002</v>
      </c>
      <c r="W140" s="2">
        <v>38.69</v>
      </c>
      <c r="X140" s="2">
        <v>34.474249999999998</v>
      </c>
      <c r="Y140" s="7"/>
      <c r="Z140" s="7"/>
      <c r="AA140" s="128">
        <v>44243</v>
      </c>
      <c r="AB140" s="2">
        <v>15.305362000000001</v>
      </c>
      <c r="AC140" s="2">
        <v>13.396965</v>
      </c>
      <c r="AD140" s="2">
        <v>12.024302</v>
      </c>
      <c r="AE140" s="2">
        <v>12.282501999999999</v>
      </c>
      <c r="AF140" s="2"/>
      <c r="AG140" s="2"/>
      <c r="AH140" s="7"/>
      <c r="AI140" s="128">
        <v>44243</v>
      </c>
      <c r="AJ140" s="2">
        <v>58.625</v>
      </c>
      <c r="AK140" s="2">
        <v>47.5</v>
      </c>
      <c r="AL140" s="2">
        <v>44.25</v>
      </c>
      <c r="AM140" s="2">
        <v>43</v>
      </c>
      <c r="AO140" s="124">
        <v>43928</v>
      </c>
      <c r="AP140">
        <v>35.5</v>
      </c>
      <c r="AQ140">
        <v>32.5</v>
      </c>
      <c r="AR140">
        <v>28.125</v>
      </c>
      <c r="AS140" s="17">
        <v>29.937999999999999</v>
      </c>
      <c r="AT140">
        <v>27.875</v>
      </c>
      <c r="AU140">
        <v>28.5</v>
      </c>
      <c r="AV140">
        <v>28.75</v>
      </c>
      <c r="AW140">
        <v>30.125</v>
      </c>
      <c r="AX140">
        <v>30.875</v>
      </c>
      <c r="AY140" s="17">
        <v>30.577000000000002</v>
      </c>
      <c r="AZ140" s="7"/>
      <c r="BB140" s="124">
        <v>43928</v>
      </c>
      <c r="BC140" s="2">
        <v>82.02</v>
      </c>
      <c r="BD140" s="2">
        <v>57.31</v>
      </c>
      <c r="BE140" s="2">
        <v>50.85</v>
      </c>
      <c r="BF140" s="2">
        <v>43.19</v>
      </c>
      <c r="BG140" s="2">
        <v>43.27</v>
      </c>
      <c r="BH140" s="2">
        <v>41.24</v>
      </c>
      <c r="BI140" s="2">
        <v>38.15</v>
      </c>
      <c r="BJ140" s="2">
        <v>33.65</v>
      </c>
      <c r="BK140" s="2">
        <v>38.69</v>
      </c>
      <c r="BL140" s="2">
        <v>34.47</v>
      </c>
      <c r="BM140" s="7"/>
      <c r="BN140" s="7"/>
      <c r="BO140" s="128">
        <v>44243</v>
      </c>
      <c r="BP140" s="2">
        <v>15.31</v>
      </c>
      <c r="BQ140" s="2">
        <v>13.4</v>
      </c>
      <c r="BR140" s="2">
        <v>12.02</v>
      </c>
      <c r="BS140" s="2">
        <v>12.66</v>
      </c>
      <c r="BT140" s="2"/>
      <c r="BU140" s="2"/>
      <c r="BV140" s="7"/>
      <c r="BW140" s="128">
        <v>44243</v>
      </c>
      <c r="BX140" s="2">
        <v>58.625</v>
      </c>
      <c r="BY140" s="2">
        <v>47.5</v>
      </c>
      <c r="BZ140" s="2">
        <v>44.25</v>
      </c>
      <c r="CA140" s="2">
        <v>43</v>
      </c>
    </row>
    <row r="141" spans="1:79" x14ac:dyDescent="0.2">
      <c r="A141" s="124">
        <v>43929</v>
      </c>
      <c r="B141">
        <v>33.625</v>
      </c>
      <c r="C141">
        <v>30.875</v>
      </c>
      <c r="D141">
        <v>27.625</v>
      </c>
      <c r="E141" s="17">
        <v>27.18</v>
      </c>
      <c r="F141">
        <v>24</v>
      </c>
      <c r="G141">
        <v>25.875</v>
      </c>
      <c r="H141">
        <v>26.5</v>
      </c>
      <c r="I141">
        <v>28.125</v>
      </c>
      <c r="J141">
        <v>28.125</v>
      </c>
      <c r="K141" s="17">
        <v>27.814499999999999</v>
      </c>
      <c r="L141" s="7"/>
      <c r="N141" s="124">
        <v>43929</v>
      </c>
      <c r="O141" s="2">
        <v>86.915499999999994</v>
      </c>
      <c r="P141" s="2">
        <v>60.136699999999998</v>
      </c>
      <c r="Q141" s="2">
        <v>51.68</v>
      </c>
      <c r="R141" s="2">
        <v>46.7517</v>
      </c>
      <c r="S141" s="2">
        <v>48.84</v>
      </c>
      <c r="T141" s="2">
        <v>44.682699999999997</v>
      </c>
      <c r="U141" s="2">
        <v>40.837350000000001</v>
      </c>
      <c r="V141" s="2">
        <v>35.62435</v>
      </c>
      <c r="W141" s="2">
        <v>41.93</v>
      </c>
      <c r="X141" s="2">
        <v>37.412849999999999</v>
      </c>
      <c r="Y141" s="7"/>
      <c r="Z141" s="7"/>
      <c r="AA141" s="128">
        <v>44244</v>
      </c>
      <c r="AB141" s="2">
        <v>15.55817</v>
      </c>
      <c r="AC141" s="2">
        <v>13.690896</v>
      </c>
      <c r="AD141" s="2">
        <v>12.191818</v>
      </c>
      <c r="AE141" s="2">
        <v>12.556342000000001</v>
      </c>
      <c r="AF141" s="2"/>
      <c r="AG141" s="2"/>
      <c r="AH141" s="7"/>
      <c r="AI141" s="128">
        <v>44244</v>
      </c>
      <c r="AJ141" s="2">
        <v>57.875</v>
      </c>
      <c r="AK141" s="2">
        <v>46.375</v>
      </c>
      <c r="AL141" s="2">
        <v>43.497</v>
      </c>
      <c r="AM141" s="2">
        <v>42.25</v>
      </c>
      <c r="AO141" s="124">
        <v>43929</v>
      </c>
      <c r="AP141">
        <v>31.875</v>
      </c>
      <c r="AQ141">
        <v>30.875</v>
      </c>
      <c r="AR141">
        <v>27.625</v>
      </c>
      <c r="AS141" s="17">
        <v>27.18</v>
      </c>
      <c r="AT141">
        <v>24</v>
      </c>
      <c r="AU141">
        <v>25.875</v>
      </c>
      <c r="AV141">
        <v>26.5</v>
      </c>
      <c r="AW141">
        <v>28.125</v>
      </c>
      <c r="AX141">
        <v>28.125</v>
      </c>
      <c r="AY141" s="17">
        <v>27.815000000000001</v>
      </c>
      <c r="AZ141" s="7"/>
      <c r="BB141" s="124">
        <v>43929</v>
      </c>
      <c r="BC141" s="2">
        <v>91.55</v>
      </c>
      <c r="BD141" s="2">
        <v>60.16</v>
      </c>
      <c r="BE141" s="2">
        <v>51.71</v>
      </c>
      <c r="BF141" s="2">
        <v>46.77</v>
      </c>
      <c r="BG141" s="2">
        <v>48.85</v>
      </c>
      <c r="BH141" s="2">
        <v>44.67</v>
      </c>
      <c r="BI141" s="2">
        <v>40.82</v>
      </c>
      <c r="BJ141" s="2">
        <v>35.61</v>
      </c>
      <c r="BK141" s="2">
        <v>41.94</v>
      </c>
      <c r="BL141" s="2">
        <v>37.409999999999997</v>
      </c>
      <c r="BM141" s="7"/>
      <c r="BN141" s="7"/>
      <c r="BO141" s="128">
        <v>44244</v>
      </c>
      <c r="BP141" s="2">
        <v>15.56</v>
      </c>
      <c r="BQ141" s="2">
        <v>13.69</v>
      </c>
      <c r="BR141" s="2">
        <v>12.19</v>
      </c>
      <c r="BS141" s="2">
        <v>12.95</v>
      </c>
      <c r="BT141" s="2"/>
      <c r="BU141" s="2"/>
      <c r="BV141" s="7"/>
      <c r="BW141" s="128">
        <v>44244</v>
      </c>
      <c r="BX141" s="2">
        <v>57.875</v>
      </c>
      <c r="BY141" s="2">
        <v>46.375</v>
      </c>
      <c r="BZ141" s="2">
        <v>43.497</v>
      </c>
      <c r="CA141" s="2">
        <v>42.25</v>
      </c>
    </row>
    <row r="142" spans="1:79" x14ac:dyDescent="0.2">
      <c r="A142" s="124">
        <v>43930</v>
      </c>
      <c r="B142">
        <v>33.625</v>
      </c>
      <c r="C142">
        <v>30.25</v>
      </c>
      <c r="D142">
        <v>28.125</v>
      </c>
      <c r="E142" s="17">
        <v>27.305499999999999</v>
      </c>
      <c r="F142">
        <v>26</v>
      </c>
      <c r="G142">
        <v>26.875</v>
      </c>
      <c r="H142">
        <v>26.125</v>
      </c>
      <c r="I142">
        <v>26.875</v>
      </c>
      <c r="J142">
        <v>28</v>
      </c>
      <c r="K142" s="17">
        <v>27.563500000000001</v>
      </c>
      <c r="L142" s="7"/>
      <c r="N142" s="124">
        <v>43930</v>
      </c>
      <c r="O142" s="2">
        <v>86.915499999999994</v>
      </c>
      <c r="P142" s="2">
        <v>61.249049999999997</v>
      </c>
      <c r="Q142" s="2">
        <v>50.97</v>
      </c>
      <c r="R142" s="2">
        <v>46.594900000000003</v>
      </c>
      <c r="S142" s="2">
        <v>45.82</v>
      </c>
      <c r="T142" s="2">
        <v>43.334150000000001</v>
      </c>
      <c r="U142" s="2">
        <v>41.322000000000003</v>
      </c>
      <c r="V142" s="2">
        <v>36.959499999999998</v>
      </c>
      <c r="W142" s="2">
        <v>42.1</v>
      </c>
      <c r="X142" s="2">
        <v>37.70675</v>
      </c>
      <c r="Y142" s="7"/>
      <c r="Z142" s="7"/>
      <c r="AA142" s="128">
        <v>44245</v>
      </c>
      <c r="AB142" s="2">
        <v>15.416326</v>
      </c>
      <c r="AC142" s="2">
        <v>13.670536</v>
      </c>
      <c r="AD142" s="2">
        <v>12.035971</v>
      </c>
      <c r="AE142" s="2">
        <v>12.526655</v>
      </c>
      <c r="AF142" s="2"/>
      <c r="AG142" s="2"/>
      <c r="AH142" s="7"/>
      <c r="AI142" s="128">
        <v>44245</v>
      </c>
      <c r="AJ142" s="2">
        <v>58.375</v>
      </c>
      <c r="AK142" s="2">
        <v>46.5</v>
      </c>
      <c r="AL142" s="2">
        <v>44.247999999999998</v>
      </c>
      <c r="AM142" s="2">
        <v>42.375</v>
      </c>
      <c r="AO142" s="124">
        <v>43930</v>
      </c>
      <c r="AP142">
        <v>31.5</v>
      </c>
      <c r="AQ142">
        <v>30.25</v>
      </c>
      <c r="AR142">
        <v>28.125</v>
      </c>
      <c r="AS142" s="17">
        <v>27.306000000000001</v>
      </c>
      <c r="AT142">
        <v>26</v>
      </c>
      <c r="AU142">
        <v>26.875</v>
      </c>
      <c r="AV142">
        <v>26.125</v>
      </c>
      <c r="AW142">
        <v>26.875</v>
      </c>
      <c r="AX142">
        <v>28</v>
      </c>
      <c r="AY142" s="17">
        <v>27.562999999999999</v>
      </c>
      <c r="AZ142" s="7"/>
      <c r="BB142" s="124">
        <v>43930</v>
      </c>
      <c r="BC142" s="2">
        <v>92.67</v>
      </c>
      <c r="BD142" s="2">
        <v>61.27</v>
      </c>
      <c r="BE142" s="2">
        <v>50.99</v>
      </c>
      <c r="BF142" s="2">
        <v>46.61</v>
      </c>
      <c r="BG142" s="2">
        <v>45.83</v>
      </c>
      <c r="BH142" s="2">
        <v>43.32</v>
      </c>
      <c r="BI142" s="2">
        <v>41.31</v>
      </c>
      <c r="BJ142" s="2">
        <v>36.950000000000003</v>
      </c>
      <c r="BK142" s="2">
        <v>42.1</v>
      </c>
      <c r="BL142" s="2">
        <v>37.71</v>
      </c>
      <c r="BM142" s="7"/>
      <c r="BN142" s="7"/>
      <c r="BO142" s="128">
        <v>44245</v>
      </c>
      <c r="BP142" s="2">
        <v>15.42</v>
      </c>
      <c r="BQ142" s="2">
        <v>13.67</v>
      </c>
      <c r="BR142" s="2">
        <v>12.04</v>
      </c>
      <c r="BS142" s="2">
        <v>12.92</v>
      </c>
      <c r="BT142" s="2"/>
      <c r="BU142" s="2"/>
      <c r="BV142" s="7"/>
      <c r="BW142" s="128">
        <v>44245</v>
      </c>
      <c r="BX142" s="2">
        <v>58.375</v>
      </c>
      <c r="BY142" s="2">
        <v>46.5</v>
      </c>
      <c r="BZ142" s="2">
        <v>44.247999999999998</v>
      </c>
      <c r="CA142" s="2">
        <v>42.375</v>
      </c>
    </row>
    <row r="143" spans="1:79" x14ac:dyDescent="0.2">
      <c r="A143" s="124">
        <v>43931</v>
      </c>
      <c r="B143">
        <v>33.625</v>
      </c>
      <c r="C143">
        <v>30.25</v>
      </c>
      <c r="D143">
        <v>28.125</v>
      </c>
      <c r="E143" s="17">
        <v>27.305499999999999</v>
      </c>
      <c r="F143">
        <v>26</v>
      </c>
      <c r="G143">
        <v>26.875</v>
      </c>
      <c r="H143">
        <v>26.125</v>
      </c>
      <c r="I143">
        <v>26.875</v>
      </c>
      <c r="J143">
        <v>28</v>
      </c>
      <c r="K143" s="17">
        <v>27.563500000000001</v>
      </c>
      <c r="L143" s="7"/>
      <c r="N143" s="124">
        <v>43931</v>
      </c>
      <c r="O143" s="2">
        <v>86.915499999999994</v>
      </c>
      <c r="P143" s="2">
        <v>61.249049999999997</v>
      </c>
      <c r="Q143" s="2">
        <v>50.97</v>
      </c>
      <c r="R143" s="2">
        <v>46.594900000000003</v>
      </c>
      <c r="S143" s="2">
        <v>45.82</v>
      </c>
      <c r="T143" s="2">
        <v>43.334150000000001</v>
      </c>
      <c r="U143" s="2">
        <v>41.322000000000003</v>
      </c>
      <c r="V143" s="2">
        <v>36.959499999999998</v>
      </c>
      <c r="W143" s="2">
        <v>42.1</v>
      </c>
      <c r="X143" s="2">
        <v>37.70675</v>
      </c>
      <c r="Y143" s="7"/>
      <c r="Z143" s="7"/>
      <c r="AA143" s="128">
        <v>44246</v>
      </c>
      <c r="AB143" s="2">
        <v>15.180357000000001</v>
      </c>
      <c r="AC143" s="2">
        <v>13.353591</v>
      </c>
      <c r="AD143" s="2">
        <v>11.984819999999999</v>
      </c>
      <c r="AE143" s="2">
        <v>12.396976</v>
      </c>
      <c r="AF143" s="2"/>
      <c r="AG143" s="2"/>
      <c r="AH143" s="7"/>
      <c r="AI143" s="128">
        <v>44246</v>
      </c>
      <c r="AJ143" s="2">
        <v>59.125</v>
      </c>
      <c r="AK143" s="2">
        <v>47.75</v>
      </c>
      <c r="AL143" s="2">
        <v>44.497999999999998</v>
      </c>
      <c r="AM143" s="2">
        <v>42.75</v>
      </c>
      <c r="AO143" s="124">
        <v>43931</v>
      </c>
      <c r="AP143">
        <v>31.5</v>
      </c>
      <c r="AQ143">
        <v>30.25</v>
      </c>
      <c r="AR143">
        <v>28.125</v>
      </c>
      <c r="AS143" s="17">
        <v>27.306000000000001</v>
      </c>
      <c r="AT143">
        <v>26</v>
      </c>
      <c r="AU143">
        <v>26.875</v>
      </c>
      <c r="AV143">
        <v>26.125</v>
      </c>
      <c r="AW143">
        <v>26.875</v>
      </c>
      <c r="AX143">
        <v>28</v>
      </c>
      <c r="AY143" s="17">
        <v>27.562999999999999</v>
      </c>
      <c r="AZ143" s="7"/>
      <c r="BB143" s="124">
        <v>43931</v>
      </c>
      <c r="BC143" s="2">
        <v>92.67</v>
      </c>
      <c r="BD143" s="2">
        <v>61.27</v>
      </c>
      <c r="BE143" s="2">
        <v>50.99</v>
      </c>
      <c r="BF143" s="2">
        <v>46.61</v>
      </c>
      <c r="BG143" s="2">
        <v>45.83</v>
      </c>
      <c r="BH143" s="2">
        <v>43.32</v>
      </c>
      <c r="BI143" s="2">
        <v>41.31</v>
      </c>
      <c r="BJ143" s="2">
        <v>36.950000000000003</v>
      </c>
      <c r="BK143" s="2">
        <v>42.1</v>
      </c>
      <c r="BL143" s="2">
        <v>37.71</v>
      </c>
      <c r="BM143" s="7"/>
      <c r="BN143" s="7"/>
      <c r="BO143" s="128">
        <v>44246</v>
      </c>
      <c r="BP143" s="2">
        <v>15.18</v>
      </c>
      <c r="BQ143" s="2">
        <v>13.35</v>
      </c>
      <c r="BR143" s="2">
        <v>11.98</v>
      </c>
      <c r="BS143" s="2">
        <v>12.78</v>
      </c>
      <c r="BT143" s="2"/>
      <c r="BU143" s="2"/>
      <c r="BV143" s="7"/>
      <c r="BW143" s="128">
        <v>44246</v>
      </c>
      <c r="BX143" s="2">
        <v>59.125</v>
      </c>
      <c r="BY143" s="2">
        <v>47.75</v>
      </c>
      <c r="BZ143" s="2">
        <v>44.497999999999998</v>
      </c>
      <c r="CA143" s="2">
        <v>42.75</v>
      </c>
    </row>
    <row r="144" spans="1:79" x14ac:dyDescent="0.2">
      <c r="A144" s="124">
        <v>43934</v>
      </c>
      <c r="B144">
        <v>32.25</v>
      </c>
      <c r="C144">
        <v>30.125</v>
      </c>
      <c r="D144">
        <v>28.75</v>
      </c>
      <c r="E144" s="17">
        <v>27.8065</v>
      </c>
      <c r="F144">
        <v>27.625</v>
      </c>
      <c r="G144">
        <v>26.75</v>
      </c>
      <c r="H144">
        <v>26.75</v>
      </c>
      <c r="I144">
        <v>27.75</v>
      </c>
      <c r="J144">
        <v>28.75</v>
      </c>
      <c r="K144" s="17">
        <v>28.442499999999999</v>
      </c>
      <c r="L144" s="7"/>
      <c r="N144" s="124">
        <v>43934</v>
      </c>
      <c r="O144" s="2">
        <v>90.661000000000001</v>
      </c>
      <c r="P144" s="2">
        <v>61.510750000000002</v>
      </c>
      <c r="Q144" s="2">
        <v>50.09</v>
      </c>
      <c r="R144" s="2">
        <v>45.937899999999999</v>
      </c>
      <c r="S144" s="2">
        <v>43.64</v>
      </c>
      <c r="T144" s="2">
        <v>43.507550000000002</v>
      </c>
      <c r="U144" s="2">
        <v>40.543900000000001</v>
      </c>
      <c r="V144" s="2">
        <v>36.024149999999999</v>
      </c>
      <c r="W144" s="2">
        <v>41.16</v>
      </c>
      <c r="X144" s="2">
        <v>36.701450000000001</v>
      </c>
      <c r="Y144" s="7"/>
      <c r="Z144" s="7"/>
      <c r="AA144" s="128">
        <v>44249</v>
      </c>
      <c r="AB144" s="2">
        <v>15.187654999999999</v>
      </c>
      <c r="AC144" s="2">
        <v>13.549013</v>
      </c>
      <c r="AD144" s="2">
        <v>12.205458999999999</v>
      </c>
      <c r="AE144" s="2">
        <v>12.673237</v>
      </c>
      <c r="AF144" s="2"/>
      <c r="AG144" s="2"/>
      <c r="AH144" s="7"/>
      <c r="AI144" s="128">
        <v>44249</v>
      </c>
      <c r="AJ144" s="2">
        <v>59.125</v>
      </c>
      <c r="AK144" s="2">
        <v>47</v>
      </c>
      <c r="AL144" s="2">
        <v>43.5</v>
      </c>
      <c r="AM144" s="2">
        <v>42</v>
      </c>
      <c r="AO144" s="124">
        <v>43934</v>
      </c>
      <c r="AP144">
        <v>32.25</v>
      </c>
      <c r="AQ144">
        <v>30.125</v>
      </c>
      <c r="AR144">
        <v>28.75</v>
      </c>
      <c r="AS144" s="17">
        <v>27.806000000000001</v>
      </c>
      <c r="AT144">
        <v>27.625</v>
      </c>
      <c r="AU144">
        <v>26.75</v>
      </c>
      <c r="AV144">
        <v>26.75</v>
      </c>
      <c r="AW144">
        <v>27.75</v>
      </c>
      <c r="AX144">
        <v>28.75</v>
      </c>
      <c r="AY144" s="17">
        <v>28.442</v>
      </c>
      <c r="AZ144" s="7"/>
      <c r="BB144" s="124">
        <v>43934</v>
      </c>
      <c r="BC144" s="2">
        <v>90.65</v>
      </c>
      <c r="BD144" s="2">
        <v>61.49</v>
      </c>
      <c r="BE144" s="2">
        <v>50.09</v>
      </c>
      <c r="BF144" s="2">
        <v>45.94</v>
      </c>
      <c r="BG144" s="2">
        <v>43.64</v>
      </c>
      <c r="BH144" s="2">
        <v>43.48</v>
      </c>
      <c r="BI144" s="2">
        <v>40.520000000000003</v>
      </c>
      <c r="BJ144" s="2">
        <v>36.01</v>
      </c>
      <c r="BK144" s="2">
        <v>41.16</v>
      </c>
      <c r="BL144" s="2">
        <v>36.700000000000003</v>
      </c>
      <c r="BM144" s="7"/>
      <c r="BN144" s="7"/>
      <c r="BO144" s="128">
        <v>44249</v>
      </c>
      <c r="BP144" s="2">
        <v>15.19</v>
      </c>
      <c r="BQ144" s="2">
        <v>13.55</v>
      </c>
      <c r="BR144" s="2">
        <v>12.21</v>
      </c>
      <c r="BS144" s="2">
        <v>13.07</v>
      </c>
      <c r="BT144" s="2"/>
      <c r="BU144" s="2"/>
      <c r="BV144" s="7"/>
      <c r="BW144" s="128">
        <v>44249</v>
      </c>
      <c r="BX144" s="2">
        <v>59.125</v>
      </c>
      <c r="BY144" s="2">
        <v>47</v>
      </c>
      <c r="BZ144" s="2">
        <v>43.5</v>
      </c>
      <c r="CA144" s="2">
        <v>42</v>
      </c>
    </row>
    <row r="145" spans="1:79" x14ac:dyDescent="0.2">
      <c r="A145" s="124">
        <v>43935</v>
      </c>
      <c r="B145">
        <v>32.25</v>
      </c>
      <c r="C145">
        <v>30.25</v>
      </c>
      <c r="D145">
        <v>29.5</v>
      </c>
      <c r="E145" s="17">
        <v>27.556000000000001</v>
      </c>
      <c r="F145">
        <v>27</v>
      </c>
      <c r="G145">
        <v>26.5</v>
      </c>
      <c r="H145">
        <v>26.875</v>
      </c>
      <c r="I145">
        <v>28.25</v>
      </c>
      <c r="J145">
        <v>28.75</v>
      </c>
      <c r="K145" s="17">
        <v>28.317</v>
      </c>
      <c r="L145" s="7"/>
      <c r="N145" s="124">
        <v>43935</v>
      </c>
      <c r="O145" s="2">
        <v>90.762699999999995</v>
      </c>
      <c r="P145" s="2">
        <v>61.337249999999997</v>
      </c>
      <c r="Q145" s="2">
        <v>49.07</v>
      </c>
      <c r="R145" s="2">
        <v>46.285200000000003</v>
      </c>
      <c r="S145" s="2">
        <v>44.47</v>
      </c>
      <c r="T145" s="2">
        <v>43.850050000000003</v>
      </c>
      <c r="U145" s="2">
        <v>40.398899999999998</v>
      </c>
      <c r="V145" s="2">
        <v>35.512999999999998</v>
      </c>
      <c r="W145" s="2">
        <v>41.16</v>
      </c>
      <c r="X145" s="2">
        <v>36.842300000000002</v>
      </c>
      <c r="Y145" s="7"/>
      <c r="Z145" s="7"/>
      <c r="AA145" s="128">
        <v>44250</v>
      </c>
      <c r="AB145" s="2">
        <v>14.994839000000001</v>
      </c>
      <c r="AC145" s="2">
        <v>13.456852</v>
      </c>
      <c r="AD145" s="2">
        <v>12.153365000000001</v>
      </c>
      <c r="AE145" s="2">
        <v>12.587456</v>
      </c>
      <c r="AF145" s="2"/>
      <c r="AG145" s="2"/>
      <c r="AH145" s="7"/>
      <c r="AI145" s="128">
        <v>44250</v>
      </c>
      <c r="AJ145" s="2">
        <v>59.75</v>
      </c>
      <c r="AK145" s="2">
        <v>47.375</v>
      </c>
      <c r="AL145" s="2">
        <v>43.749000000000002</v>
      </c>
      <c r="AM145" s="2">
        <v>42.25</v>
      </c>
      <c r="AO145" s="124">
        <v>43935</v>
      </c>
      <c r="AP145">
        <v>31.875</v>
      </c>
      <c r="AQ145">
        <v>30.25</v>
      </c>
      <c r="AR145">
        <v>29.5</v>
      </c>
      <c r="AS145" s="17">
        <v>27.556000000000001</v>
      </c>
      <c r="AT145">
        <v>27</v>
      </c>
      <c r="AU145">
        <v>26.5</v>
      </c>
      <c r="AV145">
        <v>26.875</v>
      </c>
      <c r="AW145">
        <v>28.25</v>
      </c>
      <c r="AX145">
        <v>28.75</v>
      </c>
      <c r="AY145" s="17">
        <v>28.317</v>
      </c>
      <c r="AZ145" s="7"/>
      <c r="BB145" s="124">
        <v>43935</v>
      </c>
      <c r="BC145" s="2">
        <v>91.75</v>
      </c>
      <c r="BD145" s="2">
        <v>61.32</v>
      </c>
      <c r="BE145" s="2">
        <v>49.07</v>
      </c>
      <c r="BF145" s="2">
        <v>46.29</v>
      </c>
      <c r="BG145" s="2">
        <v>44.47</v>
      </c>
      <c r="BH145" s="2">
        <v>43.83</v>
      </c>
      <c r="BI145" s="2">
        <v>40.380000000000003</v>
      </c>
      <c r="BJ145" s="2">
        <v>35.5</v>
      </c>
      <c r="BK145" s="2">
        <v>41.16</v>
      </c>
      <c r="BL145" s="2">
        <v>36.840000000000003</v>
      </c>
      <c r="BM145" s="7"/>
      <c r="BN145" s="7"/>
      <c r="BO145" s="128">
        <v>44250</v>
      </c>
      <c r="BP145" s="2">
        <v>14.99</v>
      </c>
      <c r="BQ145" s="2">
        <v>13.46</v>
      </c>
      <c r="BR145" s="2">
        <v>12.15</v>
      </c>
      <c r="BS145" s="2">
        <v>12.98</v>
      </c>
      <c r="BT145" s="2"/>
      <c r="BU145" s="2"/>
      <c r="BV145" s="7"/>
      <c r="BW145" s="128">
        <v>44250</v>
      </c>
      <c r="BX145" s="2">
        <v>59.75</v>
      </c>
      <c r="BY145" s="2">
        <v>47.375</v>
      </c>
      <c r="BZ145" s="2">
        <v>43.749000000000002</v>
      </c>
      <c r="CA145" s="2">
        <v>42.25</v>
      </c>
    </row>
    <row r="146" spans="1:79" x14ac:dyDescent="0.2">
      <c r="A146" s="124">
        <v>43936</v>
      </c>
      <c r="B146">
        <v>32.25</v>
      </c>
      <c r="C146">
        <v>27.625</v>
      </c>
      <c r="D146">
        <v>27</v>
      </c>
      <c r="E146" s="17">
        <v>26.6785</v>
      </c>
      <c r="F146">
        <v>25.25</v>
      </c>
      <c r="G146">
        <v>24.5</v>
      </c>
      <c r="H146">
        <v>25.625</v>
      </c>
      <c r="I146">
        <v>25.75</v>
      </c>
      <c r="J146">
        <v>26</v>
      </c>
      <c r="K146" s="17">
        <v>26.936</v>
      </c>
      <c r="L146" s="7"/>
      <c r="N146" s="124">
        <v>43936</v>
      </c>
      <c r="O146" s="2">
        <v>90.762699999999995</v>
      </c>
      <c r="P146" s="2">
        <v>66.235849999999999</v>
      </c>
      <c r="Q146" s="2">
        <v>52.74</v>
      </c>
      <c r="R146" s="2">
        <v>47.502600000000001</v>
      </c>
      <c r="S146" s="2">
        <v>46.94</v>
      </c>
      <c r="T146" s="2">
        <v>46.737200000000001</v>
      </c>
      <c r="U146" s="2">
        <v>42.002299999999998</v>
      </c>
      <c r="V146" s="2">
        <v>38.262050000000002</v>
      </c>
      <c r="W146" s="2">
        <v>44.86</v>
      </c>
      <c r="X146" s="2">
        <v>38.463549999999998</v>
      </c>
      <c r="Y146" s="7"/>
      <c r="Z146" s="7"/>
      <c r="AA146" s="128">
        <v>44251</v>
      </c>
      <c r="AB146" s="2">
        <v>15.002039</v>
      </c>
      <c r="AC146" s="2">
        <v>13.429002000000001</v>
      </c>
      <c r="AD146" s="2">
        <v>12.101201</v>
      </c>
      <c r="AE146" s="2">
        <v>12.502197000000001</v>
      </c>
      <c r="AF146" s="2"/>
      <c r="AG146" s="2"/>
      <c r="AH146" s="7"/>
      <c r="AI146" s="128">
        <v>44251</v>
      </c>
      <c r="AJ146" s="2">
        <v>59.75</v>
      </c>
      <c r="AK146" s="2">
        <v>47.5</v>
      </c>
      <c r="AL146" s="2">
        <v>44</v>
      </c>
      <c r="AM146" s="2">
        <v>42.5</v>
      </c>
      <c r="AO146" s="124">
        <v>43936</v>
      </c>
      <c r="AP146">
        <v>29.5</v>
      </c>
      <c r="AQ146">
        <v>27.625</v>
      </c>
      <c r="AR146">
        <v>27</v>
      </c>
      <c r="AS146" s="17">
        <v>26.678000000000001</v>
      </c>
      <c r="AT146">
        <v>25.25</v>
      </c>
      <c r="AU146">
        <v>24.5</v>
      </c>
      <c r="AV146">
        <v>25.625</v>
      </c>
      <c r="AW146">
        <v>25.75</v>
      </c>
      <c r="AX146">
        <v>26</v>
      </c>
      <c r="AY146" s="17">
        <v>26.936</v>
      </c>
      <c r="AZ146" s="7"/>
      <c r="BB146" s="124">
        <v>43936</v>
      </c>
      <c r="BC146" s="2">
        <v>98.64</v>
      </c>
      <c r="BD146" s="2">
        <v>66.209999999999994</v>
      </c>
      <c r="BE146" s="2">
        <v>52.74</v>
      </c>
      <c r="BF146" s="2">
        <v>47.5</v>
      </c>
      <c r="BG146" s="2">
        <v>46.94</v>
      </c>
      <c r="BH146" s="2">
        <v>46.71</v>
      </c>
      <c r="BI146" s="2">
        <v>41.98</v>
      </c>
      <c r="BJ146" s="2">
        <v>38.24</v>
      </c>
      <c r="BK146" s="2">
        <v>44.86</v>
      </c>
      <c r="BL146" s="2">
        <v>38.46</v>
      </c>
      <c r="BM146" s="7"/>
      <c r="BN146" s="7"/>
      <c r="BO146" s="128">
        <v>44251</v>
      </c>
      <c r="BP146" s="2">
        <v>15</v>
      </c>
      <c r="BQ146" s="2">
        <v>13.43</v>
      </c>
      <c r="BR146" s="2">
        <v>12.1</v>
      </c>
      <c r="BS146" s="2">
        <v>12.89</v>
      </c>
      <c r="BT146" s="2"/>
      <c r="BU146" s="2"/>
      <c r="BV146" s="7"/>
      <c r="BW146" s="128">
        <v>44251</v>
      </c>
      <c r="BX146" s="2">
        <v>59.75</v>
      </c>
      <c r="BY146" s="2">
        <v>47.5</v>
      </c>
      <c r="BZ146" s="2">
        <v>44</v>
      </c>
      <c r="CA146" s="2">
        <v>42.5</v>
      </c>
    </row>
    <row r="147" spans="1:79" x14ac:dyDescent="0.2">
      <c r="A147" s="124">
        <v>43937</v>
      </c>
      <c r="B147">
        <v>32.25</v>
      </c>
      <c r="C147">
        <v>28.125</v>
      </c>
      <c r="D147">
        <v>27.125</v>
      </c>
      <c r="E147" s="17">
        <v>25.55</v>
      </c>
      <c r="F147">
        <v>25.375</v>
      </c>
      <c r="G147">
        <v>25.625</v>
      </c>
      <c r="H147">
        <v>24.375</v>
      </c>
      <c r="I147">
        <v>25.5</v>
      </c>
      <c r="J147">
        <v>26.375</v>
      </c>
      <c r="K147" s="17">
        <v>25.8065</v>
      </c>
      <c r="L147" s="7"/>
      <c r="N147" s="124">
        <v>43937</v>
      </c>
      <c r="O147" s="2">
        <v>90.762699999999995</v>
      </c>
      <c r="P147" s="2">
        <v>65.408550000000005</v>
      </c>
      <c r="Q147" s="2">
        <v>52.62</v>
      </c>
      <c r="R147" s="2">
        <v>49.18085</v>
      </c>
      <c r="S147" s="2">
        <v>46.78</v>
      </c>
      <c r="T147" s="2">
        <v>45.098050000000001</v>
      </c>
      <c r="U147" s="2">
        <v>43.764299999999999</v>
      </c>
      <c r="V147" s="2">
        <v>38.578000000000003</v>
      </c>
      <c r="W147" s="2">
        <v>44.33</v>
      </c>
      <c r="X147" s="2">
        <v>39.909599999999998</v>
      </c>
      <c r="Y147" s="7"/>
      <c r="Z147" s="7"/>
      <c r="AA147" s="128">
        <v>44252</v>
      </c>
      <c r="AB147" s="2">
        <v>15.038157999999999</v>
      </c>
      <c r="AC147" s="2">
        <v>13.545232</v>
      </c>
      <c r="AD147" s="2">
        <v>12.170057</v>
      </c>
      <c r="AE147" s="2">
        <v>12.618727</v>
      </c>
      <c r="AF147" s="2"/>
      <c r="AG147" s="2"/>
      <c r="AH147" s="7"/>
      <c r="AI147" s="128">
        <v>44252</v>
      </c>
      <c r="AJ147" s="2">
        <v>59.75</v>
      </c>
      <c r="AK147" s="2">
        <v>47.125</v>
      </c>
      <c r="AL147" s="2">
        <v>43.750999999999998</v>
      </c>
      <c r="AM147" s="2">
        <v>42.25</v>
      </c>
      <c r="AO147" s="124">
        <v>43937</v>
      </c>
      <c r="AP147">
        <v>29</v>
      </c>
      <c r="AQ147">
        <v>28.125</v>
      </c>
      <c r="AR147">
        <v>27.125</v>
      </c>
      <c r="AS147" s="17">
        <v>25.55</v>
      </c>
      <c r="AT147">
        <v>25.375</v>
      </c>
      <c r="AU147">
        <v>25.625</v>
      </c>
      <c r="AV147">
        <v>24.375</v>
      </c>
      <c r="AW147">
        <v>25.5</v>
      </c>
      <c r="AX147">
        <v>26.375</v>
      </c>
      <c r="AY147" s="17">
        <v>25.806000000000001</v>
      </c>
      <c r="AZ147" s="7"/>
      <c r="BB147" s="124">
        <v>43937</v>
      </c>
      <c r="BC147" s="2">
        <v>100.51</v>
      </c>
      <c r="BD147" s="2">
        <v>65.38</v>
      </c>
      <c r="BE147" s="2">
        <v>52.62</v>
      </c>
      <c r="BF147" s="2">
        <v>49.18</v>
      </c>
      <c r="BG147" s="2">
        <v>46.78</v>
      </c>
      <c r="BH147" s="2">
        <v>45.07</v>
      </c>
      <c r="BI147" s="2">
        <v>43.74</v>
      </c>
      <c r="BJ147" s="2">
        <v>38.56</v>
      </c>
      <c r="BK147" s="2">
        <v>44.33</v>
      </c>
      <c r="BL147" s="2">
        <v>39.909999999999997</v>
      </c>
      <c r="BM147" s="7"/>
      <c r="BN147" s="7"/>
      <c r="BO147" s="128">
        <v>44252</v>
      </c>
      <c r="BP147" s="2">
        <v>15.04</v>
      </c>
      <c r="BQ147" s="2">
        <v>13.55</v>
      </c>
      <c r="BR147" s="2">
        <v>12.17</v>
      </c>
      <c r="BS147" s="2">
        <v>13.02</v>
      </c>
      <c r="BT147" s="2"/>
      <c r="BU147" s="2"/>
      <c r="BV147" s="7"/>
      <c r="BW147" s="128">
        <v>44252</v>
      </c>
      <c r="BX147" s="2">
        <v>59.75</v>
      </c>
      <c r="BY147" s="2">
        <v>47.125</v>
      </c>
      <c r="BZ147" s="2">
        <v>43.75</v>
      </c>
      <c r="CA147" s="2">
        <v>42.25</v>
      </c>
    </row>
    <row r="148" spans="1:79" x14ac:dyDescent="0.2">
      <c r="A148" s="124">
        <v>43938</v>
      </c>
      <c r="B148">
        <v>32.25</v>
      </c>
      <c r="C148">
        <v>27.75</v>
      </c>
      <c r="D148">
        <v>26.5</v>
      </c>
      <c r="E148" s="17">
        <v>25.6755</v>
      </c>
      <c r="F148">
        <v>25.125</v>
      </c>
      <c r="G148">
        <v>24.75</v>
      </c>
      <c r="H148">
        <v>24.5</v>
      </c>
      <c r="I148">
        <v>25.625</v>
      </c>
      <c r="J148">
        <v>25.75</v>
      </c>
      <c r="K148" s="17">
        <v>26.057500000000001</v>
      </c>
      <c r="L148" s="7"/>
      <c r="N148" s="124">
        <v>43938</v>
      </c>
      <c r="O148" s="2">
        <v>90.762699999999995</v>
      </c>
      <c r="P148" s="2">
        <v>66.186250000000001</v>
      </c>
      <c r="Q148" s="2">
        <v>53.63</v>
      </c>
      <c r="R148" s="2">
        <v>49.008749999999999</v>
      </c>
      <c r="S148" s="2">
        <v>47.16</v>
      </c>
      <c r="T148" s="2">
        <v>46.393000000000001</v>
      </c>
      <c r="U148" s="2">
        <v>43.594099999999997</v>
      </c>
      <c r="V148" s="2">
        <v>38.434199999999997</v>
      </c>
      <c r="W148" s="2">
        <v>45.25</v>
      </c>
      <c r="X148" s="2">
        <v>39.578949999999999</v>
      </c>
      <c r="Y148" s="7"/>
      <c r="Z148" s="7"/>
      <c r="AA148" s="128">
        <v>44253</v>
      </c>
      <c r="AB148" s="2">
        <v>15.125454</v>
      </c>
      <c r="AC148" s="2">
        <v>13.549299</v>
      </c>
      <c r="AD148" s="2">
        <v>12.228213</v>
      </c>
      <c r="AE148" s="2">
        <v>12.715253000000001</v>
      </c>
      <c r="AF148" s="2"/>
      <c r="AG148" s="2"/>
      <c r="AH148" s="7"/>
      <c r="AI148" s="128">
        <v>44253</v>
      </c>
      <c r="AJ148" s="2">
        <v>59.5</v>
      </c>
      <c r="AK148" s="2">
        <v>47.125</v>
      </c>
      <c r="AL148" s="2">
        <v>43.500999999999998</v>
      </c>
      <c r="AM148" s="2">
        <v>42</v>
      </c>
      <c r="AO148" s="124">
        <v>43938</v>
      </c>
      <c r="AP148">
        <v>29.5</v>
      </c>
      <c r="AQ148">
        <v>27.75</v>
      </c>
      <c r="AR148">
        <v>26.5</v>
      </c>
      <c r="AS148" s="17">
        <v>25.675999999999998</v>
      </c>
      <c r="AT148">
        <v>25.125</v>
      </c>
      <c r="AU148">
        <v>24.75</v>
      </c>
      <c r="AV148">
        <v>24.5</v>
      </c>
      <c r="AW148">
        <v>25.625</v>
      </c>
      <c r="AX148">
        <v>25.75</v>
      </c>
      <c r="AY148" s="17">
        <v>26.058</v>
      </c>
      <c r="AZ148" s="7"/>
      <c r="BB148" s="124">
        <v>43938</v>
      </c>
      <c r="BC148" s="2">
        <v>99.09</v>
      </c>
      <c r="BD148" s="2">
        <v>66.16</v>
      </c>
      <c r="BE148" s="2">
        <v>53.63</v>
      </c>
      <c r="BF148" s="2">
        <v>49.01</v>
      </c>
      <c r="BG148" s="2">
        <v>47.16</v>
      </c>
      <c r="BH148" s="2">
        <v>46.36</v>
      </c>
      <c r="BI148" s="2">
        <v>43.57</v>
      </c>
      <c r="BJ148" s="2">
        <v>38.409999999999997</v>
      </c>
      <c r="BK148" s="2">
        <v>45.25</v>
      </c>
      <c r="BL148" s="2">
        <v>39.58</v>
      </c>
      <c r="BM148" s="7"/>
      <c r="BN148" s="7"/>
      <c r="BO148" s="128">
        <v>44253</v>
      </c>
      <c r="BP148" s="2">
        <v>15.13</v>
      </c>
      <c r="BQ148" s="2">
        <v>13.55</v>
      </c>
      <c r="BR148" s="2">
        <v>12.23</v>
      </c>
      <c r="BS148" s="2">
        <v>13.12</v>
      </c>
      <c r="BT148" s="2"/>
      <c r="BU148" s="2"/>
      <c r="BV148" s="7"/>
      <c r="BW148" s="128">
        <v>44253</v>
      </c>
      <c r="BX148" s="2">
        <v>59.5</v>
      </c>
      <c r="BY148" s="2">
        <v>47.125</v>
      </c>
      <c r="BZ148" s="2">
        <v>43.500999999999998</v>
      </c>
      <c r="CA148" s="2">
        <v>42</v>
      </c>
    </row>
    <row r="149" spans="1:79" x14ac:dyDescent="0.2">
      <c r="A149" s="124">
        <v>43941</v>
      </c>
      <c r="B149">
        <v>32.25</v>
      </c>
      <c r="C149">
        <v>28.125</v>
      </c>
      <c r="D149">
        <v>27.25</v>
      </c>
      <c r="E149" s="17">
        <v>26.75</v>
      </c>
      <c r="F149">
        <v>26</v>
      </c>
      <c r="G149">
        <v>25.25</v>
      </c>
      <c r="H149">
        <v>25.625</v>
      </c>
      <c r="I149">
        <v>25.375</v>
      </c>
      <c r="J149">
        <v>25.5</v>
      </c>
      <c r="K149" s="17">
        <v>26.75</v>
      </c>
      <c r="L149" s="7"/>
      <c r="N149" s="124">
        <v>43941</v>
      </c>
      <c r="O149" s="2">
        <v>90.762699999999995</v>
      </c>
      <c r="P149" s="2">
        <v>65.505700000000004</v>
      </c>
      <c r="Q149" s="2">
        <v>52.48</v>
      </c>
      <c r="R149" s="2">
        <v>47.495750000000001</v>
      </c>
      <c r="S149" s="2">
        <v>45.9</v>
      </c>
      <c r="T149" s="2">
        <v>45.658200000000001</v>
      </c>
      <c r="U149" s="2">
        <v>42.049399999999999</v>
      </c>
      <c r="V149" s="2">
        <v>38.740949999999998</v>
      </c>
      <c r="W149" s="2">
        <v>45.63</v>
      </c>
      <c r="X149" s="2">
        <v>38.720849999999999</v>
      </c>
      <c r="Y149" s="7"/>
      <c r="Z149" s="7"/>
      <c r="AA149" s="128">
        <v>44256</v>
      </c>
      <c r="AB149" s="2">
        <v>15.132754</v>
      </c>
      <c r="AC149" s="2">
        <v>13.814544</v>
      </c>
      <c r="AD149" s="2">
        <v>12.315052</v>
      </c>
      <c r="AE149" s="2">
        <v>12.766422</v>
      </c>
      <c r="AF149" s="2"/>
      <c r="AG149" s="2"/>
      <c r="AH149" s="7"/>
      <c r="AI149" s="128">
        <v>44256</v>
      </c>
      <c r="AJ149" s="2">
        <v>59.5</v>
      </c>
      <c r="AK149" s="2">
        <v>46.125</v>
      </c>
      <c r="AL149" s="2">
        <v>43.125</v>
      </c>
      <c r="AM149" s="2">
        <v>41.875</v>
      </c>
      <c r="AO149" s="124">
        <v>43941</v>
      </c>
      <c r="AP149">
        <v>29.25</v>
      </c>
      <c r="AQ149">
        <v>28.125</v>
      </c>
      <c r="AR149">
        <v>27.25</v>
      </c>
      <c r="AS149" s="17">
        <v>26.75</v>
      </c>
      <c r="AT149">
        <v>26</v>
      </c>
      <c r="AU149">
        <v>25.25</v>
      </c>
      <c r="AV149">
        <v>25.625</v>
      </c>
      <c r="AW149">
        <v>25.375</v>
      </c>
      <c r="AX149">
        <v>25.5</v>
      </c>
      <c r="AY149" s="17">
        <v>26.75</v>
      </c>
      <c r="AZ149" s="7"/>
      <c r="BB149" s="124">
        <v>43941</v>
      </c>
      <c r="BC149" s="2">
        <v>99.97</v>
      </c>
      <c r="BD149" s="2">
        <v>65.48</v>
      </c>
      <c r="BE149" s="2">
        <v>52.48</v>
      </c>
      <c r="BF149" s="2">
        <v>47.47</v>
      </c>
      <c r="BG149" s="2">
        <v>45.9</v>
      </c>
      <c r="BH149" s="2">
        <v>45.63</v>
      </c>
      <c r="BI149" s="2">
        <v>42.02</v>
      </c>
      <c r="BJ149" s="2">
        <v>38.72</v>
      </c>
      <c r="BK149" s="2">
        <v>45.63</v>
      </c>
      <c r="BL149" s="2">
        <v>38.700000000000003</v>
      </c>
      <c r="BM149" s="7"/>
      <c r="BN149" s="7"/>
      <c r="BO149" s="128">
        <v>44256</v>
      </c>
      <c r="BP149" s="2">
        <v>15.13</v>
      </c>
      <c r="BQ149" s="2">
        <v>13.81</v>
      </c>
      <c r="BR149" s="2">
        <v>12.32</v>
      </c>
      <c r="BS149" s="2">
        <v>13.17</v>
      </c>
      <c r="BT149" s="2"/>
      <c r="BU149" s="2"/>
      <c r="BV149" s="7"/>
      <c r="BW149" s="128">
        <v>44256</v>
      </c>
      <c r="BX149" s="2">
        <v>59.5</v>
      </c>
      <c r="BY149" s="2">
        <v>46.125</v>
      </c>
      <c r="BZ149" s="2">
        <v>43.125</v>
      </c>
      <c r="CA149" s="2">
        <v>41.875</v>
      </c>
    </row>
    <row r="150" spans="1:79" x14ac:dyDescent="0.2">
      <c r="A150" s="124">
        <v>43942</v>
      </c>
      <c r="B150">
        <v>32.25</v>
      </c>
      <c r="C150">
        <v>27.75</v>
      </c>
      <c r="D150">
        <v>26.5</v>
      </c>
      <c r="E150" s="17">
        <v>27</v>
      </c>
      <c r="F150">
        <v>25.125</v>
      </c>
      <c r="G150">
        <v>24.875</v>
      </c>
      <c r="H150">
        <v>24.75</v>
      </c>
      <c r="I150">
        <v>24.25</v>
      </c>
      <c r="J150">
        <v>24.25</v>
      </c>
      <c r="K150" s="17">
        <v>26.25</v>
      </c>
      <c r="L150" s="7"/>
      <c r="N150" s="124">
        <v>43942</v>
      </c>
      <c r="O150" s="2">
        <v>90.762699999999995</v>
      </c>
      <c r="P150" s="2">
        <v>66.041200000000003</v>
      </c>
      <c r="Q150" s="2">
        <v>53.43</v>
      </c>
      <c r="R150" s="2">
        <v>46.90645</v>
      </c>
      <c r="S150" s="2">
        <v>46.89</v>
      </c>
      <c r="T150" s="2">
        <v>45.917450000000002</v>
      </c>
      <c r="U150" s="2">
        <v>42.949800000000003</v>
      </c>
      <c r="V150" s="2">
        <v>40.1633</v>
      </c>
      <c r="W150" s="2">
        <v>47.64</v>
      </c>
      <c r="X150" s="2">
        <v>39.038499999999999</v>
      </c>
      <c r="Y150" s="7"/>
      <c r="Z150" s="7"/>
      <c r="AA150" s="128">
        <v>44257</v>
      </c>
      <c r="AB150" s="2">
        <v>15.301617</v>
      </c>
      <c r="AC150" s="2">
        <v>13.851863</v>
      </c>
      <c r="AD150" s="2">
        <v>12.346538000000001</v>
      </c>
      <c r="AE150" s="2">
        <v>12.771718999999999</v>
      </c>
      <c r="AF150" s="2"/>
      <c r="AG150" s="2"/>
      <c r="AH150" s="7"/>
      <c r="AI150" s="128">
        <v>44257</v>
      </c>
      <c r="AJ150" s="2">
        <v>59</v>
      </c>
      <c r="AK150" s="2">
        <v>46</v>
      </c>
      <c r="AL150" s="2">
        <v>42.997999999999998</v>
      </c>
      <c r="AM150" s="2">
        <v>41.875</v>
      </c>
      <c r="AO150" s="124">
        <v>43942</v>
      </c>
      <c r="AP150">
        <v>28.75</v>
      </c>
      <c r="AQ150">
        <v>27.75</v>
      </c>
      <c r="AR150">
        <v>26.5</v>
      </c>
      <c r="AS150" s="17">
        <v>27</v>
      </c>
      <c r="AT150">
        <v>25.125</v>
      </c>
      <c r="AU150">
        <v>24.875</v>
      </c>
      <c r="AV150">
        <v>24.75</v>
      </c>
      <c r="AW150">
        <v>24.25</v>
      </c>
      <c r="AX150">
        <v>24.25</v>
      </c>
      <c r="AY150" s="17">
        <v>26.5</v>
      </c>
      <c r="AZ150" s="7"/>
      <c r="BB150" s="124">
        <v>43942</v>
      </c>
      <c r="BC150" s="2">
        <v>101.39</v>
      </c>
      <c r="BD150" s="2">
        <v>66.010000000000005</v>
      </c>
      <c r="BE150" s="2">
        <v>53.43</v>
      </c>
      <c r="BF150" s="2">
        <v>46.89</v>
      </c>
      <c r="BG150" s="2">
        <v>46.89</v>
      </c>
      <c r="BH150" s="2">
        <v>45.89</v>
      </c>
      <c r="BI150" s="2">
        <v>42.92</v>
      </c>
      <c r="BJ150" s="2">
        <v>40.14</v>
      </c>
      <c r="BK150" s="2">
        <v>47.64</v>
      </c>
      <c r="BL150" s="2">
        <v>39.01</v>
      </c>
      <c r="BM150" s="7"/>
      <c r="BN150" s="7"/>
      <c r="BO150" s="128">
        <v>44257</v>
      </c>
      <c r="BP150" s="2">
        <v>15.3</v>
      </c>
      <c r="BQ150" s="2">
        <v>13.85</v>
      </c>
      <c r="BR150" s="2">
        <v>12.35</v>
      </c>
      <c r="BS150" s="2">
        <v>13.18</v>
      </c>
      <c r="BT150" s="2"/>
      <c r="BU150" s="2"/>
      <c r="BV150" s="7"/>
      <c r="BW150" s="128">
        <v>44257</v>
      </c>
      <c r="BX150" s="2">
        <v>59</v>
      </c>
      <c r="BY150" s="2">
        <v>46</v>
      </c>
      <c r="BZ150" s="2">
        <v>42.997999999999998</v>
      </c>
      <c r="CA150" s="2">
        <v>41.875</v>
      </c>
    </row>
    <row r="151" spans="1:79" x14ac:dyDescent="0.2">
      <c r="A151" s="124">
        <v>43943</v>
      </c>
      <c r="B151">
        <v>32.25</v>
      </c>
      <c r="C151">
        <v>27.75</v>
      </c>
      <c r="D151">
        <v>27</v>
      </c>
      <c r="E151" s="17">
        <v>25.875</v>
      </c>
      <c r="F151">
        <v>25.75</v>
      </c>
      <c r="G151">
        <v>25.25</v>
      </c>
      <c r="H151">
        <v>25.5</v>
      </c>
      <c r="I151">
        <v>25</v>
      </c>
      <c r="J151">
        <v>25.375</v>
      </c>
      <c r="K151" s="17">
        <v>26.25</v>
      </c>
      <c r="L151" s="7"/>
      <c r="N151" s="124">
        <v>43943</v>
      </c>
      <c r="O151" s="2">
        <v>90.762699999999995</v>
      </c>
      <c r="P151" s="2">
        <v>66.090850000000003</v>
      </c>
      <c r="Q151" s="2">
        <v>52.67</v>
      </c>
      <c r="R151" s="2">
        <v>48.516800000000003</v>
      </c>
      <c r="S151" s="2">
        <v>45.99</v>
      </c>
      <c r="T151" s="2">
        <v>45.375450000000001</v>
      </c>
      <c r="U151" s="2">
        <v>41.930199999999999</v>
      </c>
      <c r="V151" s="2">
        <v>39.213500000000003</v>
      </c>
      <c r="W151" s="2">
        <v>45.83</v>
      </c>
      <c r="X151" s="2">
        <v>39.356650000000002</v>
      </c>
      <c r="Y151" s="7"/>
      <c r="Z151" s="7"/>
      <c r="AA151" s="128">
        <v>44258</v>
      </c>
      <c r="AB151" s="2">
        <v>15.596083999999999</v>
      </c>
      <c r="AC151" s="2">
        <v>14.193916</v>
      </c>
      <c r="AD151" s="2">
        <v>12.665589000000001</v>
      </c>
      <c r="AE151" s="2">
        <v>13.244983</v>
      </c>
      <c r="AF151" s="2"/>
      <c r="AG151" s="2"/>
      <c r="AH151" s="7"/>
      <c r="AI151" s="128">
        <v>44258</v>
      </c>
      <c r="AJ151" s="2">
        <v>58.125</v>
      </c>
      <c r="AK151" s="2">
        <v>44.75</v>
      </c>
      <c r="AL151" s="2">
        <v>41.625</v>
      </c>
      <c r="AM151" s="2">
        <v>40.625</v>
      </c>
      <c r="AO151" s="124">
        <v>43943</v>
      </c>
      <c r="AP151">
        <v>28.5</v>
      </c>
      <c r="AQ151">
        <v>27.75</v>
      </c>
      <c r="AR151">
        <v>27</v>
      </c>
      <c r="AS151" s="17">
        <v>25.875</v>
      </c>
      <c r="AT151">
        <v>25.75</v>
      </c>
      <c r="AU151">
        <v>25.25</v>
      </c>
      <c r="AV151">
        <v>25.5</v>
      </c>
      <c r="AW151">
        <v>25</v>
      </c>
      <c r="AX151">
        <v>25.375</v>
      </c>
      <c r="AY151" s="17">
        <v>26.25</v>
      </c>
      <c r="AZ151" s="7"/>
      <c r="BB151" s="124">
        <v>43943</v>
      </c>
      <c r="BC151" s="2">
        <v>102.3</v>
      </c>
      <c r="BD151" s="2">
        <v>66.06</v>
      </c>
      <c r="BE151" s="2">
        <v>52.67</v>
      </c>
      <c r="BF151" s="2">
        <v>48.49</v>
      </c>
      <c r="BG151" s="2">
        <v>45.99</v>
      </c>
      <c r="BH151" s="2">
        <v>45.35</v>
      </c>
      <c r="BI151" s="2">
        <v>41.91</v>
      </c>
      <c r="BJ151" s="2">
        <v>39.19</v>
      </c>
      <c r="BK151" s="2">
        <v>45.83</v>
      </c>
      <c r="BL151" s="2">
        <v>39.33</v>
      </c>
      <c r="BM151" s="7"/>
      <c r="BN151" s="7"/>
      <c r="BO151" s="128">
        <v>44258</v>
      </c>
      <c r="BP151" s="2">
        <v>15.6</v>
      </c>
      <c r="BQ151" s="2">
        <v>14.19</v>
      </c>
      <c r="BR151" s="2">
        <v>12.67</v>
      </c>
      <c r="BS151" s="2">
        <v>13.68</v>
      </c>
      <c r="BT151" s="2"/>
      <c r="BU151" s="2"/>
      <c r="BV151" s="7"/>
      <c r="BW151" s="128">
        <v>44258</v>
      </c>
      <c r="BX151" s="2">
        <v>58.125</v>
      </c>
      <c r="BY151" s="2">
        <v>44.75</v>
      </c>
      <c r="BZ151" s="2">
        <v>41.625</v>
      </c>
      <c r="CA151" s="2">
        <v>40.625</v>
      </c>
    </row>
    <row r="152" spans="1:79" x14ac:dyDescent="0.2">
      <c r="A152" s="124">
        <v>43944</v>
      </c>
      <c r="B152">
        <v>32.25</v>
      </c>
      <c r="C152">
        <v>28.625</v>
      </c>
      <c r="D152">
        <v>28.5</v>
      </c>
      <c r="E152" s="17">
        <v>26.75</v>
      </c>
      <c r="F152">
        <v>27</v>
      </c>
      <c r="G152">
        <v>27</v>
      </c>
      <c r="H152">
        <v>27</v>
      </c>
      <c r="I152">
        <v>27</v>
      </c>
      <c r="J152">
        <v>27.25</v>
      </c>
      <c r="K152" s="17">
        <v>27.875</v>
      </c>
      <c r="L152" s="7"/>
      <c r="N152" s="124">
        <v>43944</v>
      </c>
      <c r="O152" s="2">
        <v>90.762699999999995</v>
      </c>
      <c r="P152" s="2">
        <v>64.556200000000004</v>
      </c>
      <c r="Q152" s="2">
        <v>50.5</v>
      </c>
      <c r="R152" s="2">
        <v>47.311900000000001</v>
      </c>
      <c r="S152" s="2">
        <v>44.29</v>
      </c>
      <c r="T152" s="2">
        <v>43.000749999999996</v>
      </c>
      <c r="U152" s="2">
        <v>40.040500000000002</v>
      </c>
      <c r="V152" s="2">
        <v>36.89725</v>
      </c>
      <c r="W152" s="2">
        <v>43.13</v>
      </c>
      <c r="X152" s="2">
        <v>37.375500000000002</v>
      </c>
      <c r="Y152" s="7"/>
      <c r="Z152" s="7"/>
      <c r="AA152" s="128">
        <v>44259</v>
      </c>
      <c r="AB152" s="2">
        <v>16.297056000000001</v>
      </c>
      <c r="AC152" s="2">
        <v>14.700578999999999</v>
      </c>
      <c r="AD152" s="2">
        <v>12.763165000000001</v>
      </c>
      <c r="AE152" s="2">
        <v>13.550473</v>
      </c>
      <c r="AF152" s="2"/>
      <c r="AG152" s="2"/>
      <c r="AH152" s="7"/>
      <c r="AI152" s="128">
        <v>44259</v>
      </c>
      <c r="AJ152" s="2">
        <v>56.125</v>
      </c>
      <c r="AK152" s="2">
        <v>43</v>
      </c>
      <c r="AL152" s="2">
        <v>41.250999999999998</v>
      </c>
      <c r="AM152" s="2">
        <v>39.875</v>
      </c>
      <c r="AO152" s="124">
        <v>43944</v>
      </c>
      <c r="AP152">
        <v>29.5</v>
      </c>
      <c r="AQ152">
        <v>28.625</v>
      </c>
      <c r="AR152">
        <v>28.5</v>
      </c>
      <c r="AS152" s="17">
        <v>26.75</v>
      </c>
      <c r="AT152">
        <v>27</v>
      </c>
      <c r="AU152">
        <v>27</v>
      </c>
      <c r="AV152">
        <v>27</v>
      </c>
      <c r="AW152">
        <v>27</v>
      </c>
      <c r="AX152">
        <v>27.25</v>
      </c>
      <c r="AY152" s="17">
        <v>27.875</v>
      </c>
      <c r="AZ152" s="7"/>
      <c r="BB152" s="124">
        <v>43944</v>
      </c>
      <c r="BC152" s="2">
        <v>99.55</v>
      </c>
      <c r="BD152" s="2">
        <v>64.53</v>
      </c>
      <c r="BE152" s="2">
        <v>50.5</v>
      </c>
      <c r="BF152" s="2">
        <v>47.29</v>
      </c>
      <c r="BG152" s="2">
        <v>44.29</v>
      </c>
      <c r="BH152" s="2">
        <v>42.98</v>
      </c>
      <c r="BI152" s="2">
        <v>40.020000000000003</v>
      </c>
      <c r="BJ152" s="2">
        <v>36.880000000000003</v>
      </c>
      <c r="BK152" s="2">
        <v>43.13</v>
      </c>
      <c r="BL152" s="2">
        <v>37.35</v>
      </c>
      <c r="BM152" s="7"/>
      <c r="BN152" s="7"/>
      <c r="BO152" s="128">
        <v>44259</v>
      </c>
      <c r="BP152" s="2">
        <v>16.3</v>
      </c>
      <c r="BQ152" s="2">
        <v>14.7</v>
      </c>
      <c r="BR152" s="2">
        <v>12.76</v>
      </c>
      <c r="BS152" s="2">
        <v>14.01</v>
      </c>
      <c r="BT152" s="2"/>
      <c r="BU152" s="2"/>
      <c r="BV152" s="7"/>
      <c r="BW152" s="128">
        <v>44259</v>
      </c>
      <c r="BX152" s="2">
        <v>56.125</v>
      </c>
      <c r="BY152" s="2">
        <v>43</v>
      </c>
      <c r="BZ152" s="2">
        <v>41.250999999999998</v>
      </c>
      <c r="CA152" s="2">
        <v>39.875</v>
      </c>
    </row>
    <row r="153" spans="1:79" x14ac:dyDescent="0.2">
      <c r="A153" s="124">
        <v>43945</v>
      </c>
      <c r="B153">
        <v>32.25</v>
      </c>
      <c r="C153">
        <v>28.75</v>
      </c>
      <c r="D153">
        <v>28.5</v>
      </c>
      <c r="E153" s="17">
        <v>27.125</v>
      </c>
      <c r="F153">
        <v>26.875</v>
      </c>
      <c r="G153">
        <v>27</v>
      </c>
      <c r="H153">
        <v>27</v>
      </c>
      <c r="I153">
        <v>27</v>
      </c>
      <c r="J153">
        <v>27</v>
      </c>
      <c r="K153" s="17">
        <v>27</v>
      </c>
      <c r="L153" s="7"/>
      <c r="N153" s="124">
        <v>43945</v>
      </c>
      <c r="O153" s="2">
        <v>90.762699999999995</v>
      </c>
      <c r="P153" s="2">
        <v>64.369799999999998</v>
      </c>
      <c r="Q153" s="2">
        <v>50.53</v>
      </c>
      <c r="R153" s="2">
        <v>46.80865</v>
      </c>
      <c r="S153" s="2">
        <v>44.47</v>
      </c>
      <c r="T153" s="2">
        <v>43.009700000000002</v>
      </c>
      <c r="U153" s="2">
        <v>40.044249999999998</v>
      </c>
      <c r="V153" s="2">
        <v>36.903199999999998</v>
      </c>
      <c r="W153" s="2">
        <v>43.47</v>
      </c>
      <c r="X153" s="2">
        <v>38.416649999999997</v>
      </c>
      <c r="Y153" s="7"/>
      <c r="Z153" s="7"/>
      <c r="AA153" s="128">
        <v>44260</v>
      </c>
      <c r="AB153" s="2">
        <v>16.834322</v>
      </c>
      <c r="AC153" s="2">
        <v>15.111005</v>
      </c>
      <c r="AD153" s="2">
        <v>13.258177999999999</v>
      </c>
      <c r="AE153" s="2">
        <v>14.102182000000001</v>
      </c>
      <c r="AF153" s="2"/>
      <c r="AG153" s="2"/>
      <c r="AH153" s="7"/>
      <c r="AI153" s="128">
        <v>44260</v>
      </c>
      <c r="AJ153" s="2">
        <v>54.625</v>
      </c>
      <c r="AK153" s="2">
        <v>41.625</v>
      </c>
      <c r="AL153" s="2">
        <v>39.25</v>
      </c>
      <c r="AM153" s="2">
        <v>38.5</v>
      </c>
      <c r="AO153" s="124">
        <v>43945</v>
      </c>
      <c r="AP153">
        <v>29.25</v>
      </c>
      <c r="AQ153">
        <v>28.75</v>
      </c>
      <c r="AR153">
        <v>28.5</v>
      </c>
      <c r="AS153" s="17">
        <v>27.125</v>
      </c>
      <c r="AT153">
        <v>26.875</v>
      </c>
      <c r="AU153">
        <v>27</v>
      </c>
      <c r="AV153">
        <v>27</v>
      </c>
      <c r="AW153">
        <v>27</v>
      </c>
      <c r="AX153">
        <v>27</v>
      </c>
      <c r="AY153" s="17">
        <v>27</v>
      </c>
      <c r="AZ153" s="7"/>
      <c r="BB153" s="124">
        <v>43945</v>
      </c>
      <c r="BC153" s="2">
        <v>100.43</v>
      </c>
      <c r="BD153" s="2">
        <v>64.349999999999994</v>
      </c>
      <c r="BE153" s="2">
        <v>50.53</v>
      </c>
      <c r="BF153" s="2">
        <v>46.79</v>
      </c>
      <c r="BG153" s="2">
        <v>44.47</v>
      </c>
      <c r="BH153" s="2">
        <v>42.99</v>
      </c>
      <c r="BI153" s="2">
        <v>40.020000000000003</v>
      </c>
      <c r="BJ153" s="2">
        <v>36.880000000000003</v>
      </c>
      <c r="BK153" s="2">
        <v>43.47</v>
      </c>
      <c r="BL153" s="2">
        <v>38.39</v>
      </c>
      <c r="BM153" s="7"/>
      <c r="BN153" s="7"/>
      <c r="BO153" s="128">
        <v>44260</v>
      </c>
      <c r="BP153" s="2">
        <v>16.829999999999998</v>
      </c>
      <c r="BQ153" s="2">
        <v>15.11</v>
      </c>
      <c r="BR153" s="2">
        <v>13.26</v>
      </c>
      <c r="BS153" s="2">
        <v>14.6</v>
      </c>
      <c r="BT153" s="2"/>
      <c r="BU153" s="2"/>
      <c r="BV153" s="7"/>
      <c r="BW153" s="128">
        <v>44260</v>
      </c>
      <c r="BX153" s="2">
        <v>54.625</v>
      </c>
      <c r="BY153" s="2">
        <v>41.625</v>
      </c>
      <c r="BZ153" s="2">
        <v>39.25</v>
      </c>
      <c r="CA153" s="2">
        <v>38.5</v>
      </c>
    </row>
    <row r="154" spans="1:79" x14ac:dyDescent="0.2">
      <c r="A154" s="124">
        <v>43948</v>
      </c>
      <c r="B154">
        <v>28.75</v>
      </c>
      <c r="C154">
        <v>28</v>
      </c>
      <c r="D154">
        <v>28</v>
      </c>
      <c r="E154" s="17">
        <v>26.875</v>
      </c>
      <c r="F154">
        <v>26.625</v>
      </c>
      <c r="G154">
        <v>26.625</v>
      </c>
      <c r="H154">
        <v>26.625</v>
      </c>
      <c r="I154">
        <v>26.75</v>
      </c>
      <c r="J154">
        <v>26.875</v>
      </c>
      <c r="K154" s="17">
        <v>27.125</v>
      </c>
      <c r="L154" s="7"/>
      <c r="N154" s="124">
        <v>43948</v>
      </c>
      <c r="O154" s="2">
        <v>102.13209999999999</v>
      </c>
      <c r="P154" s="2">
        <v>65.852350000000001</v>
      </c>
      <c r="Q154" s="2">
        <v>51.28</v>
      </c>
      <c r="R154" s="2">
        <v>47.167900000000003</v>
      </c>
      <c r="S154" s="2">
        <v>44.82</v>
      </c>
      <c r="T154" s="2">
        <v>43.511499999999998</v>
      </c>
      <c r="U154" s="2">
        <v>40.506149999999998</v>
      </c>
      <c r="V154" s="2">
        <v>37.185600000000001</v>
      </c>
      <c r="W154" s="2">
        <v>43.6</v>
      </c>
      <c r="X154" s="2">
        <v>38.2652</v>
      </c>
      <c r="Y154" s="7"/>
      <c r="Z154" s="7"/>
      <c r="AA154" s="128">
        <v>44263</v>
      </c>
      <c r="AB154" s="2">
        <v>16.977907999999999</v>
      </c>
      <c r="AC154" s="2">
        <v>15.191295</v>
      </c>
      <c r="AD154" s="2">
        <v>13.325139999999999</v>
      </c>
      <c r="AE154" s="2">
        <v>14.108086999999999</v>
      </c>
      <c r="AF154" s="2"/>
      <c r="AG154" s="2"/>
      <c r="AH154" s="7"/>
      <c r="AI154" s="128">
        <v>44263</v>
      </c>
      <c r="AJ154" s="2">
        <v>54.25</v>
      </c>
      <c r="AK154" s="2">
        <v>41.375</v>
      </c>
      <c r="AL154" s="2">
        <v>39</v>
      </c>
      <c r="AM154" s="2">
        <v>38.5</v>
      </c>
      <c r="AO154" s="124">
        <v>43948</v>
      </c>
      <c r="AP154">
        <v>28.75</v>
      </c>
      <c r="AQ154">
        <v>28</v>
      </c>
      <c r="AR154">
        <v>28</v>
      </c>
      <c r="AS154" s="17">
        <v>26.875</v>
      </c>
      <c r="AT154">
        <v>26.625</v>
      </c>
      <c r="AU154">
        <v>26.625</v>
      </c>
      <c r="AV154">
        <v>26.625</v>
      </c>
      <c r="AW154">
        <v>26.75</v>
      </c>
      <c r="AX154">
        <v>26.875</v>
      </c>
      <c r="AY154" s="17">
        <v>27.125</v>
      </c>
      <c r="AZ154" s="7"/>
      <c r="BB154" s="124">
        <v>43948</v>
      </c>
      <c r="BC154" s="2">
        <v>102.11</v>
      </c>
      <c r="BD154" s="2">
        <v>65.83</v>
      </c>
      <c r="BE154" s="2">
        <v>51.28</v>
      </c>
      <c r="BF154" s="2">
        <v>47.15</v>
      </c>
      <c r="BG154" s="2">
        <v>44.82</v>
      </c>
      <c r="BH154" s="2">
        <v>43.49</v>
      </c>
      <c r="BI154" s="2">
        <v>40.479999999999997</v>
      </c>
      <c r="BJ154" s="2">
        <v>37.17</v>
      </c>
      <c r="BK154" s="2">
        <v>43.6</v>
      </c>
      <c r="BL154" s="2">
        <v>38.24</v>
      </c>
      <c r="BM154" s="7"/>
      <c r="BN154" s="7"/>
      <c r="BO154" s="128">
        <v>44263</v>
      </c>
      <c r="BP154" s="2">
        <v>16.98</v>
      </c>
      <c r="BQ154" s="2">
        <v>15.19</v>
      </c>
      <c r="BR154" s="2">
        <v>13.33</v>
      </c>
      <c r="BS154" s="2">
        <v>14.61</v>
      </c>
      <c r="BT154" s="2"/>
      <c r="BU154" s="2"/>
      <c r="BV154" s="7"/>
      <c r="BW154" s="128">
        <v>44263</v>
      </c>
      <c r="BX154" s="2">
        <v>54.25</v>
      </c>
      <c r="BY154" s="2">
        <v>41.375</v>
      </c>
      <c r="BZ154" s="2">
        <v>39</v>
      </c>
      <c r="CA154" s="2">
        <v>38.5</v>
      </c>
    </row>
    <row r="155" spans="1:79" x14ac:dyDescent="0.2">
      <c r="A155" s="124">
        <v>43949</v>
      </c>
      <c r="B155">
        <v>28.375</v>
      </c>
      <c r="C155">
        <v>27.875</v>
      </c>
      <c r="D155">
        <v>27.875</v>
      </c>
      <c r="E155" s="17">
        <v>28</v>
      </c>
      <c r="F155">
        <v>26.25</v>
      </c>
      <c r="G155">
        <v>26.25</v>
      </c>
      <c r="H155">
        <v>26.25</v>
      </c>
      <c r="I155">
        <v>26.375</v>
      </c>
      <c r="J155">
        <v>26.75</v>
      </c>
      <c r="K155" s="17">
        <v>26.875</v>
      </c>
      <c r="L155" s="7"/>
      <c r="N155" s="124">
        <v>43949</v>
      </c>
      <c r="O155" s="2">
        <v>103.45265000000001</v>
      </c>
      <c r="P155" s="2">
        <v>66.146900000000002</v>
      </c>
      <c r="Q155" s="2">
        <v>51.49</v>
      </c>
      <c r="R155" s="2">
        <v>45.667450000000002</v>
      </c>
      <c r="S155" s="2">
        <v>45.34</v>
      </c>
      <c r="T155" s="2">
        <v>44.025449999999999</v>
      </c>
      <c r="U155" s="2">
        <v>40.978949999999998</v>
      </c>
      <c r="V155" s="2">
        <v>37.614199999999997</v>
      </c>
      <c r="W155" s="2">
        <v>43.83</v>
      </c>
      <c r="X155" s="2">
        <v>38.572249999999997</v>
      </c>
      <c r="Y155" s="7"/>
      <c r="Z155" s="7"/>
      <c r="AA155" s="128">
        <v>44264</v>
      </c>
      <c r="AB155" s="2">
        <v>17.260596</v>
      </c>
      <c r="AC155" s="2">
        <v>15.272219</v>
      </c>
      <c r="AD155" s="2">
        <v>13.265102000000001</v>
      </c>
      <c r="AE155" s="2">
        <v>14.164759</v>
      </c>
      <c r="AF155" s="2"/>
      <c r="AG155" s="2"/>
      <c r="AH155" s="7"/>
      <c r="AI155" s="128">
        <v>44264</v>
      </c>
      <c r="AJ155" s="2">
        <v>53.5</v>
      </c>
      <c r="AK155" s="2">
        <v>41.125</v>
      </c>
      <c r="AL155" s="2">
        <v>39.247999999999998</v>
      </c>
      <c r="AM155" s="2">
        <v>38.375</v>
      </c>
      <c r="AO155" s="124">
        <v>43949</v>
      </c>
      <c r="AP155">
        <v>28.375</v>
      </c>
      <c r="AQ155">
        <v>27.875</v>
      </c>
      <c r="AR155">
        <v>27.875</v>
      </c>
      <c r="AS155" s="17">
        <v>28</v>
      </c>
      <c r="AT155">
        <v>26.25</v>
      </c>
      <c r="AU155">
        <v>26.25</v>
      </c>
      <c r="AV155">
        <v>26.25</v>
      </c>
      <c r="AW155">
        <v>26.375</v>
      </c>
      <c r="AX155">
        <v>26.75</v>
      </c>
      <c r="AY155" s="17">
        <v>26.875</v>
      </c>
      <c r="AZ155" s="7"/>
      <c r="BB155" s="124">
        <v>43949</v>
      </c>
      <c r="BC155" s="2">
        <v>103.43</v>
      </c>
      <c r="BD155" s="2">
        <v>66.12</v>
      </c>
      <c r="BE155" s="2">
        <v>51.49</v>
      </c>
      <c r="BF155" s="2">
        <v>45.65</v>
      </c>
      <c r="BG155" s="2">
        <v>45.34</v>
      </c>
      <c r="BH155" s="2">
        <v>44</v>
      </c>
      <c r="BI155" s="2">
        <v>40.96</v>
      </c>
      <c r="BJ155" s="2">
        <v>37.590000000000003</v>
      </c>
      <c r="BK155" s="2">
        <v>43.83</v>
      </c>
      <c r="BL155" s="2">
        <v>38.549999999999997</v>
      </c>
      <c r="BM155" s="7"/>
      <c r="BN155" s="7"/>
      <c r="BO155" s="128">
        <v>44264</v>
      </c>
      <c r="BP155" s="2">
        <v>17.260000000000002</v>
      </c>
      <c r="BQ155" s="2">
        <v>15.27</v>
      </c>
      <c r="BR155" s="2">
        <v>13.27</v>
      </c>
      <c r="BS155" s="2">
        <v>14.67</v>
      </c>
      <c r="BT155" s="2"/>
      <c r="BU155" s="2"/>
      <c r="BV155" s="7"/>
      <c r="BW155" s="128">
        <v>44264</v>
      </c>
      <c r="BX155" s="2">
        <v>53.5</v>
      </c>
      <c r="BY155" s="2">
        <v>41.125</v>
      </c>
      <c r="BZ155" s="2">
        <v>39.247999999999998</v>
      </c>
      <c r="CA155" s="2">
        <v>38.375</v>
      </c>
    </row>
    <row r="156" spans="1:79" x14ac:dyDescent="0.2">
      <c r="A156" s="124">
        <v>43950</v>
      </c>
      <c r="B156">
        <v>31.625</v>
      </c>
      <c r="C156">
        <v>30.25</v>
      </c>
      <c r="D156">
        <v>30.625</v>
      </c>
      <c r="E156" s="17">
        <v>28.625</v>
      </c>
      <c r="F156">
        <v>28.5</v>
      </c>
      <c r="G156">
        <v>27.75</v>
      </c>
      <c r="H156">
        <v>27.75</v>
      </c>
      <c r="I156">
        <v>29.125</v>
      </c>
      <c r="J156">
        <v>28.375</v>
      </c>
      <c r="K156" s="17">
        <v>29.375</v>
      </c>
      <c r="L156" s="7"/>
      <c r="N156" s="124">
        <v>43950</v>
      </c>
      <c r="O156" s="2">
        <v>93.838899999999995</v>
      </c>
      <c r="P156" s="2">
        <v>61.79045</v>
      </c>
      <c r="Q156" s="2">
        <v>47.68</v>
      </c>
      <c r="R156" s="2">
        <v>44.876849999999997</v>
      </c>
      <c r="S156" s="2">
        <v>42.43</v>
      </c>
      <c r="T156" s="2">
        <v>42.084000000000003</v>
      </c>
      <c r="U156" s="2">
        <v>39.170349999999999</v>
      </c>
      <c r="V156" s="2">
        <v>34.726649999999999</v>
      </c>
      <c r="W156" s="2">
        <v>41.63</v>
      </c>
      <c r="X156" s="2">
        <v>35.730350000000001</v>
      </c>
      <c r="Y156" s="7"/>
      <c r="Z156" s="7"/>
      <c r="AA156" s="128">
        <v>44265</v>
      </c>
      <c r="AB156" s="2">
        <v>17.361740000000001</v>
      </c>
      <c r="AC156" s="2">
        <v>14.975324000000001</v>
      </c>
      <c r="AD156" s="2">
        <v>13.080016000000001</v>
      </c>
      <c r="AE156" s="2">
        <v>14.324166999999999</v>
      </c>
      <c r="AF156" s="2"/>
      <c r="AG156" s="2"/>
      <c r="AH156" s="7"/>
      <c r="AI156" s="128">
        <v>44265</v>
      </c>
      <c r="AJ156" s="2">
        <v>53.25</v>
      </c>
      <c r="AK156" s="2">
        <v>42.125</v>
      </c>
      <c r="AL156" s="2">
        <v>39.997999999999998</v>
      </c>
      <c r="AM156" s="2">
        <v>38</v>
      </c>
      <c r="AO156" s="124">
        <v>43950</v>
      </c>
      <c r="AP156">
        <v>31.625</v>
      </c>
      <c r="AQ156">
        <v>30.25</v>
      </c>
      <c r="AR156">
        <v>30.625</v>
      </c>
      <c r="AS156" s="17">
        <v>28.625</v>
      </c>
      <c r="AT156">
        <v>28.5</v>
      </c>
      <c r="AU156">
        <v>27.75</v>
      </c>
      <c r="AV156">
        <v>27.75</v>
      </c>
      <c r="AW156">
        <v>29.125</v>
      </c>
      <c r="AX156">
        <v>28.375</v>
      </c>
      <c r="AY156" s="17">
        <v>29.375</v>
      </c>
      <c r="AZ156" s="7"/>
      <c r="BB156" s="124">
        <v>43950</v>
      </c>
      <c r="BC156" s="2">
        <v>94.16</v>
      </c>
      <c r="BD156" s="2">
        <v>61.91</v>
      </c>
      <c r="BE156" s="2">
        <v>47.75</v>
      </c>
      <c r="BF156" s="2">
        <v>44.9</v>
      </c>
      <c r="BG156" s="2">
        <v>42.46</v>
      </c>
      <c r="BH156" s="2">
        <v>42.09</v>
      </c>
      <c r="BI156" s="2">
        <v>39.159999999999997</v>
      </c>
      <c r="BJ156" s="2">
        <v>34.729999999999997</v>
      </c>
      <c r="BK156" s="2">
        <v>41.64</v>
      </c>
      <c r="BL156" s="2">
        <v>35.72</v>
      </c>
      <c r="BM156" s="7"/>
      <c r="BN156" s="7"/>
      <c r="BO156" s="128">
        <v>44265</v>
      </c>
      <c r="BP156" s="2">
        <v>17.36</v>
      </c>
      <c r="BQ156" s="2">
        <v>14.98</v>
      </c>
      <c r="BR156" s="2">
        <v>13.08</v>
      </c>
      <c r="BS156" s="2">
        <v>14.84</v>
      </c>
      <c r="BT156" s="2"/>
      <c r="BU156" s="2"/>
      <c r="BV156" s="7"/>
      <c r="BW156" s="128">
        <v>44265</v>
      </c>
      <c r="BX156" s="2">
        <v>53.25</v>
      </c>
      <c r="BY156" s="2">
        <v>42.125</v>
      </c>
      <c r="BZ156" s="2">
        <v>39.997999999999998</v>
      </c>
      <c r="CA156" s="2">
        <v>38</v>
      </c>
    </row>
    <row r="157" spans="1:79" x14ac:dyDescent="0.2">
      <c r="A157" s="124">
        <v>43951</v>
      </c>
      <c r="B157">
        <v>32.5</v>
      </c>
      <c r="C157">
        <v>31.75</v>
      </c>
      <c r="D157">
        <v>31.875</v>
      </c>
      <c r="E157" s="17">
        <v>29.25</v>
      </c>
      <c r="F157">
        <v>28.75</v>
      </c>
      <c r="G157">
        <v>29</v>
      </c>
      <c r="H157">
        <v>29.25</v>
      </c>
      <c r="I157">
        <v>29.125</v>
      </c>
      <c r="J157">
        <v>29.25</v>
      </c>
      <c r="K157" s="17">
        <v>29.25</v>
      </c>
      <c r="L157" s="7"/>
      <c r="N157" s="124">
        <v>43951</v>
      </c>
      <c r="O157" s="2">
        <v>91.777249999999995</v>
      </c>
      <c r="P157" s="2">
        <v>59.374200000000002</v>
      </c>
      <c r="Q157" s="2">
        <v>46.16</v>
      </c>
      <c r="R157" s="2">
        <v>44.139000000000003</v>
      </c>
      <c r="S157" s="2">
        <v>42.16</v>
      </c>
      <c r="T157" s="2">
        <v>40.612499999999997</v>
      </c>
      <c r="U157" s="2">
        <v>37.524549999999998</v>
      </c>
      <c r="V157" s="2">
        <v>34.744</v>
      </c>
      <c r="W157" s="2">
        <v>40.57</v>
      </c>
      <c r="X157" s="2">
        <v>35.865850000000002</v>
      </c>
      <c r="Y157" s="7"/>
      <c r="Z157" s="7"/>
      <c r="AA157" s="128">
        <v>44266</v>
      </c>
      <c r="AB157" s="2">
        <v>17.111146000000002</v>
      </c>
      <c r="AC157" s="2">
        <v>14.915087</v>
      </c>
      <c r="AD157" s="2">
        <v>12.966101</v>
      </c>
      <c r="AE157" s="2">
        <v>14.036530000000001</v>
      </c>
      <c r="AF157" s="2"/>
      <c r="AG157" s="2"/>
      <c r="AH157" s="7"/>
      <c r="AI157" s="128">
        <v>44266</v>
      </c>
      <c r="AJ157" s="2">
        <v>54</v>
      </c>
      <c r="AK157" s="2">
        <v>42.375</v>
      </c>
      <c r="AL157" s="2">
        <v>40.499000000000002</v>
      </c>
      <c r="AM157" s="2">
        <v>38.75</v>
      </c>
      <c r="AO157" s="124">
        <v>43951</v>
      </c>
      <c r="AP157">
        <v>32.5</v>
      </c>
      <c r="AQ157">
        <v>31.75</v>
      </c>
      <c r="AR157">
        <v>31.875</v>
      </c>
      <c r="AS157" s="17">
        <v>29.25</v>
      </c>
      <c r="AT157">
        <v>28.75</v>
      </c>
      <c r="AU157">
        <v>29</v>
      </c>
      <c r="AV157">
        <v>29.25</v>
      </c>
      <c r="AW157">
        <v>29.125</v>
      </c>
      <c r="AX157">
        <v>29.25</v>
      </c>
      <c r="AY157" s="17">
        <v>29.25</v>
      </c>
      <c r="AZ157" s="7"/>
      <c r="BB157" s="124">
        <v>43951</v>
      </c>
      <c r="BC157" s="2">
        <v>91.87</v>
      </c>
      <c r="BD157" s="2">
        <v>59.4</v>
      </c>
      <c r="BE157" s="2">
        <v>46.18</v>
      </c>
      <c r="BF157" s="2">
        <v>44.14</v>
      </c>
      <c r="BG157" s="2">
        <v>42.17</v>
      </c>
      <c r="BH157" s="2">
        <v>40.6</v>
      </c>
      <c r="BI157" s="2">
        <v>37.51</v>
      </c>
      <c r="BJ157" s="2">
        <v>34.74</v>
      </c>
      <c r="BK157" s="2">
        <v>40.58</v>
      </c>
      <c r="BL157" s="2">
        <v>35.85</v>
      </c>
      <c r="BM157" s="7"/>
      <c r="BN157" s="7"/>
      <c r="BO157" s="128">
        <v>44266</v>
      </c>
      <c r="BP157" s="2">
        <v>17.11</v>
      </c>
      <c r="BQ157" s="2">
        <v>14.92</v>
      </c>
      <c r="BR157" s="2">
        <v>12.97</v>
      </c>
      <c r="BS157" s="2">
        <v>14.53</v>
      </c>
      <c r="BT157" s="2"/>
      <c r="BU157" s="2"/>
      <c r="BV157" s="7"/>
      <c r="BW157" s="128">
        <v>44266</v>
      </c>
      <c r="BX157" s="2">
        <v>54</v>
      </c>
      <c r="BY157" s="2">
        <v>42.375</v>
      </c>
      <c r="BZ157" s="2">
        <v>40.499000000000002</v>
      </c>
      <c r="CA157" s="2">
        <v>38.75</v>
      </c>
    </row>
    <row r="158" spans="1:79" x14ac:dyDescent="0.2">
      <c r="A158" s="124">
        <v>43952</v>
      </c>
      <c r="B158">
        <v>33.25</v>
      </c>
      <c r="C158">
        <v>32.75</v>
      </c>
      <c r="D158">
        <v>33</v>
      </c>
      <c r="E158" s="17">
        <v>29.75</v>
      </c>
      <c r="F158">
        <v>29.75</v>
      </c>
      <c r="G158">
        <v>29.375</v>
      </c>
      <c r="H158">
        <v>29.375</v>
      </c>
      <c r="I158">
        <v>29.75</v>
      </c>
      <c r="J158">
        <v>30.125</v>
      </c>
      <c r="K158" s="17">
        <v>30.5</v>
      </c>
      <c r="L158" s="7"/>
      <c r="N158" s="124">
        <v>43952</v>
      </c>
      <c r="O158" s="2">
        <v>89.898200000000003</v>
      </c>
      <c r="P158" s="2">
        <v>57.801349999999999</v>
      </c>
      <c r="Q158" s="2">
        <v>44.81</v>
      </c>
      <c r="R158" s="2">
        <v>43.544750000000001</v>
      </c>
      <c r="S158" s="2">
        <v>41</v>
      </c>
      <c r="T158" s="2">
        <v>40.192</v>
      </c>
      <c r="U158" s="2">
        <v>37.396749999999997</v>
      </c>
      <c r="V158" s="2">
        <v>34.151649999999997</v>
      </c>
      <c r="W158" s="2">
        <v>39.57</v>
      </c>
      <c r="X158" s="2">
        <v>34.596200000000003</v>
      </c>
      <c r="Y158" s="7"/>
      <c r="Z158" s="7"/>
      <c r="AA158" s="128">
        <v>44267</v>
      </c>
      <c r="AB158" s="2">
        <v>16.983112999999999</v>
      </c>
      <c r="AC158" s="2">
        <v>14.809509</v>
      </c>
      <c r="AD158" s="2">
        <v>12.968976</v>
      </c>
      <c r="AE158" s="2">
        <v>13.941943</v>
      </c>
      <c r="AF158" s="2"/>
      <c r="AG158" s="2"/>
      <c r="AH158" s="7"/>
      <c r="AI158" s="128">
        <v>44267</v>
      </c>
      <c r="AJ158" s="2">
        <v>54.375</v>
      </c>
      <c r="AK158" s="2">
        <v>42.75</v>
      </c>
      <c r="AL158" s="2">
        <v>40.5</v>
      </c>
      <c r="AM158" s="2">
        <v>39</v>
      </c>
      <c r="AO158" s="124">
        <v>43952</v>
      </c>
      <c r="AP158">
        <v>33.25</v>
      </c>
      <c r="AQ158">
        <v>32.75</v>
      </c>
      <c r="AR158">
        <v>33</v>
      </c>
      <c r="AS158" s="17">
        <v>29.75</v>
      </c>
      <c r="AT158">
        <v>29.75</v>
      </c>
      <c r="AU158">
        <v>29.375</v>
      </c>
      <c r="AV158">
        <v>29.375</v>
      </c>
      <c r="AW158">
        <v>29.75</v>
      </c>
      <c r="AX158">
        <v>30.125</v>
      </c>
      <c r="AY158" s="17">
        <v>30.5</v>
      </c>
      <c r="AZ158" s="7"/>
      <c r="BB158" s="124">
        <v>43952</v>
      </c>
      <c r="BC158" s="2">
        <v>89.88</v>
      </c>
      <c r="BD158" s="2">
        <v>57.78</v>
      </c>
      <c r="BE158" s="2">
        <v>44.81</v>
      </c>
      <c r="BF158" s="2">
        <v>43.53</v>
      </c>
      <c r="BG158" s="2">
        <v>41</v>
      </c>
      <c r="BH158" s="2">
        <v>40.17</v>
      </c>
      <c r="BI158" s="2">
        <v>37.380000000000003</v>
      </c>
      <c r="BJ158" s="2">
        <v>34.14</v>
      </c>
      <c r="BK158" s="2">
        <v>39.57</v>
      </c>
      <c r="BL158" s="2">
        <v>34.58</v>
      </c>
      <c r="BM158" s="7"/>
      <c r="BN158" s="7"/>
      <c r="BO158" s="128">
        <v>44267</v>
      </c>
      <c r="BP158" s="2">
        <v>16.98</v>
      </c>
      <c r="BQ158" s="2">
        <v>14.81</v>
      </c>
      <c r="BR158" s="2">
        <v>12.97</v>
      </c>
      <c r="BS158" s="2">
        <v>14.43</v>
      </c>
      <c r="BT158" s="2"/>
      <c r="BU158" s="2"/>
      <c r="BV158" s="7"/>
      <c r="BW158" s="128">
        <v>44267</v>
      </c>
      <c r="BX158" s="2">
        <v>54.375</v>
      </c>
      <c r="BY158" s="2">
        <v>42.75</v>
      </c>
      <c r="BZ158" s="2">
        <v>40.5</v>
      </c>
      <c r="CA158" s="2">
        <v>39</v>
      </c>
    </row>
    <row r="159" spans="1:79" x14ac:dyDescent="0.2">
      <c r="A159" s="124">
        <v>43955</v>
      </c>
      <c r="B159">
        <v>34.75</v>
      </c>
      <c r="C159">
        <v>33.5</v>
      </c>
      <c r="D159">
        <v>34.375</v>
      </c>
      <c r="E159" s="17">
        <v>30.75</v>
      </c>
      <c r="F159">
        <v>30.125</v>
      </c>
      <c r="G159">
        <v>30.125</v>
      </c>
      <c r="H159">
        <v>30.125</v>
      </c>
      <c r="I159">
        <v>30.375</v>
      </c>
      <c r="J159">
        <v>30.125</v>
      </c>
      <c r="K159" s="17">
        <v>31.5</v>
      </c>
      <c r="L159" s="7"/>
      <c r="N159" s="124">
        <v>43955</v>
      </c>
      <c r="O159" s="2">
        <v>86.2012</v>
      </c>
      <c r="P159" s="2">
        <v>56.673250000000003</v>
      </c>
      <c r="Q159" s="2">
        <v>43.25</v>
      </c>
      <c r="R159" s="2">
        <v>42.38335</v>
      </c>
      <c r="S159" s="2">
        <v>40.58</v>
      </c>
      <c r="T159" s="2">
        <v>39.36815</v>
      </c>
      <c r="U159" s="2">
        <v>36.628100000000003</v>
      </c>
      <c r="V159" s="2">
        <v>33.57855</v>
      </c>
      <c r="W159" s="2">
        <v>39.57</v>
      </c>
      <c r="X159" s="2">
        <v>33.646299999999997</v>
      </c>
      <c r="Y159" s="7"/>
      <c r="Z159" s="7"/>
      <c r="AA159" s="128">
        <v>44270</v>
      </c>
      <c r="AB159" s="2">
        <v>16.811228</v>
      </c>
      <c r="AC159" s="2">
        <v>14.777597</v>
      </c>
      <c r="AD159" s="2">
        <v>12.971852999999999</v>
      </c>
      <c r="AE159" s="2">
        <v>13.997963</v>
      </c>
      <c r="AF159" s="2"/>
      <c r="AG159" s="2"/>
      <c r="AH159" s="7"/>
      <c r="AI159" s="128">
        <v>44270</v>
      </c>
      <c r="AJ159" s="2">
        <v>54.875</v>
      </c>
      <c r="AK159" s="2">
        <v>42.875</v>
      </c>
      <c r="AL159" s="2">
        <v>40.500999999999998</v>
      </c>
      <c r="AM159" s="2">
        <v>38.875</v>
      </c>
      <c r="AO159" s="124">
        <v>43955</v>
      </c>
      <c r="AP159">
        <v>34.75</v>
      </c>
      <c r="AQ159">
        <v>33.5</v>
      </c>
      <c r="AR159">
        <v>34.375</v>
      </c>
      <c r="AS159" s="17">
        <v>30.75</v>
      </c>
      <c r="AT159">
        <v>30.125</v>
      </c>
      <c r="AU159">
        <v>30.125</v>
      </c>
      <c r="AV159">
        <v>30.125</v>
      </c>
      <c r="AW159">
        <v>30.375</v>
      </c>
      <c r="AX159">
        <v>30.125</v>
      </c>
      <c r="AY159" s="17">
        <v>31.5</v>
      </c>
      <c r="AZ159" s="7"/>
      <c r="BB159" s="124">
        <v>43955</v>
      </c>
      <c r="BC159" s="2">
        <v>86.19</v>
      </c>
      <c r="BD159" s="2">
        <v>56.66</v>
      </c>
      <c r="BE159" s="2">
        <v>43.25</v>
      </c>
      <c r="BF159" s="2">
        <v>42.37</v>
      </c>
      <c r="BG159" s="2">
        <v>40.58</v>
      </c>
      <c r="BH159" s="2">
        <v>39.35</v>
      </c>
      <c r="BI159" s="2">
        <v>36.61</v>
      </c>
      <c r="BJ159" s="2">
        <v>33.57</v>
      </c>
      <c r="BK159" s="2">
        <v>39.57</v>
      </c>
      <c r="BL159" s="2">
        <v>33.630000000000003</v>
      </c>
      <c r="BM159" s="7"/>
      <c r="BN159" s="7"/>
      <c r="BO159" s="128">
        <v>44270</v>
      </c>
      <c r="BP159" s="2">
        <v>16.809999999999999</v>
      </c>
      <c r="BQ159" s="2">
        <v>14.78</v>
      </c>
      <c r="BR159" s="2">
        <v>12.97</v>
      </c>
      <c r="BS159" s="2">
        <v>14.49</v>
      </c>
      <c r="BT159" s="2"/>
      <c r="BU159" s="2"/>
      <c r="BV159" s="7"/>
      <c r="BW159" s="128">
        <v>44270</v>
      </c>
      <c r="BX159" s="2">
        <v>54.875</v>
      </c>
      <c r="BY159" s="2">
        <v>42.875</v>
      </c>
      <c r="BZ159" s="2">
        <v>40.500999999999998</v>
      </c>
      <c r="CA159" s="2">
        <v>38.875</v>
      </c>
    </row>
    <row r="160" spans="1:79" x14ac:dyDescent="0.2">
      <c r="A160" s="124">
        <v>43956</v>
      </c>
      <c r="B160">
        <v>36.125</v>
      </c>
      <c r="C160">
        <v>35.25</v>
      </c>
      <c r="D160">
        <v>35.75</v>
      </c>
      <c r="E160" s="17">
        <v>31.875</v>
      </c>
      <c r="F160">
        <v>32.625</v>
      </c>
      <c r="G160">
        <v>32.625</v>
      </c>
      <c r="H160">
        <v>33</v>
      </c>
      <c r="I160">
        <v>32.5</v>
      </c>
      <c r="J160">
        <v>32.625</v>
      </c>
      <c r="K160" s="17">
        <v>32.75</v>
      </c>
      <c r="L160" s="7"/>
      <c r="N160" s="124">
        <v>43956</v>
      </c>
      <c r="O160" s="2">
        <v>83.004199999999997</v>
      </c>
      <c r="P160" s="2">
        <v>54.110999999999997</v>
      </c>
      <c r="Q160" s="2">
        <v>41.76</v>
      </c>
      <c r="R160" s="2">
        <v>41.13635</v>
      </c>
      <c r="S160" s="2">
        <v>37.97</v>
      </c>
      <c r="T160" s="2">
        <v>36.826149999999998</v>
      </c>
      <c r="U160" s="2">
        <v>33.93385</v>
      </c>
      <c r="V160" s="2">
        <v>31.746700000000001</v>
      </c>
      <c r="W160" s="2">
        <v>36.950000000000003</v>
      </c>
      <c r="X160" s="2">
        <v>32.531599999999997</v>
      </c>
      <c r="Y160" s="7"/>
      <c r="Z160" s="7"/>
      <c r="AA160" s="128">
        <v>44271</v>
      </c>
      <c r="AB160" s="2">
        <v>15.695285999999999</v>
      </c>
      <c r="AC160" s="2">
        <v>14.045121</v>
      </c>
      <c r="AD160" s="2">
        <v>12.415442000000001</v>
      </c>
      <c r="AE160" s="2">
        <v>13.269228</v>
      </c>
      <c r="AF160" s="2"/>
      <c r="AG160" s="2"/>
      <c r="AH160" s="7"/>
      <c r="AI160" s="128">
        <v>44271</v>
      </c>
      <c r="AJ160" s="2">
        <v>58.125</v>
      </c>
      <c r="AK160" s="2">
        <v>45.5</v>
      </c>
      <c r="AL160" s="2">
        <v>42.875</v>
      </c>
      <c r="AM160" s="2">
        <v>40.75</v>
      </c>
      <c r="AO160" s="124">
        <v>43956</v>
      </c>
      <c r="AP160">
        <v>36.125</v>
      </c>
      <c r="AQ160">
        <v>35.25</v>
      </c>
      <c r="AR160">
        <v>35.75</v>
      </c>
      <c r="AS160" s="17">
        <v>31.875</v>
      </c>
      <c r="AT160">
        <v>32.625</v>
      </c>
      <c r="AU160">
        <v>32.625</v>
      </c>
      <c r="AV160">
        <v>33</v>
      </c>
      <c r="AW160">
        <v>32.5</v>
      </c>
      <c r="AX160">
        <v>32.625</v>
      </c>
      <c r="AY160" s="17">
        <v>32.75</v>
      </c>
      <c r="AZ160" s="7"/>
      <c r="BB160" s="124">
        <v>43956</v>
      </c>
      <c r="BC160" s="2">
        <v>82.99</v>
      </c>
      <c r="BD160" s="2">
        <v>54.1</v>
      </c>
      <c r="BE160" s="2">
        <v>41.76</v>
      </c>
      <c r="BF160" s="2">
        <v>41.12</v>
      </c>
      <c r="BG160" s="2">
        <v>37.97</v>
      </c>
      <c r="BH160" s="2">
        <v>36.81</v>
      </c>
      <c r="BI160" s="2">
        <v>33.92</v>
      </c>
      <c r="BJ160" s="2">
        <v>31.74</v>
      </c>
      <c r="BK160" s="2">
        <v>36.950000000000003</v>
      </c>
      <c r="BL160" s="2">
        <v>32.520000000000003</v>
      </c>
      <c r="BM160" s="7"/>
      <c r="BN160" s="7"/>
      <c r="BO160" s="128">
        <v>44271</v>
      </c>
      <c r="BP160" s="2">
        <v>15.7</v>
      </c>
      <c r="BQ160" s="2">
        <v>14.05</v>
      </c>
      <c r="BR160" s="2">
        <v>12.42</v>
      </c>
      <c r="BS160" s="2">
        <v>13.71</v>
      </c>
      <c r="BT160" s="2"/>
      <c r="BU160" s="2"/>
      <c r="BV160" s="7"/>
      <c r="BW160" s="128">
        <v>44271</v>
      </c>
      <c r="BX160" s="2">
        <v>58.125</v>
      </c>
      <c r="BY160" s="2">
        <v>45.5</v>
      </c>
      <c r="BZ160" s="2">
        <v>42.875</v>
      </c>
      <c r="CA160" s="2">
        <v>40.75</v>
      </c>
    </row>
    <row r="161" spans="1:79" x14ac:dyDescent="0.2">
      <c r="A161" s="124">
        <v>43957</v>
      </c>
      <c r="B161">
        <v>36.125</v>
      </c>
      <c r="C161">
        <v>34.625</v>
      </c>
      <c r="D161">
        <v>34.625</v>
      </c>
      <c r="E161" s="17">
        <v>31.625</v>
      </c>
      <c r="F161">
        <v>32.25</v>
      </c>
      <c r="G161">
        <v>32.375</v>
      </c>
      <c r="H161">
        <v>32.25</v>
      </c>
      <c r="I161">
        <v>31.75</v>
      </c>
      <c r="J161">
        <v>32.25</v>
      </c>
      <c r="K161" s="17">
        <v>32.125</v>
      </c>
      <c r="L161" s="7"/>
      <c r="N161" s="124">
        <v>43957</v>
      </c>
      <c r="O161" s="2">
        <v>83.103250000000003</v>
      </c>
      <c r="P161" s="2">
        <v>55.061950000000003</v>
      </c>
      <c r="Q161" s="2">
        <v>43.01</v>
      </c>
      <c r="R161" s="2">
        <v>41.424849999999999</v>
      </c>
      <c r="S161" s="2">
        <v>38.36</v>
      </c>
      <c r="T161" s="2">
        <v>37.074750000000002</v>
      </c>
      <c r="U161" s="2">
        <v>34.604999999999997</v>
      </c>
      <c r="V161" s="2">
        <v>32.379049999999999</v>
      </c>
      <c r="W161" s="2">
        <v>37.32</v>
      </c>
      <c r="X161" s="2">
        <v>33.081800000000001</v>
      </c>
      <c r="Y161" s="7"/>
      <c r="Z161" s="7"/>
      <c r="AA161" s="128">
        <v>44272</v>
      </c>
      <c r="AB161" s="2">
        <v>15.870810000000001</v>
      </c>
      <c r="AC161" s="2">
        <v>14.151452000000001</v>
      </c>
      <c r="AD161" s="2">
        <v>12.418392000000001</v>
      </c>
      <c r="AE161" s="2">
        <v>13.467017</v>
      </c>
      <c r="AF161" s="2"/>
      <c r="AG161" s="2"/>
      <c r="AH161" s="7"/>
      <c r="AI161" s="128">
        <v>44272</v>
      </c>
      <c r="AJ161" s="2">
        <v>57.625</v>
      </c>
      <c r="AK161" s="2">
        <v>45.125</v>
      </c>
      <c r="AL161" s="2">
        <v>42.875</v>
      </c>
      <c r="AM161" s="2">
        <v>40.25</v>
      </c>
      <c r="AO161" s="124">
        <v>43957</v>
      </c>
      <c r="AP161">
        <v>36.125</v>
      </c>
      <c r="AQ161">
        <v>34.625</v>
      </c>
      <c r="AR161">
        <v>34.625</v>
      </c>
      <c r="AS161" s="17">
        <v>31.625</v>
      </c>
      <c r="AT161">
        <v>32.25</v>
      </c>
      <c r="AU161">
        <v>32.375</v>
      </c>
      <c r="AV161">
        <v>32.25</v>
      </c>
      <c r="AW161">
        <v>31.75</v>
      </c>
      <c r="AX161">
        <v>32.25</v>
      </c>
      <c r="AY161" s="17">
        <v>32.125</v>
      </c>
      <c r="AZ161" s="7"/>
      <c r="BB161" s="124">
        <v>43957</v>
      </c>
      <c r="BC161" s="2">
        <v>83.09</v>
      </c>
      <c r="BD161" s="2">
        <v>55.05</v>
      </c>
      <c r="BE161" s="2">
        <v>43.01</v>
      </c>
      <c r="BF161" s="2">
        <v>41.41</v>
      </c>
      <c r="BG161" s="2">
        <v>38.36</v>
      </c>
      <c r="BH161" s="2">
        <v>37.06</v>
      </c>
      <c r="BI161" s="2">
        <v>34.590000000000003</v>
      </c>
      <c r="BJ161" s="2">
        <v>32.369999999999997</v>
      </c>
      <c r="BK161" s="2">
        <v>37.32</v>
      </c>
      <c r="BL161" s="2">
        <v>33.07</v>
      </c>
      <c r="BM161" s="7"/>
      <c r="BN161" s="7"/>
      <c r="BO161" s="128">
        <v>44272</v>
      </c>
      <c r="BP161" s="2">
        <v>15.87</v>
      </c>
      <c r="BQ161" s="2">
        <v>14.15</v>
      </c>
      <c r="BR161" s="2">
        <v>12.42</v>
      </c>
      <c r="BS161" s="2">
        <v>13.92</v>
      </c>
      <c r="BT161" s="2"/>
      <c r="BU161" s="2"/>
      <c r="BV161" s="7"/>
      <c r="BW161" s="128">
        <v>44272</v>
      </c>
      <c r="BX161" s="2">
        <v>57.625</v>
      </c>
      <c r="BY161" s="2">
        <v>45.125</v>
      </c>
      <c r="BZ161" s="2">
        <v>42.875</v>
      </c>
      <c r="CA161" s="2">
        <v>40.25</v>
      </c>
    </row>
    <row r="162" spans="1:79" x14ac:dyDescent="0.2">
      <c r="A162" s="124">
        <v>43958</v>
      </c>
      <c r="B162">
        <v>37</v>
      </c>
      <c r="C162">
        <v>34.625</v>
      </c>
      <c r="D162">
        <v>35.375</v>
      </c>
      <c r="E162" s="17">
        <v>33.25</v>
      </c>
      <c r="F162">
        <v>33.25</v>
      </c>
      <c r="G162">
        <v>33.375</v>
      </c>
      <c r="H162">
        <v>33.25</v>
      </c>
      <c r="I162">
        <v>32.875</v>
      </c>
      <c r="J162">
        <v>33.25</v>
      </c>
      <c r="K162" s="17">
        <v>33.5</v>
      </c>
      <c r="L162" s="7"/>
      <c r="N162" s="124">
        <v>43958</v>
      </c>
      <c r="O162" s="2">
        <v>81.379800000000003</v>
      </c>
      <c r="P162" s="2">
        <v>55.185600000000001</v>
      </c>
      <c r="Q162" s="2">
        <v>42.25</v>
      </c>
      <c r="R162" s="2">
        <v>39.729149999999997</v>
      </c>
      <c r="S162" s="2">
        <v>37.4</v>
      </c>
      <c r="T162" s="2">
        <v>36.150950000000002</v>
      </c>
      <c r="U162" s="2">
        <v>33.7331</v>
      </c>
      <c r="V162" s="2">
        <v>31.463049999999999</v>
      </c>
      <c r="W162" s="2">
        <v>36.36</v>
      </c>
      <c r="X162" s="2">
        <v>31.903849999999998</v>
      </c>
      <c r="Y162" s="7"/>
      <c r="Z162" s="7"/>
      <c r="AA162" s="128">
        <v>44273</v>
      </c>
      <c r="AB162" s="2">
        <v>15.436216</v>
      </c>
      <c r="AC162" s="2">
        <v>13.96111</v>
      </c>
      <c r="AD162" s="2">
        <v>12.286579</v>
      </c>
      <c r="AE162" s="2">
        <v>13.339343</v>
      </c>
      <c r="AF162" s="2"/>
      <c r="AG162" s="2"/>
      <c r="AH162" s="7"/>
      <c r="AI162" s="128">
        <v>44273</v>
      </c>
      <c r="AJ162" s="2">
        <v>59</v>
      </c>
      <c r="AK162" s="2">
        <v>45.875</v>
      </c>
      <c r="AL162" s="2">
        <v>43.499000000000002</v>
      </c>
      <c r="AM162" s="2">
        <v>40.625</v>
      </c>
      <c r="AO162" s="124">
        <v>43958</v>
      </c>
      <c r="AP162">
        <v>37</v>
      </c>
      <c r="AQ162">
        <v>34.625</v>
      </c>
      <c r="AR162">
        <v>35.375</v>
      </c>
      <c r="AS162" s="17">
        <v>33.25</v>
      </c>
      <c r="AT162">
        <v>33.25</v>
      </c>
      <c r="AU162">
        <v>33.375</v>
      </c>
      <c r="AV162">
        <v>33.25</v>
      </c>
      <c r="AW162">
        <v>32.875</v>
      </c>
      <c r="AX162">
        <v>33.25</v>
      </c>
      <c r="AY162" s="17">
        <v>33.5</v>
      </c>
      <c r="AZ162" s="7"/>
      <c r="BB162" s="124">
        <v>43958</v>
      </c>
      <c r="BC162" s="2">
        <v>81.37</v>
      </c>
      <c r="BD162" s="2">
        <v>55.17</v>
      </c>
      <c r="BE162" s="2">
        <v>42.25</v>
      </c>
      <c r="BF162" s="2">
        <v>39.72</v>
      </c>
      <c r="BG162" s="2">
        <v>37.4</v>
      </c>
      <c r="BH162" s="2">
        <v>36.14</v>
      </c>
      <c r="BI162" s="2">
        <v>33.72</v>
      </c>
      <c r="BJ162" s="2">
        <v>31.45</v>
      </c>
      <c r="BK162" s="2">
        <v>36.36</v>
      </c>
      <c r="BL162" s="2">
        <v>31.89</v>
      </c>
      <c r="BM162" s="7"/>
      <c r="BN162" s="7"/>
      <c r="BO162" s="128">
        <v>44273</v>
      </c>
      <c r="BP162" s="2">
        <v>15.44</v>
      </c>
      <c r="BQ162" s="2">
        <v>13.96</v>
      </c>
      <c r="BR162" s="2">
        <v>12.29</v>
      </c>
      <c r="BS162" s="2">
        <v>13.78</v>
      </c>
      <c r="BT162" s="2"/>
      <c r="BU162" s="2"/>
      <c r="BV162" s="7"/>
      <c r="BW162" s="128">
        <v>44273</v>
      </c>
      <c r="BX162" s="2">
        <v>59</v>
      </c>
      <c r="BY162" s="2">
        <v>45.875</v>
      </c>
      <c r="BZ162" s="2">
        <v>43.499000000000002</v>
      </c>
      <c r="CA162" s="2">
        <v>40.625</v>
      </c>
    </row>
    <row r="163" spans="1:79" x14ac:dyDescent="0.2">
      <c r="A163" s="124">
        <v>43959</v>
      </c>
      <c r="B163">
        <v>37.875</v>
      </c>
      <c r="C163">
        <v>35.25</v>
      </c>
      <c r="D163">
        <v>36.25</v>
      </c>
      <c r="E163" s="17">
        <v>32.375</v>
      </c>
      <c r="F163">
        <v>34.125</v>
      </c>
      <c r="G163">
        <v>34.125</v>
      </c>
      <c r="H163">
        <v>33.875</v>
      </c>
      <c r="I163">
        <v>33.375</v>
      </c>
      <c r="J163">
        <v>34.125</v>
      </c>
      <c r="K163" s="17">
        <v>34</v>
      </c>
      <c r="L163" s="7"/>
      <c r="N163" s="124">
        <v>43959</v>
      </c>
      <c r="O163" s="2">
        <v>79.515900000000002</v>
      </c>
      <c r="P163" s="2">
        <v>54.312649999999998</v>
      </c>
      <c r="Q163" s="2">
        <v>41.34</v>
      </c>
      <c r="R163" s="2">
        <v>40.662999999999997</v>
      </c>
      <c r="S163" s="2">
        <v>36.590000000000003</v>
      </c>
      <c r="T163" s="2">
        <v>35.476799999999997</v>
      </c>
      <c r="U163" s="2">
        <v>33.205350000000003</v>
      </c>
      <c r="V163" s="2">
        <v>31.069500000000001</v>
      </c>
      <c r="W163" s="2">
        <v>35.549999999999997</v>
      </c>
      <c r="X163" s="2">
        <v>31.49625</v>
      </c>
      <c r="Y163" s="7"/>
      <c r="Z163" s="7"/>
      <c r="AA163" s="128">
        <v>44274</v>
      </c>
      <c r="AB163" s="2">
        <v>15.402779000000001</v>
      </c>
      <c r="AC163" s="2">
        <v>13.96536</v>
      </c>
      <c r="AD163" s="2">
        <v>12.233395</v>
      </c>
      <c r="AE163" s="2">
        <v>13.392998</v>
      </c>
      <c r="AF163" s="2"/>
      <c r="AG163" s="2"/>
      <c r="AH163" s="7"/>
      <c r="AI163" s="128">
        <v>44274</v>
      </c>
      <c r="AJ163" s="2">
        <v>59.125</v>
      </c>
      <c r="AK163" s="2">
        <v>45.875</v>
      </c>
      <c r="AL163" s="2">
        <v>43.750999999999998</v>
      </c>
      <c r="AM163" s="2">
        <v>40.5</v>
      </c>
      <c r="AO163" s="124">
        <v>43959</v>
      </c>
      <c r="AP163">
        <v>37.875</v>
      </c>
      <c r="AQ163">
        <v>35.25</v>
      </c>
      <c r="AR163">
        <v>36.25</v>
      </c>
      <c r="AS163" s="17">
        <v>32.375</v>
      </c>
      <c r="AT163">
        <v>34.125</v>
      </c>
      <c r="AU163">
        <v>34.125</v>
      </c>
      <c r="AV163">
        <v>33.875</v>
      </c>
      <c r="AW163">
        <v>33.375</v>
      </c>
      <c r="AX163">
        <v>34.125</v>
      </c>
      <c r="AY163" s="17">
        <v>34</v>
      </c>
      <c r="AZ163" s="7"/>
      <c r="BB163" s="124">
        <v>43959</v>
      </c>
      <c r="BC163" s="2">
        <v>79.510000000000005</v>
      </c>
      <c r="BD163" s="2">
        <v>54.3</v>
      </c>
      <c r="BE163" s="2">
        <v>41.34</v>
      </c>
      <c r="BF163" s="2">
        <v>40.65</v>
      </c>
      <c r="BG163" s="2">
        <v>36.590000000000003</v>
      </c>
      <c r="BH163" s="2">
        <v>35.47</v>
      </c>
      <c r="BI163" s="2">
        <v>33.19</v>
      </c>
      <c r="BJ163" s="2">
        <v>31.06</v>
      </c>
      <c r="BK163" s="2">
        <v>35.549999999999997</v>
      </c>
      <c r="BL163" s="2">
        <v>31.48</v>
      </c>
      <c r="BM163" s="7"/>
      <c r="BN163" s="7"/>
      <c r="BO163" s="128">
        <v>44274</v>
      </c>
      <c r="BP163" s="2">
        <v>15.4</v>
      </c>
      <c r="BQ163" s="2">
        <v>13.97</v>
      </c>
      <c r="BR163" s="2">
        <v>12.23</v>
      </c>
      <c r="BS163" s="2">
        <v>13.84</v>
      </c>
      <c r="BT163" s="2"/>
      <c r="BU163" s="2"/>
      <c r="BV163" s="7"/>
      <c r="BW163" s="128">
        <v>44274</v>
      </c>
      <c r="BX163" s="2">
        <v>59.125</v>
      </c>
      <c r="BY163" s="2">
        <v>45.875</v>
      </c>
      <c r="BZ163" s="2">
        <v>43.750999999999998</v>
      </c>
      <c r="CA163" s="2">
        <v>40.5</v>
      </c>
    </row>
    <row r="164" spans="1:79" x14ac:dyDescent="0.2">
      <c r="A164" s="124">
        <v>43962</v>
      </c>
      <c r="B164">
        <v>38.875</v>
      </c>
      <c r="C164">
        <v>36.375</v>
      </c>
      <c r="D164">
        <v>37</v>
      </c>
      <c r="E164" s="17">
        <v>35.625</v>
      </c>
      <c r="F164">
        <v>35.375</v>
      </c>
      <c r="G164">
        <v>35.25</v>
      </c>
      <c r="H164">
        <v>35.25</v>
      </c>
      <c r="I164">
        <v>34.625</v>
      </c>
      <c r="J164">
        <v>35.125</v>
      </c>
      <c r="K164" s="17">
        <v>35.375</v>
      </c>
      <c r="L164" s="7"/>
      <c r="N164" s="124">
        <v>43962</v>
      </c>
      <c r="O164" s="2">
        <v>77.4405</v>
      </c>
      <c r="P164" s="2">
        <v>52.7592</v>
      </c>
      <c r="Q164" s="2">
        <v>40.58</v>
      </c>
      <c r="R164" s="2">
        <v>37.415149999999997</v>
      </c>
      <c r="S164" s="2">
        <v>35.479999999999997</v>
      </c>
      <c r="T164" s="2">
        <v>34.504100000000001</v>
      </c>
      <c r="U164" s="2">
        <v>32.091250000000002</v>
      </c>
      <c r="V164" s="2">
        <v>30.115649999999999</v>
      </c>
      <c r="W164" s="2">
        <v>34.67</v>
      </c>
      <c r="X164" s="2">
        <v>30.192</v>
      </c>
      <c r="Y164" s="7"/>
      <c r="Z164" s="7"/>
      <c r="AA164" s="128">
        <v>44277</v>
      </c>
      <c r="AB164" s="2">
        <v>15.247335</v>
      </c>
      <c r="AC164" s="2">
        <v>13.869425</v>
      </c>
      <c r="AD164" s="2">
        <v>12.236515000000001</v>
      </c>
      <c r="AE164" s="2">
        <v>13.207269999999999</v>
      </c>
      <c r="AF164" s="2"/>
      <c r="AG164" s="2"/>
      <c r="AH164" s="7"/>
      <c r="AI164" s="128">
        <v>44277</v>
      </c>
      <c r="AJ164" s="2">
        <v>59.625</v>
      </c>
      <c r="AK164" s="2">
        <v>46.25</v>
      </c>
      <c r="AL164" s="2">
        <v>43.75</v>
      </c>
      <c r="AM164" s="2">
        <v>41</v>
      </c>
      <c r="AO164" s="124">
        <v>43962</v>
      </c>
      <c r="AP164">
        <v>38.875</v>
      </c>
      <c r="AQ164">
        <v>36.375</v>
      </c>
      <c r="AR164">
        <v>37</v>
      </c>
      <c r="AS164" s="17">
        <v>35.625</v>
      </c>
      <c r="AT164">
        <v>35.375</v>
      </c>
      <c r="AU164">
        <v>35.25</v>
      </c>
      <c r="AV164">
        <v>35.25</v>
      </c>
      <c r="AW164">
        <v>34.625</v>
      </c>
      <c r="AX164">
        <v>35.125</v>
      </c>
      <c r="AY164" s="17">
        <v>35.375</v>
      </c>
      <c r="AZ164" s="7"/>
      <c r="BB164" s="124">
        <v>43962</v>
      </c>
      <c r="BC164" s="2">
        <v>77.430000000000007</v>
      </c>
      <c r="BD164" s="2">
        <v>52.74</v>
      </c>
      <c r="BE164" s="2">
        <v>40.58</v>
      </c>
      <c r="BF164" s="2">
        <v>37.409999999999997</v>
      </c>
      <c r="BG164" s="2">
        <v>35.479999999999997</v>
      </c>
      <c r="BH164" s="2">
        <v>34.49</v>
      </c>
      <c r="BI164" s="2">
        <v>32.08</v>
      </c>
      <c r="BJ164" s="2">
        <v>30.11</v>
      </c>
      <c r="BK164" s="2">
        <v>34.67</v>
      </c>
      <c r="BL164" s="2">
        <v>30.18</v>
      </c>
      <c r="BM164" s="7"/>
      <c r="BN164" s="7"/>
      <c r="BO164" s="128">
        <v>44277</v>
      </c>
      <c r="BP164" s="2">
        <v>15.25</v>
      </c>
      <c r="BQ164" s="2">
        <v>13.87</v>
      </c>
      <c r="BR164" s="2">
        <v>12.24</v>
      </c>
      <c r="BS164" s="2">
        <v>13.64</v>
      </c>
      <c r="BT164" s="2"/>
      <c r="BU164" s="2"/>
      <c r="BV164" s="7"/>
      <c r="BW164" s="128">
        <v>44277</v>
      </c>
      <c r="BX164" s="2">
        <v>59.625</v>
      </c>
      <c r="BY164" s="2">
        <v>46.25</v>
      </c>
      <c r="BZ164" s="2">
        <v>43.75</v>
      </c>
      <c r="CA164" s="2">
        <v>41</v>
      </c>
    </row>
    <row r="165" spans="1:79" x14ac:dyDescent="0.2">
      <c r="A165" s="124">
        <v>43963</v>
      </c>
      <c r="B165">
        <v>39.5</v>
      </c>
      <c r="C165">
        <v>36.875</v>
      </c>
      <c r="D165">
        <v>37.75</v>
      </c>
      <c r="E165" s="17">
        <v>35.75</v>
      </c>
      <c r="F165">
        <v>35.5</v>
      </c>
      <c r="G165">
        <v>35.25</v>
      </c>
      <c r="H165">
        <v>35.125</v>
      </c>
      <c r="I165">
        <v>34.5</v>
      </c>
      <c r="J165">
        <v>35.125</v>
      </c>
      <c r="K165" s="17">
        <v>35.5</v>
      </c>
      <c r="L165" s="7"/>
      <c r="N165" s="124">
        <v>43963</v>
      </c>
      <c r="O165" s="2">
        <v>76.212900000000005</v>
      </c>
      <c r="P165" s="2">
        <v>52.110199999999999</v>
      </c>
      <c r="Q165" s="2">
        <v>39.840000000000003</v>
      </c>
      <c r="R165" s="2">
        <v>37.31035</v>
      </c>
      <c r="S165" s="2">
        <v>35.380000000000003</v>
      </c>
      <c r="T165" s="2">
        <v>34.511299999999999</v>
      </c>
      <c r="U165" s="2">
        <v>32.19415</v>
      </c>
      <c r="V165" s="2">
        <v>30.214449999999999</v>
      </c>
      <c r="W165" s="2">
        <v>34.67</v>
      </c>
      <c r="X165" s="2">
        <v>30.100549999999998</v>
      </c>
      <c r="Y165" s="7"/>
      <c r="Z165" s="7"/>
      <c r="AA165" s="128">
        <v>44278</v>
      </c>
      <c r="AB165" s="2">
        <v>15.133606</v>
      </c>
      <c r="AC165" s="2">
        <v>13.807383</v>
      </c>
      <c r="AD165" s="2">
        <v>12.184134</v>
      </c>
      <c r="AE165" s="2">
        <v>13.118067</v>
      </c>
      <c r="AF165" s="2"/>
      <c r="AG165" s="2"/>
      <c r="AH165" s="7"/>
      <c r="AI165" s="128">
        <v>44278</v>
      </c>
      <c r="AJ165" s="2">
        <v>60</v>
      </c>
      <c r="AK165" s="2">
        <v>46.5</v>
      </c>
      <c r="AL165" s="2">
        <v>44</v>
      </c>
      <c r="AM165" s="2">
        <v>41.25</v>
      </c>
      <c r="AO165" s="124">
        <v>43963</v>
      </c>
      <c r="AP165">
        <v>39.5</v>
      </c>
      <c r="AQ165">
        <v>36.875</v>
      </c>
      <c r="AR165">
        <v>37.75</v>
      </c>
      <c r="AS165" s="17">
        <v>35.75</v>
      </c>
      <c r="AT165">
        <v>35.5</v>
      </c>
      <c r="AU165">
        <v>35.25</v>
      </c>
      <c r="AV165">
        <v>35.125</v>
      </c>
      <c r="AW165">
        <v>34.5</v>
      </c>
      <c r="AX165">
        <v>35.125</v>
      </c>
      <c r="AY165" s="17">
        <v>35.5</v>
      </c>
      <c r="AZ165" s="7"/>
      <c r="BB165" s="124">
        <v>43963</v>
      </c>
      <c r="BC165" s="2">
        <v>76.2</v>
      </c>
      <c r="BD165" s="2">
        <v>52.1</v>
      </c>
      <c r="BE165" s="2">
        <v>39.840000000000003</v>
      </c>
      <c r="BF165" s="2">
        <v>37.299999999999997</v>
      </c>
      <c r="BG165" s="2">
        <v>35.380000000000003</v>
      </c>
      <c r="BH165" s="2">
        <v>34.5</v>
      </c>
      <c r="BI165" s="2">
        <v>32.18</v>
      </c>
      <c r="BJ165" s="2">
        <v>30.21</v>
      </c>
      <c r="BK165" s="2">
        <v>34.67</v>
      </c>
      <c r="BL165" s="2">
        <v>30.09</v>
      </c>
      <c r="BM165" s="7"/>
      <c r="BN165" s="7"/>
      <c r="BO165" s="128">
        <v>44278</v>
      </c>
      <c r="BP165" s="2">
        <v>15.13</v>
      </c>
      <c r="BQ165" s="2">
        <v>13.81</v>
      </c>
      <c r="BR165" s="2">
        <v>12.18</v>
      </c>
      <c r="BS165" s="2">
        <v>13.55</v>
      </c>
      <c r="BT165" s="2"/>
      <c r="BU165" s="2"/>
      <c r="BV165" s="7"/>
      <c r="BW165" s="128">
        <v>44278</v>
      </c>
      <c r="BX165" s="2">
        <v>60</v>
      </c>
      <c r="BY165" s="2">
        <v>46.5</v>
      </c>
      <c r="BZ165" s="2">
        <v>44</v>
      </c>
      <c r="CA165" s="2">
        <v>41.25</v>
      </c>
    </row>
    <row r="166" spans="1:79" x14ac:dyDescent="0.2">
      <c r="A166" s="124">
        <v>43964</v>
      </c>
      <c r="B166">
        <v>39.125</v>
      </c>
      <c r="C166">
        <v>35.625</v>
      </c>
      <c r="D166">
        <v>36.875</v>
      </c>
      <c r="E166" s="17">
        <v>34.625</v>
      </c>
      <c r="F166">
        <v>33.875</v>
      </c>
      <c r="G166">
        <v>33.75</v>
      </c>
      <c r="H166">
        <v>33.875</v>
      </c>
      <c r="I166">
        <v>33</v>
      </c>
      <c r="J166">
        <v>33.875</v>
      </c>
      <c r="K166" s="17">
        <v>34</v>
      </c>
      <c r="L166" s="7"/>
      <c r="N166" s="124">
        <v>43964</v>
      </c>
      <c r="O166" s="2">
        <v>77.094449999999995</v>
      </c>
      <c r="P166" s="2">
        <v>53.887050000000002</v>
      </c>
      <c r="Q166" s="2">
        <v>40.75</v>
      </c>
      <c r="R166" s="2">
        <v>38.393549999999998</v>
      </c>
      <c r="S166" s="2">
        <v>36.85</v>
      </c>
      <c r="T166" s="2">
        <v>35.830849999999998</v>
      </c>
      <c r="U166" s="2">
        <v>33.211799999999997</v>
      </c>
      <c r="V166" s="2">
        <v>31.378399999999999</v>
      </c>
      <c r="W166" s="2">
        <v>35.79</v>
      </c>
      <c r="X166" s="2">
        <v>31.25395</v>
      </c>
      <c r="Y166" s="7"/>
      <c r="Z166" s="7"/>
      <c r="AA166" s="128">
        <v>44279</v>
      </c>
      <c r="AB166" s="2">
        <v>15.262252999999999</v>
      </c>
      <c r="AC166" s="2">
        <v>13.944597</v>
      </c>
      <c r="AD166" s="2">
        <v>12.242317999999999</v>
      </c>
      <c r="AE166" s="2">
        <v>13.170878999999999</v>
      </c>
      <c r="AF166" s="2"/>
      <c r="AG166" s="2"/>
      <c r="AH166" s="7"/>
      <c r="AI166" s="128">
        <v>44279</v>
      </c>
      <c r="AJ166" s="2">
        <v>59.625</v>
      </c>
      <c r="AK166" s="2">
        <v>46</v>
      </c>
      <c r="AL166" s="2">
        <v>43.75</v>
      </c>
      <c r="AM166" s="2">
        <v>41.125</v>
      </c>
      <c r="AO166" s="124">
        <v>43964</v>
      </c>
      <c r="AP166">
        <v>39.125</v>
      </c>
      <c r="AQ166">
        <v>35.625</v>
      </c>
      <c r="AR166">
        <v>36.875</v>
      </c>
      <c r="AS166" s="17">
        <v>34.625</v>
      </c>
      <c r="AT166">
        <v>33.875</v>
      </c>
      <c r="AU166">
        <v>33.75</v>
      </c>
      <c r="AV166">
        <v>33.875</v>
      </c>
      <c r="AW166">
        <v>33</v>
      </c>
      <c r="AX166">
        <v>33.875</v>
      </c>
      <c r="AY166" s="17">
        <v>34</v>
      </c>
      <c r="AZ166" s="7"/>
      <c r="BB166" s="124">
        <v>43964</v>
      </c>
      <c r="BC166" s="2">
        <v>77.09</v>
      </c>
      <c r="BD166" s="2">
        <v>53.88</v>
      </c>
      <c r="BE166" s="2">
        <v>40.75</v>
      </c>
      <c r="BF166" s="2">
        <v>38.39</v>
      </c>
      <c r="BG166" s="2">
        <v>36.85</v>
      </c>
      <c r="BH166" s="2">
        <v>35.83</v>
      </c>
      <c r="BI166" s="2">
        <v>33.21</v>
      </c>
      <c r="BJ166" s="2">
        <v>31.37</v>
      </c>
      <c r="BK166" s="2">
        <v>35.79</v>
      </c>
      <c r="BL166" s="2">
        <v>31.25</v>
      </c>
      <c r="BM166" s="7"/>
      <c r="BN166" s="7"/>
      <c r="BO166" s="128">
        <v>44279</v>
      </c>
      <c r="BP166" s="2">
        <v>15.26</v>
      </c>
      <c r="BQ166" s="2">
        <v>13.94</v>
      </c>
      <c r="BR166" s="2">
        <v>12.24</v>
      </c>
      <c r="BS166" s="2">
        <v>13.6</v>
      </c>
      <c r="BT166" s="2"/>
      <c r="BU166" s="2"/>
      <c r="BV166" s="7"/>
      <c r="BW166" s="128">
        <v>44279</v>
      </c>
      <c r="BX166" s="2">
        <v>59.625</v>
      </c>
      <c r="BY166" s="2">
        <v>46</v>
      </c>
      <c r="BZ166" s="2">
        <v>43.75</v>
      </c>
      <c r="CA166" s="2">
        <v>41.125</v>
      </c>
    </row>
    <row r="167" spans="1:79" x14ac:dyDescent="0.2">
      <c r="A167" s="124">
        <v>43965</v>
      </c>
      <c r="B167">
        <v>39</v>
      </c>
      <c r="C167">
        <v>34.875</v>
      </c>
      <c r="D167">
        <v>36.125</v>
      </c>
      <c r="E167" s="17">
        <v>33</v>
      </c>
      <c r="F167">
        <v>33</v>
      </c>
      <c r="G167">
        <v>33.375</v>
      </c>
      <c r="H167">
        <v>33.5</v>
      </c>
      <c r="I167">
        <v>31.5</v>
      </c>
      <c r="J167">
        <v>32.125</v>
      </c>
      <c r="K167" s="17">
        <v>33.625</v>
      </c>
      <c r="L167" s="7"/>
      <c r="N167" s="124">
        <v>43965</v>
      </c>
      <c r="O167" s="2">
        <v>77.6417</v>
      </c>
      <c r="P167" s="2">
        <v>55.099550000000001</v>
      </c>
      <c r="Q167" s="2">
        <v>41.59</v>
      </c>
      <c r="R167" s="2">
        <v>40.076000000000001</v>
      </c>
      <c r="S167" s="2">
        <v>37.700000000000003</v>
      </c>
      <c r="T167" s="2">
        <v>36.198099999999997</v>
      </c>
      <c r="U167" s="2">
        <v>33.541649999999997</v>
      </c>
      <c r="V167" s="2">
        <v>32.6432</v>
      </c>
      <c r="W167" s="2">
        <v>37.479999999999997</v>
      </c>
      <c r="X167" s="2">
        <v>31.5627</v>
      </c>
      <c r="Y167" s="7"/>
      <c r="Z167" s="7"/>
      <c r="AA167" s="128">
        <v>44280</v>
      </c>
      <c r="AB167" s="2">
        <v>15.366203000000001</v>
      </c>
      <c r="AC167" s="2">
        <v>13.990928</v>
      </c>
      <c r="AD167" s="2">
        <v>12.307461999999999</v>
      </c>
      <c r="AE167" s="2">
        <v>13.235010000000001</v>
      </c>
      <c r="AF167" s="2"/>
      <c r="AG167" s="2"/>
      <c r="AH167" s="7"/>
      <c r="AI167" s="128">
        <v>44280</v>
      </c>
      <c r="AJ167" s="2">
        <v>59.375</v>
      </c>
      <c r="AK167" s="2">
        <v>45.875</v>
      </c>
      <c r="AL167" s="2">
        <v>43.497</v>
      </c>
      <c r="AM167" s="2">
        <v>41</v>
      </c>
      <c r="AO167" s="124">
        <v>43965</v>
      </c>
      <c r="AP167">
        <v>39</v>
      </c>
      <c r="AQ167">
        <v>34.875</v>
      </c>
      <c r="AR167">
        <v>36.125</v>
      </c>
      <c r="AS167" s="17">
        <v>33</v>
      </c>
      <c r="AT167">
        <v>33</v>
      </c>
      <c r="AU167">
        <v>33.375</v>
      </c>
      <c r="AV167">
        <v>33.5</v>
      </c>
      <c r="AW167">
        <v>31.5</v>
      </c>
      <c r="AX167">
        <v>32.125</v>
      </c>
      <c r="AY167" s="17">
        <v>33.625</v>
      </c>
      <c r="AZ167" s="7"/>
      <c r="BB167" s="124">
        <v>43965</v>
      </c>
      <c r="BC167" s="2">
        <v>77.63</v>
      </c>
      <c r="BD167" s="2">
        <v>55.09</v>
      </c>
      <c r="BE167" s="2">
        <v>41.59</v>
      </c>
      <c r="BF167" s="2">
        <v>40.07</v>
      </c>
      <c r="BG167" s="2">
        <v>37.700000000000003</v>
      </c>
      <c r="BH167" s="2">
        <v>36.19</v>
      </c>
      <c r="BI167" s="2">
        <v>33.54</v>
      </c>
      <c r="BJ167" s="2">
        <v>32.64</v>
      </c>
      <c r="BK167" s="2">
        <v>37.479999999999997</v>
      </c>
      <c r="BL167" s="2">
        <v>31.56</v>
      </c>
      <c r="BM167" s="7"/>
      <c r="BN167" s="7"/>
      <c r="BO167" s="128">
        <v>44280</v>
      </c>
      <c r="BP167" s="2">
        <v>15.37</v>
      </c>
      <c r="BQ167" s="2">
        <v>13.99</v>
      </c>
      <c r="BR167" s="2">
        <v>12.31</v>
      </c>
      <c r="BS167" s="2">
        <v>13.67</v>
      </c>
      <c r="BT167" s="2"/>
      <c r="BU167" s="2"/>
      <c r="BV167" s="7"/>
      <c r="BW167" s="128">
        <v>44280</v>
      </c>
      <c r="BX167" s="2">
        <v>59.375</v>
      </c>
      <c r="BY167" s="2">
        <v>45.875</v>
      </c>
      <c r="BZ167" s="2">
        <v>43.497</v>
      </c>
      <c r="CA167" s="2">
        <v>41</v>
      </c>
    </row>
    <row r="168" spans="1:79" x14ac:dyDescent="0.2">
      <c r="A168" s="124">
        <v>43966</v>
      </c>
      <c r="B168">
        <v>38.875</v>
      </c>
      <c r="C168">
        <v>36</v>
      </c>
      <c r="D168">
        <v>36.625</v>
      </c>
      <c r="E168" s="17">
        <v>34.125</v>
      </c>
      <c r="F168">
        <v>33.25</v>
      </c>
      <c r="G168">
        <v>33.375</v>
      </c>
      <c r="H168">
        <v>34</v>
      </c>
      <c r="I168">
        <v>30.875</v>
      </c>
      <c r="J168">
        <v>34.5</v>
      </c>
      <c r="K168" s="17">
        <v>34.5</v>
      </c>
      <c r="L168" s="7"/>
      <c r="N168" s="124">
        <v>43966</v>
      </c>
      <c r="O168" s="2">
        <v>78.0047</v>
      </c>
      <c r="P168" s="2">
        <v>53.51605</v>
      </c>
      <c r="Q168" s="2">
        <v>41.09</v>
      </c>
      <c r="R168" s="2">
        <v>38.939900000000002</v>
      </c>
      <c r="S168" s="2">
        <v>37.47</v>
      </c>
      <c r="T168" s="2">
        <v>36.205950000000001</v>
      </c>
      <c r="U168" s="2">
        <v>33.124200000000002</v>
      </c>
      <c r="V168" s="2">
        <v>33.196550000000002</v>
      </c>
      <c r="W168" s="2">
        <v>35.24</v>
      </c>
      <c r="X168" s="2">
        <v>30.866250000000001</v>
      </c>
      <c r="Y168" s="7"/>
      <c r="Z168" s="7"/>
      <c r="AA168" s="128">
        <v>44281</v>
      </c>
      <c r="AB168" s="2">
        <v>15.546276000000001</v>
      </c>
      <c r="AC168" s="2">
        <v>14.169556</v>
      </c>
      <c r="AD168" s="2">
        <v>12.425557</v>
      </c>
      <c r="AE168" s="2">
        <v>13.438089</v>
      </c>
      <c r="AF168" s="2"/>
      <c r="AG168" s="2"/>
      <c r="AH168" s="7"/>
      <c r="AI168" s="128">
        <v>44281</v>
      </c>
      <c r="AJ168" s="2">
        <v>58.875</v>
      </c>
      <c r="AK168" s="2">
        <v>45.25</v>
      </c>
      <c r="AL168" s="2">
        <v>43.000999999999998</v>
      </c>
      <c r="AM168" s="2">
        <v>40.5</v>
      </c>
      <c r="AO168" s="124">
        <v>43966</v>
      </c>
      <c r="AP168">
        <v>38.875</v>
      </c>
      <c r="AQ168">
        <v>36</v>
      </c>
      <c r="AR168">
        <v>36.625</v>
      </c>
      <c r="AS168" s="17">
        <v>34.125</v>
      </c>
      <c r="AT168">
        <v>33.25</v>
      </c>
      <c r="AU168">
        <v>33.375</v>
      </c>
      <c r="AV168">
        <v>34</v>
      </c>
      <c r="AW168">
        <v>30.875</v>
      </c>
      <c r="AX168">
        <v>34.5</v>
      </c>
      <c r="AY168" s="17">
        <v>34.5</v>
      </c>
      <c r="AZ168" s="7"/>
      <c r="BB168" s="124">
        <v>43966</v>
      </c>
      <c r="BC168" s="2">
        <v>78</v>
      </c>
      <c r="BD168" s="2">
        <v>53.51</v>
      </c>
      <c r="BE168" s="2">
        <v>41.09</v>
      </c>
      <c r="BF168" s="2">
        <v>38.93</v>
      </c>
      <c r="BG168" s="2">
        <v>37.47</v>
      </c>
      <c r="BH168" s="2">
        <v>36.200000000000003</v>
      </c>
      <c r="BI168" s="2">
        <v>33.119999999999997</v>
      </c>
      <c r="BJ168" s="2">
        <v>33.19</v>
      </c>
      <c r="BK168" s="2">
        <v>35.24</v>
      </c>
      <c r="BL168" s="2">
        <v>30.86</v>
      </c>
      <c r="BM168" s="7"/>
      <c r="BN168" s="7"/>
      <c r="BO168" s="128">
        <v>44281</v>
      </c>
      <c r="BP168" s="2">
        <v>15.55</v>
      </c>
      <c r="BQ168" s="2">
        <v>14.17</v>
      </c>
      <c r="BR168" s="2">
        <v>12.43</v>
      </c>
      <c r="BS168" s="2">
        <v>13.89</v>
      </c>
      <c r="BT168" s="2"/>
      <c r="BU168" s="2"/>
      <c r="BV168" s="7"/>
      <c r="BW168" s="128">
        <v>44281</v>
      </c>
      <c r="BX168" s="2">
        <v>58.875</v>
      </c>
      <c r="BY168" s="2">
        <v>45.25</v>
      </c>
      <c r="BZ168" s="2">
        <v>43.000999999999998</v>
      </c>
      <c r="CA168" s="2">
        <v>40.5</v>
      </c>
    </row>
    <row r="169" spans="1:79" x14ac:dyDescent="0.2">
      <c r="A169" s="124">
        <v>43969</v>
      </c>
      <c r="B169">
        <v>40.5</v>
      </c>
      <c r="C169">
        <v>37.375</v>
      </c>
      <c r="D169">
        <v>37.25</v>
      </c>
      <c r="E169" s="17">
        <v>36.125</v>
      </c>
      <c r="F169">
        <v>34.5</v>
      </c>
      <c r="G169">
        <v>34.25</v>
      </c>
      <c r="H169">
        <v>35.375</v>
      </c>
      <c r="I169">
        <v>31.125</v>
      </c>
      <c r="J169">
        <v>35.375</v>
      </c>
      <c r="K169" s="17">
        <v>36</v>
      </c>
      <c r="L169" s="7"/>
      <c r="N169" s="124">
        <v>43969</v>
      </c>
      <c r="O169" s="2">
        <v>74.695300000000003</v>
      </c>
      <c r="P169" s="2">
        <v>51.657449999999997</v>
      </c>
      <c r="Q169" s="2">
        <v>40.46</v>
      </c>
      <c r="R169" s="2">
        <v>37.03105</v>
      </c>
      <c r="S169" s="2">
        <v>36.31</v>
      </c>
      <c r="T169" s="2">
        <v>35.4193</v>
      </c>
      <c r="U169" s="2">
        <v>32.016500000000001</v>
      </c>
      <c r="V169" s="2">
        <v>32.981299999999997</v>
      </c>
      <c r="W169" s="2">
        <v>34.479999999999997</v>
      </c>
      <c r="X169" s="2">
        <v>29.739000000000001</v>
      </c>
      <c r="Y169" s="7"/>
      <c r="Z169" s="7"/>
      <c r="AA169" s="128">
        <v>44284</v>
      </c>
      <c r="AB169" s="2">
        <v>15.629199</v>
      </c>
      <c r="AC169" s="2">
        <v>14.135382999999999</v>
      </c>
      <c r="AD169" s="2">
        <v>12.425557</v>
      </c>
      <c r="AE169" s="2">
        <v>13.438089</v>
      </c>
      <c r="AF169" s="2"/>
      <c r="AG169" s="2"/>
      <c r="AH169" s="7"/>
      <c r="AI169" s="128">
        <v>44284</v>
      </c>
      <c r="AJ169" s="2">
        <v>58.625</v>
      </c>
      <c r="AK169" s="2">
        <v>45.375</v>
      </c>
      <c r="AL169" s="2">
        <v>43.000999999999998</v>
      </c>
      <c r="AM169" s="2">
        <v>40.5</v>
      </c>
      <c r="AO169" s="124">
        <v>43969</v>
      </c>
      <c r="AP169">
        <v>40.5</v>
      </c>
      <c r="AQ169">
        <v>37.375</v>
      </c>
      <c r="AR169">
        <v>37.25</v>
      </c>
      <c r="AS169" s="17">
        <v>36.125</v>
      </c>
      <c r="AT169">
        <v>34.5</v>
      </c>
      <c r="AU169">
        <v>34.25</v>
      </c>
      <c r="AV169">
        <v>35.375</v>
      </c>
      <c r="AW169">
        <v>31.125</v>
      </c>
      <c r="AX169">
        <v>35.375</v>
      </c>
      <c r="AY169" s="17">
        <v>36</v>
      </c>
      <c r="AZ169" s="7"/>
      <c r="BB169" s="124">
        <v>43969</v>
      </c>
      <c r="BC169" s="2">
        <v>74.69</v>
      </c>
      <c r="BD169" s="2">
        <v>51.65</v>
      </c>
      <c r="BE169" s="2">
        <v>40.46</v>
      </c>
      <c r="BF169" s="2">
        <v>37.03</v>
      </c>
      <c r="BG169" s="2">
        <v>36.31</v>
      </c>
      <c r="BH169" s="2">
        <v>35.409999999999997</v>
      </c>
      <c r="BI169" s="2">
        <v>32.01</v>
      </c>
      <c r="BJ169" s="2">
        <v>32.979999999999997</v>
      </c>
      <c r="BK169" s="2">
        <v>34.479999999999997</v>
      </c>
      <c r="BL169" s="2">
        <v>29.73</v>
      </c>
      <c r="BM169" s="7"/>
      <c r="BN169" s="7"/>
      <c r="BO169" s="128">
        <v>44284</v>
      </c>
      <c r="BP169" s="2">
        <v>15.63</v>
      </c>
      <c r="BQ169" s="2">
        <v>14.14</v>
      </c>
      <c r="BR169" s="2">
        <v>12.43</v>
      </c>
      <c r="BS169" s="2">
        <v>13.89</v>
      </c>
      <c r="BT169" s="2"/>
      <c r="BU169" s="2"/>
      <c r="BV169" s="7"/>
      <c r="BW169" s="128">
        <v>44284</v>
      </c>
      <c r="BX169" s="2">
        <v>58.625</v>
      </c>
      <c r="BY169" s="2">
        <v>45.375</v>
      </c>
      <c r="BZ169" s="2">
        <v>43.000999999999998</v>
      </c>
      <c r="CA169" s="2">
        <v>40.5</v>
      </c>
    </row>
    <row r="170" spans="1:79" x14ac:dyDescent="0.2">
      <c r="A170" s="124">
        <v>43970</v>
      </c>
      <c r="B170">
        <v>40.625</v>
      </c>
      <c r="C170">
        <v>38.125</v>
      </c>
      <c r="D170">
        <v>38.25</v>
      </c>
      <c r="E170" s="17">
        <v>36.5</v>
      </c>
      <c r="F170">
        <v>34.875</v>
      </c>
      <c r="G170">
        <v>35.25</v>
      </c>
      <c r="H170">
        <v>35.25</v>
      </c>
      <c r="I170">
        <v>31.625</v>
      </c>
      <c r="J170">
        <v>35.5</v>
      </c>
      <c r="K170" s="17">
        <v>35.875</v>
      </c>
      <c r="L170" s="7"/>
      <c r="N170" s="124">
        <v>43970</v>
      </c>
      <c r="O170" s="2">
        <v>74.531649999999999</v>
      </c>
      <c r="P170" s="2">
        <v>50.698099999999997</v>
      </c>
      <c r="Q170" s="2">
        <v>39.479999999999997</v>
      </c>
      <c r="R170" s="2">
        <v>36.699150000000003</v>
      </c>
      <c r="S170" s="2">
        <v>35.979999999999997</v>
      </c>
      <c r="T170" s="2">
        <v>34.556649999999998</v>
      </c>
      <c r="U170" s="2">
        <v>32.119</v>
      </c>
      <c r="V170" s="2">
        <v>32.552999999999997</v>
      </c>
      <c r="W170" s="2">
        <v>34.369999999999997</v>
      </c>
      <c r="X170" s="2">
        <v>29.831949999999999</v>
      </c>
      <c r="Y170" s="7"/>
      <c r="Z170" s="7"/>
      <c r="AA170" s="128">
        <v>44285</v>
      </c>
      <c r="AB170" s="2">
        <v>15.545816</v>
      </c>
      <c r="AC170" s="2">
        <v>14.033186000000001</v>
      </c>
      <c r="AD170" s="2">
        <v>12.201912999999999</v>
      </c>
      <c r="AE170" s="2">
        <v>13.438089</v>
      </c>
      <c r="AF170" s="2"/>
      <c r="AG170" s="2"/>
      <c r="AH170" s="7"/>
      <c r="AI170" s="128">
        <v>44285</v>
      </c>
      <c r="AJ170" s="2">
        <v>58.875</v>
      </c>
      <c r="AK170" s="2">
        <v>45.75</v>
      </c>
      <c r="AL170" s="2">
        <v>43.997999999999998</v>
      </c>
      <c r="AM170" s="2">
        <v>40.5</v>
      </c>
      <c r="AO170" s="124">
        <v>43970</v>
      </c>
      <c r="AP170">
        <v>40.625</v>
      </c>
      <c r="AQ170">
        <v>38.125</v>
      </c>
      <c r="AR170">
        <v>38.25</v>
      </c>
      <c r="AS170" s="17">
        <v>36.5</v>
      </c>
      <c r="AT170">
        <v>34.875</v>
      </c>
      <c r="AU170">
        <v>35.25</v>
      </c>
      <c r="AV170">
        <v>35.25</v>
      </c>
      <c r="AW170">
        <v>31.625</v>
      </c>
      <c r="AX170">
        <v>35.5</v>
      </c>
      <c r="AY170" s="17">
        <v>35.875</v>
      </c>
      <c r="AZ170" s="7"/>
      <c r="BB170" s="124">
        <v>43970</v>
      </c>
      <c r="BC170" s="2">
        <v>74.52</v>
      </c>
      <c r="BD170" s="2">
        <v>50.69</v>
      </c>
      <c r="BE170" s="2">
        <v>39.479999999999997</v>
      </c>
      <c r="BF170" s="2">
        <v>36.69</v>
      </c>
      <c r="BG170" s="2">
        <v>35.979999999999997</v>
      </c>
      <c r="BH170" s="2">
        <v>34.549999999999997</v>
      </c>
      <c r="BI170" s="2">
        <v>32.11</v>
      </c>
      <c r="BJ170" s="2">
        <v>32.549999999999997</v>
      </c>
      <c r="BK170" s="2">
        <v>34.369999999999997</v>
      </c>
      <c r="BL170" s="2">
        <v>29.83</v>
      </c>
      <c r="BM170" s="7"/>
      <c r="BN170" s="7"/>
      <c r="BO170" s="128">
        <v>44285</v>
      </c>
      <c r="BP170" s="2">
        <v>15.55</v>
      </c>
      <c r="BQ170" s="2">
        <v>14.03</v>
      </c>
      <c r="BR170" s="2">
        <v>12.2</v>
      </c>
      <c r="BS170" s="2">
        <v>13.89</v>
      </c>
      <c r="BT170" s="2"/>
      <c r="BU170" s="2"/>
      <c r="BV170" s="7"/>
      <c r="BW170" s="128">
        <v>44285</v>
      </c>
      <c r="BX170" s="2">
        <v>58.875</v>
      </c>
      <c r="BY170" s="2">
        <v>45.75</v>
      </c>
      <c r="BZ170" s="2">
        <v>43.997999999999998</v>
      </c>
      <c r="CA170" s="2">
        <v>40.5</v>
      </c>
    </row>
    <row r="171" spans="1:79" x14ac:dyDescent="0.2">
      <c r="A171" s="124">
        <v>43971</v>
      </c>
      <c r="B171">
        <v>42</v>
      </c>
      <c r="C171">
        <v>38.875</v>
      </c>
      <c r="D171">
        <v>39.375</v>
      </c>
      <c r="E171" s="17">
        <v>36.875</v>
      </c>
      <c r="F171">
        <v>35</v>
      </c>
      <c r="G171">
        <v>35.75</v>
      </c>
      <c r="H171">
        <v>35.875</v>
      </c>
      <c r="I171">
        <v>32</v>
      </c>
      <c r="J171">
        <v>36</v>
      </c>
      <c r="K171" s="17">
        <v>36.375</v>
      </c>
      <c r="L171" s="7"/>
      <c r="N171" s="124">
        <v>43971</v>
      </c>
      <c r="O171" s="2">
        <v>71.886600000000001</v>
      </c>
      <c r="P171" s="2">
        <v>49.762599999999999</v>
      </c>
      <c r="Q171" s="2">
        <v>38.409999999999997</v>
      </c>
      <c r="R171" s="2">
        <v>36.3718</v>
      </c>
      <c r="S171" s="2">
        <v>35.880000000000003</v>
      </c>
      <c r="T171" s="2">
        <v>34.143050000000002</v>
      </c>
      <c r="U171" s="2">
        <v>31.636800000000001</v>
      </c>
      <c r="V171" s="2">
        <v>32.240049999999997</v>
      </c>
      <c r="W171" s="2">
        <v>33.96</v>
      </c>
      <c r="X171" s="2">
        <v>29.473050000000001</v>
      </c>
      <c r="Y171" s="7"/>
      <c r="Z171" s="7"/>
      <c r="AA171" s="128">
        <v>44286</v>
      </c>
      <c r="AB171" s="2">
        <v>15.5351</v>
      </c>
      <c r="AC171" s="2">
        <v>13.949427999999999</v>
      </c>
      <c r="AD171" s="2">
        <v>12.160648</v>
      </c>
      <c r="AE171" s="2">
        <v>13.412430000000001</v>
      </c>
      <c r="AF171" s="2"/>
      <c r="AG171" s="2"/>
      <c r="AH171" s="7"/>
      <c r="AI171" s="128">
        <v>44286</v>
      </c>
      <c r="AJ171" s="2">
        <v>59</v>
      </c>
      <c r="AK171" s="2">
        <v>46.125</v>
      </c>
      <c r="AL171" s="2">
        <v>44.238</v>
      </c>
      <c r="AM171" s="2">
        <v>40.625</v>
      </c>
      <c r="AO171" s="124">
        <v>43971</v>
      </c>
      <c r="AP171">
        <v>42</v>
      </c>
      <c r="AQ171">
        <v>38.875</v>
      </c>
      <c r="AR171">
        <v>39.375</v>
      </c>
      <c r="AS171" s="17">
        <v>36.875</v>
      </c>
      <c r="AT171">
        <v>35</v>
      </c>
      <c r="AU171">
        <v>35.75</v>
      </c>
      <c r="AV171">
        <v>35.875</v>
      </c>
      <c r="AW171">
        <v>32</v>
      </c>
      <c r="AX171">
        <v>36</v>
      </c>
      <c r="AY171" s="17">
        <v>36.375</v>
      </c>
      <c r="AZ171" s="7"/>
      <c r="BB171" s="124">
        <v>43971</v>
      </c>
      <c r="BC171" s="2">
        <v>71.88</v>
      </c>
      <c r="BD171" s="2">
        <v>49.76</v>
      </c>
      <c r="BE171" s="2">
        <v>38.409999999999997</v>
      </c>
      <c r="BF171" s="2">
        <v>36.369999999999997</v>
      </c>
      <c r="BG171" s="2">
        <v>35.880000000000003</v>
      </c>
      <c r="BH171" s="2">
        <v>34.14</v>
      </c>
      <c r="BI171" s="2">
        <v>31.63</v>
      </c>
      <c r="BJ171" s="2">
        <v>32.24</v>
      </c>
      <c r="BK171" s="2">
        <v>33.96</v>
      </c>
      <c r="BL171" s="2">
        <v>29.47</v>
      </c>
      <c r="BM171" s="7"/>
      <c r="BN171" s="7"/>
      <c r="BO171" s="128">
        <v>44286</v>
      </c>
      <c r="BP171" s="2">
        <v>15.54</v>
      </c>
      <c r="BQ171" s="2">
        <v>13.95</v>
      </c>
      <c r="BR171" s="2">
        <v>12.16</v>
      </c>
      <c r="BS171" s="2">
        <v>13.87</v>
      </c>
      <c r="BT171" s="2"/>
      <c r="BU171" s="2"/>
      <c r="BV171" s="7"/>
      <c r="BW171" s="128">
        <v>44286</v>
      </c>
      <c r="BX171" s="2">
        <v>59</v>
      </c>
      <c r="BY171" s="2">
        <v>46.125</v>
      </c>
      <c r="BZ171" s="2">
        <v>44.250999999999998</v>
      </c>
      <c r="CA171" s="2">
        <v>40.625</v>
      </c>
    </row>
    <row r="172" spans="1:79" x14ac:dyDescent="0.2">
      <c r="A172" s="124">
        <v>43972</v>
      </c>
      <c r="B172">
        <v>41.625</v>
      </c>
      <c r="C172">
        <v>39</v>
      </c>
      <c r="D172">
        <v>40</v>
      </c>
      <c r="E172" s="17">
        <v>36.75</v>
      </c>
      <c r="F172">
        <v>36.125</v>
      </c>
      <c r="G172">
        <v>35.875</v>
      </c>
      <c r="H172">
        <v>35.625</v>
      </c>
      <c r="I172">
        <v>34.625</v>
      </c>
      <c r="J172">
        <v>36</v>
      </c>
      <c r="K172" s="17">
        <v>36.125</v>
      </c>
      <c r="L172" s="7"/>
      <c r="N172" s="124">
        <v>43972</v>
      </c>
      <c r="O172" s="2">
        <v>72.97645</v>
      </c>
      <c r="P172" s="2">
        <v>49.7517</v>
      </c>
      <c r="Q172" s="2">
        <v>37.9</v>
      </c>
      <c r="R172" s="2">
        <v>36.53445</v>
      </c>
      <c r="S172" s="2">
        <v>34.94</v>
      </c>
      <c r="T172" s="2">
        <v>34.068550000000002</v>
      </c>
      <c r="U172" s="2">
        <v>31.846800000000002</v>
      </c>
      <c r="V172" s="2">
        <v>30.179649999999999</v>
      </c>
      <c r="W172" s="2">
        <v>33.97</v>
      </c>
      <c r="X172" s="2">
        <v>29.660499999999999</v>
      </c>
      <c r="Y172" s="7"/>
      <c r="Z172" s="7"/>
      <c r="AA172" s="128">
        <v>44287</v>
      </c>
      <c r="AB172" s="2">
        <v>15.460267</v>
      </c>
      <c r="AC172" s="2">
        <v>13.920260000000001</v>
      </c>
      <c r="AD172" s="2">
        <v>12.160681</v>
      </c>
      <c r="AE172" s="2">
        <v>13.369908000000001</v>
      </c>
      <c r="AF172" s="2"/>
      <c r="AG172" s="2"/>
      <c r="AH172" s="7"/>
      <c r="AI172" s="128">
        <v>44287</v>
      </c>
      <c r="AJ172" s="2">
        <v>59.25</v>
      </c>
      <c r="AK172" s="2">
        <v>46.25</v>
      </c>
      <c r="AL172" s="2">
        <v>44.250999999999998</v>
      </c>
      <c r="AM172" s="2">
        <v>40.75</v>
      </c>
      <c r="AO172" s="124">
        <v>43972</v>
      </c>
      <c r="AP172">
        <v>41.625</v>
      </c>
      <c r="AQ172">
        <v>39</v>
      </c>
      <c r="AR172">
        <v>40</v>
      </c>
      <c r="AS172" s="17">
        <v>36.75</v>
      </c>
      <c r="AT172">
        <v>36.125</v>
      </c>
      <c r="AU172">
        <v>35.875</v>
      </c>
      <c r="AV172">
        <v>35.625</v>
      </c>
      <c r="AW172">
        <v>34.625</v>
      </c>
      <c r="AX172">
        <v>36</v>
      </c>
      <c r="AY172" s="17">
        <v>36.125</v>
      </c>
      <c r="AZ172" s="7"/>
      <c r="BB172" s="124">
        <v>43972</v>
      </c>
      <c r="BC172" s="2">
        <v>72.97</v>
      </c>
      <c r="BD172" s="2">
        <v>49.75</v>
      </c>
      <c r="BE172" s="2">
        <v>37.9</v>
      </c>
      <c r="BF172" s="2">
        <v>36.53</v>
      </c>
      <c r="BG172" s="2">
        <v>34.94</v>
      </c>
      <c r="BH172" s="2">
        <v>34.06</v>
      </c>
      <c r="BI172" s="2">
        <v>31.84</v>
      </c>
      <c r="BJ172" s="2">
        <v>30.18</v>
      </c>
      <c r="BK172" s="2">
        <v>33.97</v>
      </c>
      <c r="BL172" s="2">
        <v>29.66</v>
      </c>
      <c r="BM172" s="7"/>
      <c r="BN172" s="7"/>
      <c r="BO172" s="128">
        <v>44287</v>
      </c>
      <c r="BP172" s="2">
        <v>15.47</v>
      </c>
      <c r="BQ172" s="2">
        <v>13.92</v>
      </c>
      <c r="BR172" s="2">
        <v>12.16</v>
      </c>
      <c r="BS172" s="2">
        <v>13.82</v>
      </c>
      <c r="BT172" s="2"/>
      <c r="BU172" s="2"/>
      <c r="BV172" s="7"/>
      <c r="BW172" s="128">
        <v>44287</v>
      </c>
      <c r="BX172" s="2">
        <v>59.25</v>
      </c>
      <c r="BY172" s="2">
        <v>46.25</v>
      </c>
      <c r="BZ172" s="2">
        <v>44.265000000000001</v>
      </c>
      <c r="CA172" s="2">
        <v>40.75</v>
      </c>
    </row>
    <row r="173" spans="1:79" x14ac:dyDescent="0.2">
      <c r="A173" s="124">
        <v>43973</v>
      </c>
      <c r="B173">
        <v>42</v>
      </c>
      <c r="C173">
        <v>38.875</v>
      </c>
      <c r="D173">
        <v>40.25</v>
      </c>
      <c r="E173" s="17">
        <v>36.875</v>
      </c>
      <c r="F173">
        <v>35.875</v>
      </c>
      <c r="G173">
        <v>35.625</v>
      </c>
      <c r="H173">
        <v>35.375</v>
      </c>
      <c r="I173">
        <v>34.875</v>
      </c>
      <c r="J173">
        <v>35.625</v>
      </c>
      <c r="K173" s="17">
        <v>36.125</v>
      </c>
      <c r="L173" s="7"/>
      <c r="N173" s="124">
        <v>43973</v>
      </c>
      <c r="O173" s="2">
        <v>72.326949999999997</v>
      </c>
      <c r="P173" s="2">
        <v>49.9499</v>
      </c>
      <c r="Q173" s="2">
        <v>37.69</v>
      </c>
      <c r="R173" s="2">
        <v>36.433999999999997</v>
      </c>
      <c r="S173" s="2">
        <v>35.159999999999997</v>
      </c>
      <c r="T173" s="2">
        <v>34.284500000000001</v>
      </c>
      <c r="U173" s="2">
        <v>32.046250000000001</v>
      </c>
      <c r="V173" s="2">
        <v>29.99905</v>
      </c>
      <c r="W173" s="2">
        <v>34.29</v>
      </c>
      <c r="X173" s="2">
        <v>29.662500000000001</v>
      </c>
      <c r="Y173" s="7"/>
      <c r="Z173" s="7"/>
      <c r="AA173" s="128">
        <v>44288</v>
      </c>
      <c r="AB173" s="2">
        <v>15.460267</v>
      </c>
      <c r="AC173" s="2">
        <v>13.920260000000001</v>
      </c>
      <c r="AD173" s="2">
        <v>12.160681</v>
      </c>
      <c r="AE173" s="2">
        <v>13.369908000000001</v>
      </c>
      <c r="AF173" s="2"/>
      <c r="AG173" s="2"/>
      <c r="AH173" s="7"/>
      <c r="AI173" s="128">
        <v>44288</v>
      </c>
      <c r="AJ173" s="2">
        <v>59.25</v>
      </c>
      <c r="AK173" s="2">
        <v>46.25</v>
      </c>
      <c r="AL173" s="2">
        <v>44.250999999999998</v>
      </c>
      <c r="AM173" s="2">
        <v>40.75</v>
      </c>
      <c r="AO173" s="124">
        <v>43973</v>
      </c>
      <c r="AP173">
        <v>42</v>
      </c>
      <c r="AQ173">
        <v>38.875</v>
      </c>
      <c r="AR173">
        <v>40.25</v>
      </c>
      <c r="AS173" s="17">
        <v>36.875</v>
      </c>
      <c r="AT173">
        <v>35.875</v>
      </c>
      <c r="AU173">
        <v>35.625</v>
      </c>
      <c r="AV173">
        <v>35.375</v>
      </c>
      <c r="AW173">
        <v>34.875</v>
      </c>
      <c r="AX173">
        <v>35.625</v>
      </c>
      <c r="AY173" s="17">
        <v>36.125</v>
      </c>
      <c r="AZ173" s="7"/>
      <c r="BB173" s="124">
        <v>43973</v>
      </c>
      <c r="BC173" s="2">
        <v>72.319999999999993</v>
      </c>
      <c r="BD173" s="2">
        <v>49.94</v>
      </c>
      <c r="BE173" s="2">
        <v>37.69</v>
      </c>
      <c r="BF173" s="2">
        <v>36.43</v>
      </c>
      <c r="BG173" s="2">
        <v>35.159999999999997</v>
      </c>
      <c r="BH173" s="2">
        <v>34.28</v>
      </c>
      <c r="BI173" s="2">
        <v>32.04</v>
      </c>
      <c r="BJ173" s="2">
        <v>30</v>
      </c>
      <c r="BK173" s="2">
        <v>34.29</v>
      </c>
      <c r="BL173" s="2">
        <v>29.66</v>
      </c>
      <c r="BM173" s="7"/>
      <c r="BN173" s="7"/>
      <c r="BO173" s="128">
        <v>44288</v>
      </c>
      <c r="BP173" s="2">
        <v>15.47</v>
      </c>
      <c r="BQ173" s="2">
        <v>13.92</v>
      </c>
      <c r="BR173" s="2">
        <v>12.16</v>
      </c>
      <c r="BS173" s="2">
        <v>13.82</v>
      </c>
      <c r="BT173" s="2"/>
      <c r="BU173" s="2"/>
      <c r="BV173" s="7"/>
      <c r="BW173" s="128">
        <v>44288</v>
      </c>
      <c r="BX173" s="2">
        <v>59.25</v>
      </c>
      <c r="BY173" s="2">
        <v>46.25</v>
      </c>
      <c r="BZ173" s="2">
        <v>44.265000000000001</v>
      </c>
      <c r="CA173" s="2">
        <v>40.75</v>
      </c>
    </row>
    <row r="174" spans="1:79" x14ac:dyDescent="0.2">
      <c r="A174" s="124">
        <v>43976</v>
      </c>
      <c r="B174">
        <v>42</v>
      </c>
      <c r="C174">
        <v>38.875</v>
      </c>
      <c r="D174">
        <v>40.25</v>
      </c>
      <c r="E174" s="17">
        <v>36.875</v>
      </c>
      <c r="F174">
        <v>35.875</v>
      </c>
      <c r="G174">
        <v>35.625</v>
      </c>
      <c r="H174">
        <v>35.375</v>
      </c>
      <c r="I174">
        <v>34.875</v>
      </c>
      <c r="J174">
        <v>35.625</v>
      </c>
      <c r="K174" s="17">
        <v>36.125</v>
      </c>
      <c r="L174" s="7"/>
      <c r="N174" s="124">
        <v>43976</v>
      </c>
      <c r="O174" s="2">
        <v>72.326949999999997</v>
      </c>
      <c r="P174" s="2">
        <v>49.9499</v>
      </c>
      <c r="Q174" s="2">
        <v>37.69</v>
      </c>
      <c r="R174" s="2">
        <v>36.433999999999997</v>
      </c>
      <c r="S174" s="2">
        <v>35.159999999999997</v>
      </c>
      <c r="T174" s="2">
        <v>34.284500000000001</v>
      </c>
      <c r="U174" s="2">
        <v>32.046250000000001</v>
      </c>
      <c r="V174" s="2">
        <v>29.99905</v>
      </c>
      <c r="W174" s="2">
        <v>34.29</v>
      </c>
      <c r="X174" s="2">
        <v>29.662500000000001</v>
      </c>
      <c r="Y174" s="7"/>
      <c r="Z174" s="7"/>
      <c r="AA174" s="128">
        <v>44291</v>
      </c>
      <c r="AB174" s="2">
        <v>15.142047</v>
      </c>
      <c r="AC174" s="2">
        <v>13.596086</v>
      </c>
      <c r="AD174" s="2">
        <v>11.894429000000001</v>
      </c>
      <c r="AE174" s="2">
        <v>13.089779</v>
      </c>
      <c r="AF174" s="2"/>
      <c r="AG174" s="2"/>
      <c r="AH174" s="7"/>
      <c r="AI174" s="128">
        <v>44291</v>
      </c>
      <c r="AJ174" s="2">
        <v>60.25</v>
      </c>
      <c r="AK174" s="2">
        <v>47.5</v>
      </c>
      <c r="AL174" s="2">
        <v>45.499000000000002</v>
      </c>
      <c r="AM174" s="2">
        <v>41.5</v>
      </c>
      <c r="AO174" s="124">
        <v>43976</v>
      </c>
      <c r="AP174">
        <v>42</v>
      </c>
      <c r="AQ174">
        <v>38.875</v>
      </c>
      <c r="AR174">
        <v>40.25</v>
      </c>
      <c r="AS174" s="17">
        <v>36.875</v>
      </c>
      <c r="AT174">
        <v>35.875</v>
      </c>
      <c r="AU174">
        <v>35.625</v>
      </c>
      <c r="AV174">
        <v>35.375</v>
      </c>
      <c r="AW174">
        <v>34.875</v>
      </c>
      <c r="AX174">
        <v>35.625</v>
      </c>
      <c r="AY174" s="17">
        <v>36.125</v>
      </c>
      <c r="AZ174" s="7"/>
      <c r="BB174" s="124">
        <v>43976</v>
      </c>
      <c r="BC174" s="2">
        <v>72.319999999999993</v>
      </c>
      <c r="BD174" s="2">
        <v>49.94</v>
      </c>
      <c r="BE174" s="2">
        <v>37.69</v>
      </c>
      <c r="BF174" s="2">
        <v>36.43</v>
      </c>
      <c r="BG174" s="2">
        <v>35.159999999999997</v>
      </c>
      <c r="BH174" s="2">
        <v>34.28</v>
      </c>
      <c r="BI174" s="2">
        <v>32.04</v>
      </c>
      <c r="BJ174" s="2">
        <v>30</v>
      </c>
      <c r="BK174" s="2">
        <v>34.29</v>
      </c>
      <c r="BL174" s="2">
        <v>29.66</v>
      </c>
      <c r="BM174" s="7"/>
      <c r="BN174" s="7"/>
      <c r="BO174" s="128">
        <v>44291</v>
      </c>
      <c r="BP174" s="2">
        <v>15.14</v>
      </c>
      <c r="BQ174" s="2">
        <v>13.6</v>
      </c>
      <c r="BR174" s="2">
        <v>11.89</v>
      </c>
      <c r="BS174" s="2">
        <v>13.52</v>
      </c>
      <c r="BT174" s="2"/>
      <c r="BU174" s="2"/>
      <c r="BV174" s="7"/>
      <c r="BW174" s="128">
        <v>44291</v>
      </c>
      <c r="BX174" s="2">
        <v>60.25</v>
      </c>
      <c r="BY174" s="2">
        <v>47.5</v>
      </c>
      <c r="BZ174" s="2">
        <v>45.499000000000002</v>
      </c>
      <c r="CA174" s="2">
        <v>41.5</v>
      </c>
    </row>
    <row r="175" spans="1:79" x14ac:dyDescent="0.2">
      <c r="A175" s="124">
        <v>43977</v>
      </c>
      <c r="B175">
        <v>44</v>
      </c>
      <c r="C175">
        <v>41.125</v>
      </c>
      <c r="D175">
        <v>42.5</v>
      </c>
      <c r="E175" s="17">
        <v>38.875</v>
      </c>
      <c r="F175">
        <v>38</v>
      </c>
      <c r="G175">
        <v>37.875</v>
      </c>
      <c r="H175">
        <v>37.75</v>
      </c>
      <c r="I175">
        <v>36.875</v>
      </c>
      <c r="J175">
        <v>37.875</v>
      </c>
      <c r="K175" s="17">
        <v>38.75</v>
      </c>
      <c r="L175" s="7"/>
      <c r="N175" s="124">
        <v>43977</v>
      </c>
      <c r="O175" s="2">
        <v>68.612549999999999</v>
      </c>
      <c r="P175" s="2">
        <v>47.1935</v>
      </c>
      <c r="Q175" s="2">
        <v>35.700000000000003</v>
      </c>
      <c r="R175" s="2">
        <v>34.705750000000002</v>
      </c>
      <c r="S175" s="2">
        <v>33.42</v>
      </c>
      <c r="T175" s="2">
        <v>32.491349999999997</v>
      </c>
      <c r="U175" s="2">
        <v>30.27655</v>
      </c>
      <c r="V175" s="2">
        <v>28.584900000000001</v>
      </c>
      <c r="W175" s="2">
        <v>32.49</v>
      </c>
      <c r="X175" s="2">
        <v>27.878350000000001</v>
      </c>
      <c r="Y175" s="7"/>
      <c r="Z175" s="7"/>
      <c r="AA175" s="128">
        <v>44292</v>
      </c>
      <c r="AB175" s="2">
        <v>15.109216999999999</v>
      </c>
      <c r="AC175" s="2">
        <v>13.43993</v>
      </c>
      <c r="AD175" s="2">
        <v>11.818597</v>
      </c>
      <c r="AE175" s="2">
        <v>12.907883999999999</v>
      </c>
      <c r="AF175" s="2"/>
      <c r="AG175" s="2"/>
      <c r="AH175" s="7"/>
      <c r="AI175" s="128">
        <v>44292</v>
      </c>
      <c r="AJ175" s="2">
        <v>60.375</v>
      </c>
      <c r="AK175" s="2">
        <v>48.125</v>
      </c>
      <c r="AL175" s="2">
        <v>45.872</v>
      </c>
      <c r="AM175" s="2">
        <v>42</v>
      </c>
      <c r="AO175" s="124">
        <v>43977</v>
      </c>
      <c r="AP175">
        <v>44</v>
      </c>
      <c r="AQ175">
        <v>41.125</v>
      </c>
      <c r="AR175">
        <v>42.5</v>
      </c>
      <c r="AS175" s="17">
        <v>38.875</v>
      </c>
      <c r="AT175">
        <v>38</v>
      </c>
      <c r="AU175">
        <v>37.875</v>
      </c>
      <c r="AV175">
        <v>37.75</v>
      </c>
      <c r="AW175">
        <v>36.875</v>
      </c>
      <c r="AX175">
        <v>37.875</v>
      </c>
      <c r="AY175" s="17">
        <v>38.75</v>
      </c>
      <c r="AZ175" s="7"/>
      <c r="BB175" s="124">
        <v>43977</v>
      </c>
      <c r="BC175" s="2">
        <v>68.61</v>
      </c>
      <c r="BD175" s="2">
        <v>47.19</v>
      </c>
      <c r="BE175" s="2">
        <v>35.700000000000003</v>
      </c>
      <c r="BF175" s="2">
        <v>34.700000000000003</v>
      </c>
      <c r="BG175" s="2">
        <v>33.42</v>
      </c>
      <c r="BH175" s="2">
        <v>32.49</v>
      </c>
      <c r="BI175" s="2">
        <v>30.27</v>
      </c>
      <c r="BJ175" s="2">
        <v>28.58</v>
      </c>
      <c r="BK175" s="2">
        <v>32.49</v>
      </c>
      <c r="BL175" s="2">
        <v>27.87</v>
      </c>
      <c r="BM175" s="7"/>
      <c r="BN175" s="7"/>
      <c r="BO175" s="128">
        <v>44292</v>
      </c>
      <c r="BP175" s="2">
        <v>15.11</v>
      </c>
      <c r="BQ175" s="2">
        <v>13.44</v>
      </c>
      <c r="BR175" s="2">
        <v>11.82</v>
      </c>
      <c r="BS175" s="2">
        <v>13.32</v>
      </c>
      <c r="BT175" s="2"/>
      <c r="BU175" s="2"/>
      <c r="BV175" s="7"/>
      <c r="BW175" s="128">
        <v>44292</v>
      </c>
      <c r="BX175" s="2">
        <v>60.375</v>
      </c>
      <c r="BY175" s="2">
        <v>48.125</v>
      </c>
      <c r="BZ175" s="2">
        <v>45.872</v>
      </c>
      <c r="CA175" s="2">
        <v>42</v>
      </c>
    </row>
    <row r="176" spans="1:79" x14ac:dyDescent="0.2">
      <c r="A176" s="124">
        <v>43978</v>
      </c>
      <c r="B176">
        <v>44.125</v>
      </c>
      <c r="C176">
        <v>41.625</v>
      </c>
      <c r="D176">
        <v>42.875</v>
      </c>
      <c r="E176" s="17">
        <v>38.875</v>
      </c>
      <c r="F176">
        <v>38</v>
      </c>
      <c r="G176">
        <v>37.625</v>
      </c>
      <c r="H176">
        <v>37.75</v>
      </c>
      <c r="I176">
        <v>37.125</v>
      </c>
      <c r="J176">
        <v>38.375</v>
      </c>
      <c r="K176" s="17">
        <v>38.25</v>
      </c>
      <c r="L176" s="7"/>
      <c r="N176" s="124">
        <v>43978</v>
      </c>
      <c r="O176" s="2">
        <v>68.466099999999997</v>
      </c>
      <c r="P176" s="2">
        <v>46.634450000000001</v>
      </c>
      <c r="Q176" s="2">
        <v>35.4</v>
      </c>
      <c r="R176" s="2">
        <v>34.717649999999999</v>
      </c>
      <c r="S176" s="2">
        <v>33.43</v>
      </c>
      <c r="T176" s="2">
        <v>32.690249999999999</v>
      </c>
      <c r="U176" s="2">
        <v>30.2807</v>
      </c>
      <c r="V176" s="2">
        <v>28.4206</v>
      </c>
      <c r="W176" s="2">
        <v>32.119999999999997</v>
      </c>
      <c r="X176" s="2">
        <v>28.204799999999999</v>
      </c>
      <c r="Y176" s="7"/>
      <c r="Z176" s="7"/>
      <c r="AA176" s="128">
        <v>44293</v>
      </c>
      <c r="AB176" s="2">
        <v>14.956499000000001</v>
      </c>
      <c r="AC176" s="2">
        <v>13.349028000000001</v>
      </c>
      <c r="AD176" s="2">
        <v>11.794784</v>
      </c>
      <c r="AE176" s="2">
        <v>12.728303</v>
      </c>
      <c r="AF176" s="2"/>
      <c r="AG176" s="2"/>
      <c r="AH176" s="7"/>
      <c r="AI176" s="128">
        <v>44293</v>
      </c>
      <c r="AJ176" s="2">
        <v>60.875</v>
      </c>
      <c r="AK176" s="2">
        <v>48.5</v>
      </c>
      <c r="AL176" s="2">
        <v>45.999000000000002</v>
      </c>
      <c r="AM176" s="2">
        <v>42.5</v>
      </c>
      <c r="AO176" s="124">
        <v>43978</v>
      </c>
      <c r="AP176">
        <v>44.125</v>
      </c>
      <c r="AQ176">
        <v>41.625</v>
      </c>
      <c r="AR176">
        <v>42.875</v>
      </c>
      <c r="AS176" s="17">
        <v>38.875</v>
      </c>
      <c r="AT176">
        <v>38</v>
      </c>
      <c r="AU176">
        <v>37.625</v>
      </c>
      <c r="AV176">
        <v>37.75</v>
      </c>
      <c r="AW176">
        <v>37.125</v>
      </c>
      <c r="AX176">
        <v>38.375</v>
      </c>
      <c r="AY176" s="17">
        <v>38.25</v>
      </c>
      <c r="AZ176" s="7"/>
      <c r="BB176" s="124">
        <v>43978</v>
      </c>
      <c r="BC176" s="2">
        <v>68.459999999999994</v>
      </c>
      <c r="BD176" s="2">
        <v>46.63</v>
      </c>
      <c r="BE176" s="2">
        <v>35.4</v>
      </c>
      <c r="BF176" s="2">
        <v>34.71</v>
      </c>
      <c r="BG176" s="2">
        <v>33.43</v>
      </c>
      <c r="BH176" s="2">
        <v>32.69</v>
      </c>
      <c r="BI176" s="2">
        <v>30.28</v>
      </c>
      <c r="BJ176" s="2">
        <v>28.42</v>
      </c>
      <c r="BK176" s="2">
        <v>32.119999999999997</v>
      </c>
      <c r="BL176" s="2">
        <v>28.2</v>
      </c>
      <c r="BM176" s="7"/>
      <c r="BN176" s="7"/>
      <c r="BO176" s="128">
        <v>44293</v>
      </c>
      <c r="BP176" s="2">
        <v>14.96</v>
      </c>
      <c r="BQ176" s="2">
        <v>13.35</v>
      </c>
      <c r="BR176" s="2">
        <v>11.79</v>
      </c>
      <c r="BS176" s="2">
        <v>13.13</v>
      </c>
      <c r="BT176" s="2"/>
      <c r="BU176" s="2"/>
      <c r="BV176" s="7"/>
      <c r="BW176" s="128">
        <v>44293</v>
      </c>
      <c r="BX176" s="2">
        <v>60.875</v>
      </c>
      <c r="BY176" s="2">
        <v>48.5</v>
      </c>
      <c r="BZ176" s="2">
        <v>45.999000000000002</v>
      </c>
      <c r="CA176" s="2">
        <v>42.5</v>
      </c>
    </row>
    <row r="177" spans="1:79" x14ac:dyDescent="0.2">
      <c r="A177" s="124">
        <v>43979</v>
      </c>
      <c r="B177">
        <v>44.5</v>
      </c>
      <c r="C177">
        <v>41</v>
      </c>
      <c r="D177">
        <v>42.875</v>
      </c>
      <c r="E177" s="17">
        <v>38.875</v>
      </c>
      <c r="F177">
        <v>37.875</v>
      </c>
      <c r="G177">
        <v>37.5</v>
      </c>
      <c r="H177">
        <v>37.375</v>
      </c>
      <c r="I177">
        <v>36.625</v>
      </c>
      <c r="J177">
        <v>37.625</v>
      </c>
      <c r="K177" s="17">
        <v>37.625</v>
      </c>
      <c r="L177" s="7"/>
      <c r="N177" s="124">
        <v>43979</v>
      </c>
      <c r="O177" s="2">
        <v>67.946650000000005</v>
      </c>
      <c r="P177" s="2">
        <v>47.4497</v>
      </c>
      <c r="Q177" s="2">
        <v>35.43</v>
      </c>
      <c r="R177" s="2">
        <v>34.741500000000002</v>
      </c>
      <c r="S177" s="2">
        <v>33.549999999999997</v>
      </c>
      <c r="T177" s="2">
        <v>32.80115</v>
      </c>
      <c r="U177" s="2">
        <v>30.5579</v>
      </c>
      <c r="V177" s="2">
        <v>28.7715</v>
      </c>
      <c r="W177" s="2">
        <v>32.69</v>
      </c>
      <c r="X177" s="2">
        <v>28.624500000000001</v>
      </c>
      <c r="Y177" s="7"/>
      <c r="Z177" s="7"/>
      <c r="AA177" s="128">
        <v>44294</v>
      </c>
      <c r="AB177" s="2">
        <v>15.260408</v>
      </c>
      <c r="AC177" s="2">
        <v>13.361181999999999</v>
      </c>
      <c r="AD177" s="2">
        <v>11.802705</v>
      </c>
      <c r="AE177" s="2">
        <v>12.744389</v>
      </c>
      <c r="AF177" s="2"/>
      <c r="AG177" s="2"/>
      <c r="AH177" s="7"/>
      <c r="AI177" s="128">
        <v>44294</v>
      </c>
      <c r="AJ177" s="2">
        <v>60</v>
      </c>
      <c r="AK177" s="2">
        <v>48.5</v>
      </c>
      <c r="AL177" s="2">
        <v>46.000999999999998</v>
      </c>
      <c r="AM177" s="2">
        <v>42.5</v>
      </c>
      <c r="AO177" s="124">
        <v>43979</v>
      </c>
      <c r="AP177">
        <v>44.5</v>
      </c>
      <c r="AQ177">
        <v>41</v>
      </c>
      <c r="AR177">
        <v>42.875</v>
      </c>
      <c r="AS177" s="17">
        <v>38.875</v>
      </c>
      <c r="AT177">
        <v>37.875</v>
      </c>
      <c r="AU177">
        <v>37.5</v>
      </c>
      <c r="AV177">
        <v>37.375</v>
      </c>
      <c r="AW177">
        <v>36.625</v>
      </c>
      <c r="AX177">
        <v>37.625</v>
      </c>
      <c r="AY177" s="17">
        <v>37.625</v>
      </c>
      <c r="AZ177" s="7"/>
      <c r="BB177" s="124">
        <v>43979</v>
      </c>
      <c r="BC177" s="2">
        <v>67.94</v>
      </c>
      <c r="BD177" s="2">
        <v>47.44</v>
      </c>
      <c r="BE177" s="2">
        <v>35.43</v>
      </c>
      <c r="BF177" s="2">
        <v>34.74</v>
      </c>
      <c r="BG177" s="2">
        <v>33.549999999999997</v>
      </c>
      <c r="BH177" s="2">
        <v>32.799999999999997</v>
      </c>
      <c r="BI177" s="2">
        <v>30.55</v>
      </c>
      <c r="BJ177" s="2">
        <v>28.77</v>
      </c>
      <c r="BK177" s="2">
        <v>32.69</v>
      </c>
      <c r="BL177" s="2">
        <v>28.62</v>
      </c>
      <c r="BM177" s="7"/>
      <c r="BN177" s="7"/>
      <c r="BO177" s="128">
        <v>44294</v>
      </c>
      <c r="BP177" s="2">
        <v>15.26</v>
      </c>
      <c r="BQ177" s="2">
        <v>13.36</v>
      </c>
      <c r="BR177" s="2">
        <v>11.8</v>
      </c>
      <c r="BS177" s="2">
        <v>13.15</v>
      </c>
      <c r="BT177" s="2"/>
      <c r="BU177" s="2"/>
      <c r="BV177" s="7"/>
      <c r="BW177" s="128">
        <v>44294</v>
      </c>
      <c r="BX177" s="2">
        <v>60</v>
      </c>
      <c r="BY177" s="2">
        <v>48.5</v>
      </c>
      <c r="BZ177" s="2">
        <v>46.000999999999998</v>
      </c>
      <c r="CA177" s="2">
        <v>42.5</v>
      </c>
    </row>
    <row r="178" spans="1:79" x14ac:dyDescent="0.2">
      <c r="A178" s="124">
        <v>43980</v>
      </c>
      <c r="B178">
        <v>44.625</v>
      </c>
      <c r="C178">
        <v>41.75</v>
      </c>
      <c r="D178">
        <v>42.875</v>
      </c>
      <c r="E178" s="17">
        <v>38</v>
      </c>
      <c r="F178">
        <v>37.75</v>
      </c>
      <c r="G178">
        <v>37.125</v>
      </c>
      <c r="H178">
        <v>36.625</v>
      </c>
      <c r="I178">
        <v>35.875</v>
      </c>
      <c r="J178">
        <v>36.75</v>
      </c>
      <c r="K178" s="17">
        <v>36.875</v>
      </c>
      <c r="L178" s="7"/>
      <c r="N178" s="124">
        <v>43980</v>
      </c>
      <c r="O178" s="2">
        <v>67.802400000000006</v>
      </c>
      <c r="P178" s="2">
        <v>46.591349999999998</v>
      </c>
      <c r="Q178" s="2">
        <v>35.450000000000003</v>
      </c>
      <c r="R178" s="2">
        <v>35.501100000000001</v>
      </c>
      <c r="S178" s="2">
        <v>33.65</v>
      </c>
      <c r="T178" s="2">
        <v>33.101599999999998</v>
      </c>
      <c r="U178" s="2">
        <v>31.112200000000001</v>
      </c>
      <c r="V178" s="2">
        <v>29.301100000000002</v>
      </c>
      <c r="W178" s="2">
        <v>33.39</v>
      </c>
      <c r="X178" s="2">
        <v>29.140799999999999</v>
      </c>
      <c r="Y178" s="7"/>
      <c r="Z178" s="7"/>
      <c r="AA178" s="128">
        <v>44295</v>
      </c>
      <c r="AB178" s="2">
        <v>15.308653</v>
      </c>
      <c r="AC178" s="2">
        <v>13.396846</v>
      </c>
      <c r="AD178" s="2">
        <v>11.805697</v>
      </c>
      <c r="AE178" s="2">
        <v>12.74976</v>
      </c>
      <c r="AF178" s="2"/>
      <c r="AG178" s="2"/>
      <c r="AH178" s="7"/>
      <c r="AI178" s="128">
        <v>44295</v>
      </c>
      <c r="AJ178" s="2">
        <v>59.875</v>
      </c>
      <c r="AK178" s="2">
        <v>48.375</v>
      </c>
      <c r="AL178" s="2">
        <v>46</v>
      </c>
      <c r="AM178" s="2">
        <v>42.5</v>
      </c>
      <c r="AO178" s="124">
        <v>43980</v>
      </c>
      <c r="AP178">
        <v>44.625</v>
      </c>
      <c r="AQ178">
        <v>41.75</v>
      </c>
      <c r="AR178">
        <v>42.875</v>
      </c>
      <c r="AS178" s="17">
        <v>38</v>
      </c>
      <c r="AT178">
        <v>37.75</v>
      </c>
      <c r="AU178">
        <v>37.125</v>
      </c>
      <c r="AV178">
        <v>36.625</v>
      </c>
      <c r="AW178">
        <v>35.875</v>
      </c>
      <c r="AX178">
        <v>36.75</v>
      </c>
      <c r="AY178" s="17">
        <v>36.875</v>
      </c>
      <c r="AZ178" s="7"/>
      <c r="BB178" s="124">
        <v>43980</v>
      </c>
      <c r="BC178" s="2">
        <v>67.8</v>
      </c>
      <c r="BD178" s="2">
        <v>46.59</v>
      </c>
      <c r="BE178" s="2">
        <v>35.450000000000003</v>
      </c>
      <c r="BF178" s="2">
        <v>35.5</v>
      </c>
      <c r="BG178" s="2">
        <v>33.65</v>
      </c>
      <c r="BH178" s="2">
        <v>33.1</v>
      </c>
      <c r="BI178" s="2">
        <v>31.11</v>
      </c>
      <c r="BJ178" s="2">
        <v>29.3</v>
      </c>
      <c r="BK178" s="2">
        <v>33.39</v>
      </c>
      <c r="BL178" s="2">
        <v>29.14</v>
      </c>
      <c r="BM178" s="7"/>
      <c r="BN178" s="7"/>
      <c r="BO178" s="128">
        <v>44295</v>
      </c>
      <c r="BP178" s="2">
        <v>15.31</v>
      </c>
      <c r="BQ178" s="2">
        <v>13.4</v>
      </c>
      <c r="BR178" s="2">
        <v>11.81</v>
      </c>
      <c r="BS178" s="2">
        <v>13.16</v>
      </c>
      <c r="BT178" s="2"/>
      <c r="BU178" s="2"/>
      <c r="BV178" s="7"/>
      <c r="BW178" s="128">
        <v>44295</v>
      </c>
      <c r="BX178" s="2">
        <v>59.875</v>
      </c>
      <c r="BY178" s="2">
        <v>48.375</v>
      </c>
      <c r="BZ178" s="2">
        <v>46</v>
      </c>
      <c r="CA178" s="2">
        <v>42.5</v>
      </c>
    </row>
    <row r="179" spans="1:79" x14ac:dyDescent="0.2">
      <c r="A179" s="124">
        <v>43983</v>
      </c>
      <c r="B179">
        <v>47.375</v>
      </c>
      <c r="C179">
        <v>44.375</v>
      </c>
      <c r="D179">
        <v>45.875</v>
      </c>
      <c r="E179" s="17">
        <v>41.25</v>
      </c>
      <c r="F179">
        <v>40.375</v>
      </c>
      <c r="G179">
        <v>40.125</v>
      </c>
      <c r="H179">
        <v>39.625</v>
      </c>
      <c r="I179">
        <v>38.375</v>
      </c>
      <c r="J179">
        <v>39.375</v>
      </c>
      <c r="K179" s="17">
        <v>40.125</v>
      </c>
      <c r="L179" s="7"/>
      <c r="N179" s="124">
        <v>43983</v>
      </c>
      <c r="O179" s="2">
        <v>63.075400000000002</v>
      </c>
      <c r="P179" s="2">
        <v>43.648049999999998</v>
      </c>
      <c r="Q179" s="2">
        <v>33.020000000000003</v>
      </c>
      <c r="R179" s="2">
        <v>32.844200000000001</v>
      </c>
      <c r="S179" s="2">
        <v>31.68</v>
      </c>
      <c r="T179" s="2">
        <v>30.8766</v>
      </c>
      <c r="U179" s="2">
        <v>29.011150000000001</v>
      </c>
      <c r="V179" s="2">
        <v>27.617899999999999</v>
      </c>
      <c r="W179" s="2">
        <v>31.4</v>
      </c>
      <c r="X179" s="2">
        <v>27.030950000000001</v>
      </c>
      <c r="Y179" s="7"/>
      <c r="Z179" s="7"/>
      <c r="AA179" s="128">
        <v>44298</v>
      </c>
      <c r="AB179" s="2">
        <v>15.316217999999999</v>
      </c>
      <c r="AC179" s="2">
        <v>13.400918000000001</v>
      </c>
      <c r="AD179" s="2">
        <v>11.756319</v>
      </c>
      <c r="AE179" s="2">
        <v>12.755136</v>
      </c>
      <c r="AF179" s="2"/>
      <c r="AG179" s="2"/>
      <c r="AH179" s="7"/>
      <c r="AI179" s="128">
        <v>44298</v>
      </c>
      <c r="AJ179" s="2">
        <v>59.875</v>
      </c>
      <c r="AK179" s="2">
        <v>48.375</v>
      </c>
      <c r="AL179" s="2">
        <v>46.25</v>
      </c>
      <c r="AM179" s="2">
        <v>42.5</v>
      </c>
      <c r="AO179" s="124">
        <v>43983</v>
      </c>
      <c r="AP179">
        <v>47.375</v>
      </c>
      <c r="AQ179">
        <v>44.375</v>
      </c>
      <c r="AR179">
        <v>45.875</v>
      </c>
      <c r="AS179" s="17">
        <v>41.25</v>
      </c>
      <c r="AT179">
        <v>40.375</v>
      </c>
      <c r="AU179">
        <v>40.125</v>
      </c>
      <c r="AV179">
        <v>39.625</v>
      </c>
      <c r="AW179">
        <v>38.375</v>
      </c>
      <c r="AX179">
        <v>39.375</v>
      </c>
      <c r="AY179" s="17">
        <v>40.125</v>
      </c>
      <c r="AZ179" s="7"/>
      <c r="BB179" s="124">
        <v>43983</v>
      </c>
      <c r="BC179" s="2">
        <v>63.07</v>
      </c>
      <c r="BD179" s="2">
        <v>43.64</v>
      </c>
      <c r="BE179" s="2">
        <v>33.020000000000003</v>
      </c>
      <c r="BF179" s="2">
        <v>32.840000000000003</v>
      </c>
      <c r="BG179" s="2">
        <v>31.68</v>
      </c>
      <c r="BH179" s="2">
        <v>30.87</v>
      </c>
      <c r="BI179" s="2">
        <v>29.01</v>
      </c>
      <c r="BJ179" s="2">
        <v>27.61</v>
      </c>
      <c r="BK179" s="2">
        <v>31.4</v>
      </c>
      <c r="BL179" s="2">
        <v>27.03</v>
      </c>
      <c r="BM179" s="7"/>
      <c r="BN179" s="7"/>
      <c r="BO179" s="128">
        <v>44298</v>
      </c>
      <c r="BP179" s="2">
        <v>15.32</v>
      </c>
      <c r="BQ179" s="2">
        <v>13.4</v>
      </c>
      <c r="BR179" s="2">
        <v>11.76</v>
      </c>
      <c r="BS179" s="2">
        <v>13.16</v>
      </c>
      <c r="BT179" s="2"/>
      <c r="BU179" s="2"/>
      <c r="BV179" s="7"/>
      <c r="BW179" s="128">
        <v>44298</v>
      </c>
      <c r="BX179" s="2">
        <v>59.875</v>
      </c>
      <c r="BY179" s="2">
        <v>48.375</v>
      </c>
      <c r="BZ179" s="2">
        <v>46.25</v>
      </c>
      <c r="CA179" s="2">
        <v>42.5</v>
      </c>
    </row>
    <row r="180" spans="1:79" x14ac:dyDescent="0.2">
      <c r="A180" s="124">
        <v>43984</v>
      </c>
      <c r="B180">
        <v>48.375</v>
      </c>
      <c r="C180">
        <v>46</v>
      </c>
      <c r="D180">
        <v>46.75</v>
      </c>
      <c r="E180" s="17">
        <v>43.125</v>
      </c>
      <c r="F180">
        <v>42.375</v>
      </c>
      <c r="G180">
        <v>41</v>
      </c>
      <c r="H180">
        <v>40.875</v>
      </c>
      <c r="I180">
        <v>39.625</v>
      </c>
      <c r="J180">
        <v>40.875</v>
      </c>
      <c r="K180" s="17">
        <v>41.625</v>
      </c>
      <c r="L180" s="7"/>
      <c r="N180" s="124">
        <v>43984</v>
      </c>
      <c r="O180" s="2">
        <v>61.492849999999997</v>
      </c>
      <c r="P180" s="2">
        <v>41.946849999999998</v>
      </c>
      <c r="Q180" s="2">
        <v>32.36</v>
      </c>
      <c r="R180" s="2">
        <v>31.4391</v>
      </c>
      <c r="S180" s="2">
        <v>30.3</v>
      </c>
      <c r="T180" s="2">
        <v>30.277200000000001</v>
      </c>
      <c r="U180" s="2">
        <v>28.206900000000001</v>
      </c>
      <c r="V180" s="2">
        <v>26.838000000000001</v>
      </c>
      <c r="W180" s="2">
        <v>30.37</v>
      </c>
      <c r="X180" s="2">
        <v>26.1508</v>
      </c>
      <c r="Y180" s="7"/>
      <c r="Z180" s="7"/>
      <c r="AA180" s="128">
        <v>44299</v>
      </c>
      <c r="AB180" s="2">
        <v>10.206848000000001</v>
      </c>
      <c r="AC180" s="2">
        <v>10.169957999999999</v>
      </c>
      <c r="AD180" s="2">
        <v>9.6455599999999997</v>
      </c>
      <c r="AE180" s="2">
        <v>9.4184029999999996</v>
      </c>
      <c r="AF180" s="2"/>
      <c r="AG180" s="2"/>
      <c r="AH180" s="7"/>
      <c r="AI180" s="128">
        <v>44299</v>
      </c>
      <c r="AJ180" s="2">
        <v>78.5</v>
      </c>
      <c r="AK180" s="2">
        <v>63.5</v>
      </c>
      <c r="AL180" s="2">
        <v>58</v>
      </c>
      <c r="AM180" s="2">
        <v>52.75</v>
      </c>
      <c r="AO180" s="124">
        <v>43984</v>
      </c>
      <c r="AP180">
        <v>48.375</v>
      </c>
      <c r="AQ180">
        <v>46</v>
      </c>
      <c r="AR180">
        <v>46.75</v>
      </c>
      <c r="AS180" s="17">
        <v>43.125</v>
      </c>
      <c r="AT180">
        <v>42.375</v>
      </c>
      <c r="AU180">
        <v>41</v>
      </c>
      <c r="AV180">
        <v>40.875</v>
      </c>
      <c r="AW180">
        <v>39.625</v>
      </c>
      <c r="AX180">
        <v>40.875</v>
      </c>
      <c r="AY180" s="17">
        <v>41.625</v>
      </c>
      <c r="AZ180" s="7"/>
      <c r="BB180" s="124">
        <v>43984</v>
      </c>
      <c r="BC180" s="2">
        <v>61.49</v>
      </c>
      <c r="BD180" s="2">
        <v>41.94</v>
      </c>
      <c r="BE180" s="2">
        <v>32.36</v>
      </c>
      <c r="BF180" s="2">
        <v>31.44</v>
      </c>
      <c r="BG180" s="2">
        <v>30.3</v>
      </c>
      <c r="BH180" s="2">
        <v>30.27</v>
      </c>
      <c r="BI180" s="2">
        <v>28.2</v>
      </c>
      <c r="BJ180" s="2">
        <v>26.84</v>
      </c>
      <c r="BK180" s="2">
        <v>30.37</v>
      </c>
      <c r="BL180" s="2">
        <v>26.15</v>
      </c>
      <c r="BM180" s="7"/>
      <c r="BN180" s="7"/>
      <c r="BO180" s="128">
        <v>44299</v>
      </c>
      <c r="BP180" s="2">
        <v>10.210000000000001</v>
      </c>
      <c r="BQ180" s="2">
        <v>10.17</v>
      </c>
      <c r="BR180" s="2">
        <v>9.65</v>
      </c>
      <c r="BS180" s="2">
        <v>9.64</v>
      </c>
      <c r="BT180" s="2"/>
      <c r="BU180" s="2"/>
      <c r="BV180" s="7"/>
      <c r="BW180" s="128">
        <v>44299</v>
      </c>
      <c r="BX180" s="2">
        <v>78.5</v>
      </c>
      <c r="BY180" s="2">
        <v>63.5</v>
      </c>
      <c r="BZ180" s="2">
        <v>58</v>
      </c>
      <c r="CA180" s="2">
        <v>52.75</v>
      </c>
    </row>
    <row r="181" spans="1:79" x14ac:dyDescent="0.2">
      <c r="A181" s="124">
        <v>43985</v>
      </c>
      <c r="B181">
        <v>52.25</v>
      </c>
      <c r="C181">
        <v>49.125</v>
      </c>
      <c r="D181">
        <v>50.375</v>
      </c>
      <c r="E181" s="17">
        <v>45.125</v>
      </c>
      <c r="F181">
        <v>44.375</v>
      </c>
      <c r="G181">
        <v>43.25</v>
      </c>
      <c r="H181">
        <v>43</v>
      </c>
      <c r="I181">
        <v>42.25</v>
      </c>
      <c r="J181">
        <v>43</v>
      </c>
      <c r="K181" s="17">
        <v>44.25</v>
      </c>
      <c r="L181" s="7"/>
      <c r="N181" s="124">
        <v>43985</v>
      </c>
      <c r="O181" s="2">
        <v>55.541849999999997</v>
      </c>
      <c r="P181" s="2">
        <v>38.860599999999998</v>
      </c>
      <c r="Q181" s="2">
        <v>29.74</v>
      </c>
      <c r="R181" s="2">
        <v>30.025549999999999</v>
      </c>
      <c r="S181" s="2">
        <v>29.01</v>
      </c>
      <c r="T181" s="2">
        <v>28.814</v>
      </c>
      <c r="U181" s="2">
        <v>26.917149999999999</v>
      </c>
      <c r="V181" s="2">
        <v>25.305900000000001</v>
      </c>
      <c r="W181" s="2">
        <v>29</v>
      </c>
      <c r="X181" s="2">
        <v>24.726600000000001</v>
      </c>
      <c r="Y181" s="7"/>
      <c r="Z181" s="7"/>
      <c r="AA181" s="128">
        <v>44300</v>
      </c>
      <c r="AB181" s="2">
        <v>10.357866</v>
      </c>
      <c r="AC181" s="2">
        <v>10.241327</v>
      </c>
      <c r="AD181" s="2">
        <v>9.7860200000000006</v>
      </c>
      <c r="AE181" s="2">
        <v>9.5679239999999997</v>
      </c>
      <c r="AF181" s="2"/>
      <c r="AG181" s="2"/>
      <c r="AH181" s="7"/>
      <c r="AI181" s="128">
        <v>44300</v>
      </c>
      <c r="AJ181" s="2">
        <v>77.875</v>
      </c>
      <c r="AK181" s="2">
        <v>63.125</v>
      </c>
      <c r="AL181" s="2">
        <v>57.124000000000002</v>
      </c>
      <c r="AM181" s="2">
        <v>52.25</v>
      </c>
      <c r="AO181" s="124">
        <v>43985</v>
      </c>
      <c r="AP181">
        <v>52.25</v>
      </c>
      <c r="AQ181">
        <v>49.125</v>
      </c>
      <c r="AR181">
        <v>50.375</v>
      </c>
      <c r="AS181" s="17">
        <v>45.125</v>
      </c>
      <c r="AT181">
        <v>44.375</v>
      </c>
      <c r="AU181">
        <v>43.25</v>
      </c>
      <c r="AV181">
        <v>43</v>
      </c>
      <c r="AW181">
        <v>42.25</v>
      </c>
      <c r="AX181">
        <v>43</v>
      </c>
      <c r="AY181" s="17">
        <v>44.25</v>
      </c>
      <c r="AZ181" s="7"/>
      <c r="BB181" s="124">
        <v>43985</v>
      </c>
      <c r="BC181" s="2">
        <v>55.54</v>
      </c>
      <c r="BD181" s="2">
        <v>38.86</v>
      </c>
      <c r="BE181" s="2">
        <v>29.74</v>
      </c>
      <c r="BF181" s="2">
        <v>30.02</v>
      </c>
      <c r="BG181" s="2">
        <v>29.01</v>
      </c>
      <c r="BH181" s="2">
        <v>28.81</v>
      </c>
      <c r="BI181" s="2">
        <v>26.91</v>
      </c>
      <c r="BJ181" s="2">
        <v>25.3</v>
      </c>
      <c r="BK181" s="2">
        <v>29</v>
      </c>
      <c r="BL181" s="2">
        <v>24.72</v>
      </c>
      <c r="BM181" s="7"/>
      <c r="BN181" s="7"/>
      <c r="BO181" s="128">
        <v>44300</v>
      </c>
      <c r="BP181" s="2">
        <v>10.36</v>
      </c>
      <c r="BQ181" s="2">
        <v>10.24</v>
      </c>
      <c r="BR181" s="2">
        <v>9.7899999999999991</v>
      </c>
      <c r="BS181" s="2">
        <v>9.8000000000000007</v>
      </c>
      <c r="BT181" s="2"/>
      <c r="BU181" s="2"/>
      <c r="BV181" s="7"/>
      <c r="BW181" s="128">
        <v>44300</v>
      </c>
      <c r="BX181" s="2">
        <v>77.875</v>
      </c>
      <c r="BY181" s="2">
        <v>63.125</v>
      </c>
      <c r="BZ181" s="2">
        <v>57.124000000000002</v>
      </c>
      <c r="CA181" s="2">
        <v>52.25</v>
      </c>
    </row>
    <row r="182" spans="1:79" x14ac:dyDescent="0.2">
      <c r="A182" s="124">
        <v>43986</v>
      </c>
      <c r="B182">
        <v>50.625</v>
      </c>
      <c r="C182">
        <v>48</v>
      </c>
      <c r="D182">
        <v>49.625</v>
      </c>
      <c r="E182" s="17">
        <v>44.875</v>
      </c>
      <c r="F182">
        <v>44.125</v>
      </c>
      <c r="G182">
        <v>43.25</v>
      </c>
      <c r="H182">
        <v>42.875</v>
      </c>
      <c r="I182">
        <v>42.125</v>
      </c>
      <c r="J182">
        <v>42.75</v>
      </c>
      <c r="K182" s="17">
        <v>44.375</v>
      </c>
      <c r="L182" s="7"/>
      <c r="N182" s="124">
        <v>43986</v>
      </c>
      <c r="O182" s="2">
        <v>58.201149999999998</v>
      </c>
      <c r="P182" s="2">
        <v>40.023299999999999</v>
      </c>
      <c r="Q182" s="2">
        <v>30.31</v>
      </c>
      <c r="R182" s="2">
        <v>30.22955</v>
      </c>
      <c r="S182" s="2">
        <v>29.18</v>
      </c>
      <c r="T182" s="2">
        <v>28.825199999999999</v>
      </c>
      <c r="U182" s="2">
        <v>27.00215</v>
      </c>
      <c r="V182" s="2">
        <v>25.38945</v>
      </c>
      <c r="W182" s="2">
        <v>29.16</v>
      </c>
      <c r="X182" s="2">
        <v>24.667899999999999</v>
      </c>
      <c r="Y182" s="7"/>
      <c r="Z182" s="7"/>
      <c r="AA182" s="128">
        <v>44301</v>
      </c>
      <c r="AB182" s="2">
        <v>10.342926</v>
      </c>
      <c r="AC182" s="2">
        <v>10.319209000000001</v>
      </c>
      <c r="AD182" s="2">
        <v>9.8125900000000001</v>
      </c>
      <c r="AE182" s="2">
        <v>9.5067570000000003</v>
      </c>
      <c r="AF182" s="2"/>
      <c r="AG182" s="2"/>
      <c r="AH182" s="7"/>
      <c r="AI182" s="128">
        <v>44301</v>
      </c>
      <c r="AJ182" s="2">
        <v>78</v>
      </c>
      <c r="AK182" s="2">
        <v>62.75</v>
      </c>
      <c r="AL182" s="2">
        <v>56.999000000000002</v>
      </c>
      <c r="AM182" s="2">
        <v>52.5</v>
      </c>
      <c r="AO182" s="124">
        <v>43986</v>
      </c>
      <c r="AP182">
        <v>50.625</v>
      </c>
      <c r="AQ182">
        <v>48</v>
      </c>
      <c r="AR182">
        <v>49.625</v>
      </c>
      <c r="AS182" s="17">
        <v>44.875</v>
      </c>
      <c r="AT182">
        <v>44.125</v>
      </c>
      <c r="AU182">
        <v>43.25</v>
      </c>
      <c r="AV182">
        <v>42.875</v>
      </c>
      <c r="AW182">
        <v>42.125</v>
      </c>
      <c r="AX182">
        <v>42.75</v>
      </c>
      <c r="AY182" s="17">
        <v>44.375</v>
      </c>
      <c r="AZ182" s="7"/>
      <c r="BB182" s="124">
        <v>43986</v>
      </c>
      <c r="BC182" s="2">
        <v>58.2</v>
      </c>
      <c r="BD182" s="2">
        <v>40.020000000000003</v>
      </c>
      <c r="BE182" s="2">
        <v>30.31</v>
      </c>
      <c r="BF182" s="2">
        <v>30.23</v>
      </c>
      <c r="BG182" s="2">
        <v>29.18</v>
      </c>
      <c r="BH182" s="2">
        <v>28.82</v>
      </c>
      <c r="BI182" s="2">
        <v>27</v>
      </c>
      <c r="BJ182" s="2">
        <v>25.39</v>
      </c>
      <c r="BK182" s="2">
        <v>29.16</v>
      </c>
      <c r="BL182" s="2">
        <v>24.67</v>
      </c>
      <c r="BM182" s="7"/>
      <c r="BN182" s="7"/>
      <c r="BO182" s="128">
        <v>44301</v>
      </c>
      <c r="BP182" s="2">
        <v>10.34</v>
      </c>
      <c r="BQ182" s="2">
        <v>10.32</v>
      </c>
      <c r="BR182" s="2">
        <v>9.81</v>
      </c>
      <c r="BS182" s="2">
        <v>9.73</v>
      </c>
      <c r="BT182" s="2"/>
      <c r="BU182" s="2"/>
      <c r="BV182" s="7"/>
      <c r="BW182" s="128">
        <v>44301</v>
      </c>
      <c r="BX182" s="2">
        <v>78</v>
      </c>
      <c r="BY182" s="2">
        <v>62.75</v>
      </c>
      <c r="BZ182" s="2">
        <v>56.999000000000002</v>
      </c>
      <c r="CA182" s="2">
        <v>52.5</v>
      </c>
    </row>
    <row r="183" spans="1:79" x14ac:dyDescent="0.2">
      <c r="A183" s="124">
        <v>43987</v>
      </c>
      <c r="B183">
        <v>52.125</v>
      </c>
      <c r="C183">
        <v>49.5</v>
      </c>
      <c r="D183">
        <v>51.25</v>
      </c>
      <c r="E183" s="17">
        <v>46.75</v>
      </c>
      <c r="F183">
        <v>46.875</v>
      </c>
      <c r="G183">
        <v>44.75</v>
      </c>
      <c r="H183">
        <v>44.375</v>
      </c>
      <c r="I183">
        <v>44.5</v>
      </c>
      <c r="J183">
        <v>45.25</v>
      </c>
      <c r="K183" s="17">
        <v>46.25</v>
      </c>
      <c r="L183" s="7"/>
      <c r="N183" s="124">
        <v>43987</v>
      </c>
      <c r="O183" s="2">
        <v>55.991300000000003</v>
      </c>
      <c r="P183" s="2">
        <v>38.597499999999997</v>
      </c>
      <c r="Q183" s="2">
        <v>29.19</v>
      </c>
      <c r="R183" s="2">
        <v>28.966799999999999</v>
      </c>
      <c r="S183" s="2">
        <v>27.52</v>
      </c>
      <c r="T183" s="2">
        <v>27.911750000000001</v>
      </c>
      <c r="U183" s="2">
        <v>26.143699999999999</v>
      </c>
      <c r="V183" s="2">
        <v>24.111000000000001</v>
      </c>
      <c r="W183" s="2">
        <v>27.67</v>
      </c>
      <c r="X183" s="2">
        <v>23.735199999999999</v>
      </c>
      <c r="Y183" s="7"/>
      <c r="Z183" s="7"/>
      <c r="AA183" s="128">
        <v>44302</v>
      </c>
      <c r="AB183" s="2">
        <v>10.230591</v>
      </c>
      <c r="AC183" s="2">
        <v>10.230278999999999</v>
      </c>
      <c r="AD183" s="2">
        <v>9.7355520000000002</v>
      </c>
      <c r="AE183" s="2">
        <v>9.3656129999999997</v>
      </c>
      <c r="AF183" s="2"/>
      <c r="AG183" s="2"/>
      <c r="AH183" s="7"/>
      <c r="AI183" s="128">
        <v>44302</v>
      </c>
      <c r="AJ183" s="2">
        <v>78.5</v>
      </c>
      <c r="AK183" s="2">
        <v>63.25</v>
      </c>
      <c r="AL183" s="2">
        <v>57.497</v>
      </c>
      <c r="AM183" s="2">
        <v>53</v>
      </c>
      <c r="AO183" s="124">
        <v>43987</v>
      </c>
      <c r="AP183">
        <v>52.125</v>
      </c>
      <c r="AQ183">
        <v>49.5</v>
      </c>
      <c r="AR183">
        <v>51.25</v>
      </c>
      <c r="AS183" s="17">
        <v>46.75</v>
      </c>
      <c r="AT183">
        <v>46.875</v>
      </c>
      <c r="AU183">
        <v>44.75</v>
      </c>
      <c r="AV183">
        <v>44.375</v>
      </c>
      <c r="AW183">
        <v>44.5</v>
      </c>
      <c r="AX183">
        <v>45.25</v>
      </c>
      <c r="AY183" s="17">
        <v>46.25</v>
      </c>
      <c r="AZ183" s="7"/>
      <c r="BB183" s="124">
        <v>43987</v>
      </c>
      <c r="BC183" s="2">
        <v>55.99</v>
      </c>
      <c r="BD183" s="2">
        <v>38.590000000000003</v>
      </c>
      <c r="BE183" s="2">
        <v>29.19</v>
      </c>
      <c r="BF183" s="2">
        <v>28.96</v>
      </c>
      <c r="BG183" s="2">
        <v>27.52</v>
      </c>
      <c r="BH183" s="2">
        <v>27.91</v>
      </c>
      <c r="BI183" s="2">
        <v>26.14</v>
      </c>
      <c r="BJ183" s="2">
        <v>24.11</v>
      </c>
      <c r="BK183" s="2">
        <v>27.67</v>
      </c>
      <c r="BL183" s="2">
        <v>23.73</v>
      </c>
      <c r="BM183" s="7"/>
      <c r="BN183" s="7"/>
      <c r="BO183" s="128">
        <v>44302</v>
      </c>
      <c r="BP183" s="2">
        <v>10.23</v>
      </c>
      <c r="BQ183" s="2">
        <v>10.23</v>
      </c>
      <c r="BR183" s="2">
        <v>9.74</v>
      </c>
      <c r="BS183" s="2">
        <v>9.58</v>
      </c>
      <c r="BT183" s="2"/>
      <c r="BU183" s="2"/>
      <c r="BV183" s="7"/>
      <c r="BW183" s="128">
        <v>44302</v>
      </c>
      <c r="BX183" s="2">
        <v>78.5</v>
      </c>
      <c r="BY183" s="2">
        <v>63.25</v>
      </c>
      <c r="BZ183" s="2">
        <v>57.497</v>
      </c>
      <c r="CA183" s="2">
        <v>53</v>
      </c>
    </row>
    <row r="184" spans="1:79" x14ac:dyDescent="0.2">
      <c r="A184" s="124">
        <v>43990</v>
      </c>
      <c r="B184">
        <v>53.75</v>
      </c>
      <c r="C184">
        <v>51</v>
      </c>
      <c r="D184">
        <v>53.125</v>
      </c>
      <c r="E184" s="17">
        <v>48.75</v>
      </c>
      <c r="F184">
        <v>48</v>
      </c>
      <c r="G184">
        <v>47.125</v>
      </c>
      <c r="H184">
        <v>46.625</v>
      </c>
      <c r="I184">
        <v>45.5</v>
      </c>
      <c r="J184">
        <v>46.5</v>
      </c>
      <c r="K184" s="17">
        <v>46.875</v>
      </c>
      <c r="L184" s="7"/>
      <c r="N184" s="124">
        <v>43990</v>
      </c>
      <c r="O184" s="2">
        <v>53.682450000000003</v>
      </c>
      <c r="P184" s="2">
        <v>37.225499999999997</v>
      </c>
      <c r="Q184" s="2">
        <v>27.96</v>
      </c>
      <c r="R184" s="2">
        <v>27.689699999999998</v>
      </c>
      <c r="S184" s="2">
        <v>26.89</v>
      </c>
      <c r="T184" s="2">
        <v>26.551349999999999</v>
      </c>
      <c r="U184" s="2">
        <v>24.930199999999999</v>
      </c>
      <c r="V184" s="2">
        <v>23.6038</v>
      </c>
      <c r="W184" s="2">
        <v>26.98</v>
      </c>
      <c r="X184" s="2">
        <v>23.438749999999999</v>
      </c>
      <c r="Y184" s="7"/>
      <c r="Z184" s="7"/>
      <c r="AA184" s="128">
        <v>44305</v>
      </c>
      <c r="AB184" s="2">
        <v>10.061249999999999</v>
      </c>
      <c r="AC184" s="2">
        <v>10.051951000000001</v>
      </c>
      <c r="AD184" s="2">
        <v>9.6089110000000009</v>
      </c>
      <c r="AE184" s="2">
        <v>9.2974969999999999</v>
      </c>
      <c r="AF184" s="2"/>
      <c r="AG184" s="2"/>
      <c r="AH184" s="7"/>
      <c r="AI184" s="128">
        <v>44305</v>
      </c>
      <c r="AJ184" s="2">
        <v>79.25</v>
      </c>
      <c r="AK184" s="2">
        <v>64.25</v>
      </c>
      <c r="AL184" s="2">
        <v>58.317999999999998</v>
      </c>
      <c r="AM184" s="2">
        <v>53.25</v>
      </c>
      <c r="AO184" s="124">
        <v>43990</v>
      </c>
      <c r="AP184">
        <v>53.75</v>
      </c>
      <c r="AQ184">
        <v>51</v>
      </c>
      <c r="AR184">
        <v>53.125</v>
      </c>
      <c r="AS184" s="17">
        <v>48.75</v>
      </c>
      <c r="AT184">
        <v>48</v>
      </c>
      <c r="AU184">
        <v>47.125</v>
      </c>
      <c r="AV184">
        <v>46.625</v>
      </c>
      <c r="AW184">
        <v>45.5</v>
      </c>
      <c r="AX184">
        <v>46.5</v>
      </c>
      <c r="AY184" s="17">
        <v>46.875</v>
      </c>
      <c r="AZ184" s="7"/>
      <c r="BB184" s="124">
        <v>43990</v>
      </c>
      <c r="BC184" s="2">
        <v>53.68</v>
      </c>
      <c r="BD184" s="2">
        <v>37.22</v>
      </c>
      <c r="BE184" s="2">
        <v>27.96</v>
      </c>
      <c r="BF184" s="2">
        <v>27.69</v>
      </c>
      <c r="BG184" s="2">
        <v>26.89</v>
      </c>
      <c r="BH184" s="2">
        <v>26.55</v>
      </c>
      <c r="BI184" s="2">
        <v>24.93</v>
      </c>
      <c r="BJ184" s="2">
        <v>23.6</v>
      </c>
      <c r="BK184" s="2">
        <v>26.98</v>
      </c>
      <c r="BL184" s="2">
        <v>23.44</v>
      </c>
      <c r="BM184" s="7"/>
      <c r="BN184" s="7"/>
      <c r="BO184" s="128">
        <v>44305</v>
      </c>
      <c r="BP184" s="2">
        <v>10.06</v>
      </c>
      <c r="BQ184" s="2">
        <v>10.050000000000001</v>
      </c>
      <c r="BR184" s="2">
        <v>9.61</v>
      </c>
      <c r="BS184" s="2">
        <v>9.51</v>
      </c>
      <c r="BT184" s="2"/>
      <c r="BU184" s="2"/>
      <c r="BV184" s="7"/>
      <c r="BW184" s="128">
        <v>44305</v>
      </c>
      <c r="BX184" s="2">
        <v>79.25</v>
      </c>
      <c r="BY184" s="2">
        <v>64.25</v>
      </c>
      <c r="BZ184" s="2">
        <v>58.317999999999998</v>
      </c>
      <c r="CA184" s="2">
        <v>53.25</v>
      </c>
    </row>
    <row r="185" spans="1:79" x14ac:dyDescent="0.2">
      <c r="A185" s="124">
        <v>43991</v>
      </c>
      <c r="B185">
        <v>51.75</v>
      </c>
      <c r="C185">
        <v>49.125</v>
      </c>
      <c r="D185">
        <v>50.875</v>
      </c>
      <c r="E185" s="17">
        <v>47</v>
      </c>
      <c r="F185">
        <v>45.75</v>
      </c>
      <c r="G185">
        <v>45.125</v>
      </c>
      <c r="H185">
        <v>44.375</v>
      </c>
      <c r="I185">
        <v>43.375</v>
      </c>
      <c r="J185">
        <v>44</v>
      </c>
      <c r="K185" s="17">
        <v>45.375</v>
      </c>
      <c r="L185" s="7"/>
      <c r="N185" s="124">
        <v>43991</v>
      </c>
      <c r="O185" s="2">
        <v>56.688650000000003</v>
      </c>
      <c r="P185" s="2">
        <v>39.002049999999997</v>
      </c>
      <c r="Q185" s="2">
        <v>29.48</v>
      </c>
      <c r="R185" s="2">
        <v>28.821449999999999</v>
      </c>
      <c r="S185" s="2">
        <v>28.2</v>
      </c>
      <c r="T185" s="2">
        <v>27.6968</v>
      </c>
      <c r="U185" s="2">
        <v>26.151199999999999</v>
      </c>
      <c r="V185" s="2">
        <v>24.7149</v>
      </c>
      <c r="W185" s="2">
        <v>28.41</v>
      </c>
      <c r="X185" s="2">
        <v>24.1675</v>
      </c>
      <c r="Y185" s="7"/>
      <c r="Z185" s="7"/>
      <c r="AA185" s="128">
        <v>44306</v>
      </c>
      <c r="AB185" s="2">
        <v>9.9223140000000001</v>
      </c>
      <c r="AC185" s="2">
        <v>9.8548679999999997</v>
      </c>
      <c r="AD185" s="2">
        <v>9.5060339999999997</v>
      </c>
      <c r="AE185" s="2">
        <v>9.4821709999999992</v>
      </c>
      <c r="AF185" s="2"/>
      <c r="AG185" s="2"/>
      <c r="AH185" s="7"/>
      <c r="AI185" s="128">
        <v>44306</v>
      </c>
      <c r="AJ185" s="2">
        <v>79.875</v>
      </c>
      <c r="AK185" s="2">
        <v>65.375</v>
      </c>
      <c r="AL185" s="2">
        <v>58.997999999999998</v>
      </c>
      <c r="AM185" s="2">
        <v>52.625</v>
      </c>
      <c r="AO185" s="124">
        <v>43991</v>
      </c>
      <c r="AP185">
        <v>51.75</v>
      </c>
      <c r="AQ185">
        <v>49.125</v>
      </c>
      <c r="AR185">
        <v>50.875</v>
      </c>
      <c r="AS185" s="17">
        <v>47</v>
      </c>
      <c r="AT185">
        <v>45.75</v>
      </c>
      <c r="AU185">
        <v>45.125</v>
      </c>
      <c r="AV185">
        <v>44.375</v>
      </c>
      <c r="AW185">
        <v>43.375</v>
      </c>
      <c r="AX185">
        <v>44</v>
      </c>
      <c r="AY185" s="17">
        <v>45.375</v>
      </c>
      <c r="AZ185" s="7"/>
      <c r="BB185" s="124">
        <v>43991</v>
      </c>
      <c r="BC185" s="2">
        <v>56.68</v>
      </c>
      <c r="BD185" s="2">
        <v>39</v>
      </c>
      <c r="BE185" s="2">
        <v>29.48</v>
      </c>
      <c r="BF185" s="2">
        <v>28.82</v>
      </c>
      <c r="BG185" s="2">
        <v>28.2</v>
      </c>
      <c r="BH185" s="2">
        <v>27.69</v>
      </c>
      <c r="BI185" s="2">
        <v>26.15</v>
      </c>
      <c r="BJ185" s="2">
        <v>24.71</v>
      </c>
      <c r="BK185" s="2">
        <v>28.41</v>
      </c>
      <c r="BL185" s="2">
        <v>24.17</v>
      </c>
      <c r="BM185" s="7"/>
      <c r="BN185" s="7"/>
      <c r="BO185" s="128">
        <v>44306</v>
      </c>
      <c r="BP185" s="2">
        <v>9.92</v>
      </c>
      <c r="BQ185" s="2">
        <v>9.85</v>
      </c>
      <c r="BR185" s="2">
        <v>9.51</v>
      </c>
      <c r="BS185" s="2">
        <v>9.7100000000000009</v>
      </c>
      <c r="BT185" s="2"/>
      <c r="BU185" s="2"/>
      <c r="BV185" s="7"/>
      <c r="BW185" s="128">
        <v>44306</v>
      </c>
      <c r="BX185" s="2">
        <v>79.875</v>
      </c>
      <c r="BY185" s="2">
        <v>65.375</v>
      </c>
      <c r="BZ185" s="2">
        <v>58.997999999999998</v>
      </c>
      <c r="CA185" s="2">
        <v>52.625</v>
      </c>
    </row>
    <row r="186" spans="1:79" x14ac:dyDescent="0.2">
      <c r="A186" s="124">
        <v>43992</v>
      </c>
      <c r="B186">
        <v>49.875</v>
      </c>
      <c r="C186">
        <v>47</v>
      </c>
      <c r="D186">
        <v>48.75</v>
      </c>
      <c r="E186" s="17">
        <v>44.75</v>
      </c>
      <c r="F186">
        <v>43.75</v>
      </c>
      <c r="G186">
        <v>43</v>
      </c>
      <c r="H186">
        <v>42.5</v>
      </c>
      <c r="I186">
        <v>41.125</v>
      </c>
      <c r="J186">
        <v>41.75</v>
      </c>
      <c r="K186" s="17">
        <v>43</v>
      </c>
      <c r="L186" s="7"/>
      <c r="N186" s="124">
        <v>43992</v>
      </c>
      <c r="O186" s="2">
        <v>59.663249999999998</v>
      </c>
      <c r="P186" s="2">
        <v>41.123800000000003</v>
      </c>
      <c r="Q186" s="2">
        <v>30.99</v>
      </c>
      <c r="R186" s="2">
        <v>30.3582</v>
      </c>
      <c r="S186" s="2">
        <v>29.45</v>
      </c>
      <c r="T186" s="2">
        <v>28.997900000000001</v>
      </c>
      <c r="U186" s="2">
        <v>27.240349999999999</v>
      </c>
      <c r="V186" s="2">
        <v>25.979749999999999</v>
      </c>
      <c r="W186" s="2">
        <v>29.82</v>
      </c>
      <c r="X186" s="2">
        <v>25.402200000000001</v>
      </c>
      <c r="Y186" s="7"/>
      <c r="Z186" s="7"/>
      <c r="AA186" s="128">
        <v>44307</v>
      </c>
      <c r="AB186" s="2">
        <v>9.8983489999999996</v>
      </c>
      <c r="AC186" s="2">
        <v>9.7919420000000006</v>
      </c>
      <c r="AD186" s="2">
        <v>9.5267440000000008</v>
      </c>
      <c r="AE186" s="2">
        <v>9.4497470000000003</v>
      </c>
      <c r="AF186" s="2"/>
      <c r="AG186" s="2"/>
      <c r="AH186" s="7"/>
      <c r="AI186" s="128">
        <v>44307</v>
      </c>
      <c r="AJ186" s="2">
        <v>80</v>
      </c>
      <c r="AK186" s="2">
        <v>65.75</v>
      </c>
      <c r="AL186" s="2">
        <v>58.877000000000002</v>
      </c>
      <c r="AM186" s="2">
        <v>52.75</v>
      </c>
      <c r="AO186" s="124">
        <v>43992</v>
      </c>
      <c r="AP186">
        <v>49.875</v>
      </c>
      <c r="AQ186">
        <v>47</v>
      </c>
      <c r="AR186">
        <v>48.75</v>
      </c>
      <c r="AS186" s="17">
        <v>44.75</v>
      </c>
      <c r="AT186">
        <v>43.75</v>
      </c>
      <c r="AU186">
        <v>43</v>
      </c>
      <c r="AV186">
        <v>42.5</v>
      </c>
      <c r="AW186">
        <v>41.125</v>
      </c>
      <c r="AX186">
        <v>41.75</v>
      </c>
      <c r="AY186" s="17">
        <v>43</v>
      </c>
      <c r="AZ186" s="7"/>
      <c r="BB186" s="124">
        <v>43992</v>
      </c>
      <c r="BC186" s="2">
        <v>59.66</v>
      </c>
      <c r="BD186" s="2">
        <v>41.12</v>
      </c>
      <c r="BE186" s="2">
        <v>30.99</v>
      </c>
      <c r="BF186" s="2">
        <v>30.36</v>
      </c>
      <c r="BG186" s="2">
        <v>29.45</v>
      </c>
      <c r="BH186" s="2">
        <v>29</v>
      </c>
      <c r="BI186" s="2">
        <v>27.24</v>
      </c>
      <c r="BJ186" s="2">
        <v>25.98</v>
      </c>
      <c r="BK186" s="2">
        <v>29.82</v>
      </c>
      <c r="BL186" s="2">
        <v>25.4</v>
      </c>
      <c r="BM186" s="7"/>
      <c r="BN186" s="7"/>
      <c r="BO186" s="128">
        <v>44307</v>
      </c>
      <c r="BP186" s="2">
        <v>9.9</v>
      </c>
      <c r="BQ186" s="2">
        <v>9.7899999999999991</v>
      </c>
      <c r="BR186" s="2">
        <v>9.5299999999999994</v>
      </c>
      <c r="BS186" s="2">
        <v>9.67</v>
      </c>
      <c r="BT186" s="2"/>
      <c r="BU186" s="2"/>
      <c r="BV186" s="7"/>
      <c r="BW186" s="128">
        <v>44307</v>
      </c>
      <c r="BX186" s="2">
        <v>80</v>
      </c>
      <c r="BY186" s="2">
        <v>65.75</v>
      </c>
      <c r="BZ186" s="2">
        <v>58.877000000000002</v>
      </c>
      <c r="CA186" s="2">
        <v>52.75</v>
      </c>
    </row>
    <row r="187" spans="1:79" x14ac:dyDescent="0.2">
      <c r="A187" s="124">
        <v>43993</v>
      </c>
      <c r="B187">
        <v>49</v>
      </c>
      <c r="C187">
        <v>46.25</v>
      </c>
      <c r="D187">
        <v>48.625</v>
      </c>
      <c r="E187" s="17">
        <v>44</v>
      </c>
      <c r="F187">
        <v>43</v>
      </c>
      <c r="G187">
        <v>42.25</v>
      </c>
      <c r="H187">
        <v>41.75</v>
      </c>
      <c r="I187">
        <v>40</v>
      </c>
      <c r="J187">
        <v>41</v>
      </c>
      <c r="K187" s="17">
        <v>41.875</v>
      </c>
      <c r="L187" s="7"/>
      <c r="N187" s="124">
        <v>43993</v>
      </c>
      <c r="O187" s="2">
        <v>61.297600000000003</v>
      </c>
      <c r="P187" s="2">
        <v>41.972349999999999</v>
      </c>
      <c r="Q187" s="2">
        <v>31.13</v>
      </c>
      <c r="R187" s="2">
        <v>30.921749999999999</v>
      </c>
      <c r="S187" s="2">
        <v>29.95</v>
      </c>
      <c r="T187" s="2">
        <v>29.490349999999999</v>
      </c>
      <c r="U187" s="2">
        <v>27.706399999999999</v>
      </c>
      <c r="V187" s="2">
        <v>26.662700000000001</v>
      </c>
      <c r="W187" s="2">
        <v>30.32</v>
      </c>
      <c r="X187" s="2">
        <v>26.031300000000002</v>
      </c>
      <c r="Y187" s="7"/>
      <c r="Z187" s="7"/>
      <c r="AA187" s="128">
        <v>44308</v>
      </c>
      <c r="AB187" s="2">
        <v>9.6009790000000006</v>
      </c>
      <c r="AC187" s="2">
        <v>9.6270450000000007</v>
      </c>
      <c r="AD187" s="2">
        <v>9.476267</v>
      </c>
      <c r="AE187" s="2">
        <v>9.3890100000000007</v>
      </c>
      <c r="AF187" s="2"/>
      <c r="AG187" s="2"/>
      <c r="AH187" s="7"/>
      <c r="AI187" s="128">
        <v>44308</v>
      </c>
      <c r="AJ187" s="2">
        <v>81.375</v>
      </c>
      <c r="AK187" s="2">
        <v>66.75</v>
      </c>
      <c r="AL187" s="2">
        <v>59.247999999999998</v>
      </c>
      <c r="AM187" s="2">
        <v>53</v>
      </c>
      <c r="AO187" s="124">
        <v>43993</v>
      </c>
      <c r="AP187">
        <v>49</v>
      </c>
      <c r="AQ187">
        <v>46.25</v>
      </c>
      <c r="AR187">
        <v>48.625</v>
      </c>
      <c r="AS187" s="17">
        <v>44</v>
      </c>
      <c r="AT187">
        <v>43</v>
      </c>
      <c r="AU187">
        <v>42.25</v>
      </c>
      <c r="AV187">
        <v>41.75</v>
      </c>
      <c r="AW187">
        <v>40</v>
      </c>
      <c r="AX187">
        <v>41</v>
      </c>
      <c r="AY187" s="17">
        <v>41.875</v>
      </c>
      <c r="AZ187" s="7"/>
      <c r="BB187" s="124">
        <v>43993</v>
      </c>
      <c r="BC187" s="2">
        <v>61.29</v>
      </c>
      <c r="BD187" s="2">
        <v>41.97</v>
      </c>
      <c r="BE187" s="2">
        <v>31.13</v>
      </c>
      <c r="BF187" s="2">
        <v>30.92</v>
      </c>
      <c r="BG187" s="2">
        <v>29.95</v>
      </c>
      <c r="BH187" s="2">
        <v>29.49</v>
      </c>
      <c r="BI187" s="2">
        <v>27.7</v>
      </c>
      <c r="BJ187" s="2">
        <v>26.66</v>
      </c>
      <c r="BK187" s="2">
        <v>30.32</v>
      </c>
      <c r="BL187" s="2">
        <v>26.03</v>
      </c>
      <c r="BM187" s="7"/>
      <c r="BN187" s="7"/>
      <c r="BO187" s="128">
        <v>44308</v>
      </c>
      <c r="BP187" s="2">
        <v>9.6</v>
      </c>
      <c r="BQ187" s="2">
        <v>9.6300000000000008</v>
      </c>
      <c r="BR187" s="2">
        <v>9.48</v>
      </c>
      <c r="BS187" s="2">
        <v>9.61</v>
      </c>
      <c r="BT187" s="2"/>
      <c r="BU187" s="2"/>
      <c r="BV187" s="7"/>
      <c r="BW187" s="128">
        <v>44308</v>
      </c>
      <c r="BX187" s="2">
        <v>81.375</v>
      </c>
      <c r="BY187" s="2">
        <v>66.75</v>
      </c>
      <c r="BZ187" s="2">
        <v>59.247999999999998</v>
      </c>
      <c r="CA187" s="2">
        <v>53</v>
      </c>
    </row>
    <row r="188" spans="1:79" x14ac:dyDescent="0.2">
      <c r="A188" s="124">
        <v>43994</v>
      </c>
      <c r="B188">
        <v>50.125</v>
      </c>
      <c r="C188">
        <v>47.375</v>
      </c>
      <c r="D188">
        <v>49.625</v>
      </c>
      <c r="E188" s="17">
        <v>45.125</v>
      </c>
      <c r="F188">
        <v>43.625</v>
      </c>
      <c r="G188">
        <v>43</v>
      </c>
      <c r="H188">
        <v>42.5</v>
      </c>
      <c r="I188">
        <v>41.5</v>
      </c>
      <c r="J188">
        <v>42.125</v>
      </c>
      <c r="K188" s="17">
        <v>42.875</v>
      </c>
      <c r="L188" s="7"/>
      <c r="N188" s="124">
        <v>43994</v>
      </c>
      <c r="O188" s="2">
        <v>59.559249999999999</v>
      </c>
      <c r="P188" s="2">
        <v>40.8459</v>
      </c>
      <c r="Q188" s="2">
        <v>30.42</v>
      </c>
      <c r="R188" s="2">
        <v>30.138000000000002</v>
      </c>
      <c r="S188" s="2">
        <v>29.55</v>
      </c>
      <c r="T188" s="2">
        <v>29.013400000000001</v>
      </c>
      <c r="U188" s="2">
        <v>27.256250000000001</v>
      </c>
      <c r="V188" s="2">
        <v>25.781600000000001</v>
      </c>
      <c r="W188" s="2">
        <v>29.59</v>
      </c>
      <c r="X188" s="2">
        <v>25.478349999999999</v>
      </c>
      <c r="Y188" s="7"/>
      <c r="Z188" s="7"/>
      <c r="AA188" s="128">
        <v>44309</v>
      </c>
      <c r="AB188" s="2">
        <v>9.0826919999999998</v>
      </c>
      <c r="AC188" s="2">
        <v>9.2922089999999997</v>
      </c>
      <c r="AD188" s="2">
        <v>9.2893220000000003</v>
      </c>
      <c r="AE188" s="2">
        <v>9.1063880000000008</v>
      </c>
      <c r="AF188" s="2"/>
      <c r="AG188" s="2"/>
      <c r="AH188" s="7"/>
      <c r="AI188" s="128">
        <v>44309</v>
      </c>
      <c r="AJ188" s="2">
        <v>83.75</v>
      </c>
      <c r="AK188" s="2">
        <v>68.75</v>
      </c>
      <c r="AL188" s="2">
        <v>60.502000000000002</v>
      </c>
      <c r="AM188" s="2">
        <v>54</v>
      </c>
      <c r="AO188" s="124">
        <v>43994</v>
      </c>
      <c r="AP188">
        <v>50.125</v>
      </c>
      <c r="AQ188">
        <v>47.375</v>
      </c>
      <c r="AR188">
        <v>49.625</v>
      </c>
      <c r="AS188" s="17">
        <v>45.125</v>
      </c>
      <c r="AT188">
        <v>43.625</v>
      </c>
      <c r="AU188">
        <v>43</v>
      </c>
      <c r="AV188">
        <v>42.5</v>
      </c>
      <c r="AW188">
        <v>41.5</v>
      </c>
      <c r="AX188">
        <v>42.125</v>
      </c>
      <c r="AY188" s="17">
        <v>42.875</v>
      </c>
      <c r="AZ188" s="7"/>
      <c r="BB188" s="124">
        <v>43994</v>
      </c>
      <c r="BC188" s="2">
        <v>59.55</v>
      </c>
      <c r="BD188" s="2">
        <v>40.840000000000003</v>
      </c>
      <c r="BE188" s="2">
        <v>30.42</v>
      </c>
      <c r="BF188" s="2">
        <v>30.14</v>
      </c>
      <c r="BG188" s="2">
        <v>29.55</v>
      </c>
      <c r="BH188" s="2">
        <v>29.01</v>
      </c>
      <c r="BI188" s="2">
        <v>27.25</v>
      </c>
      <c r="BJ188" s="2">
        <v>25.78</v>
      </c>
      <c r="BK188" s="2">
        <v>29.59</v>
      </c>
      <c r="BL188" s="2">
        <v>25.48</v>
      </c>
      <c r="BM188" s="7"/>
      <c r="BN188" s="7"/>
      <c r="BO188" s="128">
        <v>44309</v>
      </c>
      <c r="BP188" s="2">
        <v>9.08</v>
      </c>
      <c r="BQ188" s="2">
        <v>9.2899999999999991</v>
      </c>
      <c r="BR188" s="2">
        <v>9.2899999999999991</v>
      </c>
      <c r="BS188" s="2">
        <v>9.31</v>
      </c>
      <c r="BT188" s="2"/>
      <c r="BU188" s="2"/>
      <c r="BV188" s="7"/>
      <c r="BW188" s="128">
        <v>44309</v>
      </c>
      <c r="BX188" s="2">
        <v>83.75</v>
      </c>
      <c r="BY188" s="2">
        <v>68.75</v>
      </c>
      <c r="BZ188" s="2">
        <v>60.502000000000002</v>
      </c>
      <c r="CA188" s="2">
        <v>54</v>
      </c>
    </row>
    <row r="189" spans="1:79" x14ac:dyDescent="0.2">
      <c r="A189" s="124">
        <v>43997</v>
      </c>
      <c r="B189">
        <v>50</v>
      </c>
      <c r="C189">
        <v>47.375</v>
      </c>
      <c r="D189">
        <v>49.5</v>
      </c>
      <c r="E189" s="17">
        <v>45</v>
      </c>
      <c r="F189">
        <v>44.375</v>
      </c>
      <c r="G189">
        <v>42.875</v>
      </c>
      <c r="H189">
        <v>42.125</v>
      </c>
      <c r="I189">
        <v>41.75</v>
      </c>
      <c r="J189">
        <v>42.25</v>
      </c>
      <c r="K189" s="17">
        <v>43</v>
      </c>
      <c r="L189" s="7"/>
      <c r="N189" s="124">
        <v>43997</v>
      </c>
      <c r="O189" s="2">
        <v>59.8322</v>
      </c>
      <c r="P189" s="2">
        <v>40.871400000000001</v>
      </c>
      <c r="Q189" s="2">
        <v>30.52</v>
      </c>
      <c r="R189" s="2">
        <v>30.23545</v>
      </c>
      <c r="S189" s="2">
        <v>29.08</v>
      </c>
      <c r="T189" s="2">
        <v>29.09665</v>
      </c>
      <c r="U189" s="2">
        <v>27.485900000000001</v>
      </c>
      <c r="V189" s="2">
        <v>25.6431</v>
      </c>
      <c r="W189" s="2">
        <v>29.51</v>
      </c>
      <c r="X189" s="2">
        <v>25.412500000000001</v>
      </c>
      <c r="Y189" s="7"/>
      <c r="Z189" s="7"/>
      <c r="AA189" s="128">
        <v>44312</v>
      </c>
      <c r="AB189" s="2">
        <v>9.0868680000000008</v>
      </c>
      <c r="AC189" s="2">
        <v>9.2948609999999992</v>
      </c>
      <c r="AD189" s="2">
        <v>9.4228290000000001</v>
      </c>
      <c r="AE189" s="2">
        <v>9.1101779999999994</v>
      </c>
      <c r="AF189" s="2"/>
      <c r="AG189" s="2"/>
      <c r="AH189" s="7"/>
      <c r="AI189" s="128">
        <v>44312</v>
      </c>
      <c r="AJ189" s="2">
        <v>83.75</v>
      </c>
      <c r="AK189" s="2">
        <v>68.75</v>
      </c>
      <c r="AL189" s="2">
        <v>59.627000000000002</v>
      </c>
      <c r="AM189" s="2">
        <v>54</v>
      </c>
      <c r="AO189" s="124">
        <v>43997</v>
      </c>
      <c r="AP189">
        <v>50</v>
      </c>
      <c r="AQ189">
        <v>47.375</v>
      </c>
      <c r="AR189">
        <v>49.5</v>
      </c>
      <c r="AS189" s="17">
        <v>45</v>
      </c>
      <c r="AT189">
        <v>44.375</v>
      </c>
      <c r="AU189">
        <v>42.875</v>
      </c>
      <c r="AV189">
        <v>42.125</v>
      </c>
      <c r="AW189">
        <v>41.75</v>
      </c>
      <c r="AX189">
        <v>42.25</v>
      </c>
      <c r="AY189" s="17">
        <v>43</v>
      </c>
      <c r="AZ189" s="7"/>
      <c r="BB189" s="124">
        <v>43997</v>
      </c>
      <c r="BC189" s="2">
        <v>59.83</v>
      </c>
      <c r="BD189" s="2">
        <v>40.869999999999997</v>
      </c>
      <c r="BE189" s="2">
        <v>30.52</v>
      </c>
      <c r="BF189" s="2">
        <v>30.23</v>
      </c>
      <c r="BG189" s="2">
        <v>29.08</v>
      </c>
      <c r="BH189" s="2">
        <v>29.09</v>
      </c>
      <c r="BI189" s="2">
        <v>27.48</v>
      </c>
      <c r="BJ189" s="2">
        <v>25.64</v>
      </c>
      <c r="BK189" s="2">
        <v>29.51</v>
      </c>
      <c r="BL189" s="2">
        <v>25.41</v>
      </c>
      <c r="BM189" s="7"/>
      <c r="BN189" s="7"/>
      <c r="BO189" s="128">
        <v>44312</v>
      </c>
      <c r="BP189" s="2">
        <v>9.09</v>
      </c>
      <c r="BQ189" s="2">
        <v>9.2899999999999991</v>
      </c>
      <c r="BR189" s="2">
        <v>9.42</v>
      </c>
      <c r="BS189" s="2">
        <v>9.32</v>
      </c>
      <c r="BT189" s="2"/>
      <c r="BU189" s="2"/>
      <c r="BV189" s="7"/>
      <c r="BW189" s="128">
        <v>44312</v>
      </c>
      <c r="BX189" s="2">
        <v>83.75</v>
      </c>
      <c r="BY189" s="2">
        <v>68.75</v>
      </c>
      <c r="BZ189" s="2">
        <v>59.627000000000002</v>
      </c>
      <c r="CA189" s="2">
        <v>54</v>
      </c>
    </row>
    <row r="190" spans="1:79" x14ac:dyDescent="0.2">
      <c r="A190" s="124">
        <v>43998</v>
      </c>
      <c r="B190">
        <v>50.5</v>
      </c>
      <c r="C190">
        <v>47.625</v>
      </c>
      <c r="D190">
        <v>50.625</v>
      </c>
      <c r="E190" s="17">
        <v>45.125</v>
      </c>
      <c r="F190">
        <v>44.5</v>
      </c>
      <c r="G190">
        <v>43.375</v>
      </c>
      <c r="H190">
        <v>42.5</v>
      </c>
      <c r="I190">
        <v>42</v>
      </c>
      <c r="J190">
        <v>42.375</v>
      </c>
      <c r="K190" s="17">
        <v>43</v>
      </c>
      <c r="L190" s="7"/>
      <c r="N190" s="124">
        <v>43998</v>
      </c>
      <c r="O190" s="2">
        <v>59.112499999999997</v>
      </c>
      <c r="P190" s="2">
        <v>40.645249999999997</v>
      </c>
      <c r="Q190" s="2">
        <v>29.75</v>
      </c>
      <c r="R190" s="2">
        <v>30.158799999999999</v>
      </c>
      <c r="S190" s="2">
        <v>29</v>
      </c>
      <c r="T190" s="2">
        <v>28.785299999999999</v>
      </c>
      <c r="U190" s="2">
        <v>27.264250000000001</v>
      </c>
      <c r="V190" s="2">
        <v>25.505849999999999</v>
      </c>
      <c r="W190" s="2">
        <v>29.44</v>
      </c>
      <c r="X190" s="2">
        <v>25.4146</v>
      </c>
      <c r="Y190" s="7"/>
      <c r="Z190" s="7"/>
      <c r="AA190" s="128">
        <v>44313</v>
      </c>
      <c r="AB190" s="2">
        <v>9.0910489999999999</v>
      </c>
      <c r="AC190" s="2">
        <v>9.3808500000000006</v>
      </c>
      <c r="AD190" s="2">
        <v>9.4249360000000006</v>
      </c>
      <c r="AE190" s="2">
        <v>9.1139700000000001</v>
      </c>
      <c r="AF190" s="2"/>
      <c r="AG190" s="2"/>
      <c r="AH190" s="7"/>
      <c r="AI190" s="128">
        <v>44313</v>
      </c>
      <c r="AJ190" s="2">
        <v>83.75</v>
      </c>
      <c r="AK190" s="2">
        <v>68.25</v>
      </c>
      <c r="AL190" s="2">
        <v>59.627000000000002</v>
      </c>
      <c r="AM190" s="2">
        <v>54</v>
      </c>
      <c r="AO190" s="124">
        <v>43998</v>
      </c>
      <c r="AP190">
        <v>50.5</v>
      </c>
      <c r="AQ190">
        <v>47.625</v>
      </c>
      <c r="AR190">
        <v>50.625</v>
      </c>
      <c r="AS190" s="17">
        <v>45.125</v>
      </c>
      <c r="AT190">
        <v>44.5</v>
      </c>
      <c r="AU190">
        <v>43.375</v>
      </c>
      <c r="AV190">
        <v>42.5</v>
      </c>
      <c r="AW190">
        <v>42</v>
      </c>
      <c r="AX190">
        <v>42.375</v>
      </c>
      <c r="AY190" s="17">
        <v>43</v>
      </c>
      <c r="AZ190" s="7"/>
      <c r="BB190" s="124">
        <v>43998</v>
      </c>
      <c r="BC190" s="2">
        <v>59.11</v>
      </c>
      <c r="BD190" s="2">
        <v>40.64</v>
      </c>
      <c r="BE190" s="2">
        <v>29.75</v>
      </c>
      <c r="BF190" s="2">
        <v>30.16</v>
      </c>
      <c r="BG190" s="2">
        <v>29</v>
      </c>
      <c r="BH190" s="2">
        <v>28.78</v>
      </c>
      <c r="BI190" s="2">
        <v>27.26</v>
      </c>
      <c r="BJ190" s="2">
        <v>25.5</v>
      </c>
      <c r="BK190" s="2">
        <v>29.44</v>
      </c>
      <c r="BL190" s="2">
        <v>25.41</v>
      </c>
      <c r="BM190" s="7"/>
      <c r="BN190" s="7"/>
      <c r="BO190" s="128">
        <v>44313</v>
      </c>
      <c r="BP190" s="2">
        <v>9.09</v>
      </c>
      <c r="BQ190" s="2">
        <v>9.3800000000000008</v>
      </c>
      <c r="BR190" s="2">
        <v>9.42</v>
      </c>
      <c r="BS190" s="2">
        <v>9.32</v>
      </c>
      <c r="BT190" s="2"/>
      <c r="BU190" s="2"/>
      <c r="BV190" s="7"/>
      <c r="BW190" s="128">
        <v>44313</v>
      </c>
      <c r="BX190" s="2">
        <v>83.75</v>
      </c>
      <c r="BY190" s="2">
        <v>68.25</v>
      </c>
      <c r="BZ190" s="2">
        <v>59.627000000000002</v>
      </c>
      <c r="CA190" s="2">
        <v>54</v>
      </c>
    </row>
    <row r="191" spans="1:79" x14ac:dyDescent="0.2">
      <c r="A191" s="124">
        <v>43999</v>
      </c>
      <c r="B191">
        <v>50.25</v>
      </c>
      <c r="C191">
        <v>47.5</v>
      </c>
      <c r="D191">
        <v>51.25</v>
      </c>
      <c r="E191" s="17">
        <v>45.125</v>
      </c>
      <c r="F191">
        <v>44.125</v>
      </c>
      <c r="G191">
        <v>43.125</v>
      </c>
      <c r="H191">
        <v>42.75</v>
      </c>
      <c r="I191">
        <v>42</v>
      </c>
      <c r="J191">
        <v>42.125</v>
      </c>
      <c r="K191" s="17">
        <v>43</v>
      </c>
      <c r="L191" s="7"/>
      <c r="N191" s="124">
        <v>43999</v>
      </c>
      <c r="O191" s="2">
        <v>59.582299999999996</v>
      </c>
      <c r="P191" s="2">
        <v>40.796399999999998</v>
      </c>
      <c r="Q191" s="2">
        <v>29.33</v>
      </c>
      <c r="R191" s="2">
        <v>30.1692</v>
      </c>
      <c r="S191" s="2">
        <v>29.24</v>
      </c>
      <c r="T191" s="2">
        <v>28.946200000000001</v>
      </c>
      <c r="U191" s="2">
        <v>27.119450000000001</v>
      </c>
      <c r="V191" s="2">
        <v>25.5105</v>
      </c>
      <c r="W191" s="2">
        <v>29.6</v>
      </c>
      <c r="X191" s="2">
        <v>25.416699999999999</v>
      </c>
      <c r="Y191" s="7"/>
      <c r="Z191" s="7"/>
      <c r="AA191" s="128">
        <v>44314</v>
      </c>
      <c r="AB191" s="2">
        <v>9.1539950000000001</v>
      </c>
      <c r="AC191" s="2">
        <v>9.4284230000000004</v>
      </c>
      <c r="AD191" s="2">
        <v>9.5831470000000003</v>
      </c>
      <c r="AE191" s="2">
        <v>9.0507340000000003</v>
      </c>
      <c r="AF191" s="2"/>
      <c r="AG191" s="2"/>
      <c r="AH191" s="7"/>
      <c r="AI191" s="128">
        <v>44314</v>
      </c>
      <c r="AJ191" s="2">
        <v>83.5</v>
      </c>
      <c r="AK191" s="2">
        <v>68</v>
      </c>
      <c r="AL191" s="2">
        <v>58.624000000000002</v>
      </c>
      <c r="AM191" s="2">
        <v>54.25</v>
      </c>
      <c r="AO191" s="124">
        <v>43999</v>
      </c>
      <c r="AP191">
        <v>50.25</v>
      </c>
      <c r="AQ191">
        <v>47.5</v>
      </c>
      <c r="AR191">
        <v>51.25</v>
      </c>
      <c r="AS191" s="17">
        <v>45.125</v>
      </c>
      <c r="AT191">
        <v>44.125</v>
      </c>
      <c r="AU191">
        <v>43.125</v>
      </c>
      <c r="AV191">
        <v>42.75</v>
      </c>
      <c r="AW191">
        <v>42</v>
      </c>
      <c r="AX191">
        <v>42.375</v>
      </c>
      <c r="AY191" s="17">
        <v>43</v>
      </c>
      <c r="AZ191" s="7"/>
      <c r="BB191" s="124">
        <v>43999</v>
      </c>
      <c r="BC191" s="2">
        <v>59.58</v>
      </c>
      <c r="BD191" s="2">
        <v>40.79</v>
      </c>
      <c r="BE191" s="2">
        <v>29.33</v>
      </c>
      <c r="BF191" s="2">
        <v>30.17</v>
      </c>
      <c r="BG191" s="2">
        <v>29.24</v>
      </c>
      <c r="BH191" s="2">
        <v>28.94</v>
      </c>
      <c r="BI191" s="2">
        <v>27.12</v>
      </c>
      <c r="BJ191" s="2">
        <v>25.51</v>
      </c>
      <c r="BK191" s="2">
        <v>29.44</v>
      </c>
      <c r="BL191" s="2">
        <v>25.41</v>
      </c>
      <c r="BM191" s="7"/>
      <c r="BN191" s="7"/>
      <c r="BO191" s="128">
        <v>44314</v>
      </c>
      <c r="BP191" s="2">
        <v>9.15</v>
      </c>
      <c r="BQ191" s="2">
        <v>9.43</v>
      </c>
      <c r="BR191" s="2">
        <v>9.58</v>
      </c>
      <c r="BS191" s="2">
        <v>9.26</v>
      </c>
      <c r="BT191" s="2"/>
      <c r="BU191" s="2"/>
      <c r="BV191" s="7"/>
      <c r="BW191" s="128">
        <v>44314</v>
      </c>
      <c r="BX191" s="2">
        <v>83.5</v>
      </c>
      <c r="BY191" s="2">
        <v>68</v>
      </c>
      <c r="BZ191" s="2">
        <v>58.624000000000002</v>
      </c>
      <c r="CA191" s="2">
        <v>54.25</v>
      </c>
    </row>
    <row r="192" spans="1:79" x14ac:dyDescent="0.2">
      <c r="A192" s="124">
        <v>44000</v>
      </c>
      <c r="B192">
        <v>49.75</v>
      </c>
      <c r="C192">
        <v>46.75</v>
      </c>
      <c r="D192">
        <v>51.625</v>
      </c>
      <c r="E192" s="17">
        <v>44.75</v>
      </c>
      <c r="F192">
        <v>43.25</v>
      </c>
      <c r="G192">
        <v>42.875</v>
      </c>
      <c r="H192">
        <v>42.125</v>
      </c>
      <c r="I192">
        <v>41.5</v>
      </c>
      <c r="J192">
        <v>41.75</v>
      </c>
      <c r="K192" s="17">
        <v>42.625</v>
      </c>
      <c r="L192" s="7"/>
      <c r="N192" s="124">
        <v>44000</v>
      </c>
      <c r="O192" s="2">
        <v>60.611150000000002</v>
      </c>
      <c r="P192" s="2">
        <v>41.638800000000003</v>
      </c>
      <c r="Q192" s="2">
        <v>29.11</v>
      </c>
      <c r="R192" s="2">
        <v>30.463200000000001</v>
      </c>
      <c r="S192" s="2">
        <v>29.82</v>
      </c>
      <c r="T192" s="2">
        <v>29.116499999999998</v>
      </c>
      <c r="U192" s="2">
        <v>27.506350000000001</v>
      </c>
      <c r="V192" s="2">
        <v>25.81005</v>
      </c>
      <c r="W192" s="2">
        <v>29.85</v>
      </c>
      <c r="X192" s="2">
        <v>25.6279</v>
      </c>
      <c r="Y192" s="7"/>
      <c r="Z192" s="7"/>
      <c r="AA192" s="128">
        <v>44315</v>
      </c>
      <c r="AB192" s="2">
        <v>9.0266990000000007</v>
      </c>
      <c r="AC192" s="2">
        <v>9.3915930000000003</v>
      </c>
      <c r="AD192" s="2">
        <v>9.5287140000000008</v>
      </c>
      <c r="AE192" s="2">
        <v>8.9526219999999999</v>
      </c>
      <c r="AF192" s="2"/>
      <c r="AG192" s="2"/>
      <c r="AH192" s="7"/>
      <c r="AI192" s="128">
        <v>44315</v>
      </c>
      <c r="AJ192" s="2">
        <v>84.125</v>
      </c>
      <c r="AK192" s="2">
        <v>68.25</v>
      </c>
      <c r="AL192" s="2">
        <v>59.003</v>
      </c>
      <c r="AM192" s="2">
        <v>54.625</v>
      </c>
      <c r="AO192" s="124">
        <v>44000</v>
      </c>
      <c r="AP192">
        <v>49.75</v>
      </c>
      <c r="AQ192">
        <v>46.75</v>
      </c>
      <c r="AR192">
        <v>51.625</v>
      </c>
      <c r="AS192" s="17">
        <v>44.75</v>
      </c>
      <c r="AT192">
        <v>43.25</v>
      </c>
      <c r="AU192">
        <v>42.875</v>
      </c>
      <c r="AV192">
        <v>42.125</v>
      </c>
      <c r="AW192">
        <v>41.5</v>
      </c>
      <c r="AX192">
        <v>41.75</v>
      </c>
      <c r="AY192" s="17">
        <v>42.625</v>
      </c>
      <c r="AZ192" s="7"/>
      <c r="BB192" s="124">
        <v>44000</v>
      </c>
      <c r="BC192" s="2">
        <v>60.61</v>
      </c>
      <c r="BD192" s="2">
        <v>41.64</v>
      </c>
      <c r="BE192" s="2">
        <v>29.11</v>
      </c>
      <c r="BF192" s="2">
        <v>30.46</v>
      </c>
      <c r="BG192" s="2">
        <v>29.82</v>
      </c>
      <c r="BH192" s="2">
        <v>29.11</v>
      </c>
      <c r="BI192" s="2">
        <v>27.5</v>
      </c>
      <c r="BJ192" s="2">
        <v>25.81</v>
      </c>
      <c r="BK192" s="2">
        <v>29.85</v>
      </c>
      <c r="BL192" s="2">
        <v>25.63</v>
      </c>
      <c r="BM192" s="7"/>
      <c r="BN192" s="7"/>
      <c r="BO192" s="128">
        <v>44315</v>
      </c>
      <c r="BP192" s="2">
        <v>9.0299999999999994</v>
      </c>
      <c r="BQ192" s="2">
        <v>9.39</v>
      </c>
      <c r="BR192" s="2">
        <v>9.5299999999999994</v>
      </c>
      <c r="BS192" s="2">
        <v>9.15</v>
      </c>
      <c r="BT192" s="2"/>
      <c r="BU192" s="2"/>
      <c r="BV192" s="7"/>
      <c r="BW192" s="128">
        <v>44315</v>
      </c>
      <c r="BX192" s="2">
        <v>84.125</v>
      </c>
      <c r="BY192" s="2">
        <v>68.25</v>
      </c>
      <c r="BZ192" s="2">
        <v>59.003</v>
      </c>
      <c r="CA192" s="2">
        <v>54.625</v>
      </c>
    </row>
    <row r="193" spans="1:79" x14ac:dyDescent="0.2">
      <c r="A193" s="124">
        <v>44001</v>
      </c>
      <c r="B193">
        <v>50.5</v>
      </c>
      <c r="C193">
        <v>47.625</v>
      </c>
      <c r="D193">
        <v>53.875</v>
      </c>
      <c r="E193" s="17">
        <v>45</v>
      </c>
      <c r="F193">
        <v>44.375</v>
      </c>
      <c r="G193">
        <v>43.625</v>
      </c>
      <c r="H193">
        <v>43.25</v>
      </c>
      <c r="I193">
        <v>42</v>
      </c>
      <c r="J193">
        <v>42.5</v>
      </c>
      <c r="K193" s="17">
        <v>43</v>
      </c>
      <c r="L193" s="7"/>
      <c r="N193" s="124">
        <v>44001</v>
      </c>
      <c r="O193" s="2">
        <v>59.482950000000002</v>
      </c>
      <c r="P193" s="2">
        <v>40.773150000000001</v>
      </c>
      <c r="Q193" s="2">
        <v>27.64</v>
      </c>
      <c r="R193" s="2">
        <v>30.298400000000001</v>
      </c>
      <c r="S193" s="2">
        <v>29.1</v>
      </c>
      <c r="T193" s="2">
        <v>28.649349999999998</v>
      </c>
      <c r="U193" s="2">
        <v>26.841449999999998</v>
      </c>
      <c r="V193" s="2">
        <v>25.529299999999999</v>
      </c>
      <c r="W193" s="2">
        <v>29.37</v>
      </c>
      <c r="X193" s="2">
        <v>25.425249999999998</v>
      </c>
      <c r="Y193" s="7"/>
      <c r="Z193" s="7"/>
      <c r="AA193" s="128">
        <v>44316</v>
      </c>
      <c r="AB193" s="2">
        <v>9.0578620000000001</v>
      </c>
      <c r="AC193" s="2">
        <v>9.4362969999999997</v>
      </c>
      <c r="AD193" s="2">
        <v>9.4931070000000002</v>
      </c>
      <c r="AE193" s="2">
        <v>8.9212989999999994</v>
      </c>
      <c r="AF193" s="2"/>
      <c r="AG193" s="2"/>
      <c r="AH193" s="7"/>
      <c r="AI193" s="128">
        <v>44316</v>
      </c>
      <c r="AJ193" s="2">
        <v>84</v>
      </c>
      <c r="AK193" s="2">
        <v>68</v>
      </c>
      <c r="AL193" s="2">
        <v>59.249000000000002</v>
      </c>
      <c r="AM193" s="2">
        <v>54.75</v>
      </c>
      <c r="AO193" s="124">
        <v>44001</v>
      </c>
      <c r="AP193">
        <v>50.5</v>
      </c>
      <c r="AQ193">
        <v>47.625</v>
      </c>
      <c r="AR193">
        <v>53.875</v>
      </c>
      <c r="AS193" s="17">
        <v>45</v>
      </c>
      <c r="AT193">
        <v>44.375</v>
      </c>
      <c r="AU193">
        <v>43.625</v>
      </c>
      <c r="AV193">
        <v>43.25</v>
      </c>
      <c r="AW193">
        <v>42</v>
      </c>
      <c r="AX193">
        <v>42.5</v>
      </c>
      <c r="AY193" s="17">
        <v>43</v>
      </c>
      <c r="AZ193" s="7"/>
      <c r="BB193" s="124">
        <v>44001</v>
      </c>
      <c r="BC193" s="2">
        <v>59.48</v>
      </c>
      <c r="BD193" s="2">
        <v>40.770000000000003</v>
      </c>
      <c r="BE193" s="2">
        <v>27.64</v>
      </c>
      <c r="BF193" s="2">
        <v>30.3</v>
      </c>
      <c r="BG193" s="2">
        <v>29.1</v>
      </c>
      <c r="BH193" s="2">
        <v>28.65</v>
      </c>
      <c r="BI193" s="2">
        <v>26.84</v>
      </c>
      <c r="BJ193" s="2">
        <v>25.53</v>
      </c>
      <c r="BK193" s="2">
        <v>29.37</v>
      </c>
      <c r="BL193" s="2">
        <v>25.42</v>
      </c>
      <c r="BM193" s="7"/>
      <c r="BN193" s="7"/>
      <c r="BO193" s="128">
        <v>44316</v>
      </c>
      <c r="BP193" s="2">
        <v>9.06</v>
      </c>
      <c r="BQ193" s="2">
        <v>9.44</v>
      </c>
      <c r="BR193" s="2">
        <v>9.49</v>
      </c>
      <c r="BS193" s="2">
        <v>9.1199999999999992</v>
      </c>
      <c r="BT193" s="2"/>
      <c r="BU193" s="2"/>
      <c r="BV193" s="7"/>
      <c r="BW193" s="128">
        <v>44316</v>
      </c>
      <c r="BX193" s="2">
        <v>84</v>
      </c>
      <c r="BY193" s="2">
        <v>68</v>
      </c>
      <c r="BZ193" s="2">
        <v>59.249000000000002</v>
      </c>
      <c r="CA193" s="2">
        <v>54.75</v>
      </c>
    </row>
    <row r="194" spans="1:79" x14ac:dyDescent="0.2">
      <c r="A194" s="124">
        <v>44004</v>
      </c>
      <c r="B194">
        <v>50.5</v>
      </c>
      <c r="C194">
        <v>47.625</v>
      </c>
      <c r="D194">
        <v>54.125</v>
      </c>
      <c r="E194" s="17">
        <v>45.5</v>
      </c>
      <c r="F194">
        <v>44.625</v>
      </c>
      <c r="G194">
        <v>44</v>
      </c>
      <c r="H194">
        <v>43.25</v>
      </c>
      <c r="I194">
        <v>42.625</v>
      </c>
      <c r="J194">
        <v>43</v>
      </c>
      <c r="K194" s="17">
        <v>43.625</v>
      </c>
      <c r="L194" s="7"/>
      <c r="N194" s="124">
        <v>44004</v>
      </c>
      <c r="O194" s="2">
        <v>59.558050000000001</v>
      </c>
      <c r="P194" s="2">
        <v>40.798949999999998</v>
      </c>
      <c r="Q194" s="2">
        <v>27.49</v>
      </c>
      <c r="R194" s="2">
        <v>29.9617</v>
      </c>
      <c r="S194" s="2">
        <v>28.95</v>
      </c>
      <c r="T194" s="2">
        <v>28.422149999999998</v>
      </c>
      <c r="U194" s="2">
        <v>26.845500000000001</v>
      </c>
      <c r="V194" s="2">
        <v>25.18375</v>
      </c>
      <c r="W194" s="2">
        <v>29.06</v>
      </c>
      <c r="X194" s="2">
        <v>25.09225</v>
      </c>
      <c r="Y194" s="7"/>
      <c r="Z194" s="7"/>
      <c r="AA194" s="128">
        <v>44319</v>
      </c>
      <c r="AB194" s="2">
        <v>9.0620399999999997</v>
      </c>
      <c r="AC194" s="2">
        <v>9.3969749999999994</v>
      </c>
      <c r="AD194" s="2">
        <v>9.4377510000000004</v>
      </c>
      <c r="AE194" s="2">
        <v>8.8551459999999995</v>
      </c>
      <c r="AF194" s="2"/>
      <c r="AG194" s="2"/>
      <c r="AH194" s="7"/>
      <c r="AI194" s="128">
        <v>44319</v>
      </c>
      <c r="AJ194" s="2">
        <v>84</v>
      </c>
      <c r="AK194" s="2">
        <v>68.25</v>
      </c>
      <c r="AL194" s="2">
        <v>59.625999999999998</v>
      </c>
      <c r="AM194" s="2">
        <v>55</v>
      </c>
      <c r="AO194" s="124">
        <v>44004</v>
      </c>
      <c r="AP194">
        <v>50.5</v>
      </c>
      <c r="AQ194">
        <v>47.625</v>
      </c>
      <c r="AR194">
        <v>54.125</v>
      </c>
      <c r="AS194" s="17">
        <v>45.5</v>
      </c>
      <c r="AT194">
        <v>44.625</v>
      </c>
      <c r="AU194">
        <v>44</v>
      </c>
      <c r="AV194">
        <v>43.25</v>
      </c>
      <c r="AW194">
        <v>42.625</v>
      </c>
      <c r="AX194">
        <v>43</v>
      </c>
      <c r="AY194" s="17">
        <v>43.625</v>
      </c>
      <c r="AZ194" s="7"/>
      <c r="BB194" s="124">
        <v>44004</v>
      </c>
      <c r="BC194" s="2">
        <v>59.55</v>
      </c>
      <c r="BD194" s="2">
        <v>40.799999999999997</v>
      </c>
      <c r="BE194" s="2">
        <v>27.49</v>
      </c>
      <c r="BF194" s="2">
        <v>29.96</v>
      </c>
      <c r="BG194" s="2">
        <v>28.95</v>
      </c>
      <c r="BH194" s="2">
        <v>28.42</v>
      </c>
      <c r="BI194" s="2">
        <v>26.84</v>
      </c>
      <c r="BJ194" s="2">
        <v>25.18</v>
      </c>
      <c r="BK194" s="2">
        <v>29.06</v>
      </c>
      <c r="BL194" s="2">
        <v>25.09</v>
      </c>
      <c r="BM194" s="7"/>
      <c r="BN194" s="7"/>
      <c r="BO194" s="128">
        <v>44319</v>
      </c>
      <c r="BP194" s="2">
        <v>9.06</v>
      </c>
      <c r="BQ194" s="2">
        <v>9.4</v>
      </c>
      <c r="BR194" s="2">
        <v>9.44</v>
      </c>
      <c r="BS194" s="2">
        <v>9.0500000000000007</v>
      </c>
      <c r="BT194" s="2"/>
      <c r="BU194" s="2"/>
      <c r="BV194" s="7"/>
      <c r="BW194" s="128">
        <v>44319</v>
      </c>
      <c r="BX194" s="2">
        <v>84</v>
      </c>
      <c r="BY194" s="2">
        <v>68.25</v>
      </c>
      <c r="BZ194" s="2">
        <v>59.625999999999998</v>
      </c>
      <c r="CA194" s="2">
        <v>55</v>
      </c>
    </row>
    <row r="195" spans="1:79" x14ac:dyDescent="0.2">
      <c r="A195" s="124">
        <v>44005</v>
      </c>
      <c r="B195">
        <v>50.875</v>
      </c>
      <c r="C195">
        <v>47.75</v>
      </c>
      <c r="D195">
        <v>54.375</v>
      </c>
      <c r="E195" s="17">
        <v>45.75</v>
      </c>
      <c r="F195">
        <v>45.125</v>
      </c>
      <c r="G195">
        <v>44.75</v>
      </c>
      <c r="H195">
        <v>44</v>
      </c>
      <c r="I195">
        <v>43.125</v>
      </c>
      <c r="J195">
        <v>43.625</v>
      </c>
      <c r="K195" s="17">
        <v>44.75</v>
      </c>
      <c r="L195" s="7"/>
      <c r="N195" s="124">
        <v>44005</v>
      </c>
      <c r="O195" s="2">
        <v>59.0381</v>
      </c>
      <c r="P195" s="2">
        <v>40.698900000000002</v>
      </c>
      <c r="Q195" s="2">
        <v>27.34</v>
      </c>
      <c r="R195" s="2">
        <v>29.800350000000002</v>
      </c>
      <c r="S195" s="2">
        <v>28.64</v>
      </c>
      <c r="T195" s="2">
        <v>27.972300000000001</v>
      </c>
      <c r="U195" s="2">
        <v>26.417300000000001</v>
      </c>
      <c r="V195" s="2">
        <v>24.913399999999999</v>
      </c>
      <c r="W195" s="2">
        <v>28.68</v>
      </c>
      <c r="X195" s="2">
        <v>24.51005</v>
      </c>
      <c r="Y195" s="7"/>
      <c r="Z195" s="7"/>
      <c r="AA195" s="128">
        <v>44320</v>
      </c>
      <c r="AB195" s="2">
        <v>9.2568420000000007</v>
      </c>
      <c r="AC195" s="2">
        <v>9.5263559999999998</v>
      </c>
      <c r="AD195" s="2">
        <v>9.4970599999999994</v>
      </c>
      <c r="AE195" s="2">
        <v>8.9638259999999992</v>
      </c>
      <c r="AF195" s="2"/>
      <c r="AG195" s="2"/>
      <c r="AH195" s="7"/>
      <c r="AI195" s="128">
        <v>44320</v>
      </c>
      <c r="AJ195" s="2">
        <v>83.125</v>
      </c>
      <c r="AK195" s="2">
        <v>67.5</v>
      </c>
      <c r="AL195" s="2">
        <v>59.250999999999998</v>
      </c>
      <c r="AM195" s="2">
        <v>54.625</v>
      </c>
      <c r="AO195" s="124">
        <v>44005</v>
      </c>
      <c r="AP195">
        <v>50.875</v>
      </c>
      <c r="AQ195">
        <v>47.75</v>
      </c>
      <c r="AR195">
        <v>54.375</v>
      </c>
      <c r="AS195" s="17">
        <v>45.75</v>
      </c>
      <c r="AT195">
        <v>45.125</v>
      </c>
      <c r="AU195">
        <v>44.75</v>
      </c>
      <c r="AV195">
        <v>44</v>
      </c>
      <c r="AW195">
        <v>43.125</v>
      </c>
      <c r="AX195">
        <v>43.625</v>
      </c>
      <c r="AY195" s="17">
        <v>44.75</v>
      </c>
      <c r="AZ195" s="7"/>
      <c r="BB195" s="124">
        <v>44005</v>
      </c>
      <c r="BC195" s="2">
        <v>59.03</v>
      </c>
      <c r="BD195" s="2">
        <v>40.700000000000003</v>
      </c>
      <c r="BE195" s="2">
        <v>27.34</v>
      </c>
      <c r="BF195" s="2">
        <v>29.8</v>
      </c>
      <c r="BG195" s="2">
        <v>28.64</v>
      </c>
      <c r="BH195" s="2">
        <v>27.97</v>
      </c>
      <c r="BI195" s="2">
        <v>26.42</v>
      </c>
      <c r="BJ195" s="2">
        <v>24.91</v>
      </c>
      <c r="BK195" s="2">
        <v>28.68</v>
      </c>
      <c r="BL195" s="2">
        <v>24.51</v>
      </c>
      <c r="BM195" s="7"/>
      <c r="BN195" s="7"/>
      <c r="BO195" s="128">
        <v>44320</v>
      </c>
      <c r="BP195" s="2">
        <v>9.26</v>
      </c>
      <c r="BQ195" s="2">
        <v>9.5299999999999994</v>
      </c>
      <c r="BR195" s="2">
        <v>9.5</v>
      </c>
      <c r="BS195" s="2">
        <v>9.16</v>
      </c>
      <c r="BT195" s="2"/>
      <c r="BU195" s="2"/>
      <c r="BV195" s="7"/>
      <c r="BW195" s="128">
        <v>44320</v>
      </c>
      <c r="BX195" s="2">
        <v>83.125</v>
      </c>
      <c r="BY195" s="2">
        <v>67.5</v>
      </c>
      <c r="BZ195" s="2">
        <v>59.250999999999998</v>
      </c>
      <c r="CA195" s="2">
        <v>54.625</v>
      </c>
    </row>
    <row r="196" spans="1:79" x14ac:dyDescent="0.2">
      <c r="A196" s="124">
        <v>44006</v>
      </c>
      <c r="B196">
        <v>50.625</v>
      </c>
      <c r="C196">
        <v>47.75</v>
      </c>
      <c r="D196">
        <v>53.125</v>
      </c>
      <c r="E196" s="17">
        <v>45.375</v>
      </c>
      <c r="F196">
        <v>44.625</v>
      </c>
      <c r="G196">
        <v>44.25</v>
      </c>
      <c r="H196">
        <v>43.5</v>
      </c>
      <c r="I196">
        <v>42.5</v>
      </c>
      <c r="J196">
        <v>43</v>
      </c>
      <c r="K196" s="17">
        <v>44.375</v>
      </c>
      <c r="L196" s="7"/>
      <c r="N196" s="124">
        <v>44006</v>
      </c>
      <c r="O196" s="2">
        <v>59.509700000000002</v>
      </c>
      <c r="P196" s="2">
        <v>40.724800000000002</v>
      </c>
      <c r="Q196" s="2">
        <v>28.16</v>
      </c>
      <c r="R196" s="2">
        <v>30.069050000000001</v>
      </c>
      <c r="S196" s="2">
        <v>28.96</v>
      </c>
      <c r="T196" s="2">
        <v>28.277550000000002</v>
      </c>
      <c r="U196" s="2">
        <v>26.708300000000001</v>
      </c>
      <c r="V196" s="2">
        <v>25.262550000000001</v>
      </c>
      <c r="W196" s="2">
        <v>29.07</v>
      </c>
      <c r="X196" s="2">
        <v>24.7043</v>
      </c>
      <c r="Y196" s="7"/>
      <c r="Z196" s="7"/>
      <c r="AA196" s="128">
        <v>44321</v>
      </c>
      <c r="AB196" s="2">
        <v>9.1246489999999998</v>
      </c>
      <c r="AC196" s="2">
        <v>9.4655179999999994</v>
      </c>
      <c r="AD196" s="2">
        <v>9.4427409999999998</v>
      </c>
      <c r="AE196" s="2">
        <v>8.8277000000000001</v>
      </c>
      <c r="AF196" s="2"/>
      <c r="AG196" s="2"/>
      <c r="AH196" s="7"/>
      <c r="AI196" s="128">
        <v>44321</v>
      </c>
      <c r="AJ196" s="2">
        <v>83.75</v>
      </c>
      <c r="AK196" s="2">
        <v>67.875</v>
      </c>
      <c r="AL196" s="2">
        <v>59.621000000000002</v>
      </c>
      <c r="AM196" s="2">
        <v>55.125</v>
      </c>
      <c r="AO196" s="124">
        <v>44006</v>
      </c>
      <c r="AP196">
        <v>50.625</v>
      </c>
      <c r="AQ196">
        <v>47.75</v>
      </c>
      <c r="AR196">
        <v>53.125</v>
      </c>
      <c r="AS196" s="17">
        <v>45.375</v>
      </c>
      <c r="AT196">
        <v>44.625</v>
      </c>
      <c r="AU196">
        <v>44.25</v>
      </c>
      <c r="AV196">
        <v>43.5</v>
      </c>
      <c r="AW196">
        <v>42.5</v>
      </c>
      <c r="AX196">
        <v>43</v>
      </c>
      <c r="AY196" s="17">
        <v>44.375</v>
      </c>
      <c r="AZ196" s="7"/>
      <c r="BB196" s="124">
        <v>44006</v>
      </c>
      <c r="BC196" s="2">
        <v>59.5</v>
      </c>
      <c r="BD196" s="2">
        <v>40.72</v>
      </c>
      <c r="BE196" s="2">
        <v>28.16</v>
      </c>
      <c r="BF196" s="2">
        <v>30.07</v>
      </c>
      <c r="BG196" s="2">
        <v>28.96</v>
      </c>
      <c r="BH196" s="2">
        <v>28.27</v>
      </c>
      <c r="BI196" s="2">
        <v>26.71</v>
      </c>
      <c r="BJ196" s="2">
        <v>25.26</v>
      </c>
      <c r="BK196" s="2">
        <v>29.07</v>
      </c>
      <c r="BL196" s="2">
        <v>24.7</v>
      </c>
      <c r="BM196" s="7"/>
      <c r="BN196" s="7"/>
      <c r="BO196" s="128">
        <v>44321</v>
      </c>
      <c r="BP196" s="2">
        <v>9.1199999999999992</v>
      </c>
      <c r="BQ196" s="2">
        <v>9.4700000000000006</v>
      </c>
      <c r="BR196" s="2">
        <v>9.44</v>
      </c>
      <c r="BS196" s="2">
        <v>9.02</v>
      </c>
      <c r="BT196" s="2"/>
      <c r="BU196" s="2"/>
      <c r="BV196" s="7"/>
      <c r="BW196" s="128">
        <v>44321</v>
      </c>
      <c r="BX196" s="2">
        <v>83.75</v>
      </c>
      <c r="BY196" s="2">
        <v>67.875</v>
      </c>
      <c r="BZ196" s="2">
        <v>59.621000000000002</v>
      </c>
      <c r="CA196" s="2">
        <v>55.125</v>
      </c>
    </row>
    <row r="197" spans="1:79" x14ac:dyDescent="0.2">
      <c r="A197" s="124">
        <v>44007</v>
      </c>
      <c r="B197">
        <v>50.75</v>
      </c>
      <c r="C197">
        <v>47.625</v>
      </c>
      <c r="D197">
        <v>51.5</v>
      </c>
      <c r="E197" s="17">
        <v>45.5</v>
      </c>
      <c r="F197">
        <v>44.5</v>
      </c>
      <c r="G197">
        <v>44.25</v>
      </c>
      <c r="H197">
        <v>43.375</v>
      </c>
      <c r="I197">
        <v>42.25</v>
      </c>
      <c r="J197">
        <v>43</v>
      </c>
      <c r="K197" s="17">
        <v>44.375</v>
      </c>
      <c r="L197" s="7"/>
      <c r="N197" s="124">
        <v>44007</v>
      </c>
      <c r="O197" s="2">
        <v>59.5381</v>
      </c>
      <c r="P197" s="2">
        <v>40.929049999999997</v>
      </c>
      <c r="Q197" s="2">
        <v>29.28</v>
      </c>
      <c r="R197" s="2">
        <v>30.014250000000001</v>
      </c>
      <c r="S197" s="2">
        <v>29.05</v>
      </c>
      <c r="T197" s="2">
        <v>28.2895</v>
      </c>
      <c r="U197" s="2">
        <v>26.792999999999999</v>
      </c>
      <c r="V197" s="2">
        <v>25.416699999999999</v>
      </c>
      <c r="W197" s="2">
        <v>29.08</v>
      </c>
      <c r="X197" s="2">
        <v>24.710699999999999</v>
      </c>
      <c r="Y197" s="7"/>
      <c r="Z197" s="7"/>
      <c r="AA197" s="128">
        <v>44322</v>
      </c>
      <c r="AB197" s="2">
        <v>8.8409809999999993</v>
      </c>
      <c r="AC197" s="2">
        <v>9.2232959999999995</v>
      </c>
      <c r="AD197" s="2">
        <v>9.1684789999999996</v>
      </c>
      <c r="AE197" s="2">
        <v>8.5287690000000005</v>
      </c>
      <c r="AF197" s="2"/>
      <c r="AG197" s="2"/>
      <c r="AH197" s="7"/>
      <c r="AI197" s="128">
        <v>44322</v>
      </c>
      <c r="AJ197" s="2">
        <v>85.125</v>
      </c>
      <c r="AK197" s="2">
        <v>69.375</v>
      </c>
      <c r="AL197" s="2">
        <v>61.502000000000002</v>
      </c>
      <c r="AM197" s="2">
        <v>56.25</v>
      </c>
      <c r="AO197" s="124">
        <v>44007</v>
      </c>
      <c r="AP197">
        <v>50.75</v>
      </c>
      <c r="AQ197">
        <v>47.625</v>
      </c>
      <c r="AR197">
        <v>52.25</v>
      </c>
      <c r="AS197" s="17">
        <v>45.5</v>
      </c>
      <c r="AT197">
        <v>44.5</v>
      </c>
      <c r="AU197">
        <v>44.25</v>
      </c>
      <c r="AV197">
        <v>43.75</v>
      </c>
      <c r="AW197">
        <v>42.25</v>
      </c>
      <c r="AX197">
        <v>43</v>
      </c>
      <c r="AY197" s="17">
        <v>45</v>
      </c>
      <c r="AZ197" s="7"/>
      <c r="BB197" s="124">
        <v>44007</v>
      </c>
      <c r="BC197" s="2">
        <v>59.53</v>
      </c>
      <c r="BD197" s="2">
        <v>40.93</v>
      </c>
      <c r="BE197" s="2">
        <v>28.77</v>
      </c>
      <c r="BF197" s="2">
        <v>30.01</v>
      </c>
      <c r="BG197" s="2">
        <v>29.05</v>
      </c>
      <c r="BH197" s="2">
        <v>28.29</v>
      </c>
      <c r="BI197" s="2">
        <v>26.57</v>
      </c>
      <c r="BJ197" s="2">
        <v>25.41</v>
      </c>
      <c r="BK197" s="2">
        <v>29.08</v>
      </c>
      <c r="BL197" s="2">
        <v>24.39</v>
      </c>
      <c r="BM197" s="7"/>
      <c r="BN197" s="7"/>
      <c r="BO197" s="128">
        <v>44322</v>
      </c>
      <c r="BP197" s="2">
        <v>8.84</v>
      </c>
      <c r="BQ197" s="2">
        <v>9.2200000000000006</v>
      </c>
      <c r="BR197" s="2">
        <v>9.17</v>
      </c>
      <c r="BS197" s="2">
        <v>8.7100000000000009</v>
      </c>
      <c r="BT197" s="2"/>
      <c r="BU197" s="2"/>
      <c r="BV197" s="7"/>
      <c r="BW197" s="128">
        <v>44322</v>
      </c>
      <c r="BX197" s="2">
        <v>85.125</v>
      </c>
      <c r="BY197" s="2">
        <v>69.375</v>
      </c>
      <c r="BZ197" s="2">
        <v>61.502000000000002</v>
      </c>
      <c r="CA197" s="2">
        <v>56.25</v>
      </c>
    </row>
    <row r="198" spans="1:79" x14ac:dyDescent="0.2">
      <c r="A198" s="124">
        <v>44008</v>
      </c>
      <c r="B198">
        <v>49.875</v>
      </c>
      <c r="C198">
        <v>46.875</v>
      </c>
      <c r="D198">
        <v>51.25</v>
      </c>
      <c r="E198" s="17">
        <v>44.875</v>
      </c>
      <c r="F198">
        <v>44</v>
      </c>
      <c r="G198">
        <v>43.5</v>
      </c>
      <c r="H198">
        <v>42.875</v>
      </c>
      <c r="I198">
        <v>42</v>
      </c>
      <c r="J198">
        <v>42.5</v>
      </c>
      <c r="K198" s="17">
        <v>43.25</v>
      </c>
      <c r="L198" s="7"/>
      <c r="N198" s="124">
        <v>44008</v>
      </c>
      <c r="O198" s="2">
        <v>61.029249999999998</v>
      </c>
      <c r="P198" s="2">
        <v>41.722900000000003</v>
      </c>
      <c r="Q198" s="2">
        <v>29.46</v>
      </c>
      <c r="R198" s="2">
        <v>30.460850000000001</v>
      </c>
      <c r="S198" s="2">
        <v>29.37</v>
      </c>
      <c r="T198" s="2">
        <v>28.755299999999998</v>
      </c>
      <c r="U198" s="2">
        <v>27.090450000000001</v>
      </c>
      <c r="V198" s="2">
        <v>25.562650000000001</v>
      </c>
      <c r="W198" s="2">
        <v>29.42</v>
      </c>
      <c r="X198" s="2">
        <v>25.305499999999999</v>
      </c>
      <c r="Y198" s="7"/>
      <c r="Z198" s="7"/>
      <c r="AA198" s="128">
        <v>44323</v>
      </c>
      <c r="AB198" s="2">
        <v>8.6331179999999996</v>
      </c>
      <c r="AC198" s="2">
        <v>8.901942</v>
      </c>
      <c r="AD198" s="2">
        <v>9.0260400000000001</v>
      </c>
      <c r="AE198" s="2">
        <v>8.3294040000000003</v>
      </c>
      <c r="AF198" s="2"/>
      <c r="AG198" s="2"/>
      <c r="AH198" s="7"/>
      <c r="AI198" s="128">
        <v>44323</v>
      </c>
      <c r="AJ198" s="2">
        <v>86.125</v>
      </c>
      <c r="AK198" s="2">
        <v>71.375</v>
      </c>
      <c r="AL198" s="2">
        <v>62.499000000000002</v>
      </c>
      <c r="AM198" s="2">
        <v>57</v>
      </c>
      <c r="AO198" s="124">
        <v>44008</v>
      </c>
      <c r="AP198">
        <v>49.875</v>
      </c>
      <c r="AQ198">
        <v>46.875</v>
      </c>
      <c r="AR198">
        <v>51.25</v>
      </c>
      <c r="AS198" s="17">
        <v>44.875</v>
      </c>
      <c r="AT198">
        <v>44</v>
      </c>
      <c r="AU198">
        <v>43.5</v>
      </c>
      <c r="AV198">
        <v>42.875</v>
      </c>
      <c r="AW198">
        <v>42</v>
      </c>
      <c r="AX198">
        <v>42.5</v>
      </c>
      <c r="AY198" s="17">
        <v>43.25</v>
      </c>
      <c r="AZ198" s="7"/>
      <c r="BB198" s="124">
        <v>44008</v>
      </c>
      <c r="BC198" s="2">
        <v>61.02</v>
      </c>
      <c r="BD198" s="2">
        <v>41.72</v>
      </c>
      <c r="BE198" s="2">
        <v>29.46</v>
      </c>
      <c r="BF198" s="2">
        <v>30.46</v>
      </c>
      <c r="BG198" s="2">
        <v>29.37</v>
      </c>
      <c r="BH198" s="2">
        <v>28.75</v>
      </c>
      <c r="BI198" s="2">
        <v>27.09</v>
      </c>
      <c r="BJ198" s="2">
        <v>25.56</v>
      </c>
      <c r="BK198" s="2">
        <v>29.42</v>
      </c>
      <c r="BL198" s="2">
        <v>25.3</v>
      </c>
      <c r="BM198" s="7"/>
      <c r="BN198" s="7"/>
      <c r="BO198" s="128">
        <v>44323</v>
      </c>
      <c r="BP198" s="2">
        <v>8.6300000000000008</v>
      </c>
      <c r="BQ198" s="2">
        <v>8.9</v>
      </c>
      <c r="BR198" s="2">
        <v>9.0299999999999994</v>
      </c>
      <c r="BS198" s="2">
        <v>8.5</v>
      </c>
      <c r="BT198" s="2"/>
      <c r="BU198" s="2"/>
      <c r="BV198" s="7"/>
      <c r="BW198" s="128">
        <v>44323</v>
      </c>
      <c r="BX198" s="2">
        <v>86.125</v>
      </c>
      <c r="BY198" s="2">
        <v>71.375</v>
      </c>
      <c r="BZ198" s="2">
        <v>62.499000000000002</v>
      </c>
      <c r="CA198" s="2">
        <v>57</v>
      </c>
    </row>
    <row r="199" spans="1:79" x14ac:dyDescent="0.2">
      <c r="A199" s="124">
        <v>44011</v>
      </c>
      <c r="B199">
        <v>48.5</v>
      </c>
      <c r="C199">
        <v>46</v>
      </c>
      <c r="D199">
        <v>49.25</v>
      </c>
      <c r="E199" s="17">
        <v>44.625</v>
      </c>
      <c r="F199">
        <v>43.125</v>
      </c>
      <c r="G199">
        <v>42.375</v>
      </c>
      <c r="H199">
        <v>42.125</v>
      </c>
      <c r="I199">
        <v>41.375</v>
      </c>
      <c r="J199">
        <v>42</v>
      </c>
      <c r="K199" s="17">
        <v>42.5</v>
      </c>
      <c r="L199" s="7"/>
      <c r="N199" s="124">
        <v>44011</v>
      </c>
      <c r="O199" s="2">
        <v>63.40475</v>
      </c>
      <c r="P199" s="2">
        <v>42.666550000000001</v>
      </c>
      <c r="Q199" s="2">
        <v>30.89</v>
      </c>
      <c r="R199" s="2">
        <v>30.648399999999999</v>
      </c>
      <c r="S199" s="2">
        <v>29.94</v>
      </c>
      <c r="T199" s="2">
        <v>29.474499999999999</v>
      </c>
      <c r="U199" s="2">
        <v>27.5441</v>
      </c>
      <c r="V199" s="2">
        <v>25.92595</v>
      </c>
      <c r="W199" s="2">
        <v>29.72</v>
      </c>
      <c r="X199" s="2">
        <v>25.716699999999999</v>
      </c>
      <c r="Y199" s="7"/>
      <c r="Z199" s="7"/>
      <c r="AA199" s="128">
        <v>44326</v>
      </c>
      <c r="AB199" s="2">
        <v>8.7162509999999997</v>
      </c>
      <c r="AC199" s="2">
        <v>9.0449099999999998</v>
      </c>
      <c r="AD199" s="2">
        <v>9.0635809999999992</v>
      </c>
      <c r="AE199" s="2">
        <v>8.5018419999999999</v>
      </c>
      <c r="AF199" s="2"/>
      <c r="AG199" s="2"/>
      <c r="AH199" s="7"/>
      <c r="AI199" s="128">
        <v>44326</v>
      </c>
      <c r="AJ199" s="2">
        <v>85.75</v>
      </c>
      <c r="AK199" s="2">
        <v>70.5</v>
      </c>
      <c r="AL199" s="2">
        <v>62.252000000000002</v>
      </c>
      <c r="AM199" s="2">
        <v>56.375</v>
      </c>
      <c r="AO199" s="124">
        <v>44011</v>
      </c>
      <c r="AP199">
        <v>48.5</v>
      </c>
      <c r="AQ199">
        <v>46</v>
      </c>
      <c r="AR199">
        <v>50</v>
      </c>
      <c r="AS199" s="17">
        <v>44.625</v>
      </c>
      <c r="AT199">
        <v>43.125</v>
      </c>
      <c r="AU199">
        <v>42.375</v>
      </c>
      <c r="AV199">
        <v>42.125</v>
      </c>
      <c r="AW199">
        <v>41.375</v>
      </c>
      <c r="AX199">
        <v>42</v>
      </c>
      <c r="AY199" s="17">
        <v>42.5</v>
      </c>
      <c r="AZ199" s="7"/>
      <c r="BB199" s="124">
        <v>44011</v>
      </c>
      <c r="BC199" s="2">
        <v>63.4</v>
      </c>
      <c r="BD199" s="2">
        <v>42.66</v>
      </c>
      <c r="BE199" s="2">
        <v>30.35</v>
      </c>
      <c r="BF199" s="2">
        <v>30.65</v>
      </c>
      <c r="BG199" s="2">
        <v>29.94</v>
      </c>
      <c r="BH199" s="2">
        <v>29.47</v>
      </c>
      <c r="BI199" s="2">
        <v>27.54</v>
      </c>
      <c r="BJ199" s="2">
        <v>25.92</v>
      </c>
      <c r="BK199" s="2">
        <v>29.72</v>
      </c>
      <c r="BL199" s="2">
        <v>25.71</v>
      </c>
      <c r="BM199" s="7"/>
      <c r="BN199" s="7"/>
      <c r="BO199" s="128">
        <v>44326</v>
      </c>
      <c r="BP199" s="2">
        <v>8.7200000000000006</v>
      </c>
      <c r="BQ199" s="2">
        <v>9.0399999999999991</v>
      </c>
      <c r="BR199" s="2">
        <v>9.06</v>
      </c>
      <c r="BS199" s="2">
        <v>8.68</v>
      </c>
      <c r="BT199" s="2"/>
      <c r="BU199" s="2"/>
      <c r="BV199" s="7"/>
      <c r="BW199" s="128">
        <v>44326</v>
      </c>
      <c r="BX199" s="2">
        <v>85.75</v>
      </c>
      <c r="BY199" s="2">
        <v>70.5</v>
      </c>
      <c r="BZ199" s="2">
        <v>62.252000000000002</v>
      </c>
      <c r="CA199" s="2">
        <v>56.375</v>
      </c>
    </row>
    <row r="200" spans="1:79" x14ac:dyDescent="0.2">
      <c r="A200" s="124">
        <v>44012</v>
      </c>
      <c r="B200">
        <v>49</v>
      </c>
      <c r="C200">
        <v>46.125</v>
      </c>
      <c r="D200">
        <v>49</v>
      </c>
      <c r="E200" s="17">
        <v>44.75</v>
      </c>
      <c r="F200">
        <v>43</v>
      </c>
      <c r="G200">
        <v>42.5</v>
      </c>
      <c r="H200">
        <v>42</v>
      </c>
      <c r="I200">
        <v>41.625</v>
      </c>
      <c r="J200">
        <v>42</v>
      </c>
      <c r="K200" s="17">
        <v>43.25</v>
      </c>
      <c r="L200" s="7"/>
      <c r="N200" s="124">
        <v>44012</v>
      </c>
      <c r="O200" s="2">
        <v>62.641399999999997</v>
      </c>
      <c r="P200" s="2">
        <v>42.561900000000001</v>
      </c>
      <c r="Q200" s="2">
        <v>31.08</v>
      </c>
      <c r="R200" s="2">
        <v>30.570699999999999</v>
      </c>
      <c r="S200" s="2">
        <v>30.03</v>
      </c>
      <c r="T200" s="2">
        <v>29.3979</v>
      </c>
      <c r="U200" s="2">
        <v>27.624400000000001</v>
      </c>
      <c r="V200" s="2">
        <v>25.786549999999998</v>
      </c>
      <c r="W200" s="2">
        <v>29.73</v>
      </c>
      <c r="X200" s="2">
        <v>25.309950000000001</v>
      </c>
      <c r="Y200" s="7"/>
      <c r="Z200" s="7"/>
      <c r="AA200" s="128">
        <v>44327</v>
      </c>
      <c r="AB200" s="2">
        <v>9.1500299999999992</v>
      </c>
      <c r="AC200" s="2">
        <v>9.3766210000000001</v>
      </c>
      <c r="AD200" s="2">
        <v>9.2486560000000004</v>
      </c>
      <c r="AE200" s="2">
        <v>8.9900789999999997</v>
      </c>
      <c r="AF200" s="2"/>
      <c r="AG200" s="2"/>
      <c r="AH200" s="7"/>
      <c r="AI200" s="128">
        <v>44327</v>
      </c>
      <c r="AJ200" s="2">
        <v>83.75</v>
      </c>
      <c r="AK200" s="2">
        <v>68.5</v>
      </c>
      <c r="AL200" s="2">
        <v>60.999000000000002</v>
      </c>
      <c r="AM200" s="2">
        <v>54.625</v>
      </c>
      <c r="AO200" s="124">
        <v>44012</v>
      </c>
      <c r="AP200">
        <v>49</v>
      </c>
      <c r="AQ200">
        <v>46.125</v>
      </c>
      <c r="AR200">
        <v>49</v>
      </c>
      <c r="AS200" s="17">
        <v>44.75</v>
      </c>
      <c r="AT200">
        <v>43</v>
      </c>
      <c r="AU200">
        <v>42.5</v>
      </c>
      <c r="AV200">
        <v>42</v>
      </c>
      <c r="AW200">
        <v>41.625</v>
      </c>
      <c r="AX200">
        <v>42</v>
      </c>
      <c r="AY200" s="17">
        <v>43.25</v>
      </c>
      <c r="AZ200" s="7"/>
      <c r="BB200" s="124">
        <v>44012</v>
      </c>
      <c r="BC200" s="2">
        <v>62.64</v>
      </c>
      <c r="BD200" s="2">
        <v>42.56</v>
      </c>
      <c r="BE200" s="2">
        <v>31.08</v>
      </c>
      <c r="BF200" s="2">
        <v>30.57</v>
      </c>
      <c r="BG200" s="2">
        <v>30.03</v>
      </c>
      <c r="BH200" s="2">
        <v>29.4</v>
      </c>
      <c r="BI200" s="2">
        <v>27.62</v>
      </c>
      <c r="BJ200" s="2">
        <v>25.78</v>
      </c>
      <c r="BK200" s="2">
        <v>29.73</v>
      </c>
      <c r="BL200" s="2">
        <v>25.31</v>
      </c>
      <c r="BM200" s="7"/>
      <c r="BN200" s="7"/>
      <c r="BO200" s="128">
        <v>44327</v>
      </c>
      <c r="BP200" s="2">
        <v>9.15</v>
      </c>
      <c r="BQ200" s="2">
        <v>9.3800000000000008</v>
      </c>
      <c r="BR200" s="2">
        <v>9.25</v>
      </c>
      <c r="BS200" s="2">
        <v>9.19</v>
      </c>
      <c r="BT200" s="2"/>
      <c r="BU200" s="2"/>
      <c r="BV200" s="7"/>
      <c r="BW200" s="128">
        <v>44327</v>
      </c>
      <c r="BX200" s="2">
        <v>83.75</v>
      </c>
      <c r="BY200" s="2">
        <v>68.5</v>
      </c>
      <c r="BZ200" s="2">
        <v>60.999000000000002</v>
      </c>
      <c r="CA200" s="2">
        <v>54.625</v>
      </c>
    </row>
    <row r="201" spans="1:79" x14ac:dyDescent="0.2">
      <c r="A201" s="124">
        <v>44013</v>
      </c>
      <c r="B201">
        <v>50</v>
      </c>
      <c r="C201">
        <v>47.25</v>
      </c>
      <c r="D201">
        <v>49.75</v>
      </c>
      <c r="E201" s="17">
        <v>46.75</v>
      </c>
      <c r="F201">
        <v>44</v>
      </c>
      <c r="G201">
        <v>43.375</v>
      </c>
      <c r="H201">
        <v>42.75</v>
      </c>
      <c r="I201">
        <v>42.25</v>
      </c>
      <c r="J201">
        <v>42.375</v>
      </c>
      <c r="K201" s="17">
        <v>43.375</v>
      </c>
      <c r="L201" s="7"/>
      <c r="N201" s="124">
        <v>44013</v>
      </c>
      <c r="O201" s="2">
        <v>61.302799999999998</v>
      </c>
      <c r="P201" s="2">
        <v>41.498100000000001</v>
      </c>
      <c r="Q201" s="2">
        <v>30.59</v>
      </c>
      <c r="R201" s="2">
        <v>29.237500000000001</v>
      </c>
      <c r="S201" s="2">
        <v>29.4</v>
      </c>
      <c r="T201" s="2">
        <v>28.858250000000002</v>
      </c>
      <c r="U201" s="2">
        <v>27.189800000000002</v>
      </c>
      <c r="V201" s="2">
        <v>25.450299999999999</v>
      </c>
      <c r="W201" s="2">
        <v>29.5</v>
      </c>
      <c r="X201" s="2">
        <v>25.251850000000001</v>
      </c>
      <c r="Y201" s="7"/>
      <c r="Z201" s="7"/>
      <c r="AA201" s="128">
        <v>44328</v>
      </c>
      <c r="AB201" s="2">
        <v>9.1542759999999994</v>
      </c>
      <c r="AC201" s="2">
        <v>9.3793150000000001</v>
      </c>
      <c r="AD201" s="2">
        <v>9.2690979999999996</v>
      </c>
      <c r="AE201" s="2">
        <v>8.9938420000000008</v>
      </c>
      <c r="AF201" s="2"/>
      <c r="AG201" s="2"/>
      <c r="AH201" s="7"/>
      <c r="AI201" s="128">
        <v>44328</v>
      </c>
      <c r="AJ201" s="2">
        <v>83.75</v>
      </c>
      <c r="AK201" s="2">
        <v>68.5</v>
      </c>
      <c r="AL201" s="2">
        <v>60.875</v>
      </c>
      <c r="AM201" s="2">
        <v>54.625</v>
      </c>
      <c r="AO201" s="124">
        <v>44013</v>
      </c>
      <c r="AP201">
        <v>49.75</v>
      </c>
      <c r="AQ201">
        <v>47.25</v>
      </c>
      <c r="AR201">
        <v>49.75</v>
      </c>
      <c r="AS201" s="17">
        <v>46.75</v>
      </c>
      <c r="AT201">
        <v>44</v>
      </c>
      <c r="AU201">
        <v>42.875</v>
      </c>
      <c r="AV201">
        <v>42.875</v>
      </c>
      <c r="AW201">
        <v>42.25</v>
      </c>
      <c r="AX201">
        <v>42.5</v>
      </c>
      <c r="AY201" s="17">
        <v>44.125</v>
      </c>
      <c r="AZ201" s="7"/>
      <c r="BB201" s="124">
        <v>44013</v>
      </c>
      <c r="BC201" s="2">
        <v>61.71</v>
      </c>
      <c r="BD201" s="2">
        <v>41.49</v>
      </c>
      <c r="BE201" s="2">
        <v>30.59</v>
      </c>
      <c r="BF201" s="2">
        <v>29.24</v>
      </c>
      <c r="BG201" s="2">
        <v>29.4</v>
      </c>
      <c r="BH201" s="2">
        <v>29.17</v>
      </c>
      <c r="BI201" s="2">
        <v>27.11</v>
      </c>
      <c r="BJ201" s="2">
        <v>25.45</v>
      </c>
      <c r="BK201" s="2">
        <v>29.42</v>
      </c>
      <c r="BL201" s="2">
        <v>24.85</v>
      </c>
      <c r="BM201" s="7"/>
      <c r="BN201" s="7"/>
      <c r="BO201" s="128">
        <v>44328</v>
      </c>
      <c r="BP201" s="2">
        <v>9.15</v>
      </c>
      <c r="BQ201" s="2">
        <v>9.3800000000000008</v>
      </c>
      <c r="BR201" s="2">
        <v>9.27</v>
      </c>
      <c r="BS201" s="2">
        <v>9.1999999999999993</v>
      </c>
      <c r="BT201" s="2"/>
      <c r="BU201" s="2"/>
      <c r="BV201" s="7"/>
      <c r="BW201" s="128">
        <v>44328</v>
      </c>
      <c r="BX201" s="2">
        <v>83.75</v>
      </c>
      <c r="BY201" s="2">
        <v>68.5</v>
      </c>
      <c r="BZ201" s="2">
        <v>60.875</v>
      </c>
      <c r="CA201" s="2">
        <v>54.625</v>
      </c>
    </row>
    <row r="202" spans="1:79" x14ac:dyDescent="0.2">
      <c r="A202" s="124">
        <v>44014</v>
      </c>
      <c r="B202">
        <v>50.25</v>
      </c>
      <c r="C202">
        <v>47.5</v>
      </c>
      <c r="D202">
        <v>50.25</v>
      </c>
      <c r="E202" s="17">
        <v>45.75</v>
      </c>
      <c r="F202">
        <v>44.125</v>
      </c>
      <c r="G202">
        <v>43.625</v>
      </c>
      <c r="H202">
        <v>43.25</v>
      </c>
      <c r="I202">
        <v>42.625</v>
      </c>
      <c r="J202">
        <v>43.375</v>
      </c>
      <c r="K202" s="17">
        <v>44.375</v>
      </c>
      <c r="L202" s="7"/>
      <c r="N202" s="124">
        <v>44014</v>
      </c>
      <c r="O202" s="2">
        <v>60.972549999999998</v>
      </c>
      <c r="P202" s="2">
        <v>41.268749999999997</v>
      </c>
      <c r="Q202" s="2">
        <v>30.25</v>
      </c>
      <c r="R202" s="2">
        <v>29.926749999999998</v>
      </c>
      <c r="S202" s="2">
        <v>29.33</v>
      </c>
      <c r="T202" s="2">
        <v>28.706399999999999</v>
      </c>
      <c r="U202" s="2">
        <v>26.899149999999999</v>
      </c>
      <c r="V202" s="2">
        <v>25.245200000000001</v>
      </c>
      <c r="W202" s="2">
        <v>28.88</v>
      </c>
      <c r="X202" s="2">
        <v>24.728200000000001</v>
      </c>
      <c r="Y202" s="7"/>
      <c r="Z202" s="7"/>
      <c r="AA202" s="128">
        <v>44329</v>
      </c>
      <c r="AB202" s="2">
        <v>9.0040630000000004</v>
      </c>
      <c r="AC202" s="2">
        <v>9.3039389999999997</v>
      </c>
      <c r="AD202" s="2">
        <v>9.1833930000000006</v>
      </c>
      <c r="AE202" s="2">
        <v>9.0404949999999999</v>
      </c>
      <c r="AF202" s="2"/>
      <c r="AG202" s="2"/>
      <c r="AH202" s="7"/>
      <c r="AI202" s="128">
        <v>44329</v>
      </c>
      <c r="AJ202" s="2">
        <v>84.5</v>
      </c>
      <c r="AK202" s="2">
        <v>69</v>
      </c>
      <c r="AL202" s="2">
        <v>61.497999999999998</v>
      </c>
      <c r="AM202" s="2">
        <v>54.5</v>
      </c>
      <c r="AO202" s="124">
        <v>44014</v>
      </c>
      <c r="AP202">
        <v>50.25</v>
      </c>
      <c r="AQ202">
        <v>47.5</v>
      </c>
      <c r="AR202">
        <v>50.25</v>
      </c>
      <c r="AS202" s="17">
        <v>45.75</v>
      </c>
      <c r="AT202">
        <v>44.125</v>
      </c>
      <c r="AU202">
        <v>43.625</v>
      </c>
      <c r="AV202">
        <v>43.25</v>
      </c>
      <c r="AW202">
        <v>42.625</v>
      </c>
      <c r="AX202">
        <v>43.375</v>
      </c>
      <c r="AY202" s="17">
        <v>44.375</v>
      </c>
      <c r="AZ202" s="7"/>
      <c r="BB202" s="124">
        <v>44014</v>
      </c>
      <c r="BC202" s="2">
        <v>60.97</v>
      </c>
      <c r="BD202" s="2">
        <v>41.27</v>
      </c>
      <c r="BE202" s="2">
        <v>30.25</v>
      </c>
      <c r="BF202" s="2">
        <v>29.92</v>
      </c>
      <c r="BG202" s="2">
        <v>29.33</v>
      </c>
      <c r="BH202" s="2">
        <v>28.7</v>
      </c>
      <c r="BI202" s="2">
        <v>26.9</v>
      </c>
      <c r="BJ202" s="2">
        <v>25.24</v>
      </c>
      <c r="BK202" s="2">
        <v>28.88</v>
      </c>
      <c r="BL202" s="2">
        <v>24.73</v>
      </c>
      <c r="BM202" s="7"/>
      <c r="BN202" s="7"/>
      <c r="BO202" s="128">
        <v>44329</v>
      </c>
      <c r="BP202" s="2">
        <v>9</v>
      </c>
      <c r="BQ202" s="2">
        <v>9.3000000000000007</v>
      </c>
      <c r="BR202" s="2">
        <v>9.18</v>
      </c>
      <c r="BS202" s="2">
        <v>9.24</v>
      </c>
      <c r="BT202" s="2"/>
      <c r="BU202" s="2"/>
      <c r="BV202" s="7"/>
      <c r="BW202" s="128">
        <v>44329</v>
      </c>
      <c r="BX202" s="2">
        <v>84.5</v>
      </c>
      <c r="BY202" s="2">
        <v>69</v>
      </c>
      <c r="BZ202" s="2">
        <v>61.497999999999998</v>
      </c>
      <c r="CA202" s="2">
        <v>54.5</v>
      </c>
    </row>
    <row r="203" spans="1:79" x14ac:dyDescent="0.2">
      <c r="A203" s="124">
        <v>44015</v>
      </c>
      <c r="B203">
        <v>50.5</v>
      </c>
      <c r="C203">
        <v>47</v>
      </c>
      <c r="D203">
        <v>50.25</v>
      </c>
      <c r="E203" s="17">
        <v>45.375</v>
      </c>
      <c r="F203">
        <v>44.125</v>
      </c>
      <c r="G203">
        <v>43.625</v>
      </c>
      <c r="H203">
        <v>43.25</v>
      </c>
      <c r="I203">
        <v>42.625</v>
      </c>
      <c r="J203">
        <v>43.375</v>
      </c>
      <c r="K203" s="17">
        <v>44.375</v>
      </c>
      <c r="L203" s="7"/>
      <c r="N203" s="124">
        <v>44015</v>
      </c>
      <c r="O203" s="2">
        <v>60.564250000000001</v>
      </c>
      <c r="P203" s="2">
        <v>41.7834</v>
      </c>
      <c r="Q203" s="2">
        <v>30.25</v>
      </c>
      <c r="R203" s="2">
        <v>30.186399999999999</v>
      </c>
      <c r="S203" s="2">
        <v>29.33</v>
      </c>
      <c r="T203" s="2">
        <v>28.706399999999999</v>
      </c>
      <c r="U203" s="2">
        <v>26.899149999999999</v>
      </c>
      <c r="V203" s="2">
        <v>25.245200000000001</v>
      </c>
      <c r="W203" s="2">
        <v>28.88</v>
      </c>
      <c r="X203" s="2">
        <v>24.728200000000001</v>
      </c>
      <c r="Y203" s="7"/>
      <c r="Z203" s="7"/>
      <c r="AA203" s="128">
        <v>44330</v>
      </c>
      <c r="AB203" s="2">
        <v>8.8202510000000007</v>
      </c>
      <c r="AC203" s="2">
        <v>9.1213829999999998</v>
      </c>
      <c r="AD203" s="2">
        <v>9.0042500000000008</v>
      </c>
      <c r="AE203" s="2">
        <v>8.7292609999999993</v>
      </c>
      <c r="AF203" s="2"/>
      <c r="AG203" s="2"/>
      <c r="AH203" s="7"/>
      <c r="AI203" s="128">
        <v>44330</v>
      </c>
      <c r="AJ203" s="2">
        <v>85.375</v>
      </c>
      <c r="AK203" s="2">
        <v>70.125</v>
      </c>
      <c r="AL203" s="2">
        <v>62.749000000000002</v>
      </c>
      <c r="AM203" s="2">
        <v>55.625</v>
      </c>
      <c r="AO203" s="124">
        <v>44015</v>
      </c>
      <c r="AP203">
        <v>50.5</v>
      </c>
      <c r="AQ203">
        <v>47</v>
      </c>
      <c r="AR203">
        <v>50.25</v>
      </c>
      <c r="AS203" s="17">
        <v>45.375</v>
      </c>
      <c r="AT203">
        <v>44.125</v>
      </c>
      <c r="AU203">
        <v>43.625</v>
      </c>
      <c r="AV203">
        <v>43.25</v>
      </c>
      <c r="AW203">
        <v>42.625</v>
      </c>
      <c r="AX203">
        <v>43.375</v>
      </c>
      <c r="AY203" s="17">
        <v>44.375</v>
      </c>
      <c r="AZ203" s="7"/>
      <c r="BB203" s="124">
        <v>44015</v>
      </c>
      <c r="BC203" s="2">
        <v>60.56</v>
      </c>
      <c r="BD203" s="2">
        <v>41.78</v>
      </c>
      <c r="BE203" s="2">
        <v>30.25</v>
      </c>
      <c r="BF203" s="2">
        <v>30.18</v>
      </c>
      <c r="BG203" s="2">
        <v>29.33</v>
      </c>
      <c r="BH203" s="2">
        <v>28.7</v>
      </c>
      <c r="BI203" s="2">
        <v>26.9</v>
      </c>
      <c r="BJ203" s="2">
        <v>25.24</v>
      </c>
      <c r="BK203" s="2">
        <v>28.88</v>
      </c>
      <c r="BL203" s="2">
        <v>24.73</v>
      </c>
      <c r="BM203" s="7"/>
      <c r="BN203" s="7"/>
      <c r="BO203" s="128">
        <v>44330</v>
      </c>
      <c r="BP203" s="2">
        <v>8.82</v>
      </c>
      <c r="BQ203" s="2">
        <v>9.1199999999999992</v>
      </c>
      <c r="BR203" s="2">
        <v>9</v>
      </c>
      <c r="BS203" s="2">
        <v>8.92</v>
      </c>
      <c r="BT203" s="2"/>
      <c r="BU203" s="2"/>
      <c r="BV203" s="7"/>
      <c r="BW203" s="128">
        <v>44330</v>
      </c>
      <c r="BX203" s="2">
        <v>85.375</v>
      </c>
      <c r="BY203" s="2">
        <v>70.125</v>
      </c>
      <c r="BZ203" s="2">
        <v>62.749000000000002</v>
      </c>
      <c r="CA203" s="2">
        <v>55.625</v>
      </c>
    </row>
    <row r="204" spans="1:79" x14ac:dyDescent="0.2">
      <c r="A204" s="124">
        <v>44018</v>
      </c>
      <c r="B204">
        <v>51.5</v>
      </c>
      <c r="C204">
        <v>52.25</v>
      </c>
      <c r="D204">
        <v>50.25</v>
      </c>
      <c r="E204" s="17">
        <v>46.125</v>
      </c>
      <c r="F204">
        <v>49.625</v>
      </c>
      <c r="G204">
        <v>47</v>
      </c>
      <c r="H204">
        <v>46.25</v>
      </c>
      <c r="I204">
        <v>45.5</v>
      </c>
      <c r="J204">
        <v>47.25</v>
      </c>
      <c r="K204" s="17">
        <v>49.5</v>
      </c>
      <c r="L204" s="7"/>
      <c r="N204" s="124">
        <v>44018</v>
      </c>
      <c r="O204" s="2">
        <v>59.035200000000003</v>
      </c>
      <c r="P204" s="2">
        <v>36.728999999999999</v>
      </c>
      <c r="Q204" s="2">
        <v>30.26</v>
      </c>
      <c r="R204" s="2">
        <v>29.680499999999999</v>
      </c>
      <c r="S204" s="2">
        <v>26.11</v>
      </c>
      <c r="T204" s="2">
        <v>26.723949999999999</v>
      </c>
      <c r="U204" s="2">
        <v>25.2319</v>
      </c>
      <c r="V204" s="2">
        <v>23.723199999999999</v>
      </c>
      <c r="W204" s="2">
        <v>26.66</v>
      </c>
      <c r="X204" s="2">
        <v>22.30245</v>
      </c>
      <c r="Y204" s="7"/>
      <c r="Z204" s="7"/>
      <c r="AA204" s="128">
        <v>44333</v>
      </c>
      <c r="AB204" s="2">
        <v>8.6650039999999997</v>
      </c>
      <c r="AC204" s="2">
        <v>9.0427900000000001</v>
      </c>
      <c r="AD204" s="2">
        <v>8.9170949999999998</v>
      </c>
      <c r="AE204" s="2">
        <v>8.7675820000000009</v>
      </c>
      <c r="AF204" s="2"/>
      <c r="AG204" s="2"/>
      <c r="AH204" s="7"/>
      <c r="AI204" s="128">
        <v>44333</v>
      </c>
      <c r="AJ204" s="2">
        <v>86.125</v>
      </c>
      <c r="AK204" s="2">
        <v>70.625</v>
      </c>
      <c r="AL204" s="2">
        <v>63.375999999999998</v>
      </c>
      <c r="AM204" s="2">
        <v>55.5</v>
      </c>
      <c r="AO204" s="124">
        <v>44018</v>
      </c>
      <c r="AP204">
        <v>51.5</v>
      </c>
      <c r="AQ204">
        <v>52.25</v>
      </c>
      <c r="AR204">
        <v>50.25</v>
      </c>
      <c r="AS204" s="17">
        <v>46.125</v>
      </c>
      <c r="AT204">
        <v>49.625</v>
      </c>
      <c r="AU204">
        <v>47</v>
      </c>
      <c r="AV204">
        <v>46.25</v>
      </c>
      <c r="AW204">
        <v>45.5</v>
      </c>
      <c r="AX204">
        <v>47.25</v>
      </c>
      <c r="AY204" s="17">
        <v>49.5</v>
      </c>
      <c r="AZ204" s="7"/>
      <c r="BB204" s="124">
        <v>44018</v>
      </c>
      <c r="BC204" s="2">
        <v>59.03</v>
      </c>
      <c r="BD204" s="2">
        <v>36.729999999999997</v>
      </c>
      <c r="BE204" s="2">
        <v>30.26</v>
      </c>
      <c r="BF204" s="2">
        <v>29.68</v>
      </c>
      <c r="BG204" s="2">
        <v>26.11</v>
      </c>
      <c r="BH204" s="2">
        <v>26.72</v>
      </c>
      <c r="BI204" s="2">
        <v>25.23</v>
      </c>
      <c r="BJ204" s="2">
        <v>23.72</v>
      </c>
      <c r="BK204" s="2">
        <v>26.66</v>
      </c>
      <c r="BL204" s="2">
        <v>22.3</v>
      </c>
      <c r="BM204" s="7"/>
      <c r="BN204" s="7"/>
      <c r="BO204" s="128">
        <v>44333</v>
      </c>
      <c r="BP204" s="2">
        <v>8.66</v>
      </c>
      <c r="BQ204" s="2">
        <v>9.0399999999999991</v>
      </c>
      <c r="BR204" s="2">
        <v>8.92</v>
      </c>
      <c r="BS204" s="2">
        <v>8.9600000000000009</v>
      </c>
      <c r="BT204" s="2"/>
      <c r="BU204" s="2"/>
      <c r="BV204" s="7"/>
      <c r="BW204" s="128">
        <v>44333</v>
      </c>
      <c r="BX204" s="2">
        <v>86.125</v>
      </c>
      <c r="BY204" s="2">
        <v>70.625</v>
      </c>
      <c r="BZ204" s="2">
        <v>63.375</v>
      </c>
      <c r="CA204" s="2">
        <v>55.5</v>
      </c>
    </row>
    <row r="205" spans="1:79" x14ac:dyDescent="0.2">
      <c r="A205" s="124">
        <v>44019</v>
      </c>
      <c r="B205">
        <v>56</v>
      </c>
      <c r="C205">
        <v>55</v>
      </c>
      <c r="D205">
        <v>56</v>
      </c>
      <c r="E205" s="17">
        <v>53.125</v>
      </c>
      <c r="F205">
        <v>52</v>
      </c>
      <c r="G205">
        <v>52.75</v>
      </c>
      <c r="H205">
        <v>52.5</v>
      </c>
      <c r="I205">
        <v>51.625</v>
      </c>
      <c r="J205">
        <v>52</v>
      </c>
      <c r="K205" s="17">
        <v>53.5</v>
      </c>
      <c r="L205" s="7"/>
      <c r="N205" s="124">
        <v>44019</v>
      </c>
      <c r="O205" s="2">
        <v>52.353050000000003</v>
      </c>
      <c r="P205" s="2">
        <v>34.344650000000001</v>
      </c>
      <c r="Q205" s="2">
        <v>26.47</v>
      </c>
      <c r="R205" s="2">
        <v>25.3401</v>
      </c>
      <c r="S205" s="2">
        <v>24.88</v>
      </c>
      <c r="T205" s="2">
        <v>23.775849999999998</v>
      </c>
      <c r="U205" s="2">
        <v>22.204650000000001</v>
      </c>
      <c r="V205" s="2">
        <v>20.88655</v>
      </c>
      <c r="W205" s="2">
        <v>24.3</v>
      </c>
      <c r="X205" s="2">
        <v>20.664850000000001</v>
      </c>
      <c r="Y205" s="7"/>
      <c r="Z205" s="7"/>
      <c r="AA205" s="128">
        <v>44334</v>
      </c>
      <c r="AB205" s="2">
        <v>8.5113000000000003</v>
      </c>
      <c r="AC205" s="2">
        <v>8.9648339999999997</v>
      </c>
      <c r="AD205" s="2">
        <v>8.8665380000000003</v>
      </c>
      <c r="AE205" s="2">
        <v>8.4622379999999993</v>
      </c>
      <c r="AF205" s="2"/>
      <c r="AG205" s="2"/>
      <c r="AH205" s="7"/>
      <c r="AI205" s="128">
        <v>44334</v>
      </c>
      <c r="AJ205" s="2">
        <v>86.875</v>
      </c>
      <c r="AK205" s="2">
        <v>71.125</v>
      </c>
      <c r="AL205" s="2">
        <v>63.749000000000002</v>
      </c>
      <c r="AM205" s="2">
        <v>56.625</v>
      </c>
      <c r="AO205" s="124">
        <v>44019</v>
      </c>
      <c r="AP205">
        <v>56</v>
      </c>
      <c r="AQ205">
        <v>55</v>
      </c>
      <c r="AR205">
        <v>56</v>
      </c>
      <c r="AS205" s="17">
        <v>53.125</v>
      </c>
      <c r="AT205">
        <v>52</v>
      </c>
      <c r="AU205">
        <v>52.75</v>
      </c>
      <c r="AV205">
        <v>52.5</v>
      </c>
      <c r="AW205">
        <v>51.625</v>
      </c>
      <c r="AX205">
        <v>52</v>
      </c>
      <c r="AY205" s="17">
        <v>53.5</v>
      </c>
      <c r="AZ205" s="7"/>
      <c r="BB205" s="124">
        <v>44019</v>
      </c>
      <c r="BC205" s="2">
        <v>52.35</v>
      </c>
      <c r="BD205" s="2">
        <v>34.340000000000003</v>
      </c>
      <c r="BE205" s="2">
        <v>26.47</v>
      </c>
      <c r="BF205" s="2">
        <v>25.34</v>
      </c>
      <c r="BG205" s="2">
        <v>24.88</v>
      </c>
      <c r="BH205" s="2">
        <v>23.77</v>
      </c>
      <c r="BI205" s="2">
        <v>22.2</v>
      </c>
      <c r="BJ205" s="2">
        <v>20.89</v>
      </c>
      <c r="BK205" s="2">
        <v>24.3</v>
      </c>
      <c r="BL205" s="2">
        <v>20.66</v>
      </c>
      <c r="BM205" s="7"/>
      <c r="BN205" s="7"/>
      <c r="BO205" s="128">
        <v>44334</v>
      </c>
      <c r="BP205" s="2">
        <v>8.51</v>
      </c>
      <c r="BQ205" s="2">
        <v>8.9600000000000009</v>
      </c>
      <c r="BR205" s="2">
        <v>8.8699999999999992</v>
      </c>
      <c r="BS205" s="2">
        <v>8.64</v>
      </c>
      <c r="BT205" s="2"/>
      <c r="BU205" s="2"/>
      <c r="BV205" s="7"/>
      <c r="BW205" s="128">
        <v>44334</v>
      </c>
      <c r="BX205" s="2">
        <v>86.875</v>
      </c>
      <c r="BY205" s="2">
        <v>71.125</v>
      </c>
      <c r="BZ205" s="2">
        <v>63.75</v>
      </c>
      <c r="CA205" s="2">
        <v>56.625</v>
      </c>
    </row>
    <row r="206" spans="1:79" x14ac:dyDescent="0.2">
      <c r="A206" s="124">
        <v>44020</v>
      </c>
      <c r="B206">
        <v>55.75</v>
      </c>
      <c r="C206">
        <v>54</v>
      </c>
      <c r="D206">
        <v>55.125</v>
      </c>
      <c r="E206" s="17">
        <v>51.875</v>
      </c>
      <c r="F206">
        <v>50.75</v>
      </c>
      <c r="G206">
        <v>51.875</v>
      </c>
      <c r="H206">
        <v>51.75</v>
      </c>
      <c r="I206">
        <v>50.75</v>
      </c>
      <c r="J206">
        <v>51.25</v>
      </c>
      <c r="K206" s="17">
        <v>53.5</v>
      </c>
      <c r="L206" s="7"/>
      <c r="N206" s="124">
        <v>44020</v>
      </c>
      <c r="O206" s="2">
        <v>52.775950000000002</v>
      </c>
      <c r="P206" s="2">
        <v>35.2239</v>
      </c>
      <c r="Q206" s="2">
        <v>27.03</v>
      </c>
      <c r="R206" s="2">
        <v>26.069600000000001</v>
      </c>
      <c r="S206" s="2">
        <v>25.52</v>
      </c>
      <c r="T206" s="2">
        <v>24.198250000000002</v>
      </c>
      <c r="U206" s="2">
        <v>22.5442</v>
      </c>
      <c r="V206" s="2">
        <v>21.2666</v>
      </c>
      <c r="W206" s="2">
        <v>24.66</v>
      </c>
      <c r="X206" s="2">
        <v>20.666599999999999</v>
      </c>
      <c r="Y206" s="7"/>
      <c r="Z206" s="7"/>
      <c r="AA206" s="128">
        <v>44335</v>
      </c>
      <c r="AB206" s="2">
        <v>8.5939099999999993</v>
      </c>
      <c r="AC206" s="2">
        <v>9.0885110000000005</v>
      </c>
      <c r="AD206" s="2">
        <v>8.9388939999999995</v>
      </c>
      <c r="AE206" s="2">
        <v>8.6023259999999997</v>
      </c>
      <c r="AF206" s="2"/>
      <c r="AG206" s="2"/>
      <c r="AH206" s="7"/>
      <c r="AI206" s="128">
        <v>44335</v>
      </c>
      <c r="AJ206" s="2">
        <v>86.5</v>
      </c>
      <c r="AK206" s="2">
        <v>70.375</v>
      </c>
      <c r="AL206" s="2">
        <v>63.25</v>
      </c>
      <c r="AM206" s="2">
        <v>56.125</v>
      </c>
      <c r="AO206" s="124">
        <v>44020</v>
      </c>
      <c r="AP206">
        <v>55.75</v>
      </c>
      <c r="AQ206">
        <v>54</v>
      </c>
      <c r="AR206">
        <v>55.125</v>
      </c>
      <c r="AS206" s="17">
        <v>51.875</v>
      </c>
      <c r="AT206">
        <v>50.75</v>
      </c>
      <c r="AU206">
        <v>51.875</v>
      </c>
      <c r="AV206">
        <v>51.75</v>
      </c>
      <c r="AW206">
        <v>50.75</v>
      </c>
      <c r="AX206">
        <v>51.25</v>
      </c>
      <c r="AY206" s="17">
        <v>53.5</v>
      </c>
      <c r="AZ206" s="7"/>
      <c r="BB206" s="124">
        <v>44020</v>
      </c>
      <c r="BC206" s="2">
        <v>52.77</v>
      </c>
      <c r="BD206" s="2">
        <v>35.22</v>
      </c>
      <c r="BE206" s="2">
        <v>27.03</v>
      </c>
      <c r="BF206" s="2">
        <v>26.07</v>
      </c>
      <c r="BG206" s="2">
        <v>25.52</v>
      </c>
      <c r="BH206" s="2">
        <v>24.2</v>
      </c>
      <c r="BI206" s="2">
        <v>22.54</v>
      </c>
      <c r="BJ206" s="2">
        <v>21.27</v>
      </c>
      <c r="BK206" s="2">
        <v>24.66</v>
      </c>
      <c r="BL206" s="2">
        <v>20.67</v>
      </c>
      <c r="BM206" s="7"/>
      <c r="BN206" s="7"/>
      <c r="BO206" s="128">
        <v>44335</v>
      </c>
      <c r="BP206" s="2">
        <v>8.59</v>
      </c>
      <c r="BQ206" s="2">
        <v>9.09</v>
      </c>
      <c r="BR206" s="2">
        <v>8.94</v>
      </c>
      <c r="BS206" s="2">
        <v>8.7899999999999991</v>
      </c>
      <c r="BT206" s="2"/>
      <c r="BU206" s="2"/>
      <c r="BV206" s="7"/>
      <c r="BW206" s="128">
        <v>44335</v>
      </c>
      <c r="BX206" s="2">
        <v>86.5</v>
      </c>
      <c r="BY206" s="2">
        <v>70.375</v>
      </c>
      <c r="BZ206" s="2">
        <v>63.25</v>
      </c>
      <c r="CA206" s="2">
        <v>56.125</v>
      </c>
    </row>
    <row r="207" spans="1:79" x14ac:dyDescent="0.2">
      <c r="A207" s="124">
        <v>44021</v>
      </c>
      <c r="B207">
        <v>53.75</v>
      </c>
      <c r="C207">
        <v>53</v>
      </c>
      <c r="D207">
        <v>54.75</v>
      </c>
      <c r="E207" s="17">
        <v>47.875</v>
      </c>
      <c r="F207">
        <v>50.5</v>
      </c>
      <c r="G207">
        <v>50.625</v>
      </c>
      <c r="H207">
        <v>50.625</v>
      </c>
      <c r="I207">
        <v>50.5</v>
      </c>
      <c r="J207">
        <v>50.5</v>
      </c>
      <c r="K207" s="17">
        <v>52.625</v>
      </c>
      <c r="L207" s="7"/>
      <c r="N207" s="124">
        <v>44021</v>
      </c>
      <c r="O207" s="2">
        <v>55.926200000000001</v>
      </c>
      <c r="P207" s="2">
        <v>36.171300000000002</v>
      </c>
      <c r="Q207" s="2">
        <v>27.3</v>
      </c>
      <c r="R207" s="2">
        <v>28.566849999999999</v>
      </c>
      <c r="S207" s="2">
        <v>25.67</v>
      </c>
      <c r="T207" s="2">
        <v>24.82525</v>
      </c>
      <c r="U207" s="2">
        <v>23.072050000000001</v>
      </c>
      <c r="V207" s="2">
        <v>21.3872</v>
      </c>
      <c r="W207" s="2">
        <v>25.02</v>
      </c>
      <c r="X207" s="2">
        <v>21.01445</v>
      </c>
      <c r="Y207" s="7"/>
      <c r="Z207" s="7"/>
      <c r="AA207" s="128">
        <v>44336</v>
      </c>
      <c r="AB207" s="2">
        <v>8.4226039999999998</v>
      </c>
      <c r="AC207" s="2">
        <v>8.995196</v>
      </c>
      <c r="AD207" s="2">
        <v>8.8745519999999996</v>
      </c>
      <c r="AE207" s="2">
        <v>8.476426</v>
      </c>
      <c r="AF207" s="2"/>
      <c r="AG207" s="2"/>
      <c r="AH207" s="7"/>
      <c r="AI207" s="128">
        <v>44336</v>
      </c>
      <c r="AJ207" s="2">
        <v>87.375</v>
      </c>
      <c r="AK207" s="2">
        <v>71</v>
      </c>
      <c r="AL207" s="2">
        <v>63.747999999999998</v>
      </c>
      <c r="AM207" s="2">
        <v>56.625</v>
      </c>
      <c r="AO207" s="124">
        <v>44021</v>
      </c>
      <c r="AP207">
        <v>53.75</v>
      </c>
      <c r="AQ207">
        <v>53</v>
      </c>
      <c r="AR207">
        <v>54.75</v>
      </c>
      <c r="AS207" s="17">
        <v>47.875</v>
      </c>
      <c r="AT207">
        <v>50.5</v>
      </c>
      <c r="AU207">
        <v>50.625</v>
      </c>
      <c r="AV207">
        <v>50.625</v>
      </c>
      <c r="AW207">
        <v>50.5</v>
      </c>
      <c r="AX207">
        <v>50.5</v>
      </c>
      <c r="AY207" s="17">
        <v>52.625</v>
      </c>
      <c r="AZ207" s="7"/>
      <c r="BB207" s="124">
        <v>44021</v>
      </c>
      <c r="BC207" s="2">
        <v>55.92</v>
      </c>
      <c r="BD207" s="2">
        <v>36.17</v>
      </c>
      <c r="BE207" s="2">
        <v>27.3</v>
      </c>
      <c r="BF207" s="2">
        <v>28.56</v>
      </c>
      <c r="BG207" s="2">
        <v>25.67</v>
      </c>
      <c r="BH207" s="2">
        <v>24.82</v>
      </c>
      <c r="BI207" s="2">
        <v>23.07</v>
      </c>
      <c r="BJ207" s="2">
        <v>21.39</v>
      </c>
      <c r="BK207" s="2">
        <v>25.02</v>
      </c>
      <c r="BL207" s="2">
        <v>21.01</v>
      </c>
      <c r="BM207" s="7"/>
      <c r="BN207" s="7"/>
      <c r="BO207" s="128">
        <v>44336</v>
      </c>
      <c r="BP207" s="2">
        <v>8.42</v>
      </c>
      <c r="BQ207" s="2">
        <v>9</v>
      </c>
      <c r="BR207" s="2">
        <v>8.8699999999999992</v>
      </c>
      <c r="BS207" s="2">
        <v>8.66</v>
      </c>
      <c r="BT207" s="2"/>
      <c r="BU207" s="2"/>
      <c r="BV207" s="7"/>
      <c r="BW207" s="128">
        <v>44336</v>
      </c>
      <c r="BX207" s="2">
        <v>87.375</v>
      </c>
      <c r="BY207" s="2">
        <v>71</v>
      </c>
      <c r="BZ207" s="2">
        <v>63.75</v>
      </c>
      <c r="CA207" s="2">
        <v>56.625</v>
      </c>
    </row>
    <row r="208" spans="1:79" x14ac:dyDescent="0.2">
      <c r="A208" s="124">
        <v>44022</v>
      </c>
      <c r="B208">
        <v>54.375</v>
      </c>
      <c r="C208">
        <v>53.125</v>
      </c>
      <c r="D208">
        <v>54.875</v>
      </c>
      <c r="E208" s="17">
        <v>50.375</v>
      </c>
      <c r="F208">
        <v>50</v>
      </c>
      <c r="G208">
        <v>50.25</v>
      </c>
      <c r="H208">
        <v>50</v>
      </c>
      <c r="I208">
        <v>49.75</v>
      </c>
      <c r="J208">
        <v>50</v>
      </c>
      <c r="K208" s="17">
        <v>50.5</v>
      </c>
      <c r="L208" s="7"/>
      <c r="N208" s="124">
        <v>44022</v>
      </c>
      <c r="O208" s="2">
        <v>55.060749999999999</v>
      </c>
      <c r="P208" s="2">
        <v>36.082949999999997</v>
      </c>
      <c r="Q208" s="2">
        <v>27.23</v>
      </c>
      <c r="R208" s="2">
        <v>27.002400000000002</v>
      </c>
      <c r="S208" s="2">
        <v>25.94</v>
      </c>
      <c r="T208" s="2">
        <v>25.018149999999999</v>
      </c>
      <c r="U208" s="2">
        <v>23.370349999999998</v>
      </c>
      <c r="V208" s="2">
        <v>21.723600000000001</v>
      </c>
      <c r="W208" s="2">
        <v>25.27</v>
      </c>
      <c r="X208" s="2">
        <v>21.8856</v>
      </c>
      <c r="Y208" s="7"/>
      <c r="Z208" s="7"/>
      <c r="AA208" s="128">
        <v>44337</v>
      </c>
      <c r="AB208" s="2">
        <v>8.3227499999999992</v>
      </c>
      <c r="AC208" s="2">
        <v>8.9576049999999992</v>
      </c>
      <c r="AD208" s="2">
        <v>8.8063190000000002</v>
      </c>
      <c r="AE208" s="2">
        <v>8.4459949999999999</v>
      </c>
      <c r="AF208" s="2"/>
      <c r="AG208" s="2"/>
      <c r="AH208" s="7"/>
      <c r="AI208" s="128">
        <v>44337</v>
      </c>
      <c r="AJ208" s="2">
        <v>87.875</v>
      </c>
      <c r="AK208" s="2">
        <v>71.25</v>
      </c>
      <c r="AL208" s="2">
        <v>64.25</v>
      </c>
      <c r="AM208" s="2">
        <v>56.75</v>
      </c>
      <c r="AO208" s="124">
        <v>44022</v>
      </c>
      <c r="AP208">
        <v>54.375</v>
      </c>
      <c r="AQ208">
        <v>53.125</v>
      </c>
      <c r="AR208">
        <v>54.875</v>
      </c>
      <c r="AS208" s="17">
        <v>50.375</v>
      </c>
      <c r="AT208">
        <v>50</v>
      </c>
      <c r="AU208">
        <v>50.25</v>
      </c>
      <c r="AV208">
        <v>50</v>
      </c>
      <c r="AW208">
        <v>49.75</v>
      </c>
      <c r="AX208">
        <v>50</v>
      </c>
      <c r="AY208" s="17">
        <v>50.5</v>
      </c>
      <c r="AZ208" s="7"/>
      <c r="BB208" s="124">
        <v>44022</v>
      </c>
      <c r="BC208" s="2">
        <v>55.06</v>
      </c>
      <c r="BD208" s="2">
        <v>36.08</v>
      </c>
      <c r="BE208" s="2">
        <v>27.23</v>
      </c>
      <c r="BF208" s="2">
        <v>27</v>
      </c>
      <c r="BG208" s="2">
        <v>25.94</v>
      </c>
      <c r="BH208" s="2">
        <v>25.02</v>
      </c>
      <c r="BI208" s="2">
        <v>23.37</v>
      </c>
      <c r="BJ208" s="2">
        <v>21.72</v>
      </c>
      <c r="BK208" s="2">
        <v>25.27</v>
      </c>
      <c r="BL208" s="2">
        <v>21.88</v>
      </c>
      <c r="BM208" s="7"/>
      <c r="BN208" s="7"/>
      <c r="BO208" s="128">
        <v>44337</v>
      </c>
      <c r="BP208" s="2">
        <v>8.32</v>
      </c>
      <c r="BQ208" s="2">
        <v>8.9600000000000009</v>
      </c>
      <c r="BR208" s="2">
        <v>8.81</v>
      </c>
      <c r="BS208" s="2">
        <v>8.6199999999999992</v>
      </c>
      <c r="BT208" s="2"/>
      <c r="BU208" s="2"/>
      <c r="BV208" s="7"/>
      <c r="BW208" s="128">
        <v>44337</v>
      </c>
      <c r="BX208" s="2">
        <v>87.875</v>
      </c>
      <c r="BY208" s="2">
        <v>71.25</v>
      </c>
      <c r="BZ208" s="2">
        <v>64.25</v>
      </c>
      <c r="CA208" s="2">
        <v>56.75</v>
      </c>
    </row>
    <row r="209" spans="1:79" x14ac:dyDescent="0.2">
      <c r="A209" s="124">
        <v>44025</v>
      </c>
      <c r="B209">
        <v>54.75</v>
      </c>
      <c r="C209">
        <v>53.375</v>
      </c>
      <c r="D209">
        <v>54.5</v>
      </c>
      <c r="E209" s="17">
        <v>51.125</v>
      </c>
      <c r="F209">
        <v>50.875</v>
      </c>
      <c r="G209">
        <v>50.625</v>
      </c>
      <c r="H209">
        <v>50.375</v>
      </c>
      <c r="I209">
        <v>49.75</v>
      </c>
      <c r="J209">
        <v>50.25</v>
      </c>
      <c r="K209" s="17">
        <v>50.75</v>
      </c>
      <c r="L209" s="7"/>
      <c r="N209" s="124">
        <v>44025</v>
      </c>
      <c r="O209" s="2">
        <v>54.575499999999998</v>
      </c>
      <c r="P209" s="2">
        <v>35.884099999999997</v>
      </c>
      <c r="Q209" s="2">
        <v>27.48</v>
      </c>
      <c r="R209" s="2">
        <v>26.55885</v>
      </c>
      <c r="S209" s="2">
        <v>25.48</v>
      </c>
      <c r="T209" s="2">
        <v>24.832450000000001</v>
      </c>
      <c r="U209" s="2">
        <v>23.196400000000001</v>
      </c>
      <c r="V209" s="2">
        <v>21.727499999999999</v>
      </c>
      <c r="W209" s="2">
        <v>25.15</v>
      </c>
      <c r="X209" s="2">
        <v>21.782399999999999</v>
      </c>
      <c r="Y209" s="7"/>
      <c r="Z209" s="7"/>
      <c r="AA209" s="128">
        <v>44340</v>
      </c>
      <c r="AB209" s="2">
        <v>8.3007519999999992</v>
      </c>
      <c r="AC209" s="2">
        <v>8.9601699999999997</v>
      </c>
      <c r="AD209" s="2">
        <v>8.8082720000000005</v>
      </c>
      <c r="AE209" s="2">
        <v>8.3143700000000003</v>
      </c>
      <c r="AF209" s="2"/>
      <c r="AG209" s="2"/>
      <c r="AH209" s="7"/>
      <c r="AI209" s="128">
        <v>44340</v>
      </c>
      <c r="AJ209" s="2">
        <v>88</v>
      </c>
      <c r="AK209" s="2">
        <v>71.25</v>
      </c>
      <c r="AL209" s="2">
        <v>64.25</v>
      </c>
      <c r="AM209" s="2">
        <v>57.25</v>
      </c>
      <c r="AO209" s="124">
        <v>44025</v>
      </c>
      <c r="AP209">
        <v>54.75</v>
      </c>
      <c r="AQ209">
        <v>53.375</v>
      </c>
      <c r="AR209">
        <v>54.5</v>
      </c>
      <c r="AS209" s="17">
        <v>51.125</v>
      </c>
      <c r="AT209">
        <v>50.875</v>
      </c>
      <c r="AU209">
        <v>50.625</v>
      </c>
      <c r="AV209">
        <v>50.375</v>
      </c>
      <c r="AW209">
        <v>49.75</v>
      </c>
      <c r="AX209">
        <v>50.25</v>
      </c>
      <c r="AY209" s="17">
        <v>50.75</v>
      </c>
      <c r="AZ209" s="7"/>
      <c r="BB209" s="124">
        <v>44025</v>
      </c>
      <c r="BC209" s="2">
        <v>54.57</v>
      </c>
      <c r="BD209" s="2">
        <v>35.880000000000003</v>
      </c>
      <c r="BE209" s="2">
        <v>27.48</v>
      </c>
      <c r="BF209" s="2">
        <v>26.56</v>
      </c>
      <c r="BG209" s="2">
        <v>25.48</v>
      </c>
      <c r="BH209" s="2">
        <v>24.83</v>
      </c>
      <c r="BI209" s="2">
        <v>23.19</v>
      </c>
      <c r="BJ209" s="2">
        <v>21.73</v>
      </c>
      <c r="BK209" s="2">
        <v>25.15</v>
      </c>
      <c r="BL209" s="2">
        <v>21.78</v>
      </c>
      <c r="BM209" s="7"/>
      <c r="BN209" s="7"/>
      <c r="BO209" s="128">
        <v>44340</v>
      </c>
      <c r="BP209" s="2">
        <v>8.3000000000000007</v>
      </c>
      <c r="BQ209" s="2">
        <v>8.9600000000000009</v>
      </c>
      <c r="BR209" s="2">
        <v>8.81</v>
      </c>
      <c r="BS209" s="2">
        <v>8.49</v>
      </c>
      <c r="BT209" s="2"/>
      <c r="BU209" s="2"/>
      <c r="BV209" s="7"/>
      <c r="BW209" s="128">
        <v>44340</v>
      </c>
      <c r="BX209" s="2">
        <v>88</v>
      </c>
      <c r="BY209" s="2">
        <v>71.25</v>
      </c>
      <c r="BZ209" s="2">
        <v>64.25</v>
      </c>
      <c r="CA209" s="2">
        <v>57.25</v>
      </c>
    </row>
    <row r="210" spans="1:79" x14ac:dyDescent="0.2">
      <c r="A210" s="124">
        <v>44026</v>
      </c>
      <c r="B210">
        <v>56.625</v>
      </c>
      <c r="C210">
        <v>54.625</v>
      </c>
      <c r="D210">
        <v>55.875</v>
      </c>
      <c r="E210" s="17">
        <v>53.125</v>
      </c>
      <c r="F210">
        <v>52.875</v>
      </c>
      <c r="G210">
        <v>52.75</v>
      </c>
      <c r="H210">
        <v>52.875</v>
      </c>
      <c r="I210">
        <v>51.375</v>
      </c>
      <c r="J210">
        <v>53.25</v>
      </c>
      <c r="K210" s="17">
        <v>50.75</v>
      </c>
      <c r="L210" s="7"/>
      <c r="N210" s="124">
        <v>44026</v>
      </c>
      <c r="O210" s="2">
        <v>51.932200000000002</v>
      </c>
      <c r="P210" s="2">
        <v>34.816299999999998</v>
      </c>
      <c r="Q210" s="2">
        <v>26.62</v>
      </c>
      <c r="R210" s="2">
        <v>25.400449999999999</v>
      </c>
      <c r="S210" s="2">
        <v>24.47</v>
      </c>
      <c r="T210" s="2">
        <v>23.799499999999998</v>
      </c>
      <c r="U210" s="2">
        <v>22.062000000000001</v>
      </c>
      <c r="V210" s="2">
        <v>21.019200000000001</v>
      </c>
      <c r="W210" s="2">
        <v>23.75</v>
      </c>
      <c r="X210" s="2">
        <v>21.78435</v>
      </c>
      <c r="Y210" s="7"/>
      <c r="Z210" s="7"/>
      <c r="AA210" s="128">
        <v>44341</v>
      </c>
      <c r="AB210" s="2">
        <v>8.2530190000000001</v>
      </c>
      <c r="AC210" s="2">
        <v>8.9227109999999996</v>
      </c>
      <c r="AD210" s="2">
        <v>8.7928420000000003</v>
      </c>
      <c r="AE210" s="2">
        <v>8.3178560000000008</v>
      </c>
      <c r="AF210" s="2"/>
      <c r="AG210" s="2"/>
      <c r="AH210" s="7"/>
      <c r="AI210" s="128">
        <v>44341</v>
      </c>
      <c r="AJ210" s="2">
        <v>88.25</v>
      </c>
      <c r="AK210" s="2">
        <v>71.5</v>
      </c>
      <c r="AL210" s="2">
        <v>64.375</v>
      </c>
      <c r="AM210" s="2">
        <v>57.25</v>
      </c>
      <c r="AO210" s="124">
        <v>44026</v>
      </c>
      <c r="AP210">
        <v>56.625</v>
      </c>
      <c r="AQ210">
        <v>54.625</v>
      </c>
      <c r="AR210">
        <v>55.875</v>
      </c>
      <c r="AS210" s="17">
        <v>53.125</v>
      </c>
      <c r="AT210">
        <v>52.875</v>
      </c>
      <c r="AU210">
        <v>52.75</v>
      </c>
      <c r="AV210">
        <v>52.875</v>
      </c>
      <c r="AW210">
        <v>51.375</v>
      </c>
      <c r="AX210">
        <v>53.25</v>
      </c>
      <c r="AY210" s="17">
        <v>50.75</v>
      </c>
      <c r="AZ210" s="7"/>
      <c r="BB210" s="124">
        <v>44026</v>
      </c>
      <c r="BC210" s="2">
        <v>51.93</v>
      </c>
      <c r="BD210" s="2">
        <v>34.81</v>
      </c>
      <c r="BE210" s="2">
        <v>26.62</v>
      </c>
      <c r="BF210" s="2">
        <v>25.4</v>
      </c>
      <c r="BG210" s="2">
        <v>24.47</v>
      </c>
      <c r="BH210" s="2">
        <v>23.8</v>
      </c>
      <c r="BI210" s="2">
        <v>22.06</v>
      </c>
      <c r="BJ210" s="2">
        <v>21.02</v>
      </c>
      <c r="BK210" s="2">
        <v>23.75</v>
      </c>
      <c r="BL210" s="2">
        <v>21.78</v>
      </c>
      <c r="BM210" s="7"/>
      <c r="BN210" s="7"/>
      <c r="BO210" s="128">
        <v>44341</v>
      </c>
      <c r="BP210" s="2">
        <v>8.25</v>
      </c>
      <c r="BQ210" s="2">
        <v>8.92</v>
      </c>
      <c r="BR210" s="2">
        <v>8.7899999999999991</v>
      </c>
      <c r="BS210" s="2">
        <v>8.49</v>
      </c>
      <c r="BT210" s="2"/>
      <c r="BU210" s="2"/>
      <c r="BV210" s="7"/>
      <c r="BW210" s="128">
        <v>44341</v>
      </c>
      <c r="BX210" s="2">
        <v>88.25</v>
      </c>
      <c r="BY210" s="2">
        <v>71.5</v>
      </c>
      <c r="BZ210" s="2">
        <v>64.375</v>
      </c>
      <c r="CA210" s="2">
        <v>57.25</v>
      </c>
    </row>
    <row r="211" spans="1:79" x14ac:dyDescent="0.2">
      <c r="A211" s="124">
        <v>44027</v>
      </c>
      <c r="B211">
        <v>55.75</v>
      </c>
      <c r="C211">
        <v>54.5</v>
      </c>
      <c r="D211">
        <v>56</v>
      </c>
      <c r="E211" s="17">
        <v>52.25</v>
      </c>
      <c r="F211">
        <v>52.25</v>
      </c>
      <c r="G211">
        <v>52.125</v>
      </c>
      <c r="H211">
        <v>52.25</v>
      </c>
      <c r="I211">
        <v>52</v>
      </c>
      <c r="J211">
        <v>52.375</v>
      </c>
      <c r="K211" s="17">
        <v>53</v>
      </c>
      <c r="L211" s="7"/>
      <c r="N211" s="124">
        <v>44027</v>
      </c>
      <c r="O211" s="2">
        <v>53.252549999999999</v>
      </c>
      <c r="P211" s="2">
        <v>34.946100000000001</v>
      </c>
      <c r="Q211" s="2">
        <v>26.56</v>
      </c>
      <c r="R211" s="2">
        <v>25.913150000000002</v>
      </c>
      <c r="S211" s="2">
        <v>24.79</v>
      </c>
      <c r="T211" s="2">
        <v>24.101649999999999</v>
      </c>
      <c r="U211" s="2">
        <v>22.342749999999999</v>
      </c>
      <c r="V211" s="2">
        <v>20.757149999999999</v>
      </c>
      <c r="W211" s="2">
        <v>24.15</v>
      </c>
      <c r="X211" s="2">
        <v>20.873950000000001</v>
      </c>
      <c r="Y211" s="7"/>
      <c r="Z211" s="7"/>
      <c r="AA211" s="128">
        <v>44342</v>
      </c>
      <c r="AB211" s="2">
        <v>8.2568239999999999</v>
      </c>
      <c r="AC211" s="2">
        <v>8.9252669999999998</v>
      </c>
      <c r="AD211" s="2">
        <v>8.7774450000000002</v>
      </c>
      <c r="AE211" s="2">
        <v>8.3213460000000001</v>
      </c>
      <c r="AF211" s="2"/>
      <c r="AG211" s="2"/>
      <c r="AH211" s="7"/>
      <c r="AI211" s="128">
        <v>44342</v>
      </c>
      <c r="AJ211" s="2">
        <v>88.25</v>
      </c>
      <c r="AK211" s="2">
        <v>71.5</v>
      </c>
      <c r="AL211" s="2">
        <v>64.5</v>
      </c>
      <c r="AM211" s="2">
        <v>57.25</v>
      </c>
      <c r="AO211" s="124">
        <v>44027</v>
      </c>
      <c r="AP211">
        <v>55.75</v>
      </c>
      <c r="AQ211">
        <v>54.5</v>
      </c>
      <c r="AR211">
        <v>56</v>
      </c>
      <c r="AS211" s="17">
        <v>52.25</v>
      </c>
      <c r="AT211">
        <v>52.25</v>
      </c>
      <c r="AU211">
        <v>52.125</v>
      </c>
      <c r="AV211">
        <v>52.25</v>
      </c>
      <c r="AW211">
        <v>52</v>
      </c>
      <c r="AX211">
        <v>52.375</v>
      </c>
      <c r="AY211" s="17">
        <v>53</v>
      </c>
      <c r="AZ211" s="7"/>
      <c r="BB211" s="124">
        <v>44027</v>
      </c>
      <c r="BC211" s="2">
        <v>53.25</v>
      </c>
      <c r="BD211" s="2">
        <v>34.94</v>
      </c>
      <c r="BE211" s="2">
        <v>26.56</v>
      </c>
      <c r="BF211" s="2">
        <v>25.91</v>
      </c>
      <c r="BG211" s="2">
        <v>24.79</v>
      </c>
      <c r="BH211" s="2">
        <v>24.1</v>
      </c>
      <c r="BI211" s="2">
        <v>22.34</v>
      </c>
      <c r="BJ211" s="2">
        <v>20.76</v>
      </c>
      <c r="BK211" s="2">
        <v>24.15</v>
      </c>
      <c r="BL211" s="2">
        <v>20.87</v>
      </c>
      <c r="BM211" s="7"/>
      <c r="BN211" s="7"/>
      <c r="BO211" s="128">
        <v>44342</v>
      </c>
      <c r="BP211" s="2">
        <v>8.26</v>
      </c>
      <c r="BQ211" s="2">
        <v>8.93</v>
      </c>
      <c r="BR211" s="2">
        <v>8.7799999999999994</v>
      </c>
      <c r="BS211" s="2">
        <v>8.49</v>
      </c>
      <c r="BT211" s="2"/>
      <c r="BU211" s="2"/>
      <c r="BV211" s="7"/>
      <c r="BW211" s="128">
        <v>44342</v>
      </c>
      <c r="BX211" s="2">
        <v>88.25</v>
      </c>
      <c r="BY211" s="2">
        <v>71.5</v>
      </c>
      <c r="BZ211" s="2">
        <v>64.5</v>
      </c>
      <c r="CA211" s="2">
        <v>57.25</v>
      </c>
    </row>
    <row r="212" spans="1:79" x14ac:dyDescent="0.2">
      <c r="A212" s="124">
        <v>44028</v>
      </c>
      <c r="B212">
        <v>55.75</v>
      </c>
      <c r="C212">
        <v>54.5</v>
      </c>
      <c r="D212">
        <v>56.25</v>
      </c>
      <c r="E212" s="17">
        <v>53</v>
      </c>
      <c r="F212">
        <v>52.5</v>
      </c>
      <c r="G212">
        <v>52</v>
      </c>
      <c r="H212">
        <v>52.5</v>
      </c>
      <c r="I212">
        <v>51.5</v>
      </c>
      <c r="J212">
        <v>52.5</v>
      </c>
      <c r="K212" s="17">
        <v>52.875</v>
      </c>
      <c r="L212" s="7"/>
      <c r="N212" s="124">
        <v>44028</v>
      </c>
      <c r="O212" s="2">
        <v>53.461300000000001</v>
      </c>
      <c r="P212" s="2">
        <v>35.012900000000002</v>
      </c>
      <c r="Q212" s="2">
        <v>26.43</v>
      </c>
      <c r="R212" s="2">
        <v>25.506799999999998</v>
      </c>
      <c r="S212" s="2">
        <v>24.67</v>
      </c>
      <c r="T212" s="2">
        <v>24.172550000000001</v>
      </c>
      <c r="U212" s="2">
        <v>22.241350000000001</v>
      </c>
      <c r="V212" s="2">
        <v>20.980699999999999</v>
      </c>
      <c r="W212" s="2">
        <v>24.1</v>
      </c>
      <c r="X212" s="2">
        <v>20.928650000000001</v>
      </c>
      <c r="Y212" s="7"/>
      <c r="Z212" s="7"/>
      <c r="AA212" s="128">
        <v>44343</v>
      </c>
      <c r="AB212" s="2">
        <v>8.2682629999999993</v>
      </c>
      <c r="AC212" s="2">
        <v>8.9129660000000008</v>
      </c>
      <c r="AD212" s="2">
        <v>8.8180530000000008</v>
      </c>
      <c r="AE212" s="2">
        <v>8.3655729999999995</v>
      </c>
      <c r="AF212" s="2"/>
      <c r="AG212" s="2"/>
      <c r="AH212" s="7"/>
      <c r="AI212" s="128">
        <v>44343</v>
      </c>
      <c r="AJ212" s="2">
        <v>88.25</v>
      </c>
      <c r="AK212" s="2">
        <v>71.625</v>
      </c>
      <c r="AL212" s="2">
        <v>64.25</v>
      </c>
      <c r="AM212" s="2">
        <v>57.125</v>
      </c>
      <c r="AO212" s="124">
        <v>44028</v>
      </c>
      <c r="AP212">
        <v>55.75</v>
      </c>
      <c r="AQ212">
        <v>54.5</v>
      </c>
      <c r="AR212">
        <v>56.25</v>
      </c>
      <c r="AS212" s="17">
        <v>53</v>
      </c>
      <c r="AT212">
        <v>52.5</v>
      </c>
      <c r="AU212">
        <v>52</v>
      </c>
      <c r="AV212">
        <v>52.5</v>
      </c>
      <c r="AW212">
        <v>51.5</v>
      </c>
      <c r="AX212">
        <v>52.5</v>
      </c>
      <c r="AY212" s="17">
        <v>52.875</v>
      </c>
      <c r="AZ212" s="7"/>
      <c r="BB212" s="124">
        <v>44028</v>
      </c>
      <c r="BC212" s="2">
        <v>53.46</v>
      </c>
      <c r="BD212" s="2">
        <v>35.01</v>
      </c>
      <c r="BE212" s="2">
        <v>26.43</v>
      </c>
      <c r="BF212" s="2">
        <v>25.51</v>
      </c>
      <c r="BG212" s="2">
        <v>24.67</v>
      </c>
      <c r="BH212" s="2">
        <v>24.17</v>
      </c>
      <c r="BI212" s="2">
        <v>22.24</v>
      </c>
      <c r="BJ212" s="2">
        <v>20.98</v>
      </c>
      <c r="BK212" s="2">
        <v>24.1</v>
      </c>
      <c r="BL212" s="2">
        <v>20.93</v>
      </c>
      <c r="BM212" s="7"/>
      <c r="BN212" s="7"/>
      <c r="BO212" s="128">
        <v>44343</v>
      </c>
      <c r="BP212" s="2">
        <v>8.27</v>
      </c>
      <c r="BQ212" s="2">
        <v>8.91</v>
      </c>
      <c r="BR212" s="2">
        <v>8.82</v>
      </c>
      <c r="BS212" s="2">
        <v>8.5399999999999991</v>
      </c>
      <c r="BT212" s="2"/>
      <c r="BU212" s="2"/>
      <c r="BV212" s="7"/>
      <c r="BW212" s="128">
        <v>44343</v>
      </c>
      <c r="BX212" s="2">
        <v>88.25</v>
      </c>
      <c r="BY212" s="2">
        <v>71.625</v>
      </c>
      <c r="BZ212" s="2">
        <v>64.25</v>
      </c>
      <c r="CA212" s="2">
        <v>57.125</v>
      </c>
    </row>
    <row r="213" spans="1:79" x14ac:dyDescent="0.2">
      <c r="A213" s="124">
        <v>44029</v>
      </c>
      <c r="B213">
        <v>56.375</v>
      </c>
      <c r="C213">
        <v>55.25</v>
      </c>
      <c r="D213">
        <v>57.75</v>
      </c>
      <c r="E213" s="17">
        <v>53.125</v>
      </c>
      <c r="F213">
        <v>52.5</v>
      </c>
      <c r="G213">
        <v>52.75</v>
      </c>
      <c r="H213">
        <v>52.375</v>
      </c>
      <c r="I213">
        <v>51.75</v>
      </c>
      <c r="J213">
        <v>52.625</v>
      </c>
      <c r="K213" s="17">
        <v>53.5</v>
      </c>
      <c r="L213" s="7"/>
      <c r="N213" s="124">
        <v>44029</v>
      </c>
      <c r="O213" s="2">
        <v>52.627249999999997</v>
      </c>
      <c r="P213" s="2">
        <v>34.391550000000002</v>
      </c>
      <c r="Q213" s="2">
        <v>25.53</v>
      </c>
      <c r="R213" s="2">
        <v>25.44415</v>
      </c>
      <c r="S213" s="2">
        <v>24.68</v>
      </c>
      <c r="T213" s="2">
        <v>23.816749999999999</v>
      </c>
      <c r="U213" s="2">
        <v>22.300450000000001</v>
      </c>
      <c r="V213" s="2">
        <v>20.877849999999999</v>
      </c>
      <c r="W213" s="2">
        <v>24.05</v>
      </c>
      <c r="X213" s="2">
        <v>20.686499999999999</v>
      </c>
      <c r="Y213" s="7"/>
      <c r="Z213" s="7"/>
      <c r="AA213" s="128">
        <v>44344</v>
      </c>
      <c r="AB213" s="2">
        <v>8.4016640000000002</v>
      </c>
      <c r="AC213" s="2">
        <v>8.9957049999999992</v>
      </c>
      <c r="AD213" s="2">
        <v>8.802187</v>
      </c>
      <c r="AE213" s="2">
        <v>8.4708570000000005</v>
      </c>
      <c r="AF213" s="2"/>
      <c r="AG213" s="2"/>
      <c r="AH213" s="7"/>
      <c r="AI213" s="128">
        <v>44344</v>
      </c>
      <c r="AJ213" s="2">
        <v>87.625</v>
      </c>
      <c r="AK213" s="2">
        <v>71.125</v>
      </c>
      <c r="AL213" s="2">
        <v>64.378</v>
      </c>
      <c r="AM213" s="2">
        <v>56.75</v>
      </c>
      <c r="AO213" s="124">
        <v>44029</v>
      </c>
      <c r="AP213">
        <v>56.375</v>
      </c>
      <c r="AQ213">
        <v>55.25</v>
      </c>
      <c r="AR213">
        <v>57.75</v>
      </c>
      <c r="AS213" s="17">
        <v>53.125</v>
      </c>
      <c r="AT213">
        <v>52.5</v>
      </c>
      <c r="AU213">
        <v>52.75</v>
      </c>
      <c r="AV213">
        <v>52.375</v>
      </c>
      <c r="AW213">
        <v>51.75</v>
      </c>
      <c r="AX213">
        <v>52.625</v>
      </c>
      <c r="AY213" s="17">
        <v>53.5</v>
      </c>
      <c r="AZ213" s="7"/>
      <c r="BB213" s="124">
        <v>44029</v>
      </c>
      <c r="BC213" s="2">
        <v>52.62</v>
      </c>
      <c r="BD213" s="2">
        <v>34.39</v>
      </c>
      <c r="BE213" s="2">
        <v>25.53</v>
      </c>
      <c r="BF213" s="2">
        <v>25.44</v>
      </c>
      <c r="BG213" s="2">
        <v>24.68</v>
      </c>
      <c r="BH213" s="2">
        <v>23.82</v>
      </c>
      <c r="BI213" s="2">
        <v>22.3</v>
      </c>
      <c r="BJ213" s="2">
        <v>20.88</v>
      </c>
      <c r="BK213" s="2">
        <v>24.05</v>
      </c>
      <c r="BL213" s="2">
        <v>20.69</v>
      </c>
      <c r="BM213" s="7"/>
      <c r="BN213" s="7"/>
      <c r="BO213" s="128">
        <v>44344</v>
      </c>
      <c r="BP213" s="2">
        <v>8.4</v>
      </c>
      <c r="BQ213" s="2">
        <v>9</v>
      </c>
      <c r="BR213" s="2">
        <v>8.8000000000000007</v>
      </c>
      <c r="BS213" s="2">
        <v>8.65</v>
      </c>
      <c r="BT213" s="2"/>
      <c r="BU213" s="2"/>
      <c r="BV213" s="7"/>
      <c r="BW213" s="128">
        <v>44344</v>
      </c>
      <c r="BX213" s="2">
        <v>87.625</v>
      </c>
      <c r="BY213" s="2">
        <v>71.125</v>
      </c>
      <c r="BZ213" s="2">
        <v>64.378</v>
      </c>
      <c r="CA213" s="2">
        <v>56.75</v>
      </c>
    </row>
    <row r="214" spans="1:79" x14ac:dyDescent="0.2">
      <c r="A214" s="124">
        <v>44032</v>
      </c>
      <c r="B214">
        <v>56.5</v>
      </c>
      <c r="C214">
        <v>55.25</v>
      </c>
      <c r="D214">
        <v>57.75</v>
      </c>
      <c r="E214" s="17">
        <v>52.875</v>
      </c>
      <c r="F214">
        <v>52.25</v>
      </c>
      <c r="G214">
        <v>52.625</v>
      </c>
      <c r="H214">
        <v>52.5</v>
      </c>
      <c r="I214">
        <v>51.25</v>
      </c>
      <c r="J214">
        <v>52.5</v>
      </c>
      <c r="K214" s="17">
        <v>53.375</v>
      </c>
      <c r="L214" s="7"/>
      <c r="N214" s="124">
        <v>44032</v>
      </c>
      <c r="O214" s="2">
        <v>52.5167</v>
      </c>
      <c r="P214" s="2">
        <v>34.413499999999999</v>
      </c>
      <c r="Q214" s="2">
        <v>25.54</v>
      </c>
      <c r="R214" s="2">
        <v>25.5962</v>
      </c>
      <c r="S214" s="2">
        <v>24.81</v>
      </c>
      <c r="T214" s="2">
        <v>23.879650000000002</v>
      </c>
      <c r="U214" s="2">
        <v>22.248149999999999</v>
      </c>
      <c r="V214" s="2">
        <v>21.095600000000001</v>
      </c>
      <c r="W214" s="2">
        <v>24.11</v>
      </c>
      <c r="X214" s="2">
        <v>20.736799999999999</v>
      </c>
      <c r="Y214" s="7"/>
      <c r="Z214" s="7"/>
      <c r="AA214" s="128">
        <v>44347</v>
      </c>
      <c r="AB214" s="2">
        <v>8.4016640000000002</v>
      </c>
      <c r="AC214" s="2">
        <v>8.9957049999999992</v>
      </c>
      <c r="AD214" s="2">
        <v>8.802187</v>
      </c>
      <c r="AE214" s="2">
        <v>8.4708570000000005</v>
      </c>
      <c r="AF214" s="2"/>
      <c r="AG214" s="2"/>
      <c r="AH214" s="7"/>
      <c r="AI214" s="128">
        <v>44347</v>
      </c>
      <c r="AJ214" s="2">
        <v>87.625</v>
      </c>
      <c r="AK214" s="2">
        <v>71.125</v>
      </c>
      <c r="AL214" s="2">
        <v>64.378</v>
      </c>
      <c r="AM214" s="2">
        <v>56.75</v>
      </c>
      <c r="AO214" s="124">
        <v>44032</v>
      </c>
      <c r="AP214">
        <v>56.5</v>
      </c>
      <c r="AQ214">
        <v>55.25</v>
      </c>
      <c r="AR214">
        <v>57.75</v>
      </c>
      <c r="AS214" s="17">
        <v>52.875</v>
      </c>
      <c r="AT214">
        <v>52.25</v>
      </c>
      <c r="AU214">
        <v>52.625</v>
      </c>
      <c r="AV214">
        <v>52.5</v>
      </c>
      <c r="AW214">
        <v>51.25</v>
      </c>
      <c r="AX214">
        <v>52.5</v>
      </c>
      <c r="AY214" s="17">
        <v>53.375</v>
      </c>
      <c r="AZ214" s="7"/>
      <c r="BB214" s="124">
        <v>44032</v>
      </c>
      <c r="BC214" s="2">
        <v>52.51</v>
      </c>
      <c r="BD214" s="2">
        <v>34.409999999999997</v>
      </c>
      <c r="BE214" s="2">
        <v>25.54</v>
      </c>
      <c r="BF214" s="2">
        <v>25.59</v>
      </c>
      <c r="BG214" s="2">
        <v>24.81</v>
      </c>
      <c r="BH214" s="2">
        <v>23.88</v>
      </c>
      <c r="BI214" s="2">
        <v>22.25</v>
      </c>
      <c r="BJ214" s="2">
        <v>21.09</v>
      </c>
      <c r="BK214" s="2">
        <v>24.11</v>
      </c>
      <c r="BL214" s="2">
        <v>20.74</v>
      </c>
      <c r="BM214" s="7"/>
      <c r="BN214" s="7"/>
      <c r="BO214" s="128">
        <v>44347</v>
      </c>
      <c r="BP214" s="2">
        <v>8.4</v>
      </c>
      <c r="BQ214" s="2">
        <v>9</v>
      </c>
      <c r="BR214" s="2">
        <v>8.8000000000000007</v>
      </c>
      <c r="BS214" s="2">
        <v>8.65</v>
      </c>
      <c r="BT214" s="2"/>
      <c r="BU214" s="2"/>
      <c r="BV214" s="7"/>
      <c r="BW214" s="128">
        <v>44347</v>
      </c>
      <c r="BX214" s="2">
        <v>87.625</v>
      </c>
      <c r="BY214" s="2">
        <v>71.125</v>
      </c>
      <c r="BZ214" s="2">
        <v>64.378</v>
      </c>
      <c r="CA214" s="2">
        <v>56.75</v>
      </c>
    </row>
    <row r="215" spans="1:79" x14ac:dyDescent="0.2">
      <c r="A215" s="124">
        <v>44033</v>
      </c>
      <c r="B215">
        <v>56.75</v>
      </c>
      <c r="C215">
        <v>55.25</v>
      </c>
      <c r="D215">
        <v>57</v>
      </c>
      <c r="E215" s="17">
        <v>53</v>
      </c>
      <c r="F215">
        <v>53.375</v>
      </c>
      <c r="G215">
        <v>52.25</v>
      </c>
      <c r="H215">
        <v>52.25</v>
      </c>
      <c r="I215">
        <v>52.5</v>
      </c>
      <c r="J215">
        <v>52.875</v>
      </c>
      <c r="K215" s="17">
        <v>53.125</v>
      </c>
      <c r="L215" s="7"/>
      <c r="N215" s="124">
        <v>44033</v>
      </c>
      <c r="O215" s="2">
        <v>52.227550000000001</v>
      </c>
      <c r="P215" s="2">
        <v>34.435450000000003</v>
      </c>
      <c r="Q215" s="2">
        <v>26.01</v>
      </c>
      <c r="R215" s="2">
        <v>25.533300000000001</v>
      </c>
      <c r="S215" s="2">
        <v>24.25</v>
      </c>
      <c r="T215" s="2">
        <v>24.062550000000002</v>
      </c>
      <c r="U215" s="2">
        <v>22.363199999999999</v>
      </c>
      <c r="V215" s="2">
        <v>20.569600000000001</v>
      </c>
      <c r="W215" s="2">
        <v>23.94</v>
      </c>
      <c r="X215" s="2">
        <v>20.836099999999998</v>
      </c>
      <c r="Y215" s="7"/>
      <c r="Z215" s="7"/>
      <c r="AA215" s="128">
        <v>44348</v>
      </c>
      <c r="AB215" s="2">
        <v>8.4316230000000001</v>
      </c>
      <c r="AC215" s="2">
        <v>9.0184470000000001</v>
      </c>
      <c r="AD215" s="2">
        <v>8.8744650000000007</v>
      </c>
      <c r="AE215" s="2">
        <v>8.4744209999999995</v>
      </c>
      <c r="AF215" s="2"/>
      <c r="AG215" s="2"/>
      <c r="AH215" s="7"/>
      <c r="AI215" s="128">
        <v>44348</v>
      </c>
      <c r="AJ215" s="2">
        <v>87.5</v>
      </c>
      <c r="AK215" s="2">
        <v>71</v>
      </c>
      <c r="AL215" s="2">
        <v>63.875</v>
      </c>
      <c r="AM215" s="2">
        <v>56.75</v>
      </c>
      <c r="AO215" s="124">
        <v>44033</v>
      </c>
      <c r="AP215">
        <v>56.75</v>
      </c>
      <c r="AQ215">
        <v>55.25</v>
      </c>
      <c r="AR215">
        <v>57</v>
      </c>
      <c r="AS215" s="17">
        <v>53</v>
      </c>
      <c r="AT215">
        <v>53.375</v>
      </c>
      <c r="AU215">
        <v>52.25</v>
      </c>
      <c r="AV215">
        <v>52.25</v>
      </c>
      <c r="AW215">
        <v>52.5</v>
      </c>
      <c r="AX215">
        <v>52.875</v>
      </c>
      <c r="AY215" s="17">
        <v>53.125</v>
      </c>
      <c r="AZ215" s="7"/>
      <c r="BB215" s="124">
        <v>44033</v>
      </c>
      <c r="BC215" s="2">
        <v>52.22</v>
      </c>
      <c r="BD215" s="2">
        <v>34.43</v>
      </c>
      <c r="BE215" s="2">
        <v>26.01</v>
      </c>
      <c r="BF215" s="2">
        <v>25.53</v>
      </c>
      <c r="BG215" s="2">
        <v>24.25</v>
      </c>
      <c r="BH215" s="2">
        <v>24.06</v>
      </c>
      <c r="BI215" s="2">
        <v>22.36</v>
      </c>
      <c r="BJ215" s="2">
        <v>20.57</v>
      </c>
      <c r="BK215" s="2">
        <v>23.94</v>
      </c>
      <c r="BL215" s="2">
        <v>20.83</v>
      </c>
      <c r="BM215" s="7"/>
      <c r="BN215" s="7"/>
      <c r="BO215" s="128">
        <v>44348</v>
      </c>
      <c r="BP215" s="2">
        <v>8.43</v>
      </c>
      <c r="BQ215" s="2">
        <v>9.02</v>
      </c>
      <c r="BR215" s="2">
        <v>8.8699999999999992</v>
      </c>
      <c r="BS215" s="2">
        <v>8.65</v>
      </c>
      <c r="BT215" s="2"/>
      <c r="BU215" s="2"/>
      <c r="BV215" s="7"/>
      <c r="BW215" s="128">
        <v>44348</v>
      </c>
      <c r="BX215" s="2">
        <v>87.5</v>
      </c>
      <c r="BY215" s="2">
        <v>71</v>
      </c>
      <c r="BZ215" s="2">
        <v>63.875</v>
      </c>
      <c r="CA215" s="2">
        <v>56.75</v>
      </c>
    </row>
    <row r="216" spans="1:79" x14ac:dyDescent="0.2">
      <c r="A216" s="124">
        <v>44034</v>
      </c>
      <c r="B216">
        <v>56.125</v>
      </c>
      <c r="C216">
        <v>54.5</v>
      </c>
      <c r="D216">
        <v>56.625</v>
      </c>
      <c r="E216" s="17">
        <v>52.5</v>
      </c>
      <c r="F216">
        <v>52.125</v>
      </c>
      <c r="G216">
        <v>52.25</v>
      </c>
      <c r="H216">
        <v>52.125</v>
      </c>
      <c r="I216">
        <v>52.25</v>
      </c>
      <c r="J216">
        <v>52.875</v>
      </c>
      <c r="K216" s="17">
        <v>53.125</v>
      </c>
      <c r="L216" s="7"/>
      <c r="N216" s="124">
        <v>44034</v>
      </c>
      <c r="O216" s="2">
        <v>53.197000000000003</v>
      </c>
      <c r="P216" s="2">
        <v>35.102800000000002</v>
      </c>
      <c r="Q216" s="2">
        <v>26.25</v>
      </c>
      <c r="R216" s="2">
        <v>25.8307</v>
      </c>
      <c r="S216" s="2">
        <v>24.88</v>
      </c>
      <c r="T216" s="2">
        <v>24.066099999999999</v>
      </c>
      <c r="U216" s="2">
        <v>22.422799999999999</v>
      </c>
      <c r="V216" s="2">
        <v>20.677</v>
      </c>
      <c r="W216" s="2">
        <v>23.95</v>
      </c>
      <c r="X216" s="2">
        <v>20.838049999999999</v>
      </c>
      <c r="Y216" s="7"/>
      <c r="Z216" s="7"/>
      <c r="AA216" s="128">
        <v>44349</v>
      </c>
      <c r="AB216" s="2">
        <v>8.4094529999999992</v>
      </c>
      <c r="AC216" s="2">
        <v>8.9406330000000001</v>
      </c>
      <c r="AD216" s="2">
        <v>8.8065169999999995</v>
      </c>
      <c r="AE216" s="2">
        <v>8.4439519999999995</v>
      </c>
      <c r="AF216" s="2"/>
      <c r="AG216" s="2"/>
      <c r="AH216" s="7"/>
      <c r="AI216" s="128">
        <v>44349</v>
      </c>
      <c r="AJ216" s="2">
        <v>87.625</v>
      </c>
      <c r="AK216" s="2">
        <v>71.5</v>
      </c>
      <c r="AL216" s="2">
        <v>64.375</v>
      </c>
      <c r="AM216" s="2">
        <v>56.875</v>
      </c>
      <c r="AO216" s="124">
        <v>44034</v>
      </c>
      <c r="AP216">
        <v>56.125</v>
      </c>
      <c r="AQ216">
        <v>54.5</v>
      </c>
      <c r="AR216">
        <v>56.625</v>
      </c>
      <c r="AS216" s="17">
        <v>52.5</v>
      </c>
      <c r="AT216">
        <v>52.125</v>
      </c>
      <c r="AU216">
        <v>52.25</v>
      </c>
      <c r="AV216">
        <v>52.125</v>
      </c>
      <c r="AW216">
        <v>52.25</v>
      </c>
      <c r="AX216">
        <v>52.875</v>
      </c>
      <c r="AY216" s="17">
        <v>53.125</v>
      </c>
      <c r="AZ216" s="7"/>
      <c r="BB216" s="124">
        <v>44034</v>
      </c>
      <c r="BC216" s="2">
        <v>53.19</v>
      </c>
      <c r="BD216" s="2">
        <v>35.1</v>
      </c>
      <c r="BE216" s="2">
        <v>26.25</v>
      </c>
      <c r="BF216" s="2">
        <v>25.83</v>
      </c>
      <c r="BG216" s="2">
        <v>24.88</v>
      </c>
      <c r="BH216" s="2">
        <v>24.06</v>
      </c>
      <c r="BI216" s="2">
        <v>22.42</v>
      </c>
      <c r="BJ216" s="2">
        <v>20.68</v>
      </c>
      <c r="BK216" s="2">
        <v>23.95</v>
      </c>
      <c r="BL216" s="2">
        <v>20.84</v>
      </c>
      <c r="BM216" s="7"/>
      <c r="BN216" s="7"/>
      <c r="BO216" s="128">
        <v>44349</v>
      </c>
      <c r="BP216" s="2">
        <v>8.41</v>
      </c>
      <c r="BQ216" s="2">
        <v>8.94</v>
      </c>
      <c r="BR216" s="2">
        <v>8.81</v>
      </c>
      <c r="BS216" s="2">
        <v>8.6199999999999992</v>
      </c>
      <c r="BT216" s="2"/>
      <c r="BU216" s="2"/>
      <c r="BV216" s="7"/>
      <c r="BW216" s="128">
        <v>44349</v>
      </c>
      <c r="BX216" s="2">
        <v>87.625</v>
      </c>
      <c r="BY216" s="2">
        <v>71.5</v>
      </c>
      <c r="BZ216" s="2">
        <v>64.375</v>
      </c>
      <c r="CA216" s="2">
        <v>56.875</v>
      </c>
    </row>
    <row r="217" spans="1:79" x14ac:dyDescent="0.2">
      <c r="A217" s="124">
        <v>44035</v>
      </c>
      <c r="B217">
        <v>56.875</v>
      </c>
      <c r="C217">
        <v>55.375</v>
      </c>
      <c r="D217">
        <v>57.125</v>
      </c>
      <c r="E217" s="17">
        <v>53</v>
      </c>
      <c r="F217">
        <v>53</v>
      </c>
      <c r="G217">
        <v>52.5</v>
      </c>
      <c r="H217">
        <v>52.25</v>
      </c>
      <c r="I217">
        <v>51.125</v>
      </c>
      <c r="J217">
        <v>52.75</v>
      </c>
      <c r="K217" s="17">
        <v>53.5</v>
      </c>
      <c r="L217" s="7"/>
      <c r="N217" s="124">
        <v>44035</v>
      </c>
      <c r="O217" s="2">
        <v>52.324350000000003</v>
      </c>
      <c r="P217" s="2">
        <v>34.417200000000001</v>
      </c>
      <c r="Q217" s="2">
        <v>25.97</v>
      </c>
      <c r="R217" s="2">
        <v>25.568899999999999</v>
      </c>
      <c r="S217" s="2">
        <v>24.45</v>
      </c>
      <c r="T217" s="2">
        <v>23.956900000000001</v>
      </c>
      <c r="U217" s="2">
        <v>22.377050000000001</v>
      </c>
      <c r="V217" s="2">
        <v>21.164950000000001</v>
      </c>
      <c r="W217" s="2">
        <v>24.01</v>
      </c>
      <c r="X217" s="2">
        <v>20.697700000000001</v>
      </c>
      <c r="Y217" s="7"/>
      <c r="Z217" s="7"/>
      <c r="AA217" s="128">
        <v>44350</v>
      </c>
      <c r="AB217" s="2">
        <v>8.4734549999999995</v>
      </c>
      <c r="AC217" s="2">
        <v>8.9724129999999995</v>
      </c>
      <c r="AD217" s="2">
        <v>8.7952820000000003</v>
      </c>
      <c r="AE217" s="2">
        <v>8.3867150000000006</v>
      </c>
      <c r="AF217" s="2"/>
      <c r="AG217" s="2"/>
      <c r="AH217" s="7"/>
      <c r="AI217" s="128">
        <v>44350</v>
      </c>
      <c r="AJ217" s="2">
        <v>87.375</v>
      </c>
      <c r="AK217" s="2">
        <v>71.349999999999994</v>
      </c>
      <c r="AL217" s="2">
        <v>64.498000000000005</v>
      </c>
      <c r="AM217" s="2">
        <v>57.125</v>
      </c>
      <c r="AO217" s="124">
        <v>44035</v>
      </c>
      <c r="AP217">
        <v>56.875</v>
      </c>
      <c r="AQ217">
        <v>55.375</v>
      </c>
      <c r="AR217">
        <v>57.125</v>
      </c>
      <c r="AS217" s="17">
        <v>53</v>
      </c>
      <c r="AT217">
        <v>53</v>
      </c>
      <c r="AU217">
        <v>52.5</v>
      </c>
      <c r="AV217">
        <v>52.25</v>
      </c>
      <c r="AW217">
        <v>51.125</v>
      </c>
      <c r="AX217">
        <v>52.75</v>
      </c>
      <c r="AY217" s="17">
        <v>53.5</v>
      </c>
      <c r="AZ217" s="7"/>
      <c r="BB217" s="124">
        <v>44035</v>
      </c>
      <c r="BC217" s="2">
        <v>52.32</v>
      </c>
      <c r="BD217" s="2">
        <v>34.409999999999997</v>
      </c>
      <c r="BE217" s="2">
        <v>25.97</v>
      </c>
      <c r="BF217" s="2">
        <v>25.57</v>
      </c>
      <c r="BG217" s="2">
        <v>24.45</v>
      </c>
      <c r="BH217" s="2">
        <v>23.96</v>
      </c>
      <c r="BI217" s="2">
        <v>22.38</v>
      </c>
      <c r="BJ217" s="2">
        <v>21.16</v>
      </c>
      <c r="BK217" s="2">
        <v>24.01</v>
      </c>
      <c r="BL217" s="2">
        <v>20.7</v>
      </c>
      <c r="BM217" s="7"/>
      <c r="BN217" s="7"/>
      <c r="BO217" s="128">
        <v>44350</v>
      </c>
      <c r="BP217" s="2">
        <v>8.4700000000000006</v>
      </c>
      <c r="BQ217" s="2">
        <v>8.9700000000000006</v>
      </c>
      <c r="BR217" s="2">
        <v>8.8000000000000007</v>
      </c>
      <c r="BS217" s="2">
        <v>8.56</v>
      </c>
      <c r="BT217" s="2"/>
      <c r="BU217" s="2"/>
      <c r="BV217" s="7"/>
      <c r="BW217" s="128">
        <v>44350</v>
      </c>
      <c r="BX217" s="2">
        <v>87.375</v>
      </c>
      <c r="BY217" s="2">
        <v>71.349999999999994</v>
      </c>
      <c r="BZ217" s="2">
        <v>64.498000000000005</v>
      </c>
      <c r="CA217" s="2">
        <v>57.125</v>
      </c>
    </row>
    <row r="218" spans="1:79" x14ac:dyDescent="0.2">
      <c r="A218" s="124">
        <v>44036</v>
      </c>
      <c r="B218">
        <v>56.25</v>
      </c>
      <c r="C218">
        <v>55.125</v>
      </c>
      <c r="D218">
        <v>56.25</v>
      </c>
      <c r="E218" s="17">
        <v>52.25</v>
      </c>
      <c r="F218">
        <v>52</v>
      </c>
      <c r="G218">
        <v>52</v>
      </c>
      <c r="H218">
        <v>52</v>
      </c>
      <c r="I218">
        <v>50.75</v>
      </c>
      <c r="J218">
        <v>51.625</v>
      </c>
      <c r="K218" s="17">
        <v>53</v>
      </c>
      <c r="L218" s="7"/>
      <c r="N218" s="124">
        <v>44036</v>
      </c>
      <c r="O218" s="2">
        <v>53.298450000000003</v>
      </c>
      <c r="P218" s="2">
        <v>34.653350000000003</v>
      </c>
      <c r="Q218" s="2">
        <v>26.52</v>
      </c>
      <c r="R218" s="2">
        <v>26.012799999999999</v>
      </c>
      <c r="S218" s="2">
        <v>24.96</v>
      </c>
      <c r="T218" s="2">
        <v>24.2012</v>
      </c>
      <c r="U218" s="2">
        <v>22.493099999999998</v>
      </c>
      <c r="V218" s="2">
        <v>21.331</v>
      </c>
      <c r="W218" s="2">
        <v>24.53</v>
      </c>
      <c r="X218" s="2">
        <v>20.894649999999999</v>
      </c>
      <c r="Y218" s="7"/>
      <c r="Z218" s="7"/>
      <c r="AA218" s="128">
        <v>44351</v>
      </c>
      <c r="AB218" s="2">
        <v>8.6090020000000003</v>
      </c>
      <c r="AC218" s="2">
        <v>9.1126240000000003</v>
      </c>
      <c r="AD218" s="2">
        <v>8.9200330000000001</v>
      </c>
      <c r="AE218" s="2">
        <v>8.526465</v>
      </c>
      <c r="AF218" s="2"/>
      <c r="AG218" s="2"/>
      <c r="AH218" s="7"/>
      <c r="AI218" s="128">
        <v>44351</v>
      </c>
      <c r="AJ218" s="2">
        <v>86.75</v>
      </c>
      <c r="AK218" s="2">
        <v>70.5</v>
      </c>
      <c r="AL218" s="2">
        <v>63.622</v>
      </c>
      <c r="AM218" s="2">
        <v>56.625</v>
      </c>
      <c r="AO218" s="124">
        <v>44036</v>
      </c>
      <c r="AP218">
        <v>56.25</v>
      </c>
      <c r="AQ218">
        <v>55.125</v>
      </c>
      <c r="AR218">
        <v>56.25</v>
      </c>
      <c r="AS218" s="17">
        <v>52.25</v>
      </c>
      <c r="AT218">
        <v>52</v>
      </c>
      <c r="AU218">
        <v>52</v>
      </c>
      <c r="AV218">
        <v>52</v>
      </c>
      <c r="AW218">
        <v>50.75</v>
      </c>
      <c r="AX218">
        <v>51.625</v>
      </c>
      <c r="AY218" s="17">
        <v>53</v>
      </c>
      <c r="AZ218" s="7"/>
      <c r="BB218" s="124">
        <v>44036</v>
      </c>
      <c r="BC218" s="2">
        <v>53.29</v>
      </c>
      <c r="BD218" s="2">
        <v>34.65</v>
      </c>
      <c r="BE218" s="2">
        <v>26.52</v>
      </c>
      <c r="BF218" s="2">
        <v>26.01</v>
      </c>
      <c r="BG218" s="2">
        <v>24.96</v>
      </c>
      <c r="BH218" s="2">
        <v>24.2</v>
      </c>
      <c r="BI218" s="2">
        <v>22.49</v>
      </c>
      <c r="BJ218" s="2">
        <v>21.33</v>
      </c>
      <c r="BK218" s="2">
        <v>24.53</v>
      </c>
      <c r="BL218" s="2">
        <v>20.89</v>
      </c>
      <c r="BM218" s="7"/>
      <c r="BN218" s="7"/>
      <c r="BO218" s="128">
        <v>44351</v>
      </c>
      <c r="BP218" s="2">
        <v>8.61</v>
      </c>
      <c r="BQ218" s="2">
        <v>9.11</v>
      </c>
      <c r="BR218" s="2">
        <v>8.92</v>
      </c>
      <c r="BS218" s="2">
        <v>8.7100000000000009</v>
      </c>
      <c r="BT218" s="2"/>
      <c r="BU218" s="2"/>
      <c r="BV218" s="7"/>
      <c r="BW218" s="128">
        <v>44351</v>
      </c>
      <c r="BX218" s="2">
        <v>86.75</v>
      </c>
      <c r="BY218" s="2">
        <v>70.5</v>
      </c>
      <c r="BZ218" s="2">
        <v>63.622</v>
      </c>
      <c r="CA218" s="2">
        <v>56.625</v>
      </c>
    </row>
    <row r="219" spans="1:79" x14ac:dyDescent="0.2">
      <c r="A219" s="124">
        <v>44039</v>
      </c>
      <c r="B219">
        <v>55.625</v>
      </c>
      <c r="C219">
        <v>52.5</v>
      </c>
      <c r="D219">
        <v>55.5</v>
      </c>
      <c r="E219" s="17">
        <v>51.875</v>
      </c>
      <c r="F219">
        <v>51.5</v>
      </c>
      <c r="G219">
        <v>51.5</v>
      </c>
      <c r="H219">
        <v>51.75</v>
      </c>
      <c r="I219">
        <v>50.75</v>
      </c>
      <c r="J219">
        <v>51.75</v>
      </c>
      <c r="K219" s="17">
        <v>52.625</v>
      </c>
      <c r="L219" s="7"/>
      <c r="N219" s="124">
        <v>44039</v>
      </c>
      <c r="O219" s="2">
        <v>54.289850000000001</v>
      </c>
      <c r="P219" s="2">
        <v>37.002800000000001</v>
      </c>
      <c r="Q219" s="2">
        <v>27</v>
      </c>
      <c r="R219" s="2">
        <v>26.242599999999999</v>
      </c>
      <c r="S219" s="2">
        <v>25.22</v>
      </c>
      <c r="T219" s="2">
        <v>24.448899999999998</v>
      </c>
      <c r="U219" s="2">
        <v>22.6099</v>
      </c>
      <c r="V219" s="2">
        <v>21.334</v>
      </c>
      <c r="W219" s="2">
        <v>24.48</v>
      </c>
      <c r="X219" s="2">
        <v>21.044750000000001</v>
      </c>
      <c r="Y219" s="7"/>
      <c r="Z219" s="7"/>
      <c r="AA219" s="128">
        <v>44354</v>
      </c>
      <c r="AB219" s="2">
        <v>8.6130150000000008</v>
      </c>
      <c r="AC219" s="2">
        <v>9.0745509999999996</v>
      </c>
      <c r="AD219" s="2">
        <v>8.9042279999999998</v>
      </c>
      <c r="AE219" s="2">
        <v>8.5300630000000002</v>
      </c>
      <c r="AF219" s="2"/>
      <c r="AG219" s="2"/>
      <c r="AH219" s="7"/>
      <c r="AI219" s="128">
        <v>44354</v>
      </c>
      <c r="AJ219" s="2">
        <v>86.75</v>
      </c>
      <c r="AK219" s="2">
        <v>70.75</v>
      </c>
      <c r="AL219" s="2">
        <v>63.747999999999998</v>
      </c>
      <c r="AM219" s="2">
        <v>56.625</v>
      </c>
      <c r="AO219" s="124">
        <v>44039</v>
      </c>
      <c r="AP219">
        <v>55.625</v>
      </c>
      <c r="AQ219">
        <v>52.5</v>
      </c>
      <c r="AR219">
        <v>55.5</v>
      </c>
      <c r="AS219" s="17">
        <v>51.875</v>
      </c>
      <c r="AT219">
        <v>51.5</v>
      </c>
      <c r="AU219">
        <v>51.5</v>
      </c>
      <c r="AV219">
        <v>51.75</v>
      </c>
      <c r="AW219">
        <v>50.75</v>
      </c>
      <c r="AX219">
        <v>51.75</v>
      </c>
      <c r="AY219" s="17">
        <v>52.625</v>
      </c>
      <c r="AZ219" s="7"/>
      <c r="BB219" s="124">
        <v>44039</v>
      </c>
      <c r="BC219" s="2">
        <v>54.29</v>
      </c>
      <c r="BD219" s="2">
        <v>37</v>
      </c>
      <c r="BE219" s="2">
        <v>27</v>
      </c>
      <c r="BF219" s="2">
        <v>26.24</v>
      </c>
      <c r="BG219" s="2">
        <v>25.22</v>
      </c>
      <c r="BH219" s="2">
        <v>24.45</v>
      </c>
      <c r="BI219" s="2">
        <v>22.61</v>
      </c>
      <c r="BJ219" s="2">
        <v>21.33</v>
      </c>
      <c r="BK219" s="2">
        <v>24.48</v>
      </c>
      <c r="BL219" s="2">
        <v>21.04</v>
      </c>
      <c r="BM219" s="7"/>
      <c r="BN219" s="7"/>
      <c r="BO219" s="128">
        <v>44354</v>
      </c>
      <c r="BP219" s="2">
        <v>8.61</v>
      </c>
      <c r="BQ219" s="2">
        <v>9.07</v>
      </c>
      <c r="BR219" s="2">
        <v>8.9</v>
      </c>
      <c r="BS219" s="2">
        <v>8.7100000000000009</v>
      </c>
      <c r="BT219" s="2"/>
      <c r="BU219" s="2"/>
      <c r="BV219" s="7"/>
      <c r="BW219" s="128">
        <v>44354</v>
      </c>
      <c r="BX219" s="2">
        <v>86.75</v>
      </c>
      <c r="BY219" s="2">
        <v>70.75</v>
      </c>
      <c r="BZ219" s="2">
        <v>63.747999999999998</v>
      </c>
      <c r="CA219" s="2">
        <v>56.625</v>
      </c>
    </row>
    <row r="220" spans="1:79" x14ac:dyDescent="0.2">
      <c r="A220" s="124">
        <v>44040</v>
      </c>
      <c r="B220">
        <v>55.25</v>
      </c>
      <c r="C220">
        <v>52.25</v>
      </c>
      <c r="D220">
        <v>55.25</v>
      </c>
      <c r="E220" s="17">
        <v>51.5</v>
      </c>
      <c r="F220">
        <v>51</v>
      </c>
      <c r="G220">
        <v>51</v>
      </c>
      <c r="H220">
        <v>51.25</v>
      </c>
      <c r="I220">
        <v>50.25</v>
      </c>
      <c r="J220">
        <v>52</v>
      </c>
      <c r="K220" s="17">
        <v>52</v>
      </c>
      <c r="L220" s="7"/>
      <c r="N220" s="124">
        <v>44040</v>
      </c>
      <c r="O220" s="2">
        <v>54.923050000000003</v>
      </c>
      <c r="P220" s="2">
        <v>37.256950000000003</v>
      </c>
      <c r="Q220" s="2">
        <v>27.17</v>
      </c>
      <c r="R220" s="2">
        <v>26.47475</v>
      </c>
      <c r="S220" s="2">
        <v>25.48</v>
      </c>
      <c r="T220" s="2">
        <v>24.700099999999999</v>
      </c>
      <c r="U220" s="2">
        <v>22.842449999999999</v>
      </c>
      <c r="V220" s="2">
        <v>21.557200000000002</v>
      </c>
      <c r="W220" s="2">
        <v>24.37</v>
      </c>
      <c r="X220" s="2">
        <v>21.2973</v>
      </c>
      <c r="Y220" s="7"/>
      <c r="Z220" s="7"/>
      <c r="AA220" s="128">
        <v>44355</v>
      </c>
      <c r="AB220" s="2">
        <v>8.5378450000000008</v>
      </c>
      <c r="AC220" s="2">
        <v>9.0784669999999998</v>
      </c>
      <c r="AD220" s="2">
        <v>8.8497120000000002</v>
      </c>
      <c r="AE220" s="2">
        <v>8.4994530000000008</v>
      </c>
      <c r="AF220" s="2"/>
      <c r="AG220" s="2"/>
      <c r="AH220" s="7"/>
      <c r="AI220" s="128">
        <v>44355</v>
      </c>
      <c r="AJ220" s="2">
        <v>87.125</v>
      </c>
      <c r="AK220" s="2">
        <v>70.742000000000004</v>
      </c>
      <c r="AL220" s="2">
        <v>64.150000000000006</v>
      </c>
      <c r="AM220" s="2">
        <v>56.75</v>
      </c>
      <c r="AO220" s="124">
        <v>44040</v>
      </c>
      <c r="AP220">
        <v>55.25</v>
      </c>
      <c r="AQ220">
        <v>52.25</v>
      </c>
      <c r="AR220">
        <v>55.25</v>
      </c>
      <c r="AS220" s="17">
        <v>51.5</v>
      </c>
      <c r="AT220">
        <v>51</v>
      </c>
      <c r="AU220">
        <v>51</v>
      </c>
      <c r="AV220">
        <v>51.25</v>
      </c>
      <c r="AW220">
        <v>50.25</v>
      </c>
      <c r="AX220">
        <v>52</v>
      </c>
      <c r="AY220" s="17">
        <v>52</v>
      </c>
      <c r="AZ220" s="7"/>
      <c r="BB220" s="124">
        <v>44040</v>
      </c>
      <c r="BC220" s="2">
        <v>54.92</v>
      </c>
      <c r="BD220" s="2">
        <v>37.25</v>
      </c>
      <c r="BE220" s="2">
        <v>27.17</v>
      </c>
      <c r="BF220" s="2">
        <v>26.47</v>
      </c>
      <c r="BG220" s="2">
        <v>25.48</v>
      </c>
      <c r="BH220" s="2">
        <v>24.7</v>
      </c>
      <c r="BI220" s="2">
        <v>22.84</v>
      </c>
      <c r="BJ220" s="2">
        <v>21.56</v>
      </c>
      <c r="BK220" s="2">
        <v>24.37</v>
      </c>
      <c r="BL220" s="2">
        <v>21.3</v>
      </c>
      <c r="BM220" s="7"/>
      <c r="BN220" s="7"/>
      <c r="BO220" s="128">
        <v>44355</v>
      </c>
      <c r="BP220" s="2">
        <v>8.5399999999999991</v>
      </c>
      <c r="BQ220" s="2">
        <v>9.08</v>
      </c>
      <c r="BR220" s="2">
        <v>8.85</v>
      </c>
      <c r="BS220" s="2">
        <v>8.68</v>
      </c>
      <c r="BT220" s="2"/>
      <c r="BU220" s="2"/>
      <c r="BV220" s="7"/>
      <c r="BW220" s="128">
        <v>44355</v>
      </c>
      <c r="BX220" s="2">
        <v>87.125</v>
      </c>
      <c r="BY220" s="2">
        <v>70.742000000000004</v>
      </c>
      <c r="BZ220" s="2">
        <v>64.150000000000006</v>
      </c>
      <c r="CA220" s="2">
        <v>56.75</v>
      </c>
    </row>
    <row r="221" spans="1:79" x14ac:dyDescent="0.2">
      <c r="A221" s="124">
        <v>44041</v>
      </c>
      <c r="B221">
        <v>55.375</v>
      </c>
      <c r="C221">
        <v>54</v>
      </c>
      <c r="D221">
        <v>55.25</v>
      </c>
      <c r="E221" s="17">
        <v>51.75</v>
      </c>
      <c r="F221">
        <v>51.375</v>
      </c>
      <c r="G221">
        <v>51.375</v>
      </c>
      <c r="H221">
        <v>51.5</v>
      </c>
      <c r="I221">
        <v>50.5</v>
      </c>
      <c r="J221">
        <v>52.75</v>
      </c>
      <c r="K221" s="17">
        <v>52.375</v>
      </c>
      <c r="L221" s="7"/>
      <c r="N221" s="124">
        <v>44041</v>
      </c>
      <c r="O221" s="2">
        <v>54.691699999999997</v>
      </c>
      <c r="P221" s="2">
        <v>35.657400000000003</v>
      </c>
      <c r="Q221" s="2">
        <v>27.16</v>
      </c>
      <c r="R221" s="2">
        <v>26.31315</v>
      </c>
      <c r="S221" s="2">
        <v>25.27</v>
      </c>
      <c r="T221" s="2">
        <v>24.501100000000001</v>
      </c>
      <c r="U221" s="2">
        <v>22.7164</v>
      </c>
      <c r="V221" s="2">
        <v>21.437049999999999</v>
      </c>
      <c r="W221" s="2">
        <v>24.04</v>
      </c>
      <c r="X221" s="2">
        <v>21.135950000000001</v>
      </c>
      <c r="Y221" s="7"/>
      <c r="Z221" s="7"/>
      <c r="AA221" s="128">
        <v>44356</v>
      </c>
      <c r="AB221" s="2">
        <v>8.4368400000000001</v>
      </c>
      <c r="AC221" s="2">
        <v>8.9787219999999994</v>
      </c>
      <c r="AD221" s="2">
        <v>8.8100710000000007</v>
      </c>
      <c r="AE221" s="2">
        <v>8.4688999999999997</v>
      </c>
      <c r="AF221" s="2"/>
      <c r="AG221" s="2"/>
      <c r="AH221" s="7"/>
      <c r="AI221" s="128">
        <v>44356</v>
      </c>
      <c r="AJ221" s="2">
        <v>87.625</v>
      </c>
      <c r="AK221" s="2">
        <v>71.375</v>
      </c>
      <c r="AL221" s="2">
        <v>64.447999999999993</v>
      </c>
      <c r="AM221" s="2">
        <v>56.875</v>
      </c>
      <c r="AO221" s="124">
        <v>44041</v>
      </c>
      <c r="AP221">
        <v>55.375</v>
      </c>
      <c r="AQ221">
        <v>54</v>
      </c>
      <c r="AR221">
        <v>55.25</v>
      </c>
      <c r="AS221" s="17">
        <v>51.75</v>
      </c>
      <c r="AT221">
        <v>51.375</v>
      </c>
      <c r="AU221">
        <v>51.375</v>
      </c>
      <c r="AV221">
        <v>51.5</v>
      </c>
      <c r="AW221">
        <v>50.5</v>
      </c>
      <c r="AX221">
        <v>52.75</v>
      </c>
      <c r="AY221" s="17">
        <v>52.375</v>
      </c>
      <c r="AZ221" s="7"/>
      <c r="BB221" s="124">
        <v>44041</v>
      </c>
      <c r="BC221" s="2">
        <v>54.69</v>
      </c>
      <c r="BD221" s="2">
        <v>35.65</v>
      </c>
      <c r="BE221" s="2">
        <v>27.16</v>
      </c>
      <c r="BF221" s="2">
        <v>26.31</v>
      </c>
      <c r="BG221" s="2">
        <v>25.27</v>
      </c>
      <c r="BH221" s="2">
        <v>24.5</v>
      </c>
      <c r="BI221" s="2">
        <v>22.71</v>
      </c>
      <c r="BJ221" s="2">
        <v>21.44</v>
      </c>
      <c r="BK221" s="2">
        <v>24.04</v>
      </c>
      <c r="BL221" s="2">
        <v>21.13</v>
      </c>
      <c r="BM221" s="7"/>
      <c r="BN221" s="7"/>
      <c r="BO221" s="128">
        <v>44356</v>
      </c>
      <c r="BP221" s="2">
        <v>8.44</v>
      </c>
      <c r="BQ221" s="2">
        <v>8.98</v>
      </c>
      <c r="BR221" s="2">
        <v>8.81</v>
      </c>
      <c r="BS221" s="2">
        <v>8.65</v>
      </c>
      <c r="BT221" s="2"/>
      <c r="BU221" s="2"/>
      <c r="BV221" s="7"/>
      <c r="BW221" s="128">
        <v>44356</v>
      </c>
      <c r="BX221" s="2">
        <v>87.625</v>
      </c>
      <c r="BY221" s="2">
        <v>71.375</v>
      </c>
      <c r="BZ221" s="2">
        <v>64.447999999999993</v>
      </c>
      <c r="CA221" s="2">
        <v>56.875</v>
      </c>
    </row>
    <row r="222" spans="1:79" x14ac:dyDescent="0.2">
      <c r="A222" s="124">
        <v>44042</v>
      </c>
      <c r="B222">
        <v>55.25</v>
      </c>
      <c r="C222">
        <v>52.75</v>
      </c>
      <c r="D222">
        <v>55.125</v>
      </c>
      <c r="E222" s="17">
        <v>51.625</v>
      </c>
      <c r="F222">
        <v>51.375</v>
      </c>
      <c r="G222">
        <v>51.5</v>
      </c>
      <c r="H222">
        <v>51.5</v>
      </c>
      <c r="I222">
        <v>50.5</v>
      </c>
      <c r="J222">
        <v>51</v>
      </c>
      <c r="K222" s="17">
        <v>52.125</v>
      </c>
      <c r="L222" s="7"/>
      <c r="N222" s="124">
        <v>44042</v>
      </c>
      <c r="O222" s="2">
        <v>55.148449999999997</v>
      </c>
      <c r="P222" s="2">
        <v>36.872500000000002</v>
      </c>
      <c r="Q222" s="2">
        <v>27.29</v>
      </c>
      <c r="R222" s="2">
        <v>26.428550000000001</v>
      </c>
      <c r="S222" s="2">
        <v>25.3</v>
      </c>
      <c r="T222" s="2">
        <v>24.463750000000001</v>
      </c>
      <c r="U222" s="2">
        <v>22.738399999999999</v>
      </c>
      <c r="V222" s="2">
        <v>21.4557</v>
      </c>
      <c r="W222" s="2">
        <v>24.84</v>
      </c>
      <c r="X222" s="2">
        <v>21.252800000000001</v>
      </c>
      <c r="Y222" s="7"/>
      <c r="Z222" s="7"/>
      <c r="AA222" s="128">
        <v>44357</v>
      </c>
      <c r="AB222" s="2">
        <v>8.5011200000000002</v>
      </c>
      <c r="AC222" s="2">
        <v>9.0268200000000007</v>
      </c>
      <c r="AD222" s="2">
        <v>8.8893540000000009</v>
      </c>
      <c r="AE222" s="2">
        <v>8.5138239999999996</v>
      </c>
      <c r="AF222" s="2"/>
      <c r="AG222" s="2"/>
      <c r="AH222" s="7"/>
      <c r="AI222" s="128">
        <v>44357</v>
      </c>
      <c r="AJ222" s="2">
        <v>87.375</v>
      </c>
      <c r="AK222" s="2">
        <v>71.125</v>
      </c>
      <c r="AL222" s="2">
        <v>63.923999999999999</v>
      </c>
      <c r="AM222" s="2">
        <v>56.75</v>
      </c>
      <c r="AO222" s="124">
        <v>44042</v>
      </c>
      <c r="AP222">
        <v>55.25</v>
      </c>
      <c r="AQ222">
        <v>52.75</v>
      </c>
      <c r="AR222">
        <v>55.125</v>
      </c>
      <c r="AS222" s="17">
        <v>51.625</v>
      </c>
      <c r="AT222">
        <v>51.375</v>
      </c>
      <c r="AU222">
        <v>51.5</v>
      </c>
      <c r="AV222">
        <v>51.5</v>
      </c>
      <c r="AW222">
        <v>50.5</v>
      </c>
      <c r="AX222">
        <v>51</v>
      </c>
      <c r="AY222" s="17">
        <v>52.125</v>
      </c>
      <c r="AZ222" s="7"/>
      <c r="BB222" s="124">
        <v>44042</v>
      </c>
      <c r="BC222" s="2">
        <v>55.14</v>
      </c>
      <c r="BD222" s="2">
        <v>36.869999999999997</v>
      </c>
      <c r="BE222" s="2">
        <v>27.29</v>
      </c>
      <c r="BF222" s="2">
        <v>26.43</v>
      </c>
      <c r="BG222" s="2">
        <v>25.3</v>
      </c>
      <c r="BH222" s="2">
        <v>24.46</v>
      </c>
      <c r="BI222" s="2">
        <v>22.74</v>
      </c>
      <c r="BJ222" s="2">
        <v>21.45</v>
      </c>
      <c r="BK222" s="2">
        <v>24.84</v>
      </c>
      <c r="BL222" s="2">
        <v>21.25</v>
      </c>
      <c r="BM222" s="7"/>
      <c r="BN222" s="7"/>
      <c r="BO222" s="128">
        <v>44357</v>
      </c>
      <c r="BP222" s="2">
        <v>8.5</v>
      </c>
      <c r="BQ222" s="2">
        <v>9.0299999999999994</v>
      </c>
      <c r="BR222" s="2">
        <v>8.89</v>
      </c>
      <c r="BS222" s="2">
        <v>8.69</v>
      </c>
      <c r="BT222" s="2"/>
      <c r="BU222" s="2"/>
      <c r="BV222" s="7"/>
      <c r="BW222" s="128">
        <v>44357</v>
      </c>
      <c r="BX222" s="2">
        <v>87.375</v>
      </c>
      <c r="BY222" s="2">
        <v>71.125</v>
      </c>
      <c r="BZ222" s="2">
        <v>63.923999999999999</v>
      </c>
      <c r="CA222" s="2">
        <v>56.75</v>
      </c>
    </row>
    <row r="223" spans="1:79" x14ac:dyDescent="0.2">
      <c r="A223" s="124">
        <v>44043</v>
      </c>
      <c r="B223">
        <v>55.5</v>
      </c>
      <c r="C223">
        <v>53.125</v>
      </c>
      <c r="D223">
        <v>54.875</v>
      </c>
      <c r="E223" s="17">
        <v>51.625</v>
      </c>
      <c r="F223">
        <v>51.25</v>
      </c>
      <c r="G223">
        <v>51.25</v>
      </c>
      <c r="H223">
        <v>51.375</v>
      </c>
      <c r="I223">
        <v>50.5</v>
      </c>
      <c r="J223">
        <v>51</v>
      </c>
      <c r="K223" s="17">
        <v>52.25</v>
      </c>
      <c r="L223" s="7"/>
      <c r="N223" s="124">
        <v>44043</v>
      </c>
      <c r="O223" s="2">
        <v>54.847749999999998</v>
      </c>
      <c r="P223" s="2">
        <v>36.556199999999997</v>
      </c>
      <c r="Q223" s="2">
        <v>27.46</v>
      </c>
      <c r="R223" s="2">
        <v>26.437999999999999</v>
      </c>
      <c r="S223" s="2">
        <v>25.37</v>
      </c>
      <c r="T223" s="2">
        <v>24.590900000000001</v>
      </c>
      <c r="U223" s="2">
        <v>22.799399999999999</v>
      </c>
      <c r="V223" s="2">
        <v>21.4587</v>
      </c>
      <c r="W223" s="2">
        <v>24.84</v>
      </c>
      <c r="X223" s="2">
        <v>21.204499999999999</v>
      </c>
      <c r="Y223" s="7"/>
      <c r="Z223" s="7"/>
      <c r="AA223" s="128">
        <v>44358</v>
      </c>
      <c r="AB223" s="2">
        <v>8.4263929999999991</v>
      </c>
      <c r="AC223" s="2">
        <v>8.9890740000000005</v>
      </c>
      <c r="AD223" s="2">
        <v>8.8101249999999993</v>
      </c>
      <c r="AE223" s="2">
        <v>8.4150729999999996</v>
      </c>
      <c r="AF223" s="2"/>
      <c r="AG223" s="2"/>
      <c r="AH223" s="7"/>
      <c r="AI223" s="128">
        <v>44358</v>
      </c>
      <c r="AJ223" s="2">
        <v>87.75</v>
      </c>
      <c r="AK223" s="2">
        <v>71.375</v>
      </c>
      <c r="AL223" s="2">
        <v>64.504000000000005</v>
      </c>
      <c r="AM223" s="2">
        <v>57.125</v>
      </c>
      <c r="AO223" s="124">
        <v>44043</v>
      </c>
      <c r="AP223">
        <v>55.5</v>
      </c>
      <c r="AQ223">
        <v>53.125</v>
      </c>
      <c r="AR223">
        <v>54.875</v>
      </c>
      <c r="AS223" s="17">
        <v>51.625</v>
      </c>
      <c r="AT223">
        <v>51.25</v>
      </c>
      <c r="AU223">
        <v>51.25</v>
      </c>
      <c r="AV223">
        <v>51.375</v>
      </c>
      <c r="AW223">
        <v>50.5</v>
      </c>
      <c r="AX223">
        <v>51</v>
      </c>
      <c r="AY223" s="17">
        <v>52.25</v>
      </c>
      <c r="AZ223" s="7"/>
      <c r="BB223" s="124">
        <v>44043</v>
      </c>
      <c r="BC223" s="2">
        <v>54.84</v>
      </c>
      <c r="BD223" s="2">
        <v>36.549999999999997</v>
      </c>
      <c r="BE223" s="2">
        <v>27.46</v>
      </c>
      <c r="BF223" s="2">
        <v>26.44</v>
      </c>
      <c r="BG223" s="2">
        <v>25.37</v>
      </c>
      <c r="BH223" s="2">
        <v>24.59</v>
      </c>
      <c r="BI223" s="2">
        <v>22.8</v>
      </c>
      <c r="BJ223" s="2">
        <v>21.46</v>
      </c>
      <c r="BK223" s="2">
        <v>24.84</v>
      </c>
      <c r="BL223" s="2">
        <v>21.2</v>
      </c>
      <c r="BM223" s="7"/>
      <c r="BN223" s="7"/>
      <c r="BO223" s="128">
        <v>44358</v>
      </c>
      <c r="BP223" s="2">
        <v>8.43</v>
      </c>
      <c r="BQ223" s="2">
        <v>8.99</v>
      </c>
      <c r="BR223" s="2">
        <v>8.81</v>
      </c>
      <c r="BS223" s="2">
        <v>8.59</v>
      </c>
      <c r="BT223" s="2"/>
      <c r="BU223" s="2"/>
      <c r="BV223" s="7"/>
      <c r="BW223" s="128">
        <v>44358</v>
      </c>
      <c r="BX223" s="2">
        <v>87.75</v>
      </c>
      <c r="BY223" s="2">
        <v>71.375</v>
      </c>
      <c r="BZ223" s="2">
        <v>64.504000000000005</v>
      </c>
      <c r="CA223" s="2">
        <v>57.125</v>
      </c>
    </row>
    <row r="224" spans="1:79" x14ac:dyDescent="0.2">
      <c r="A224" s="124">
        <v>44046</v>
      </c>
      <c r="B224">
        <v>55.5</v>
      </c>
      <c r="C224">
        <v>53</v>
      </c>
      <c r="D224">
        <v>54.25</v>
      </c>
      <c r="E224" s="17">
        <v>52</v>
      </c>
      <c r="F224">
        <v>51.125</v>
      </c>
      <c r="G224">
        <v>51.5</v>
      </c>
      <c r="H224">
        <v>51</v>
      </c>
      <c r="I224">
        <v>50.5</v>
      </c>
      <c r="J224">
        <v>51.5</v>
      </c>
      <c r="K224" s="17">
        <v>52</v>
      </c>
      <c r="L224" s="7"/>
      <c r="N224" s="124">
        <v>44046</v>
      </c>
      <c r="O224" s="2">
        <v>54.923250000000003</v>
      </c>
      <c r="P224" s="2">
        <v>36.694000000000003</v>
      </c>
      <c r="Q224" s="2">
        <v>27.87</v>
      </c>
      <c r="R224" s="2">
        <v>26.224799999999998</v>
      </c>
      <c r="S224" s="2">
        <v>25.43</v>
      </c>
      <c r="T224" s="2">
        <v>24.471250000000001</v>
      </c>
      <c r="U224" s="2">
        <v>22.976500000000001</v>
      </c>
      <c r="V224" s="2">
        <v>21.4617</v>
      </c>
      <c r="W224" s="2">
        <v>24.61</v>
      </c>
      <c r="X224" s="2">
        <v>21.30735</v>
      </c>
      <c r="Y224" s="7"/>
      <c r="Z224" s="7"/>
      <c r="AA224" s="128">
        <v>44361</v>
      </c>
      <c r="AB224" s="2">
        <v>8.6412230000000001</v>
      </c>
      <c r="AC224" s="2">
        <v>9.2986380000000004</v>
      </c>
      <c r="AD224" s="2">
        <v>8.9586930000000002</v>
      </c>
      <c r="AE224" s="2">
        <v>8.6241859999999999</v>
      </c>
      <c r="AF224" s="2"/>
      <c r="AG224" s="2"/>
      <c r="AH224" s="7"/>
      <c r="AI224" s="128">
        <v>44361</v>
      </c>
      <c r="AJ224" s="2">
        <v>86.75</v>
      </c>
      <c r="AK224" s="2">
        <v>69.5</v>
      </c>
      <c r="AL224" s="2">
        <v>63.462000000000003</v>
      </c>
      <c r="AM224" s="2">
        <v>56.375</v>
      </c>
      <c r="AO224" s="124">
        <v>44046</v>
      </c>
      <c r="AP224">
        <v>55.5</v>
      </c>
      <c r="AQ224">
        <v>53</v>
      </c>
      <c r="AR224">
        <v>54.25</v>
      </c>
      <c r="AS224" s="17">
        <v>52</v>
      </c>
      <c r="AT224">
        <v>51.125</v>
      </c>
      <c r="AU224">
        <v>51.5</v>
      </c>
      <c r="AV224">
        <v>51</v>
      </c>
      <c r="AW224">
        <v>50.5</v>
      </c>
      <c r="AX224">
        <v>51.5</v>
      </c>
      <c r="AY224" s="17">
        <v>52</v>
      </c>
      <c r="AZ224" s="7"/>
      <c r="BB224" s="124">
        <v>44046</v>
      </c>
      <c r="BC224" s="2">
        <v>54.92</v>
      </c>
      <c r="BD224" s="2">
        <v>36.69</v>
      </c>
      <c r="BE224" s="2">
        <v>27.87</v>
      </c>
      <c r="BF224" s="2">
        <v>26.22</v>
      </c>
      <c r="BG224" s="2">
        <v>25.43</v>
      </c>
      <c r="BH224" s="2">
        <v>24.47</v>
      </c>
      <c r="BI224" s="2">
        <v>22.97</v>
      </c>
      <c r="BJ224" s="2">
        <v>21.46</v>
      </c>
      <c r="BK224" s="2">
        <v>24.61</v>
      </c>
      <c r="BL224" s="2">
        <v>21.31</v>
      </c>
      <c r="BM224" s="7"/>
      <c r="BN224" s="7"/>
      <c r="BO224" s="128">
        <v>44361</v>
      </c>
      <c r="BP224" s="2">
        <v>8.64</v>
      </c>
      <c r="BQ224" s="2">
        <v>9.3000000000000007</v>
      </c>
      <c r="BR224" s="2">
        <v>8.9600000000000009</v>
      </c>
      <c r="BS224" s="2">
        <v>8.81</v>
      </c>
      <c r="BT224" s="2"/>
      <c r="BU224" s="2"/>
      <c r="BV224" s="7"/>
      <c r="BW224" s="128">
        <v>44361</v>
      </c>
      <c r="BX224" s="2">
        <v>86.75</v>
      </c>
      <c r="BY224" s="2">
        <v>69.5</v>
      </c>
      <c r="BZ224" s="2">
        <v>63.462000000000003</v>
      </c>
      <c r="CA224" s="2">
        <v>56.375</v>
      </c>
    </row>
    <row r="225" spans="1:79" x14ac:dyDescent="0.2">
      <c r="A225" s="124">
        <v>44047</v>
      </c>
      <c r="B225">
        <v>56</v>
      </c>
      <c r="C225">
        <v>53.75</v>
      </c>
      <c r="D225">
        <v>54.75</v>
      </c>
      <c r="E225" s="17">
        <v>52.25</v>
      </c>
      <c r="F225">
        <v>51.375</v>
      </c>
      <c r="G225">
        <v>52</v>
      </c>
      <c r="H225">
        <v>52</v>
      </c>
      <c r="I225">
        <v>50.875</v>
      </c>
      <c r="J225">
        <v>52</v>
      </c>
      <c r="K225" s="17">
        <v>52.25</v>
      </c>
      <c r="L225" s="7"/>
      <c r="N225" s="124">
        <v>44047</v>
      </c>
      <c r="O225" s="2">
        <v>54.250250000000001</v>
      </c>
      <c r="P225" s="2">
        <v>36.042700000000004</v>
      </c>
      <c r="Q225" s="2">
        <v>27.56</v>
      </c>
      <c r="R225" s="2">
        <v>26.0868</v>
      </c>
      <c r="S225" s="2">
        <v>25.31</v>
      </c>
      <c r="T225" s="2">
        <v>24.230550000000001</v>
      </c>
      <c r="U225" s="2">
        <v>22.5215</v>
      </c>
      <c r="V225" s="2">
        <v>21.300249999999998</v>
      </c>
      <c r="W225" s="2">
        <v>24.38</v>
      </c>
      <c r="X225" s="2">
        <v>21.208500000000001</v>
      </c>
      <c r="Y225" s="7"/>
      <c r="Z225" s="7"/>
      <c r="AA225" s="128">
        <v>44362</v>
      </c>
      <c r="AB225" s="2">
        <v>8.8862939999999995</v>
      </c>
      <c r="AC225" s="2">
        <v>9.5116650000000007</v>
      </c>
      <c r="AD225" s="2">
        <v>9.0447769999999998</v>
      </c>
      <c r="AE225" s="2">
        <v>8.8015650000000001</v>
      </c>
      <c r="AF225" s="2"/>
      <c r="AG225" s="2"/>
      <c r="AH225" s="7"/>
      <c r="AI225" s="128">
        <v>44362</v>
      </c>
      <c r="AJ225" s="2">
        <v>85.625</v>
      </c>
      <c r="AK225" s="2">
        <v>68.25</v>
      </c>
      <c r="AL225" s="2">
        <v>62.874000000000002</v>
      </c>
      <c r="AM225" s="2">
        <v>55.75</v>
      </c>
      <c r="AO225" s="124">
        <v>44047</v>
      </c>
      <c r="AP225">
        <v>56</v>
      </c>
      <c r="AQ225">
        <v>53.75</v>
      </c>
      <c r="AR225">
        <v>54.75</v>
      </c>
      <c r="AS225" s="17">
        <v>52.25</v>
      </c>
      <c r="AT225">
        <v>51.375</v>
      </c>
      <c r="AU225">
        <v>52</v>
      </c>
      <c r="AV225">
        <v>52</v>
      </c>
      <c r="AW225">
        <v>50.875</v>
      </c>
      <c r="AX225">
        <v>52</v>
      </c>
      <c r="AY225" s="17">
        <v>52.25</v>
      </c>
      <c r="AZ225" s="7"/>
      <c r="BB225" s="124">
        <v>44047</v>
      </c>
      <c r="BC225" s="2">
        <v>54.25</v>
      </c>
      <c r="BD225" s="2">
        <v>36.04</v>
      </c>
      <c r="BE225" s="2">
        <v>27.56</v>
      </c>
      <c r="BF225" s="2">
        <v>26.08</v>
      </c>
      <c r="BG225" s="2">
        <v>25.31</v>
      </c>
      <c r="BH225" s="2">
        <v>24.23</v>
      </c>
      <c r="BI225" s="2">
        <v>22.52</v>
      </c>
      <c r="BJ225" s="2">
        <v>21.3</v>
      </c>
      <c r="BK225" s="2">
        <v>24.38</v>
      </c>
      <c r="BL225" s="2">
        <v>21.21</v>
      </c>
      <c r="BM225" s="7"/>
      <c r="BN225" s="7"/>
      <c r="BO225" s="128">
        <v>44362</v>
      </c>
      <c r="BP225" s="2">
        <v>8.89</v>
      </c>
      <c r="BQ225" s="2">
        <v>9.51</v>
      </c>
      <c r="BR225" s="2">
        <v>9.0399999999999991</v>
      </c>
      <c r="BS225" s="2">
        <v>9</v>
      </c>
      <c r="BT225" s="2"/>
      <c r="BU225" s="2"/>
      <c r="BV225" s="7"/>
      <c r="BW225" s="128">
        <v>44362</v>
      </c>
      <c r="BX225" s="2">
        <v>85.625</v>
      </c>
      <c r="BY225" s="2">
        <v>68.25</v>
      </c>
      <c r="BZ225" s="2">
        <v>62.874000000000002</v>
      </c>
      <c r="CA225" s="2">
        <v>55.75</v>
      </c>
    </row>
    <row r="226" spans="1:79" x14ac:dyDescent="0.2">
      <c r="A226" s="124">
        <v>44048</v>
      </c>
      <c r="B226">
        <v>55.5</v>
      </c>
      <c r="C226">
        <v>54.125</v>
      </c>
      <c r="D226">
        <v>54.875</v>
      </c>
      <c r="E226" s="17">
        <v>52.125</v>
      </c>
      <c r="F226">
        <v>51.5</v>
      </c>
      <c r="G226">
        <v>51.75</v>
      </c>
      <c r="H226">
        <v>51.625</v>
      </c>
      <c r="I226">
        <v>50.875</v>
      </c>
      <c r="J226">
        <v>51.375</v>
      </c>
      <c r="K226" s="17">
        <v>52.5</v>
      </c>
      <c r="L226" s="7"/>
      <c r="N226" s="124">
        <v>44048</v>
      </c>
      <c r="O226" s="2">
        <v>55.075200000000002</v>
      </c>
      <c r="P226" s="2">
        <v>35.733049999999999</v>
      </c>
      <c r="Q226" s="2">
        <v>27.49</v>
      </c>
      <c r="R226" s="2">
        <v>26.169799999999999</v>
      </c>
      <c r="S226" s="2">
        <v>25.25</v>
      </c>
      <c r="T226" s="2">
        <v>24.35615</v>
      </c>
      <c r="U226" s="2">
        <v>22.695699999999999</v>
      </c>
      <c r="V226" s="2">
        <v>21.3033</v>
      </c>
      <c r="W226" s="2">
        <v>24.67</v>
      </c>
      <c r="X226" s="2">
        <v>21.11035</v>
      </c>
      <c r="Y226" s="7"/>
      <c r="Z226" s="7"/>
      <c r="AA226" s="128">
        <v>44363</v>
      </c>
      <c r="AB226" s="2">
        <v>8.8904720000000008</v>
      </c>
      <c r="AC226" s="2">
        <v>9.4931859999999997</v>
      </c>
      <c r="AD226" s="2">
        <v>9.1190949999999997</v>
      </c>
      <c r="AE226" s="2">
        <v>8.8754310000000007</v>
      </c>
      <c r="AF226" s="2"/>
      <c r="AG226" s="2"/>
      <c r="AH226" s="7"/>
      <c r="AI226" s="128">
        <v>44363</v>
      </c>
      <c r="AJ226" s="2">
        <v>85.625</v>
      </c>
      <c r="AK226" s="2">
        <v>68.375</v>
      </c>
      <c r="AL226" s="2">
        <v>62.374000000000002</v>
      </c>
      <c r="AM226" s="2">
        <v>55.5</v>
      </c>
      <c r="AO226" s="124">
        <v>44048</v>
      </c>
      <c r="AP226">
        <v>55.5</v>
      </c>
      <c r="AQ226">
        <v>54.125</v>
      </c>
      <c r="AR226">
        <v>54.875</v>
      </c>
      <c r="AS226" s="17">
        <v>52.125</v>
      </c>
      <c r="AT226">
        <v>51.5</v>
      </c>
      <c r="AU226">
        <v>51.75</v>
      </c>
      <c r="AV226">
        <v>51.625</v>
      </c>
      <c r="AW226">
        <v>50.875</v>
      </c>
      <c r="AX226">
        <v>51.375</v>
      </c>
      <c r="AY226" s="17">
        <v>52.5</v>
      </c>
      <c r="AZ226" s="7"/>
      <c r="BB226" s="124">
        <v>44048</v>
      </c>
      <c r="BC226" s="2">
        <v>55.07</v>
      </c>
      <c r="BD226" s="2">
        <v>35.729999999999997</v>
      </c>
      <c r="BE226" s="2">
        <v>27.49</v>
      </c>
      <c r="BF226" s="2">
        <v>26.17</v>
      </c>
      <c r="BG226" s="2">
        <v>25.25</v>
      </c>
      <c r="BH226" s="2">
        <v>24.35</v>
      </c>
      <c r="BI226" s="2">
        <v>22.69</v>
      </c>
      <c r="BJ226" s="2">
        <v>21.3</v>
      </c>
      <c r="BK226" s="2">
        <v>24.67</v>
      </c>
      <c r="BL226" s="2">
        <v>21.11</v>
      </c>
      <c r="BM226" s="7"/>
      <c r="BN226" s="7"/>
      <c r="BO226" s="128">
        <v>44363</v>
      </c>
      <c r="BP226" s="2">
        <v>8.89</v>
      </c>
      <c r="BQ226" s="2">
        <v>9.49</v>
      </c>
      <c r="BR226" s="2">
        <v>9.1199999999999992</v>
      </c>
      <c r="BS226" s="2">
        <v>9.07</v>
      </c>
      <c r="BT226" s="2"/>
      <c r="BU226" s="2"/>
      <c r="BV226" s="7"/>
      <c r="BW226" s="128">
        <v>44363</v>
      </c>
      <c r="BX226" s="2">
        <v>85.625</v>
      </c>
      <c r="BY226" s="2">
        <v>68.375</v>
      </c>
      <c r="BZ226" s="2">
        <v>62.374000000000002</v>
      </c>
      <c r="CA226" s="2">
        <v>55.5</v>
      </c>
    </row>
    <row r="227" spans="1:79" x14ac:dyDescent="0.2">
      <c r="A227" s="124">
        <v>44049</v>
      </c>
      <c r="B227">
        <v>55.5</v>
      </c>
      <c r="C227">
        <v>53.75</v>
      </c>
      <c r="D227">
        <v>55</v>
      </c>
      <c r="E227" s="17">
        <v>52</v>
      </c>
      <c r="F227">
        <v>51.625</v>
      </c>
      <c r="G227">
        <v>51.75</v>
      </c>
      <c r="H227">
        <v>51</v>
      </c>
      <c r="I227">
        <v>50.75</v>
      </c>
      <c r="J227">
        <v>51.375</v>
      </c>
      <c r="K227" s="17">
        <v>52.25</v>
      </c>
      <c r="L227" s="7"/>
      <c r="N227" s="124">
        <v>44049</v>
      </c>
      <c r="O227" s="2">
        <v>55.305799999999998</v>
      </c>
      <c r="P227" s="2">
        <v>36.139200000000002</v>
      </c>
      <c r="Q227" s="2">
        <v>27.45</v>
      </c>
      <c r="R227" s="2">
        <v>26.27205</v>
      </c>
      <c r="S227" s="2">
        <v>25.2</v>
      </c>
      <c r="T227" s="2">
        <v>24.3674</v>
      </c>
      <c r="U227" s="2">
        <v>22.995049999999999</v>
      </c>
      <c r="V227" s="2">
        <v>21.367049999999999</v>
      </c>
      <c r="W227" s="2">
        <v>24.68</v>
      </c>
      <c r="X227" s="2">
        <v>21.2166</v>
      </c>
      <c r="Y227" s="7"/>
      <c r="Z227" s="7"/>
      <c r="AA227" s="128">
        <v>44364</v>
      </c>
      <c r="AB227" s="2">
        <v>8.9301150000000007</v>
      </c>
      <c r="AC227" s="2">
        <v>9.3958340000000007</v>
      </c>
      <c r="AD227" s="2">
        <v>9.1249590000000005</v>
      </c>
      <c r="AE227" s="2">
        <v>8.8867410000000007</v>
      </c>
      <c r="AF227" s="2"/>
      <c r="AG227" s="2"/>
      <c r="AH227" s="7"/>
      <c r="AI227" s="128">
        <v>44364</v>
      </c>
      <c r="AJ227" s="2">
        <v>85.5</v>
      </c>
      <c r="AK227" s="2">
        <v>69</v>
      </c>
      <c r="AL227" s="2">
        <v>62.375999999999998</v>
      </c>
      <c r="AM227" s="2">
        <v>55.5</v>
      </c>
      <c r="AO227" s="124">
        <v>44049</v>
      </c>
      <c r="AP227">
        <v>55.5</v>
      </c>
      <c r="AQ227">
        <v>53.75</v>
      </c>
      <c r="AR227">
        <v>55</v>
      </c>
      <c r="AS227" s="17">
        <v>52</v>
      </c>
      <c r="AT227">
        <v>51.625</v>
      </c>
      <c r="AU227">
        <v>51.75</v>
      </c>
      <c r="AV227">
        <v>51</v>
      </c>
      <c r="AW227">
        <v>50.75</v>
      </c>
      <c r="AX227">
        <v>51.375</v>
      </c>
      <c r="AY227" s="17">
        <v>52.25</v>
      </c>
      <c r="AZ227" s="7"/>
      <c r="BB227" s="124">
        <v>44049</v>
      </c>
      <c r="BC227" s="2">
        <v>55.3</v>
      </c>
      <c r="BD227" s="2">
        <v>36.14</v>
      </c>
      <c r="BE227" s="2">
        <v>27.45</v>
      </c>
      <c r="BF227" s="2">
        <v>26.27</v>
      </c>
      <c r="BG227" s="2">
        <v>25.2</v>
      </c>
      <c r="BH227" s="2">
        <v>24.37</v>
      </c>
      <c r="BI227" s="2">
        <v>22.99</v>
      </c>
      <c r="BJ227" s="2">
        <v>21.37</v>
      </c>
      <c r="BK227" s="2">
        <v>24.68</v>
      </c>
      <c r="BL227" s="2">
        <v>21.22</v>
      </c>
      <c r="BM227" s="7"/>
      <c r="BN227" s="7"/>
      <c r="BO227" s="128">
        <v>44364</v>
      </c>
      <c r="BP227" s="2">
        <v>8.93</v>
      </c>
      <c r="BQ227" s="2">
        <v>9.4</v>
      </c>
      <c r="BR227" s="2">
        <v>9.1300000000000008</v>
      </c>
      <c r="BS227" s="2">
        <v>9.08</v>
      </c>
      <c r="BT227" s="2"/>
      <c r="BU227" s="2"/>
      <c r="BV227" s="7"/>
      <c r="BW227" s="128">
        <v>44364</v>
      </c>
      <c r="BX227" s="2">
        <v>85.5</v>
      </c>
      <c r="BY227" s="2">
        <v>69</v>
      </c>
      <c r="BZ227" s="2">
        <v>62.375999999999998</v>
      </c>
      <c r="CA227" s="2">
        <v>55.5</v>
      </c>
    </row>
    <row r="228" spans="1:79" x14ac:dyDescent="0.2">
      <c r="A228" s="124">
        <v>44050</v>
      </c>
      <c r="B228">
        <v>55.5</v>
      </c>
      <c r="C228">
        <v>53.75</v>
      </c>
      <c r="D228">
        <v>54.875</v>
      </c>
      <c r="E228" s="17">
        <v>52</v>
      </c>
      <c r="F228">
        <v>51.625</v>
      </c>
      <c r="G228">
        <v>51.625</v>
      </c>
      <c r="H228">
        <v>51</v>
      </c>
      <c r="I228">
        <v>50.875</v>
      </c>
      <c r="J228">
        <v>51</v>
      </c>
      <c r="K228" s="17">
        <v>52.375</v>
      </c>
      <c r="L228" s="7"/>
      <c r="N228" s="124">
        <v>44050</v>
      </c>
      <c r="O228" s="2">
        <v>55.38335</v>
      </c>
      <c r="P228" s="2">
        <v>36.163499999999999</v>
      </c>
      <c r="Q228" s="2">
        <v>27.54</v>
      </c>
      <c r="R228" s="2">
        <v>26.281500000000001</v>
      </c>
      <c r="S228" s="2">
        <v>25.2</v>
      </c>
      <c r="T228" s="2">
        <v>24.432500000000001</v>
      </c>
      <c r="U228" s="2">
        <v>22.998799999999999</v>
      </c>
      <c r="V228" s="2">
        <v>21.3154</v>
      </c>
      <c r="W228" s="2">
        <v>24.86</v>
      </c>
      <c r="X228" s="2">
        <v>21.168500000000002</v>
      </c>
      <c r="Y228" s="7"/>
      <c r="Z228" s="7"/>
      <c r="AA228" s="128">
        <v>44365</v>
      </c>
      <c r="AB228" s="2">
        <v>8.988664</v>
      </c>
      <c r="AC228" s="2">
        <v>9.5042559999999998</v>
      </c>
      <c r="AD228" s="2">
        <v>9.1468220000000002</v>
      </c>
      <c r="AE228" s="2">
        <v>9.0321049999999996</v>
      </c>
      <c r="AF228" s="2"/>
      <c r="AG228" s="2"/>
      <c r="AH228" s="7"/>
      <c r="AI228" s="128">
        <v>44365</v>
      </c>
      <c r="AJ228" s="2">
        <v>85.25</v>
      </c>
      <c r="AK228" s="2">
        <v>68.375</v>
      </c>
      <c r="AL228" s="2">
        <v>62.24</v>
      </c>
      <c r="AM228" s="2">
        <v>55</v>
      </c>
      <c r="AO228" s="124">
        <v>44050</v>
      </c>
      <c r="AP228">
        <v>55.5</v>
      </c>
      <c r="AQ228">
        <v>53.75</v>
      </c>
      <c r="AR228">
        <v>54.875</v>
      </c>
      <c r="AS228" s="17">
        <v>52</v>
      </c>
      <c r="AT228">
        <v>51.625</v>
      </c>
      <c r="AU228">
        <v>51.625</v>
      </c>
      <c r="AV228">
        <v>51</v>
      </c>
      <c r="AW228">
        <v>50.875</v>
      </c>
      <c r="AX228">
        <v>51</v>
      </c>
      <c r="AY228" s="17">
        <v>52.375</v>
      </c>
      <c r="AZ228" s="7"/>
      <c r="BB228" s="124">
        <v>44050</v>
      </c>
      <c r="BC228" s="2">
        <v>55.38</v>
      </c>
      <c r="BD228" s="2">
        <v>36.159999999999997</v>
      </c>
      <c r="BE228" s="2">
        <v>27.54</v>
      </c>
      <c r="BF228" s="2">
        <v>26.28</v>
      </c>
      <c r="BG228" s="2">
        <v>25.2</v>
      </c>
      <c r="BH228" s="2">
        <v>24.43</v>
      </c>
      <c r="BI228" s="2">
        <v>23</v>
      </c>
      <c r="BJ228" s="2">
        <v>21.31</v>
      </c>
      <c r="BK228" s="2">
        <v>24.86</v>
      </c>
      <c r="BL228" s="2">
        <v>21.17</v>
      </c>
      <c r="BM228" s="7"/>
      <c r="BN228" s="7"/>
      <c r="BO228" s="128">
        <v>44365</v>
      </c>
      <c r="BP228" s="2">
        <v>8.99</v>
      </c>
      <c r="BQ228" s="2">
        <v>9.5</v>
      </c>
      <c r="BR228" s="2">
        <v>9.15</v>
      </c>
      <c r="BS228" s="2">
        <v>9.24</v>
      </c>
      <c r="BT228" s="2"/>
      <c r="BU228" s="2"/>
      <c r="BV228" s="7"/>
      <c r="BW228" s="128">
        <v>44365</v>
      </c>
      <c r="BX228" s="2">
        <v>85.25</v>
      </c>
      <c r="BY228" s="2">
        <v>68.375</v>
      </c>
      <c r="BZ228" s="2">
        <v>62.24</v>
      </c>
      <c r="CA228" s="2">
        <v>55</v>
      </c>
    </row>
    <row r="229" spans="1:79" x14ac:dyDescent="0.2">
      <c r="A229" s="124">
        <v>44053</v>
      </c>
      <c r="B229">
        <v>55.625</v>
      </c>
      <c r="C229">
        <v>53.75</v>
      </c>
      <c r="D229">
        <v>55</v>
      </c>
      <c r="E229" s="17">
        <v>51.875</v>
      </c>
      <c r="F229">
        <v>51.5</v>
      </c>
      <c r="G229">
        <v>51.5</v>
      </c>
      <c r="H229">
        <v>51</v>
      </c>
      <c r="I229">
        <v>50.625</v>
      </c>
      <c r="J229">
        <v>51.375</v>
      </c>
      <c r="K229" s="17">
        <v>52.5</v>
      </c>
      <c r="L229" s="7"/>
      <c r="N229" s="124">
        <v>44053</v>
      </c>
      <c r="O229" s="2">
        <v>55.271099999999997</v>
      </c>
      <c r="P229" s="2">
        <v>36.187849999999997</v>
      </c>
      <c r="Q229" s="2">
        <v>27.47</v>
      </c>
      <c r="R229" s="2">
        <v>26.365300000000001</v>
      </c>
      <c r="S229" s="2">
        <v>25.27</v>
      </c>
      <c r="T229" s="2">
        <v>24.497800000000002</v>
      </c>
      <c r="U229" s="2">
        <v>23.002549999999999</v>
      </c>
      <c r="V229" s="2">
        <v>21.428000000000001</v>
      </c>
      <c r="W229" s="2">
        <v>24.68</v>
      </c>
      <c r="X229" s="2">
        <v>21.1205</v>
      </c>
      <c r="Y229" s="7"/>
      <c r="Z229" s="7"/>
      <c r="AA229" s="128">
        <v>44368</v>
      </c>
      <c r="AB229" s="2">
        <v>9.2123749999999998</v>
      </c>
      <c r="AC229" s="2">
        <v>9.8093909999999997</v>
      </c>
      <c r="AD229" s="2">
        <v>9.2952089999999998</v>
      </c>
      <c r="AE229" s="2">
        <v>8.8942979999999991</v>
      </c>
      <c r="AF229" s="2"/>
      <c r="AG229" s="2"/>
      <c r="AH229" s="7"/>
      <c r="AI229" s="128">
        <v>44368</v>
      </c>
      <c r="AJ229" s="2">
        <v>84.25</v>
      </c>
      <c r="AK229" s="2">
        <v>66.625</v>
      </c>
      <c r="AL229" s="2">
        <v>61.247</v>
      </c>
      <c r="AM229" s="2">
        <v>55.5</v>
      </c>
      <c r="AO229" s="124">
        <v>44053</v>
      </c>
      <c r="AP229">
        <v>55.625</v>
      </c>
      <c r="AQ229">
        <v>53.75</v>
      </c>
      <c r="AR229">
        <v>55</v>
      </c>
      <c r="AS229" s="17">
        <v>51.875</v>
      </c>
      <c r="AT229">
        <v>51.5</v>
      </c>
      <c r="AU229">
        <v>51.5</v>
      </c>
      <c r="AV229">
        <v>51</v>
      </c>
      <c r="AW229">
        <v>50.625</v>
      </c>
      <c r="AX229">
        <v>51.375</v>
      </c>
      <c r="AY229" s="17">
        <v>52.5</v>
      </c>
      <c r="AZ229" s="7"/>
      <c r="BB229" s="124">
        <v>44053</v>
      </c>
      <c r="BC229" s="2">
        <v>55.27</v>
      </c>
      <c r="BD229" s="2">
        <v>36.19</v>
      </c>
      <c r="BE229" s="2">
        <v>27.47</v>
      </c>
      <c r="BF229" s="2">
        <v>26.36</v>
      </c>
      <c r="BG229" s="2">
        <v>25.27</v>
      </c>
      <c r="BH229" s="2">
        <v>24.5</v>
      </c>
      <c r="BI229" s="2">
        <v>23</v>
      </c>
      <c r="BJ229" s="2">
        <v>21.43</v>
      </c>
      <c r="BK229" s="2">
        <v>24.68</v>
      </c>
      <c r="BL229" s="2">
        <v>21.12</v>
      </c>
      <c r="BM229" s="7"/>
      <c r="BN229" s="7"/>
      <c r="BO229" s="128">
        <v>44368</v>
      </c>
      <c r="BP229" s="2">
        <v>9.2100000000000009</v>
      </c>
      <c r="BQ229" s="2">
        <v>9.81</v>
      </c>
      <c r="BR229" s="2">
        <v>9.3000000000000007</v>
      </c>
      <c r="BS229" s="2">
        <v>9.09</v>
      </c>
      <c r="BT229" s="2"/>
      <c r="BU229" s="2"/>
      <c r="BV229" s="7"/>
      <c r="BW229" s="128">
        <v>44368</v>
      </c>
      <c r="BX229" s="2">
        <v>84.25</v>
      </c>
      <c r="BY229" s="2">
        <v>66.625</v>
      </c>
      <c r="BZ229" s="2">
        <v>61.247</v>
      </c>
      <c r="CA229" s="2">
        <v>55.5</v>
      </c>
    </row>
    <row r="230" spans="1:79" x14ac:dyDescent="0.2">
      <c r="A230" s="124">
        <v>44054</v>
      </c>
      <c r="B230">
        <v>55.625</v>
      </c>
      <c r="C230">
        <v>53.75</v>
      </c>
      <c r="D230">
        <v>55</v>
      </c>
      <c r="E230" s="17">
        <v>51.875</v>
      </c>
      <c r="F230">
        <v>51.25</v>
      </c>
      <c r="G230">
        <v>51.5</v>
      </c>
      <c r="H230">
        <v>51</v>
      </c>
      <c r="I230">
        <v>50.75</v>
      </c>
      <c r="J230">
        <v>51.25</v>
      </c>
      <c r="K230" s="17">
        <v>52.375</v>
      </c>
      <c r="L230" s="7"/>
      <c r="N230" s="124">
        <v>44054</v>
      </c>
      <c r="O230" s="2">
        <v>55.349049999999998</v>
      </c>
      <c r="P230" s="2">
        <v>36.212299999999999</v>
      </c>
      <c r="Q230" s="2">
        <v>27.48</v>
      </c>
      <c r="R230" s="2">
        <v>26.3749</v>
      </c>
      <c r="S230" s="2">
        <v>25.41</v>
      </c>
      <c r="T230" s="2">
        <v>24.501650000000001</v>
      </c>
      <c r="U230" s="2">
        <v>23.006350000000001</v>
      </c>
      <c r="V230" s="2">
        <v>21.376200000000001</v>
      </c>
      <c r="W230" s="2">
        <v>24.74</v>
      </c>
      <c r="X230" s="2">
        <v>21.172650000000001</v>
      </c>
      <c r="Y230" s="7"/>
      <c r="Z230" s="7"/>
      <c r="AA230" s="128">
        <v>44369</v>
      </c>
      <c r="AB230" s="2">
        <v>9.2444179999999996</v>
      </c>
      <c r="AC230" s="2">
        <v>9.7684730000000002</v>
      </c>
      <c r="AD230" s="2">
        <v>9.3160959999999999</v>
      </c>
      <c r="AE230" s="2">
        <v>9.1470300000000009</v>
      </c>
      <c r="AF230" s="2"/>
      <c r="AG230" s="2"/>
      <c r="AH230" s="7"/>
      <c r="AI230" s="128">
        <v>44369</v>
      </c>
      <c r="AJ230" s="2">
        <v>84.125</v>
      </c>
      <c r="AK230" s="2">
        <v>66.875</v>
      </c>
      <c r="AL230" s="2">
        <v>61.121000000000002</v>
      </c>
      <c r="AM230" s="2">
        <v>54.625</v>
      </c>
      <c r="AO230" s="124">
        <v>44054</v>
      </c>
      <c r="AP230">
        <v>55.625</v>
      </c>
      <c r="AQ230">
        <v>53.75</v>
      </c>
      <c r="AR230">
        <v>55</v>
      </c>
      <c r="AS230" s="17">
        <v>51.875</v>
      </c>
      <c r="AT230">
        <v>51.25</v>
      </c>
      <c r="AU230">
        <v>51.5</v>
      </c>
      <c r="AV230">
        <v>51</v>
      </c>
      <c r="AW230">
        <v>50.75</v>
      </c>
      <c r="AX230">
        <v>51.25</v>
      </c>
      <c r="AY230" s="17">
        <v>52.375</v>
      </c>
      <c r="AZ230" s="7"/>
      <c r="BB230" s="124">
        <v>44054</v>
      </c>
      <c r="BC230" s="2">
        <v>55.34</v>
      </c>
      <c r="BD230" s="2">
        <v>36.21</v>
      </c>
      <c r="BE230" s="2">
        <v>27.48</v>
      </c>
      <c r="BF230" s="2">
        <v>26.37</v>
      </c>
      <c r="BG230" s="2">
        <v>25.41</v>
      </c>
      <c r="BH230" s="2">
        <v>24.5</v>
      </c>
      <c r="BI230" s="2">
        <v>23</v>
      </c>
      <c r="BJ230" s="2">
        <v>21.37</v>
      </c>
      <c r="BK230" s="2">
        <v>24.74</v>
      </c>
      <c r="BL230" s="2">
        <v>21.17</v>
      </c>
      <c r="BM230" s="7"/>
      <c r="BN230" s="7"/>
      <c r="BO230" s="128">
        <v>44369</v>
      </c>
      <c r="BP230" s="2">
        <v>9.24</v>
      </c>
      <c r="BQ230" s="2">
        <v>9.77</v>
      </c>
      <c r="BR230" s="2">
        <v>9.32</v>
      </c>
      <c r="BS230" s="2">
        <v>9.36</v>
      </c>
      <c r="BT230" s="2"/>
      <c r="BU230" s="2"/>
      <c r="BV230" s="7"/>
      <c r="BW230" s="128">
        <v>44369</v>
      </c>
      <c r="BX230" s="2">
        <v>84.125</v>
      </c>
      <c r="BY230" s="2">
        <v>66.875</v>
      </c>
      <c r="BZ230" s="2">
        <v>61.121000000000002</v>
      </c>
      <c r="CA230" s="2">
        <v>54.625</v>
      </c>
    </row>
    <row r="231" spans="1:79" x14ac:dyDescent="0.2">
      <c r="A231" s="124">
        <v>44055</v>
      </c>
      <c r="B231">
        <v>55.5</v>
      </c>
      <c r="C231">
        <v>53.75</v>
      </c>
      <c r="D231">
        <v>55</v>
      </c>
      <c r="E231" s="17">
        <v>51.875</v>
      </c>
      <c r="F231">
        <v>51.25</v>
      </c>
      <c r="G231">
        <v>51.5</v>
      </c>
      <c r="H231">
        <v>51</v>
      </c>
      <c r="I231">
        <v>50.625</v>
      </c>
      <c r="J231">
        <v>51.375</v>
      </c>
      <c r="K231" s="17">
        <v>52.5</v>
      </c>
      <c r="L231" s="7"/>
      <c r="N231" s="124">
        <v>44055</v>
      </c>
      <c r="O231" s="2">
        <v>55.618250000000003</v>
      </c>
      <c r="P231" s="2">
        <v>36.236849999999997</v>
      </c>
      <c r="Q231" s="2">
        <v>27.49</v>
      </c>
      <c r="R231" s="2">
        <v>26.384499999999999</v>
      </c>
      <c r="S231" s="2">
        <v>25.41</v>
      </c>
      <c r="T231" s="2">
        <v>24.505500000000001</v>
      </c>
      <c r="U231" s="2">
        <v>23.010100000000001</v>
      </c>
      <c r="V231" s="2">
        <v>21.434200000000001</v>
      </c>
      <c r="W231" s="2">
        <v>24.68</v>
      </c>
      <c r="X231" s="2">
        <v>21.124649999999999</v>
      </c>
      <c r="Y231" s="7"/>
      <c r="Z231" s="7"/>
      <c r="AA231" s="128">
        <v>44370</v>
      </c>
      <c r="AB231" s="2">
        <v>9.1658829999999991</v>
      </c>
      <c r="AC231" s="2">
        <v>9.7059929999999994</v>
      </c>
      <c r="AD231" s="2">
        <v>9.3289620000000006</v>
      </c>
      <c r="AE231" s="2">
        <v>9.1868719999999993</v>
      </c>
      <c r="AF231" s="2"/>
      <c r="AG231" s="2"/>
      <c r="AH231" s="7"/>
      <c r="AI231" s="128">
        <v>44370</v>
      </c>
      <c r="AJ231" s="2">
        <v>84.5</v>
      </c>
      <c r="AK231" s="2">
        <v>67.25</v>
      </c>
      <c r="AL231" s="2">
        <v>61.048999999999999</v>
      </c>
      <c r="AM231" s="2">
        <v>54.5</v>
      </c>
      <c r="AO231" s="124">
        <v>44055</v>
      </c>
      <c r="AP231">
        <v>55.5</v>
      </c>
      <c r="AQ231">
        <v>53.75</v>
      </c>
      <c r="AR231">
        <v>55</v>
      </c>
      <c r="AS231" s="17">
        <v>51.875</v>
      </c>
      <c r="AT231">
        <v>51.25</v>
      </c>
      <c r="AU231">
        <v>51.5</v>
      </c>
      <c r="AV231">
        <v>51</v>
      </c>
      <c r="AW231">
        <v>50.625</v>
      </c>
      <c r="AX231">
        <v>51.375</v>
      </c>
      <c r="AY231" s="17">
        <v>52.5</v>
      </c>
      <c r="AZ231" s="7"/>
      <c r="BB231" s="124">
        <v>44055</v>
      </c>
      <c r="BC231" s="2">
        <v>55.61</v>
      </c>
      <c r="BD231" s="2">
        <v>36.229999999999997</v>
      </c>
      <c r="BE231" s="2">
        <v>27.49</v>
      </c>
      <c r="BF231" s="2">
        <v>26.38</v>
      </c>
      <c r="BG231" s="2">
        <v>25.41</v>
      </c>
      <c r="BH231" s="2">
        <v>24.5</v>
      </c>
      <c r="BI231" s="2">
        <v>23.01</v>
      </c>
      <c r="BJ231" s="2">
        <v>21.43</v>
      </c>
      <c r="BK231" s="2">
        <v>24.68</v>
      </c>
      <c r="BL231" s="2">
        <v>21.12</v>
      </c>
      <c r="BM231" s="7"/>
      <c r="BN231" s="7"/>
      <c r="BO231" s="128">
        <v>44370</v>
      </c>
      <c r="BP231" s="2">
        <v>9.17</v>
      </c>
      <c r="BQ231" s="2">
        <v>9.7100000000000009</v>
      </c>
      <c r="BR231" s="2">
        <v>9.33</v>
      </c>
      <c r="BS231" s="2">
        <v>9.4</v>
      </c>
      <c r="BT231" s="2"/>
      <c r="BU231" s="2"/>
      <c r="BV231" s="7"/>
      <c r="BW231" s="128">
        <v>44370</v>
      </c>
      <c r="BX231" s="2">
        <v>84.5</v>
      </c>
      <c r="BY231" s="2">
        <v>67.25</v>
      </c>
      <c r="BZ231" s="2">
        <v>61.048999999999999</v>
      </c>
      <c r="CA231" s="2">
        <v>54.5</v>
      </c>
    </row>
    <row r="232" spans="1:79" x14ac:dyDescent="0.2">
      <c r="A232" s="124">
        <v>44056</v>
      </c>
      <c r="B232">
        <v>55.25</v>
      </c>
      <c r="C232">
        <v>53.5</v>
      </c>
      <c r="D232">
        <v>54.75</v>
      </c>
      <c r="E232" s="17">
        <v>51.875</v>
      </c>
      <c r="F232">
        <v>51.5</v>
      </c>
      <c r="G232">
        <v>51.375</v>
      </c>
      <c r="H232">
        <v>50.75</v>
      </c>
      <c r="I232">
        <v>50.75</v>
      </c>
      <c r="J232">
        <v>51.25</v>
      </c>
      <c r="K232" s="17">
        <v>52.5</v>
      </c>
      <c r="L232" s="7"/>
      <c r="N232" s="124">
        <v>44056</v>
      </c>
      <c r="O232" s="2">
        <v>56.242150000000002</v>
      </c>
      <c r="P232" s="2">
        <v>36.536900000000003</v>
      </c>
      <c r="Q232" s="2">
        <v>27.69</v>
      </c>
      <c r="R232" s="2">
        <v>26.413450000000001</v>
      </c>
      <c r="S232" s="2">
        <v>25.29</v>
      </c>
      <c r="T232" s="2">
        <v>24.578949999999999</v>
      </c>
      <c r="U232" s="2">
        <v>23.138400000000001</v>
      </c>
      <c r="V232" s="2">
        <v>21.388549999999999</v>
      </c>
      <c r="W232" s="2">
        <v>24.75</v>
      </c>
      <c r="X232" s="2">
        <v>21.130849999999999</v>
      </c>
      <c r="Y232" s="7"/>
      <c r="Z232" s="7"/>
      <c r="AA232" s="128">
        <v>44371</v>
      </c>
      <c r="AB232" s="2">
        <v>8.5570540000000008</v>
      </c>
      <c r="AC232" s="2">
        <v>9.2896169999999998</v>
      </c>
      <c r="AD232" s="2">
        <v>9.0131219999999992</v>
      </c>
      <c r="AE232" s="2">
        <v>8.6682220000000001</v>
      </c>
      <c r="AF232" s="2"/>
      <c r="AG232" s="2"/>
      <c r="AH232" s="7"/>
      <c r="AI232" s="128">
        <v>44371</v>
      </c>
      <c r="AJ232" s="2">
        <v>87.375</v>
      </c>
      <c r="AK232" s="2">
        <v>69.748999999999995</v>
      </c>
      <c r="AL232" s="2">
        <v>63.25</v>
      </c>
      <c r="AM232" s="2">
        <v>56.375</v>
      </c>
      <c r="AO232" s="124">
        <v>44056</v>
      </c>
      <c r="AP232">
        <v>55.25</v>
      </c>
      <c r="AQ232">
        <v>53.5</v>
      </c>
      <c r="AR232">
        <v>54.75</v>
      </c>
      <c r="AS232" s="17">
        <v>51.875</v>
      </c>
      <c r="AT232">
        <v>51.5</v>
      </c>
      <c r="AU232">
        <v>51.375</v>
      </c>
      <c r="AV232">
        <v>50.75</v>
      </c>
      <c r="AW232">
        <v>50.75</v>
      </c>
      <c r="AX232">
        <v>51.25</v>
      </c>
      <c r="AY232" s="17">
        <v>52.5</v>
      </c>
      <c r="AZ232" s="7"/>
      <c r="BB232" s="124">
        <v>44056</v>
      </c>
      <c r="BC232" s="2">
        <v>56.24</v>
      </c>
      <c r="BD232" s="2">
        <v>36.53</v>
      </c>
      <c r="BE232" s="2">
        <v>27.69</v>
      </c>
      <c r="BF232" s="2">
        <v>26.41</v>
      </c>
      <c r="BG232" s="2">
        <v>25.29</v>
      </c>
      <c r="BH232" s="2">
        <v>24.58</v>
      </c>
      <c r="BI232" s="2">
        <v>23.14</v>
      </c>
      <c r="BJ232" s="2">
        <v>21.39</v>
      </c>
      <c r="BK232" s="2">
        <v>24.75</v>
      </c>
      <c r="BL232" s="2">
        <v>21.13</v>
      </c>
      <c r="BM232" s="7"/>
      <c r="BN232" s="7"/>
      <c r="BO232" s="128">
        <v>44371</v>
      </c>
      <c r="BP232" s="2">
        <v>8.56</v>
      </c>
      <c r="BQ232" s="2">
        <v>9.2899999999999991</v>
      </c>
      <c r="BR232" s="2">
        <v>9.01</v>
      </c>
      <c r="BS232" s="2">
        <v>8.86</v>
      </c>
      <c r="BT232" s="2"/>
      <c r="BU232" s="2"/>
      <c r="BV232" s="7"/>
      <c r="BW232" s="128">
        <v>44371</v>
      </c>
      <c r="BX232" s="2">
        <v>87.375</v>
      </c>
      <c r="BY232" s="2">
        <v>69.748999999999995</v>
      </c>
      <c r="BZ232" s="2">
        <v>63.25</v>
      </c>
      <c r="CA232" s="2">
        <v>56.375</v>
      </c>
    </row>
    <row r="233" spans="1:79" x14ac:dyDescent="0.2">
      <c r="A233" s="124">
        <v>44057</v>
      </c>
      <c r="B233">
        <v>55.375</v>
      </c>
      <c r="C233">
        <v>53.5</v>
      </c>
      <c r="D233">
        <v>54.75</v>
      </c>
      <c r="E233" s="17">
        <v>51.875</v>
      </c>
      <c r="F233">
        <v>51.25</v>
      </c>
      <c r="G233">
        <v>51.25</v>
      </c>
      <c r="H233">
        <v>50.75</v>
      </c>
      <c r="I233">
        <v>50.125</v>
      </c>
      <c r="J233">
        <v>51.5</v>
      </c>
      <c r="K233" s="17">
        <v>52.25</v>
      </c>
      <c r="L233" s="7"/>
      <c r="N233" s="124">
        <v>44057</v>
      </c>
      <c r="O233" s="2">
        <v>56.129449999999999</v>
      </c>
      <c r="P233" s="2">
        <v>36.561900000000001</v>
      </c>
      <c r="Q233" s="2">
        <v>27.7</v>
      </c>
      <c r="R233" s="2">
        <v>26.42315</v>
      </c>
      <c r="S233" s="2">
        <v>25.43</v>
      </c>
      <c r="T233" s="2">
        <v>24.644850000000002</v>
      </c>
      <c r="U233" s="2">
        <v>23.142250000000001</v>
      </c>
      <c r="V233" s="2">
        <v>21.668299999999999</v>
      </c>
      <c r="W233" s="2">
        <v>24.63</v>
      </c>
      <c r="X233" s="2">
        <v>21.233250000000002</v>
      </c>
      <c r="Y233" s="7"/>
      <c r="Z233" s="7"/>
      <c r="AA233" s="128">
        <v>44372</v>
      </c>
      <c r="AB233" s="2">
        <v>8.5876009999999994</v>
      </c>
      <c r="AC233" s="2">
        <v>9.2713800000000006</v>
      </c>
      <c r="AD233" s="2">
        <v>9.0151489999999992</v>
      </c>
      <c r="AE233" s="2">
        <v>8.6719120000000007</v>
      </c>
      <c r="AF233" s="2"/>
      <c r="AG233" s="2"/>
      <c r="AH233" s="7"/>
      <c r="AI233" s="128">
        <v>44372</v>
      </c>
      <c r="AJ233" s="2">
        <v>87.25</v>
      </c>
      <c r="AK233" s="2">
        <v>69.875</v>
      </c>
      <c r="AL233" s="2">
        <v>63.25</v>
      </c>
      <c r="AM233" s="2">
        <v>56.375</v>
      </c>
      <c r="AO233" s="124">
        <v>44057</v>
      </c>
      <c r="AP233">
        <v>55.375</v>
      </c>
      <c r="AQ233">
        <v>53.5</v>
      </c>
      <c r="AR233">
        <v>54.75</v>
      </c>
      <c r="AS233" s="17">
        <v>51.875</v>
      </c>
      <c r="AT233">
        <v>51.25</v>
      </c>
      <c r="AU233">
        <v>51.25</v>
      </c>
      <c r="AV233">
        <v>50.75</v>
      </c>
      <c r="AW233">
        <v>50.125</v>
      </c>
      <c r="AX233">
        <v>51.5</v>
      </c>
      <c r="AY233" s="17">
        <v>52.25</v>
      </c>
      <c r="AZ233" s="7"/>
      <c r="BB233" s="124">
        <v>44057</v>
      </c>
      <c r="BC233" s="2">
        <v>56.12</v>
      </c>
      <c r="BD233" s="2">
        <v>36.56</v>
      </c>
      <c r="BE233" s="2">
        <v>27.7</v>
      </c>
      <c r="BF233" s="2">
        <v>26.42</v>
      </c>
      <c r="BG233" s="2">
        <v>25.43</v>
      </c>
      <c r="BH233" s="2">
        <v>24.64</v>
      </c>
      <c r="BI233" s="2">
        <v>23.14</v>
      </c>
      <c r="BJ233" s="2">
        <v>21.67</v>
      </c>
      <c r="BK233" s="2">
        <v>24.63</v>
      </c>
      <c r="BL233" s="2">
        <v>21.23</v>
      </c>
      <c r="BM233" s="7"/>
      <c r="BN233" s="7"/>
      <c r="BO233" s="128">
        <v>44372</v>
      </c>
      <c r="BP233" s="2">
        <v>8.59</v>
      </c>
      <c r="BQ233" s="2">
        <v>9.27</v>
      </c>
      <c r="BR233" s="2">
        <v>9.02</v>
      </c>
      <c r="BS233" s="2">
        <v>8.86</v>
      </c>
      <c r="BT233" s="2"/>
      <c r="BU233" s="2"/>
      <c r="BV233" s="7"/>
      <c r="BW233" s="128">
        <v>44372</v>
      </c>
      <c r="BX233" s="2">
        <v>87.25</v>
      </c>
      <c r="BY233" s="2">
        <v>69.875</v>
      </c>
      <c r="BZ233" s="2">
        <v>63.25</v>
      </c>
      <c r="CA233" s="2">
        <v>56.375</v>
      </c>
    </row>
    <row r="234" spans="1:79" x14ac:dyDescent="0.2">
      <c r="A234" s="124">
        <v>44060</v>
      </c>
      <c r="B234">
        <v>56.5</v>
      </c>
      <c r="C234">
        <v>53.75</v>
      </c>
      <c r="D234">
        <v>56.5</v>
      </c>
      <c r="E234" s="17">
        <v>52.75</v>
      </c>
      <c r="F234">
        <v>52.5</v>
      </c>
      <c r="G234">
        <v>52.375</v>
      </c>
      <c r="H234">
        <v>52.75</v>
      </c>
      <c r="I234">
        <v>51.75</v>
      </c>
      <c r="J234">
        <v>52.25</v>
      </c>
      <c r="K234" s="17">
        <v>53.5</v>
      </c>
      <c r="L234" s="7"/>
      <c r="N234" s="124">
        <v>44060</v>
      </c>
      <c r="O234" s="2">
        <v>54.491849999999999</v>
      </c>
      <c r="P234" s="2">
        <v>36.36045</v>
      </c>
      <c r="Q234" s="2">
        <v>26.6</v>
      </c>
      <c r="R234" s="2">
        <v>25.916</v>
      </c>
      <c r="S234" s="2">
        <v>24.79</v>
      </c>
      <c r="T234" s="2">
        <v>24.098099999999999</v>
      </c>
      <c r="U234" s="2">
        <v>22.231950000000001</v>
      </c>
      <c r="V234" s="2">
        <v>20.961649999999999</v>
      </c>
      <c r="W234" s="2">
        <v>24.28</v>
      </c>
      <c r="X234" s="2">
        <v>20.740849999999998</v>
      </c>
      <c r="Y234" s="7"/>
      <c r="Z234" s="7"/>
      <c r="AA234" s="128">
        <v>44375</v>
      </c>
      <c r="AB234" s="2">
        <v>8.7026629999999994</v>
      </c>
      <c r="AC234" s="2">
        <v>9.3814139999999995</v>
      </c>
      <c r="AD234" s="2">
        <v>9.2160820000000001</v>
      </c>
      <c r="AE234" s="2">
        <v>8.7140900000000006</v>
      </c>
      <c r="AF234" s="2"/>
      <c r="AG234" s="2"/>
      <c r="AH234" s="7"/>
      <c r="AI234" s="128">
        <v>44375</v>
      </c>
      <c r="AJ234" s="2">
        <v>86.75</v>
      </c>
      <c r="AK234" s="2">
        <v>69.25</v>
      </c>
      <c r="AL234" s="2">
        <v>61.896000000000001</v>
      </c>
      <c r="AM234" s="2">
        <v>56.25</v>
      </c>
      <c r="AO234" s="124">
        <v>44060</v>
      </c>
      <c r="AP234">
        <v>56.5</v>
      </c>
      <c r="AQ234">
        <v>53.75</v>
      </c>
      <c r="AR234">
        <v>56.5</v>
      </c>
      <c r="AS234" s="17">
        <v>52.75</v>
      </c>
      <c r="AT234">
        <v>52.5</v>
      </c>
      <c r="AU234">
        <v>52.375</v>
      </c>
      <c r="AV234">
        <v>52.75</v>
      </c>
      <c r="AW234">
        <v>51.75</v>
      </c>
      <c r="AX234">
        <v>52.25</v>
      </c>
      <c r="AY234" s="17">
        <v>53.5</v>
      </c>
      <c r="AZ234" s="7"/>
      <c r="BB234" s="124">
        <v>44060</v>
      </c>
      <c r="BC234" s="2">
        <v>54.49</v>
      </c>
      <c r="BD234" s="2">
        <v>36.36</v>
      </c>
      <c r="BE234" s="2">
        <v>26.6</v>
      </c>
      <c r="BF234" s="2">
        <v>25.91</v>
      </c>
      <c r="BG234" s="2">
        <v>24.79</v>
      </c>
      <c r="BH234" s="2">
        <v>24.1</v>
      </c>
      <c r="BI234" s="2">
        <v>22.23</v>
      </c>
      <c r="BJ234" s="2">
        <v>20.96</v>
      </c>
      <c r="BK234" s="2">
        <v>24.28</v>
      </c>
      <c r="BL234" s="2">
        <v>20.74</v>
      </c>
      <c r="BM234" s="7"/>
      <c r="BN234" s="7"/>
      <c r="BO234" s="128">
        <v>44375</v>
      </c>
      <c r="BP234" s="2">
        <v>8.6999999999999993</v>
      </c>
      <c r="BQ234" s="2">
        <v>9.3800000000000008</v>
      </c>
      <c r="BR234" s="2">
        <v>9.2200000000000006</v>
      </c>
      <c r="BS234" s="2">
        <v>8.9</v>
      </c>
      <c r="BT234" s="2"/>
      <c r="BU234" s="2"/>
      <c r="BV234" s="7"/>
      <c r="BW234" s="128">
        <v>44375</v>
      </c>
      <c r="BX234" s="2">
        <v>86.75</v>
      </c>
      <c r="BY234" s="2">
        <v>69.25</v>
      </c>
      <c r="BZ234" s="2">
        <v>61.896000000000001</v>
      </c>
      <c r="CA234" s="2">
        <v>56.25</v>
      </c>
    </row>
    <row r="235" spans="1:79" x14ac:dyDescent="0.2">
      <c r="A235" s="124">
        <v>44061</v>
      </c>
      <c r="B235">
        <v>56.625</v>
      </c>
      <c r="C235">
        <v>53.75</v>
      </c>
      <c r="D235">
        <v>56.5</v>
      </c>
      <c r="E235" s="17">
        <v>52.875</v>
      </c>
      <c r="F235">
        <v>52.5</v>
      </c>
      <c r="G235">
        <v>52.5</v>
      </c>
      <c r="H235">
        <v>52.75</v>
      </c>
      <c r="I235">
        <v>51.75</v>
      </c>
      <c r="J235">
        <v>52.375</v>
      </c>
      <c r="K235" s="17">
        <v>53.5</v>
      </c>
      <c r="L235" s="7"/>
      <c r="N235" s="124">
        <v>44061</v>
      </c>
      <c r="O235" s="2">
        <v>54.381450000000001</v>
      </c>
      <c r="P235" s="2">
        <v>36.385399999999997</v>
      </c>
      <c r="Q235" s="2">
        <v>26.61</v>
      </c>
      <c r="R235" s="2">
        <v>25.852450000000001</v>
      </c>
      <c r="S235" s="2">
        <v>24.8</v>
      </c>
      <c r="T235" s="2">
        <v>24.041799999999999</v>
      </c>
      <c r="U235" s="2">
        <v>22.235600000000002</v>
      </c>
      <c r="V235" s="2">
        <v>20.964700000000001</v>
      </c>
      <c r="W235" s="2">
        <v>24.23</v>
      </c>
      <c r="X235" s="2">
        <v>20.742899999999999</v>
      </c>
      <c r="Y235" s="7"/>
      <c r="Z235" s="7"/>
      <c r="AA235" s="128">
        <v>44376</v>
      </c>
      <c r="AB235" s="2">
        <v>8.8908909999999999</v>
      </c>
      <c r="AC235" s="2">
        <v>9.4867270000000001</v>
      </c>
      <c r="AD235" s="2">
        <v>9.2061659999999996</v>
      </c>
      <c r="AE235" s="2">
        <v>8.9246549999999996</v>
      </c>
      <c r="AF235" s="2"/>
      <c r="AG235" s="2"/>
      <c r="AH235" s="7"/>
      <c r="AI235" s="128">
        <v>44376</v>
      </c>
      <c r="AJ235" s="2">
        <v>85.875</v>
      </c>
      <c r="AK235" s="2">
        <v>68.625</v>
      </c>
      <c r="AL235" s="2">
        <v>61.962000000000003</v>
      </c>
      <c r="AM235" s="2">
        <v>55.5</v>
      </c>
      <c r="AO235" s="124">
        <v>44061</v>
      </c>
      <c r="AP235">
        <v>56.625</v>
      </c>
      <c r="AQ235">
        <v>53.75</v>
      </c>
      <c r="AR235">
        <v>56.5</v>
      </c>
      <c r="AS235" s="17">
        <v>52.875</v>
      </c>
      <c r="AT235">
        <v>52.5</v>
      </c>
      <c r="AU235">
        <v>52.5</v>
      </c>
      <c r="AV235">
        <v>52.75</v>
      </c>
      <c r="AW235">
        <v>51.75</v>
      </c>
      <c r="AX235">
        <v>52.375</v>
      </c>
      <c r="AY235" s="17">
        <v>53.5</v>
      </c>
      <c r="AZ235" s="7"/>
      <c r="BB235" s="124">
        <v>44061</v>
      </c>
      <c r="BC235" s="2">
        <v>54.38</v>
      </c>
      <c r="BD235" s="2">
        <v>36.380000000000003</v>
      </c>
      <c r="BE235" s="2">
        <v>26.61</v>
      </c>
      <c r="BF235" s="2">
        <v>25.85</v>
      </c>
      <c r="BG235" s="2">
        <v>24.8</v>
      </c>
      <c r="BH235" s="2">
        <v>24.04</v>
      </c>
      <c r="BI235" s="2">
        <v>22.23</v>
      </c>
      <c r="BJ235" s="2">
        <v>20.96</v>
      </c>
      <c r="BK235" s="2">
        <v>24.23</v>
      </c>
      <c r="BL235" s="2">
        <v>20.74</v>
      </c>
      <c r="BM235" s="7"/>
      <c r="BN235" s="7"/>
      <c r="BO235" s="128">
        <v>44376</v>
      </c>
      <c r="BP235" s="2">
        <v>8.89</v>
      </c>
      <c r="BQ235" s="2">
        <v>9.49</v>
      </c>
      <c r="BR235" s="2">
        <v>9.2100000000000009</v>
      </c>
      <c r="BS235" s="2">
        <v>9.1199999999999992</v>
      </c>
      <c r="BT235" s="2"/>
      <c r="BU235" s="2"/>
      <c r="BV235" s="7"/>
      <c r="BW235" s="128">
        <v>44376</v>
      </c>
      <c r="BX235" s="2">
        <v>85.875</v>
      </c>
      <c r="BY235" s="2">
        <v>68.625</v>
      </c>
      <c r="BZ235" s="2">
        <v>61.962000000000003</v>
      </c>
      <c r="CA235" s="2">
        <v>55.5</v>
      </c>
    </row>
    <row r="236" spans="1:79" x14ac:dyDescent="0.2">
      <c r="A236" s="124">
        <v>44062</v>
      </c>
      <c r="B236">
        <v>56.625</v>
      </c>
      <c r="C236">
        <v>53.75</v>
      </c>
      <c r="D236">
        <v>56.5</v>
      </c>
      <c r="E236" s="17">
        <v>52.875</v>
      </c>
      <c r="F236">
        <v>52.5</v>
      </c>
      <c r="G236">
        <v>52.5</v>
      </c>
      <c r="H236">
        <v>52.75</v>
      </c>
      <c r="I236">
        <v>51.75</v>
      </c>
      <c r="J236">
        <v>52.375</v>
      </c>
      <c r="K236" s="17">
        <v>53.5</v>
      </c>
      <c r="L236" s="7"/>
      <c r="N236" s="124">
        <v>44062</v>
      </c>
      <c r="O236" s="2">
        <v>54.459400000000002</v>
      </c>
      <c r="P236" s="2">
        <v>36.410400000000003</v>
      </c>
      <c r="Q236" s="2">
        <v>26.62</v>
      </c>
      <c r="R236" s="2">
        <v>25.861899999999999</v>
      </c>
      <c r="S236" s="2">
        <v>24.8</v>
      </c>
      <c r="T236" s="2">
        <v>24.0456</v>
      </c>
      <c r="U236" s="2">
        <v>22.239249999999998</v>
      </c>
      <c r="V236" s="2">
        <v>20.967749999999999</v>
      </c>
      <c r="W236" s="2">
        <v>24.23</v>
      </c>
      <c r="X236" s="2">
        <v>20.744949999999999</v>
      </c>
      <c r="Y236" s="7"/>
      <c r="Z236" s="7"/>
      <c r="AA236" s="128">
        <v>44377</v>
      </c>
      <c r="AB236" s="2">
        <v>8.8409659999999999</v>
      </c>
      <c r="AC236" s="2">
        <v>9.5107579999999992</v>
      </c>
      <c r="AD236" s="2">
        <v>9.1765489999999996</v>
      </c>
      <c r="AE236" s="2">
        <v>8.8227379999999993</v>
      </c>
      <c r="AF236" s="2"/>
      <c r="AG236" s="2"/>
      <c r="AH236" s="7"/>
      <c r="AI236" s="128">
        <v>44377</v>
      </c>
      <c r="AJ236" s="2">
        <v>86.125</v>
      </c>
      <c r="AK236" s="2">
        <v>68.5</v>
      </c>
      <c r="AL236" s="2">
        <v>62.177999999999997</v>
      </c>
      <c r="AM236" s="2">
        <v>55.875</v>
      </c>
      <c r="AO236" s="124">
        <v>44062</v>
      </c>
      <c r="AP236">
        <v>56.625</v>
      </c>
      <c r="AQ236">
        <v>53.75</v>
      </c>
      <c r="AR236">
        <v>56.5</v>
      </c>
      <c r="AS236" s="17">
        <v>52.875</v>
      </c>
      <c r="AT236">
        <v>52.5</v>
      </c>
      <c r="AU236">
        <v>52.5</v>
      </c>
      <c r="AV236">
        <v>52.75</v>
      </c>
      <c r="AW236">
        <v>51.75</v>
      </c>
      <c r="AX236">
        <v>52.375</v>
      </c>
      <c r="AY236" s="17">
        <v>53.5</v>
      </c>
      <c r="AZ236" s="7"/>
      <c r="BB236" s="124">
        <v>44062</v>
      </c>
      <c r="BC236" s="2">
        <v>54.45</v>
      </c>
      <c r="BD236" s="2">
        <v>36.409999999999997</v>
      </c>
      <c r="BE236" s="2">
        <v>26.62</v>
      </c>
      <c r="BF236" s="2">
        <v>25.86</v>
      </c>
      <c r="BG236" s="2">
        <v>24.8</v>
      </c>
      <c r="BH236" s="2">
        <v>24.04</v>
      </c>
      <c r="BI236" s="2">
        <v>22.24</v>
      </c>
      <c r="BJ236" s="2">
        <v>20.97</v>
      </c>
      <c r="BK236" s="2">
        <v>24.23</v>
      </c>
      <c r="BL236" s="2">
        <v>20.74</v>
      </c>
      <c r="BM236" s="7"/>
      <c r="BN236" s="7"/>
      <c r="BO236" s="128">
        <v>44377</v>
      </c>
      <c r="BP236" s="2">
        <v>8.84</v>
      </c>
      <c r="BQ236" s="2">
        <v>9.51</v>
      </c>
      <c r="BR236" s="2">
        <v>9.18</v>
      </c>
      <c r="BS236" s="2">
        <v>9.02</v>
      </c>
      <c r="BT236" s="2"/>
      <c r="BU236" s="2"/>
      <c r="BV236" s="7"/>
      <c r="BW236" s="128">
        <v>44377</v>
      </c>
      <c r="BX236" s="2">
        <v>86.125</v>
      </c>
      <c r="BY236" s="2">
        <v>68.5</v>
      </c>
      <c r="BZ236" s="2">
        <v>62.177999999999997</v>
      </c>
      <c r="CA236" s="2">
        <v>55.875</v>
      </c>
    </row>
    <row r="237" spans="1:79" x14ac:dyDescent="0.2">
      <c r="A237" s="124">
        <v>44063</v>
      </c>
      <c r="B237">
        <v>56.75</v>
      </c>
      <c r="C237">
        <v>53.75</v>
      </c>
      <c r="D237">
        <v>56.5</v>
      </c>
      <c r="E237" s="17">
        <v>53</v>
      </c>
      <c r="F237">
        <v>52.5</v>
      </c>
      <c r="G237">
        <v>52.5</v>
      </c>
      <c r="H237">
        <v>52.75</v>
      </c>
      <c r="I237">
        <v>51.75</v>
      </c>
      <c r="J237">
        <v>52.25</v>
      </c>
      <c r="K237" s="17">
        <v>53.5</v>
      </c>
      <c r="L237" s="7"/>
      <c r="N237" s="124">
        <v>44063</v>
      </c>
      <c r="O237" s="2">
        <v>54.506250000000001</v>
      </c>
      <c r="P237" s="2">
        <v>36.485900000000001</v>
      </c>
      <c r="Q237" s="2">
        <v>26.66</v>
      </c>
      <c r="R237" s="2">
        <v>25.817499999999999</v>
      </c>
      <c r="S237" s="2">
        <v>24.82</v>
      </c>
      <c r="T237" s="2">
        <v>24.05715</v>
      </c>
      <c r="U237" s="2">
        <v>22.250250000000001</v>
      </c>
      <c r="V237" s="2">
        <v>20.976949999999999</v>
      </c>
      <c r="W237" s="2">
        <v>24.29</v>
      </c>
      <c r="X237" s="2">
        <v>20.751149999999999</v>
      </c>
      <c r="Y237" s="7"/>
      <c r="Z237" s="7"/>
      <c r="AA237" s="128">
        <v>44378</v>
      </c>
      <c r="AB237" s="2">
        <v>8.8848400000000005</v>
      </c>
      <c r="AC237" s="2">
        <v>9.4159439999999996</v>
      </c>
      <c r="AD237" s="2">
        <v>9.1744520000000005</v>
      </c>
      <c r="AE237" s="2">
        <v>8.8378189999999996</v>
      </c>
      <c r="AF237" s="2"/>
      <c r="AG237" s="2"/>
      <c r="AH237" s="7"/>
      <c r="AI237" s="128">
        <v>44378</v>
      </c>
      <c r="AJ237" s="2">
        <v>86</v>
      </c>
      <c r="AK237" s="2">
        <v>69.125</v>
      </c>
      <c r="AL237" s="2">
        <v>62.249000000000002</v>
      </c>
      <c r="AM237" s="2">
        <v>55.875</v>
      </c>
      <c r="AO237" s="124">
        <v>44063</v>
      </c>
      <c r="AP237">
        <v>56.75</v>
      </c>
      <c r="AQ237">
        <v>53.75</v>
      </c>
      <c r="AR237">
        <v>56.5</v>
      </c>
      <c r="AS237" s="17">
        <v>53</v>
      </c>
      <c r="AT237">
        <v>52.5</v>
      </c>
      <c r="AU237">
        <v>52.5</v>
      </c>
      <c r="AV237">
        <v>52.75</v>
      </c>
      <c r="AW237">
        <v>51.75</v>
      </c>
      <c r="AX237">
        <v>52.25</v>
      </c>
      <c r="AY237" s="17">
        <v>53.5</v>
      </c>
      <c r="AZ237" s="7"/>
      <c r="BB237" s="124">
        <v>44063</v>
      </c>
      <c r="BC237" s="2">
        <v>54.5</v>
      </c>
      <c r="BD237" s="2">
        <v>36.479999999999997</v>
      </c>
      <c r="BE237" s="2">
        <v>26.66</v>
      </c>
      <c r="BF237" s="2">
        <v>25.82</v>
      </c>
      <c r="BG237" s="2">
        <v>24.82</v>
      </c>
      <c r="BH237" s="2">
        <v>24.06</v>
      </c>
      <c r="BI237" s="2">
        <v>22.25</v>
      </c>
      <c r="BJ237" s="2">
        <v>20.98</v>
      </c>
      <c r="BK237" s="2">
        <v>24.29</v>
      </c>
      <c r="BL237" s="2">
        <v>20.75</v>
      </c>
      <c r="BM237" s="7"/>
      <c r="BN237" s="7"/>
      <c r="BO237" s="128">
        <v>44378</v>
      </c>
      <c r="BP237" s="2">
        <v>8.8800000000000008</v>
      </c>
      <c r="BQ237" s="2">
        <v>9.42</v>
      </c>
      <c r="BR237" s="2">
        <v>9.17</v>
      </c>
      <c r="BS237" s="2">
        <v>9.0299999999999994</v>
      </c>
      <c r="BT237" s="2"/>
      <c r="BU237" s="2"/>
      <c r="BV237" s="7"/>
      <c r="BW237" s="128">
        <v>44378</v>
      </c>
      <c r="BX237" s="2">
        <v>86</v>
      </c>
      <c r="BY237" s="2">
        <v>69.125</v>
      </c>
      <c r="BZ237" s="2">
        <v>62.249000000000002</v>
      </c>
      <c r="CA237" s="2">
        <v>55.875</v>
      </c>
    </row>
    <row r="238" spans="1:79" x14ac:dyDescent="0.2">
      <c r="A238" s="124">
        <v>44064</v>
      </c>
      <c r="B238">
        <v>56.75</v>
      </c>
      <c r="C238">
        <v>53.75</v>
      </c>
      <c r="D238">
        <v>56.5</v>
      </c>
      <c r="E238" s="17">
        <v>53</v>
      </c>
      <c r="F238">
        <v>52.5</v>
      </c>
      <c r="G238">
        <v>52.5</v>
      </c>
      <c r="H238">
        <v>52.75</v>
      </c>
      <c r="I238">
        <v>51.75</v>
      </c>
      <c r="J238">
        <v>52.25</v>
      </c>
      <c r="K238" s="17">
        <v>53.5</v>
      </c>
      <c r="L238" s="7"/>
      <c r="N238" s="124">
        <v>44064</v>
      </c>
      <c r="O238" s="2">
        <v>54.585299999999997</v>
      </c>
      <c r="P238" s="2">
        <v>36.511200000000002</v>
      </c>
      <c r="Q238" s="2">
        <v>26.67</v>
      </c>
      <c r="R238" s="2">
        <v>25.827000000000002</v>
      </c>
      <c r="S238" s="2">
        <v>24.82</v>
      </c>
      <c r="T238" s="2">
        <v>24.061050000000002</v>
      </c>
      <c r="U238" s="2">
        <v>22.25395</v>
      </c>
      <c r="V238" s="2">
        <v>20.98</v>
      </c>
      <c r="W238" s="2">
        <v>24.29</v>
      </c>
      <c r="X238" s="2">
        <v>20.753250000000001</v>
      </c>
      <c r="Y238" s="7"/>
      <c r="Z238" s="7"/>
      <c r="AA238" s="128">
        <v>44379</v>
      </c>
      <c r="AB238" s="2">
        <v>8.6200790000000005</v>
      </c>
      <c r="AC238" s="2">
        <v>9.3138579999999997</v>
      </c>
      <c r="AD238" s="2">
        <v>9.0131949999999996</v>
      </c>
      <c r="AE238" s="2">
        <v>8.701549</v>
      </c>
      <c r="AF238" s="2"/>
      <c r="AG238" s="2"/>
      <c r="AH238" s="7"/>
      <c r="AI238" s="128">
        <v>44379</v>
      </c>
      <c r="AJ238" s="2">
        <v>87.25</v>
      </c>
      <c r="AK238" s="2">
        <v>69.75</v>
      </c>
      <c r="AL238" s="2">
        <v>63.377000000000002</v>
      </c>
      <c r="AM238" s="2">
        <v>56.375</v>
      </c>
      <c r="AO238" s="124">
        <v>44064</v>
      </c>
      <c r="AP238">
        <v>56.75</v>
      </c>
      <c r="AQ238">
        <v>53.75</v>
      </c>
      <c r="AR238">
        <v>56.5</v>
      </c>
      <c r="AS238" s="17">
        <v>53</v>
      </c>
      <c r="AT238">
        <v>52.5</v>
      </c>
      <c r="AU238">
        <v>52.5</v>
      </c>
      <c r="AV238">
        <v>52.75</v>
      </c>
      <c r="AW238">
        <v>51.75</v>
      </c>
      <c r="AX238">
        <v>52.25</v>
      </c>
      <c r="AY238" s="17">
        <v>53.5</v>
      </c>
      <c r="AZ238" s="7"/>
      <c r="BB238" s="124">
        <v>44064</v>
      </c>
      <c r="BC238" s="2">
        <v>54.58</v>
      </c>
      <c r="BD238" s="2">
        <v>36.51</v>
      </c>
      <c r="BE238" s="2">
        <v>26.67</v>
      </c>
      <c r="BF238" s="2">
        <v>25.83</v>
      </c>
      <c r="BG238" s="2">
        <v>24.82</v>
      </c>
      <c r="BH238" s="2">
        <v>24.06</v>
      </c>
      <c r="BI238" s="2">
        <v>22.25</v>
      </c>
      <c r="BJ238" s="2">
        <v>20.98</v>
      </c>
      <c r="BK238" s="2">
        <v>24.29</v>
      </c>
      <c r="BL238" s="2">
        <v>20.75</v>
      </c>
      <c r="BM238" s="7"/>
      <c r="BN238" s="7"/>
      <c r="BO238" s="128">
        <v>44379</v>
      </c>
      <c r="BP238" s="2">
        <v>8.6199999999999992</v>
      </c>
      <c r="BQ238" s="2">
        <v>9.31</v>
      </c>
      <c r="BR238" s="2">
        <v>9.01</v>
      </c>
      <c r="BS238" s="2">
        <v>8.89</v>
      </c>
      <c r="BT238" s="2"/>
      <c r="BU238" s="2"/>
      <c r="BV238" s="7"/>
      <c r="BW238" s="128">
        <v>44379</v>
      </c>
      <c r="BX238" s="2">
        <v>87.25</v>
      </c>
      <c r="BY238" s="2">
        <v>69.75</v>
      </c>
      <c r="BZ238" s="2">
        <v>63.377000000000002</v>
      </c>
      <c r="CA238" s="2">
        <v>56.375</v>
      </c>
    </row>
    <row r="239" spans="1:79" x14ac:dyDescent="0.2">
      <c r="A239" s="124">
        <v>44067</v>
      </c>
      <c r="B239">
        <v>56.75</v>
      </c>
      <c r="C239">
        <v>53.75</v>
      </c>
      <c r="D239">
        <v>55.75</v>
      </c>
      <c r="E239" s="17">
        <v>53</v>
      </c>
      <c r="F239">
        <v>52.125</v>
      </c>
      <c r="G239">
        <v>52.5</v>
      </c>
      <c r="H239">
        <v>52.75</v>
      </c>
      <c r="I239">
        <v>51.375</v>
      </c>
      <c r="J239">
        <v>52.25</v>
      </c>
      <c r="K239" s="17">
        <v>53.5</v>
      </c>
      <c r="L239" s="7"/>
      <c r="N239" s="124">
        <v>44067</v>
      </c>
      <c r="O239" s="2">
        <v>54.6648</v>
      </c>
      <c r="P239" s="2">
        <v>36.536549999999998</v>
      </c>
      <c r="Q239" s="2">
        <v>27.16</v>
      </c>
      <c r="R239" s="2">
        <v>25.836549999999999</v>
      </c>
      <c r="S239" s="2">
        <v>25.01</v>
      </c>
      <c r="T239" s="2">
        <v>24.064900000000002</v>
      </c>
      <c r="U239" s="2">
        <v>22.257650000000002</v>
      </c>
      <c r="V239" s="2">
        <v>21.144349999999999</v>
      </c>
      <c r="W239" s="2">
        <v>24.29</v>
      </c>
      <c r="X239" s="2">
        <v>20.755299999999998</v>
      </c>
      <c r="Y239" s="7"/>
      <c r="Z239" s="7"/>
      <c r="AA239" s="128">
        <v>44382</v>
      </c>
      <c r="AB239" s="2">
        <v>8.6734899999999993</v>
      </c>
      <c r="AC239" s="2">
        <v>9.1895389999999999</v>
      </c>
      <c r="AD239" s="2">
        <v>9.0319769999999995</v>
      </c>
      <c r="AE239" s="2">
        <v>8.8064540000000004</v>
      </c>
      <c r="AF239" s="2"/>
      <c r="AG239" s="2"/>
      <c r="AH239" s="7"/>
      <c r="AI239" s="128">
        <v>44382</v>
      </c>
      <c r="AJ239" s="2">
        <v>87</v>
      </c>
      <c r="AK239" s="2">
        <v>70.5</v>
      </c>
      <c r="AL239" s="2">
        <v>63.246000000000002</v>
      </c>
      <c r="AM239" s="2">
        <v>56</v>
      </c>
      <c r="AO239" s="124">
        <v>44067</v>
      </c>
      <c r="AP239">
        <v>56.75</v>
      </c>
      <c r="AQ239">
        <v>53.75</v>
      </c>
      <c r="AR239">
        <v>55.75</v>
      </c>
      <c r="AS239" s="17">
        <v>53</v>
      </c>
      <c r="AT239">
        <v>52.125</v>
      </c>
      <c r="AU239">
        <v>52.5</v>
      </c>
      <c r="AV239">
        <v>52.75</v>
      </c>
      <c r="AW239">
        <v>51.375</v>
      </c>
      <c r="AX239">
        <v>52.25</v>
      </c>
      <c r="AY239" s="17">
        <v>53.5</v>
      </c>
      <c r="AZ239" s="7"/>
      <c r="BB239" s="124">
        <v>44067</v>
      </c>
      <c r="BC239" s="2">
        <v>54.66</v>
      </c>
      <c r="BD239" s="2">
        <v>36.53</v>
      </c>
      <c r="BE239" s="2">
        <v>27.16</v>
      </c>
      <c r="BF239" s="2">
        <v>25.83</v>
      </c>
      <c r="BG239" s="2">
        <v>25.01</v>
      </c>
      <c r="BH239" s="2">
        <v>24.06</v>
      </c>
      <c r="BI239" s="2">
        <v>22.26</v>
      </c>
      <c r="BJ239" s="2">
        <v>21.14</v>
      </c>
      <c r="BK239" s="2">
        <v>24.29</v>
      </c>
      <c r="BL239" s="2">
        <v>20.75</v>
      </c>
      <c r="BM239" s="7"/>
      <c r="BN239" s="7"/>
      <c r="BO239" s="128">
        <v>44382</v>
      </c>
      <c r="BP239" s="2">
        <v>8.67</v>
      </c>
      <c r="BQ239" s="2">
        <v>9.19</v>
      </c>
      <c r="BR239" s="2">
        <v>9.0299999999999994</v>
      </c>
      <c r="BS239" s="2">
        <v>9</v>
      </c>
      <c r="BT239" s="2"/>
      <c r="BU239" s="2"/>
      <c r="BV239" s="7"/>
      <c r="BW239" s="128">
        <v>44382</v>
      </c>
      <c r="BX239" s="2">
        <v>87</v>
      </c>
      <c r="BY239" s="2">
        <v>70.5</v>
      </c>
      <c r="BZ239" s="2">
        <v>63.25</v>
      </c>
      <c r="CA239" s="2">
        <v>56</v>
      </c>
    </row>
    <row r="240" spans="1:79" x14ac:dyDescent="0.2">
      <c r="A240" s="124">
        <v>44068</v>
      </c>
      <c r="B240">
        <v>56.75</v>
      </c>
      <c r="C240">
        <v>53.75</v>
      </c>
      <c r="D240">
        <v>55.75</v>
      </c>
      <c r="E240" s="17">
        <v>53</v>
      </c>
      <c r="F240">
        <v>52.125</v>
      </c>
      <c r="G240">
        <v>52.5</v>
      </c>
      <c r="H240">
        <v>52.75</v>
      </c>
      <c r="I240">
        <v>51.375</v>
      </c>
      <c r="J240">
        <v>52.25</v>
      </c>
      <c r="K240" s="17">
        <v>53.5</v>
      </c>
      <c r="L240" s="7"/>
      <c r="N240" s="124">
        <v>44068</v>
      </c>
      <c r="O240" s="2">
        <v>54.744599999999998</v>
      </c>
      <c r="P240" s="2">
        <v>36.562049999999999</v>
      </c>
      <c r="Q240" s="2">
        <v>27.17</v>
      </c>
      <c r="R240" s="2">
        <v>25.846050000000002</v>
      </c>
      <c r="S240" s="2">
        <v>26.04</v>
      </c>
      <c r="T240" s="2">
        <v>25.18515</v>
      </c>
      <c r="U240" s="2">
        <v>22.26135</v>
      </c>
      <c r="V240" s="2">
        <v>21.147449999999999</v>
      </c>
      <c r="W240" s="2">
        <v>24.67</v>
      </c>
      <c r="X240" s="2">
        <v>22.372</v>
      </c>
      <c r="Y240" s="7"/>
      <c r="Z240" s="7"/>
      <c r="AA240" s="128">
        <v>44383</v>
      </c>
      <c r="AB240" s="2">
        <v>8.5975099999999998</v>
      </c>
      <c r="AC240" s="2">
        <v>9.1922180000000004</v>
      </c>
      <c r="AD240" s="2">
        <v>8.97851</v>
      </c>
      <c r="AE240" s="2">
        <v>8.670458</v>
      </c>
      <c r="AF240" s="2"/>
      <c r="AG240" s="2"/>
      <c r="AH240" s="7"/>
      <c r="AI240" s="128">
        <v>44383</v>
      </c>
      <c r="AJ240" s="2">
        <v>87.375</v>
      </c>
      <c r="AK240" s="2">
        <v>70.5</v>
      </c>
      <c r="AL240" s="2">
        <v>63.634</v>
      </c>
      <c r="AM240" s="2">
        <v>56.5</v>
      </c>
      <c r="AO240" s="124">
        <v>44068</v>
      </c>
      <c r="AP240">
        <v>56.75</v>
      </c>
      <c r="AQ240">
        <v>53.75</v>
      </c>
      <c r="AR240">
        <v>55.75</v>
      </c>
      <c r="AS240" s="17">
        <v>53</v>
      </c>
      <c r="AT240">
        <v>52.125</v>
      </c>
      <c r="AU240">
        <v>52.5</v>
      </c>
      <c r="AV240">
        <v>52.75</v>
      </c>
      <c r="AW240">
        <v>51.375</v>
      </c>
      <c r="AX240">
        <v>52.25</v>
      </c>
      <c r="AY240" s="17">
        <v>53.5</v>
      </c>
      <c r="AZ240" s="7"/>
      <c r="BB240" s="124">
        <v>44068</v>
      </c>
      <c r="BC240" s="2">
        <v>54.74</v>
      </c>
      <c r="BD240" s="2">
        <v>36.56</v>
      </c>
      <c r="BE240" s="2">
        <v>27.17</v>
      </c>
      <c r="BF240" s="2">
        <v>25.84</v>
      </c>
      <c r="BG240" s="2">
        <v>26.04</v>
      </c>
      <c r="BH240" s="2">
        <v>25.18</v>
      </c>
      <c r="BI240" s="2">
        <v>22.26</v>
      </c>
      <c r="BJ240" s="2">
        <v>21.15</v>
      </c>
      <c r="BK240" s="2">
        <v>24.3</v>
      </c>
      <c r="BL240" s="2">
        <v>22.37</v>
      </c>
      <c r="BM240" s="7"/>
      <c r="BN240" s="7"/>
      <c r="BO240" s="128">
        <v>44383</v>
      </c>
      <c r="BP240" s="2">
        <v>8.6</v>
      </c>
      <c r="BQ240" s="2">
        <v>9.19</v>
      </c>
      <c r="BR240" s="2">
        <v>8.98</v>
      </c>
      <c r="BS240" s="2">
        <v>8.86</v>
      </c>
      <c r="BT240" s="2"/>
      <c r="BU240" s="2"/>
      <c r="BV240" s="7"/>
      <c r="BW240" s="128">
        <v>44383</v>
      </c>
      <c r="BX240" s="2">
        <v>87.375</v>
      </c>
      <c r="BY240" s="2">
        <v>70.5</v>
      </c>
      <c r="BZ240" s="2">
        <v>63.634</v>
      </c>
      <c r="CA240" s="2">
        <v>56.5</v>
      </c>
    </row>
    <row r="241" spans="1:79" x14ac:dyDescent="0.2">
      <c r="A241" s="124">
        <v>44069</v>
      </c>
      <c r="B241">
        <v>56.75</v>
      </c>
      <c r="C241">
        <v>53.75</v>
      </c>
      <c r="D241">
        <v>55.75</v>
      </c>
      <c r="E241" s="17">
        <v>53</v>
      </c>
      <c r="F241">
        <v>52.5</v>
      </c>
      <c r="G241">
        <v>52.5</v>
      </c>
      <c r="H241">
        <v>52.75</v>
      </c>
      <c r="I241">
        <v>51.375</v>
      </c>
      <c r="J241">
        <v>52.25</v>
      </c>
      <c r="K241" s="17">
        <v>53.5</v>
      </c>
      <c r="L241" s="7"/>
      <c r="N241" s="124">
        <v>44069</v>
      </c>
      <c r="O241" s="2">
        <v>54.824800000000003</v>
      </c>
      <c r="P241" s="2">
        <v>36.58755</v>
      </c>
      <c r="Q241" s="2">
        <v>27.18</v>
      </c>
      <c r="R241" s="2">
        <v>25.855599999999999</v>
      </c>
      <c r="S241" s="2">
        <v>25.86</v>
      </c>
      <c r="T241" s="2">
        <v>25.2029</v>
      </c>
      <c r="U241" s="2">
        <v>22.265049999999999</v>
      </c>
      <c r="V241" s="2">
        <v>21.150600000000001</v>
      </c>
      <c r="W241" s="2">
        <v>24.69</v>
      </c>
      <c r="X241" s="2">
        <v>22.385750000000002</v>
      </c>
      <c r="Y241" s="7"/>
      <c r="Z241" s="7"/>
      <c r="AA241" s="128">
        <v>44384</v>
      </c>
      <c r="AB241" s="2">
        <v>8.5483960000000003</v>
      </c>
      <c r="AC241" s="2">
        <v>9.1537860000000002</v>
      </c>
      <c r="AD241" s="2">
        <v>8.9488140000000005</v>
      </c>
      <c r="AE241" s="2">
        <v>8.6394249999999992</v>
      </c>
      <c r="AF241" s="2"/>
      <c r="AG241" s="2"/>
      <c r="AH241" s="7"/>
      <c r="AI241" s="128">
        <v>44384</v>
      </c>
      <c r="AJ241" s="2">
        <v>87.625</v>
      </c>
      <c r="AK241" s="2">
        <v>70.75</v>
      </c>
      <c r="AL241" s="2">
        <v>63.856999999999999</v>
      </c>
      <c r="AM241" s="2">
        <v>56.625</v>
      </c>
      <c r="AO241" s="124">
        <v>44069</v>
      </c>
      <c r="AP241">
        <v>56.75</v>
      </c>
      <c r="AQ241">
        <v>53.75</v>
      </c>
      <c r="AR241">
        <v>55.75</v>
      </c>
      <c r="AS241" s="17">
        <v>53</v>
      </c>
      <c r="AT241">
        <v>52.5</v>
      </c>
      <c r="AU241">
        <v>52.5</v>
      </c>
      <c r="AV241">
        <v>52.75</v>
      </c>
      <c r="AW241">
        <v>51.375</v>
      </c>
      <c r="AX241">
        <v>52.25</v>
      </c>
      <c r="AY241" s="17">
        <v>53.5</v>
      </c>
      <c r="AZ241" s="7"/>
      <c r="BB241" s="124">
        <v>44069</v>
      </c>
      <c r="BC241" s="2">
        <v>54.82</v>
      </c>
      <c r="BD241" s="2">
        <v>36.58</v>
      </c>
      <c r="BE241" s="2">
        <v>27.18</v>
      </c>
      <c r="BF241" s="2">
        <v>25.85</v>
      </c>
      <c r="BG241" s="2">
        <v>25.86</v>
      </c>
      <c r="BH241" s="2">
        <v>25.2</v>
      </c>
      <c r="BI241" s="2">
        <v>22.26</v>
      </c>
      <c r="BJ241" s="2">
        <v>21.15</v>
      </c>
      <c r="BK241" s="2">
        <v>24.69</v>
      </c>
      <c r="BL241" s="2">
        <v>22.38</v>
      </c>
      <c r="BM241" s="7"/>
      <c r="BN241" s="7"/>
      <c r="BO241" s="128">
        <v>44384</v>
      </c>
      <c r="BP241" s="2">
        <v>8.5500000000000007</v>
      </c>
      <c r="BQ241" s="2">
        <v>9.15</v>
      </c>
      <c r="BR241" s="2">
        <v>8.9499999999999993</v>
      </c>
      <c r="BS241" s="2">
        <v>8.83</v>
      </c>
      <c r="BT241" s="2"/>
      <c r="BU241" s="2"/>
      <c r="BV241" s="7"/>
      <c r="BW241" s="128">
        <v>44384</v>
      </c>
      <c r="BX241" s="2">
        <v>87.625</v>
      </c>
      <c r="BY241" s="2">
        <v>70.75</v>
      </c>
      <c r="BZ241" s="2">
        <v>63.856999999999999</v>
      </c>
      <c r="CA241" s="2">
        <v>56.625</v>
      </c>
    </row>
    <row r="242" spans="1:79" x14ac:dyDescent="0.2">
      <c r="A242" s="124">
        <v>44070</v>
      </c>
      <c r="B242">
        <v>56.75</v>
      </c>
      <c r="C242">
        <v>53.75</v>
      </c>
      <c r="D242">
        <v>54.875</v>
      </c>
      <c r="E242" s="17">
        <v>53</v>
      </c>
      <c r="F242">
        <v>51.875</v>
      </c>
      <c r="G242">
        <v>52.5</v>
      </c>
      <c r="H242">
        <v>52.25</v>
      </c>
      <c r="I242">
        <v>50.375</v>
      </c>
      <c r="J242">
        <v>52.25</v>
      </c>
      <c r="K242" s="17">
        <v>53.5</v>
      </c>
      <c r="L242" s="7"/>
      <c r="N242" s="124">
        <v>44070</v>
      </c>
      <c r="O242" s="2">
        <v>54.94115</v>
      </c>
      <c r="P242" s="2">
        <v>36.616900000000001</v>
      </c>
      <c r="Q242" s="2">
        <v>27.75</v>
      </c>
      <c r="R242" s="2">
        <v>25.862200000000001</v>
      </c>
      <c r="S242" s="2">
        <v>26.24</v>
      </c>
      <c r="T242" s="2">
        <v>25.23845</v>
      </c>
      <c r="U242" s="2">
        <v>22.4861</v>
      </c>
      <c r="V242" s="2">
        <v>21.585599999999999</v>
      </c>
      <c r="W242" s="2">
        <v>24.74</v>
      </c>
      <c r="X242" s="2">
        <v>22.413399999999999</v>
      </c>
      <c r="Y242" s="7"/>
      <c r="Z242" s="7"/>
      <c r="AA242" s="128">
        <v>44385</v>
      </c>
      <c r="AB242" s="2">
        <v>8.6405169999999991</v>
      </c>
      <c r="AC242" s="2">
        <v>9.2235940000000003</v>
      </c>
      <c r="AD242" s="2">
        <v>9.0061789999999995</v>
      </c>
      <c r="AE242" s="2">
        <v>8.7201760000000004</v>
      </c>
      <c r="AF242" s="2"/>
      <c r="AG242" s="2"/>
      <c r="AH242" s="7"/>
      <c r="AI242" s="128">
        <v>44385</v>
      </c>
      <c r="AJ242" s="2">
        <v>87.25</v>
      </c>
      <c r="AK242" s="2">
        <v>70.375</v>
      </c>
      <c r="AL242" s="2">
        <v>63.497</v>
      </c>
      <c r="AM242" s="2">
        <v>56.375</v>
      </c>
      <c r="AO242" s="124">
        <v>44070</v>
      </c>
      <c r="AP242">
        <v>56.75</v>
      </c>
      <c r="AQ242">
        <v>53.75</v>
      </c>
      <c r="AR242">
        <v>54.875</v>
      </c>
      <c r="AS242" s="17">
        <v>53</v>
      </c>
      <c r="AT242">
        <v>51.875</v>
      </c>
      <c r="AU242">
        <v>52.5</v>
      </c>
      <c r="AV242">
        <v>52.25</v>
      </c>
      <c r="AW242">
        <v>50.375</v>
      </c>
      <c r="AX242">
        <v>52.25</v>
      </c>
      <c r="AY242" s="17">
        <v>53.5</v>
      </c>
      <c r="AZ242" s="7"/>
      <c r="BB242" s="124">
        <v>44070</v>
      </c>
      <c r="BC242" s="2">
        <v>54.94</v>
      </c>
      <c r="BD242" s="2">
        <v>36.61</v>
      </c>
      <c r="BE242" s="2">
        <v>27.75</v>
      </c>
      <c r="BF242" s="2">
        <v>25.86</v>
      </c>
      <c r="BG242" s="2">
        <v>26.24</v>
      </c>
      <c r="BH242" s="2">
        <v>25.24</v>
      </c>
      <c r="BI242" s="2">
        <v>22.48</v>
      </c>
      <c r="BJ242" s="2">
        <v>21.58</v>
      </c>
      <c r="BK242" s="2">
        <v>24.74</v>
      </c>
      <c r="BL242" s="2">
        <v>22.41</v>
      </c>
      <c r="BM242" s="7"/>
      <c r="BN242" s="7"/>
      <c r="BO242" s="128">
        <v>44385</v>
      </c>
      <c r="BP242" s="2">
        <v>8.64</v>
      </c>
      <c r="BQ242" s="2">
        <v>9.2200000000000006</v>
      </c>
      <c r="BR242" s="2">
        <v>9.01</v>
      </c>
      <c r="BS242" s="2">
        <v>8.91</v>
      </c>
      <c r="BT242" s="2"/>
      <c r="BU242" s="2"/>
      <c r="BV242" s="7"/>
      <c r="BW242" s="128">
        <v>44385</v>
      </c>
      <c r="BX242" s="2">
        <v>87.25</v>
      </c>
      <c r="BY242" s="2">
        <v>70.375</v>
      </c>
      <c r="BZ242" s="2">
        <v>63.497</v>
      </c>
      <c r="CA242" s="2">
        <v>56.375</v>
      </c>
    </row>
    <row r="243" spans="1:79" x14ac:dyDescent="0.2">
      <c r="A243" s="124">
        <v>44071</v>
      </c>
      <c r="B243">
        <v>56.5</v>
      </c>
      <c r="C243">
        <v>52.75</v>
      </c>
      <c r="D243">
        <v>54.25</v>
      </c>
      <c r="E243" s="17">
        <v>52</v>
      </c>
      <c r="F243">
        <v>51</v>
      </c>
      <c r="G243">
        <v>51.125</v>
      </c>
      <c r="H243">
        <v>50.125</v>
      </c>
      <c r="I243">
        <v>50.125</v>
      </c>
      <c r="J243">
        <v>51.625</v>
      </c>
      <c r="K243" s="17">
        <v>53.5</v>
      </c>
      <c r="L243" s="7"/>
      <c r="N243" s="124">
        <v>44071</v>
      </c>
      <c r="O243" s="2">
        <v>55.452150000000003</v>
      </c>
      <c r="P243" s="2">
        <v>37.589300000000001</v>
      </c>
      <c r="Q243" s="2">
        <v>28.19</v>
      </c>
      <c r="R243" s="2">
        <v>26.476199999999999</v>
      </c>
      <c r="S243" s="2">
        <v>26.74</v>
      </c>
      <c r="T243" s="2">
        <v>25.9771</v>
      </c>
      <c r="U243" s="2">
        <v>23.49015</v>
      </c>
      <c r="V243" s="2">
        <v>21.710100000000001</v>
      </c>
      <c r="W243" s="2">
        <v>25.04</v>
      </c>
      <c r="X243" s="2">
        <v>22.427250000000001</v>
      </c>
      <c r="Y243" s="7"/>
      <c r="Z243" s="7"/>
      <c r="AA243" s="128">
        <v>44386</v>
      </c>
      <c r="AB243" s="2">
        <v>8.5912249999999997</v>
      </c>
      <c r="AC243" s="2">
        <v>9.2262889999999995</v>
      </c>
      <c r="AD243" s="2">
        <v>8.9883489999999995</v>
      </c>
      <c r="AE243" s="2">
        <v>8.6890230000000006</v>
      </c>
      <c r="AF243" s="2"/>
      <c r="AG243" s="2"/>
      <c r="AH243" s="7"/>
      <c r="AI243" s="128">
        <v>44386</v>
      </c>
      <c r="AJ243" s="2">
        <v>87.5</v>
      </c>
      <c r="AK243" s="2">
        <v>70.375</v>
      </c>
      <c r="AL243" s="2">
        <v>63.636000000000003</v>
      </c>
      <c r="AM243" s="2">
        <v>56.5</v>
      </c>
      <c r="AO243" s="124">
        <v>44071</v>
      </c>
      <c r="AP243">
        <v>56.5</v>
      </c>
      <c r="AQ243">
        <v>52.75</v>
      </c>
      <c r="AR243">
        <v>54.25</v>
      </c>
      <c r="AS243" s="17">
        <v>52</v>
      </c>
      <c r="AT243">
        <v>51</v>
      </c>
      <c r="AU243">
        <v>51.125</v>
      </c>
      <c r="AV243">
        <v>50.125</v>
      </c>
      <c r="AW243">
        <v>50.125</v>
      </c>
      <c r="AX243">
        <v>51.625</v>
      </c>
      <c r="AY243" s="17">
        <v>53.5</v>
      </c>
      <c r="AZ243" s="7"/>
      <c r="BB243" s="124">
        <v>44071</v>
      </c>
      <c r="BC243" s="2">
        <v>55.45</v>
      </c>
      <c r="BD243" s="2">
        <v>37.590000000000003</v>
      </c>
      <c r="BE243" s="2">
        <v>28.19</v>
      </c>
      <c r="BF243" s="2">
        <v>26.47</v>
      </c>
      <c r="BG243" s="2">
        <v>26.74</v>
      </c>
      <c r="BH243" s="2">
        <v>25.98</v>
      </c>
      <c r="BI243" s="2">
        <v>23.49</v>
      </c>
      <c r="BJ243" s="2">
        <v>21.71</v>
      </c>
      <c r="BK243" s="2">
        <v>25.04</v>
      </c>
      <c r="BL243" s="2">
        <v>22.43</v>
      </c>
      <c r="BM243" s="7"/>
      <c r="BN243" s="7"/>
      <c r="BO243" s="128">
        <v>44386</v>
      </c>
      <c r="BP243" s="2">
        <v>8.59</v>
      </c>
      <c r="BQ243" s="2">
        <v>9.23</v>
      </c>
      <c r="BR243" s="2">
        <v>8.99</v>
      </c>
      <c r="BS243" s="2">
        <v>8.8800000000000008</v>
      </c>
      <c r="BT243" s="2"/>
      <c r="BU243" s="2"/>
      <c r="BV243" s="7"/>
      <c r="BW243" s="128">
        <v>44386</v>
      </c>
      <c r="BX243" s="2">
        <v>87.5</v>
      </c>
      <c r="BY243" s="2">
        <v>70.375</v>
      </c>
      <c r="BZ243" s="2">
        <v>63.636000000000003</v>
      </c>
      <c r="CA243" s="2">
        <v>56.5</v>
      </c>
    </row>
    <row r="244" spans="1:79" x14ac:dyDescent="0.2">
      <c r="A244" s="124">
        <v>44074</v>
      </c>
      <c r="B244">
        <v>56.75</v>
      </c>
      <c r="C244">
        <v>53</v>
      </c>
      <c r="D244">
        <v>54.75</v>
      </c>
      <c r="E244" s="17">
        <v>53</v>
      </c>
      <c r="F244">
        <v>51.5</v>
      </c>
      <c r="G244">
        <v>52.5</v>
      </c>
      <c r="H244">
        <v>51.75</v>
      </c>
      <c r="I244">
        <v>50.75</v>
      </c>
      <c r="J244">
        <v>52.75</v>
      </c>
      <c r="K244" s="17">
        <v>52.375</v>
      </c>
      <c r="L244" s="7"/>
      <c r="N244" s="124">
        <v>44074</v>
      </c>
      <c r="O244" s="2">
        <v>55.149549999999998</v>
      </c>
      <c r="P244" s="2">
        <v>37.3825</v>
      </c>
      <c r="Q244" s="2">
        <v>27.87</v>
      </c>
      <c r="R244" s="2">
        <v>25.894100000000002</v>
      </c>
      <c r="S244" s="2">
        <v>26.48</v>
      </c>
      <c r="T244" s="2">
        <v>25.274100000000001</v>
      </c>
      <c r="U244" s="2">
        <v>22.732399999999998</v>
      </c>
      <c r="V244" s="2">
        <v>21.4359</v>
      </c>
      <c r="W244" s="2">
        <v>24.52</v>
      </c>
      <c r="X244" s="2">
        <v>22.944050000000001</v>
      </c>
      <c r="Y244" s="7"/>
      <c r="Z244" s="7"/>
      <c r="AA244" s="128">
        <v>44389</v>
      </c>
      <c r="AB244" s="2">
        <v>8.5953009999999992</v>
      </c>
      <c r="AC244" s="2">
        <v>9.2083279999999998</v>
      </c>
      <c r="AD244" s="2">
        <v>9.0082409999999999</v>
      </c>
      <c r="AE244" s="2">
        <v>8.6927459999999996</v>
      </c>
      <c r="AF244" s="2"/>
      <c r="AG244" s="2"/>
      <c r="AH244" s="7"/>
      <c r="AI244" s="128">
        <v>44389</v>
      </c>
      <c r="AJ244" s="2">
        <v>87.5</v>
      </c>
      <c r="AK244" s="2">
        <v>70.5</v>
      </c>
      <c r="AL244" s="2">
        <v>63.511000000000003</v>
      </c>
      <c r="AM244" s="2">
        <v>56.5</v>
      </c>
      <c r="AO244" s="124">
        <v>44074</v>
      </c>
      <c r="AP244">
        <v>56.75</v>
      </c>
      <c r="AQ244">
        <v>53</v>
      </c>
      <c r="AR244">
        <v>54.75</v>
      </c>
      <c r="AS244" s="17">
        <v>53</v>
      </c>
      <c r="AT244">
        <v>51.5</v>
      </c>
      <c r="AU244">
        <v>52.5</v>
      </c>
      <c r="AV244">
        <v>51.75</v>
      </c>
      <c r="AW244">
        <v>50.75</v>
      </c>
      <c r="AX244">
        <v>52.75</v>
      </c>
      <c r="AY244" s="17">
        <v>52.375</v>
      </c>
      <c r="AZ244" s="7"/>
      <c r="BB244" s="124">
        <v>44074</v>
      </c>
      <c r="BC244" s="2">
        <v>55.14</v>
      </c>
      <c r="BD244" s="2">
        <v>37.380000000000003</v>
      </c>
      <c r="BE244" s="2">
        <v>27.87</v>
      </c>
      <c r="BF244" s="2">
        <v>25.89</v>
      </c>
      <c r="BG244" s="2">
        <v>26.48</v>
      </c>
      <c r="BH244" s="2">
        <v>25.27</v>
      </c>
      <c r="BI244" s="2">
        <v>22.73</v>
      </c>
      <c r="BJ244" s="2">
        <v>21.43</v>
      </c>
      <c r="BK244" s="2">
        <v>24.52</v>
      </c>
      <c r="BL244" s="2">
        <v>22.94</v>
      </c>
      <c r="BM244" s="7"/>
      <c r="BN244" s="7"/>
      <c r="BO244" s="128">
        <v>44389</v>
      </c>
      <c r="BP244" s="2">
        <v>8.6</v>
      </c>
      <c r="BQ244" s="2">
        <v>9.2100000000000009</v>
      </c>
      <c r="BR244" s="2">
        <v>9.01</v>
      </c>
      <c r="BS244" s="2">
        <v>8.8800000000000008</v>
      </c>
      <c r="BT244" s="2"/>
      <c r="BU244" s="2"/>
      <c r="BV244" s="7"/>
      <c r="BW244" s="128">
        <v>44389</v>
      </c>
      <c r="BX244" s="2">
        <v>87.5</v>
      </c>
      <c r="BY244" s="2">
        <v>70.5</v>
      </c>
      <c r="BZ244" s="2">
        <v>63.511000000000003</v>
      </c>
      <c r="CA244" s="2">
        <v>56.5</v>
      </c>
    </row>
    <row r="245" spans="1:79" x14ac:dyDescent="0.2">
      <c r="A245" s="124">
        <v>44075</v>
      </c>
      <c r="B245">
        <v>56.125</v>
      </c>
      <c r="C245">
        <v>53.5</v>
      </c>
      <c r="D245">
        <v>55.125</v>
      </c>
      <c r="E245" s="17">
        <v>51.75</v>
      </c>
      <c r="F245">
        <v>51.25</v>
      </c>
      <c r="G245">
        <v>51.5</v>
      </c>
      <c r="H245">
        <v>51.75</v>
      </c>
      <c r="I245">
        <v>51</v>
      </c>
      <c r="J245">
        <v>51.5</v>
      </c>
      <c r="K245" s="17">
        <v>52.5</v>
      </c>
      <c r="L245" s="7"/>
      <c r="N245" s="124">
        <v>44075</v>
      </c>
      <c r="O245" s="2">
        <v>56.200949999999999</v>
      </c>
      <c r="P245" s="2">
        <v>36.94585</v>
      </c>
      <c r="Q245" s="2">
        <v>27.64</v>
      </c>
      <c r="R245" s="2">
        <v>26.6465</v>
      </c>
      <c r="S245" s="2">
        <v>26.64</v>
      </c>
      <c r="T245" s="2">
        <v>25.814399999999999</v>
      </c>
      <c r="U245" s="2">
        <v>22.7363</v>
      </c>
      <c r="V245" s="2">
        <v>21.329499999999999</v>
      </c>
      <c r="W245" s="2">
        <v>25.13</v>
      </c>
      <c r="X245" s="2">
        <v>22.901599999999998</v>
      </c>
      <c r="Y245" s="7"/>
      <c r="Z245" s="7"/>
      <c r="AA245" s="128">
        <v>44390</v>
      </c>
      <c r="AB245" s="2">
        <v>8.5993820000000003</v>
      </c>
      <c r="AC245" s="2">
        <v>9.2110199999999995</v>
      </c>
      <c r="AD245" s="2">
        <v>8.9784269999999999</v>
      </c>
      <c r="AE245" s="2">
        <v>8.6616389999999992</v>
      </c>
      <c r="AF245" s="2"/>
      <c r="AG245" s="2"/>
      <c r="AH245" s="7"/>
      <c r="AI245" s="128">
        <v>44390</v>
      </c>
      <c r="AJ245" s="2">
        <v>87.5</v>
      </c>
      <c r="AK245" s="2">
        <v>70.5</v>
      </c>
      <c r="AL245" s="2">
        <v>63.734000000000002</v>
      </c>
      <c r="AM245" s="2">
        <v>56.625</v>
      </c>
      <c r="AO245" s="124">
        <v>44075</v>
      </c>
      <c r="AP245">
        <v>56.125</v>
      </c>
      <c r="AQ245">
        <v>53.5</v>
      </c>
      <c r="AR245">
        <v>55.125</v>
      </c>
      <c r="AS245" s="17">
        <v>51.75</v>
      </c>
      <c r="AT245">
        <v>51.25</v>
      </c>
      <c r="AU245">
        <v>51.5</v>
      </c>
      <c r="AV245">
        <v>51.75</v>
      </c>
      <c r="AW245">
        <v>51</v>
      </c>
      <c r="AX245">
        <v>51.5</v>
      </c>
      <c r="AY245" s="17">
        <v>52.5</v>
      </c>
      <c r="AZ245" s="7"/>
      <c r="BB245" s="124">
        <v>44075</v>
      </c>
      <c r="BC245" s="2">
        <v>56.2</v>
      </c>
      <c r="BD245" s="2">
        <v>36.94</v>
      </c>
      <c r="BE245" s="2">
        <v>27.64</v>
      </c>
      <c r="BF245" s="2">
        <v>26.64</v>
      </c>
      <c r="BG245" s="2">
        <v>26.64</v>
      </c>
      <c r="BH245" s="2">
        <v>25.81</v>
      </c>
      <c r="BI245" s="2">
        <v>22.73</v>
      </c>
      <c r="BJ245" s="2">
        <v>21.33</v>
      </c>
      <c r="BK245" s="2">
        <v>25.13</v>
      </c>
      <c r="BL245" s="2">
        <v>22.9</v>
      </c>
      <c r="BM245" s="7"/>
      <c r="BN245" s="7"/>
      <c r="BO245" s="128">
        <v>44390</v>
      </c>
      <c r="BP245" s="2">
        <v>8.6</v>
      </c>
      <c r="BQ245" s="2">
        <v>9.2100000000000009</v>
      </c>
      <c r="BR245" s="2">
        <v>8.98</v>
      </c>
      <c r="BS245" s="2">
        <v>8.85</v>
      </c>
      <c r="BT245" s="2"/>
      <c r="BU245" s="2"/>
      <c r="BV245" s="7"/>
      <c r="BW245" s="128">
        <v>44390</v>
      </c>
      <c r="BX245" s="2">
        <v>87.5</v>
      </c>
      <c r="BY245" s="2">
        <v>70.5</v>
      </c>
      <c r="BZ245" s="2">
        <v>63.734000000000002</v>
      </c>
      <c r="CA245" s="2">
        <v>56.625</v>
      </c>
    </row>
    <row r="246" spans="1:79" x14ac:dyDescent="0.2">
      <c r="A246" s="124">
        <v>44076</v>
      </c>
      <c r="B246">
        <v>56.75</v>
      </c>
      <c r="C246">
        <v>53.5</v>
      </c>
      <c r="D246">
        <v>54.25</v>
      </c>
      <c r="E246" s="17">
        <v>51.75</v>
      </c>
      <c r="F246">
        <v>50.875</v>
      </c>
      <c r="G246">
        <v>51</v>
      </c>
      <c r="H246">
        <v>50.25</v>
      </c>
      <c r="I246">
        <v>50</v>
      </c>
      <c r="J246">
        <v>51.5</v>
      </c>
      <c r="K246" s="17">
        <v>51.625</v>
      </c>
      <c r="L246" s="7"/>
      <c r="N246" s="124">
        <v>44076</v>
      </c>
      <c r="O246" s="2">
        <v>55.3142</v>
      </c>
      <c r="P246" s="2">
        <v>36.972050000000003</v>
      </c>
      <c r="Q246" s="2">
        <v>28.23</v>
      </c>
      <c r="R246" s="2">
        <v>26.656549999999999</v>
      </c>
      <c r="S246" s="2">
        <v>26.86</v>
      </c>
      <c r="T246" s="2">
        <v>26.1</v>
      </c>
      <c r="U246" s="2">
        <v>23.442550000000001</v>
      </c>
      <c r="V246" s="2">
        <v>21.776</v>
      </c>
      <c r="W246" s="2">
        <v>25.15</v>
      </c>
      <c r="X246" s="2">
        <v>23.319050000000001</v>
      </c>
      <c r="Y246" s="7"/>
      <c r="Z246" s="7"/>
      <c r="AA246" s="128">
        <v>44391</v>
      </c>
      <c r="AB246" s="2">
        <v>8.6837549999999997</v>
      </c>
      <c r="AC246" s="2">
        <v>9.2551009999999998</v>
      </c>
      <c r="AD246" s="2">
        <v>8.9854439999999993</v>
      </c>
      <c r="AE246" s="2">
        <v>8.7351369999999999</v>
      </c>
      <c r="AF246" s="2"/>
      <c r="AG246" s="2"/>
      <c r="AH246" s="7"/>
      <c r="AI246" s="128">
        <v>44391</v>
      </c>
      <c r="AJ246" s="2">
        <v>87.125</v>
      </c>
      <c r="AK246" s="2">
        <v>70.25</v>
      </c>
      <c r="AL246" s="2">
        <v>63.698999999999998</v>
      </c>
      <c r="AM246" s="2">
        <v>56.375</v>
      </c>
      <c r="AO246" s="124">
        <v>44076</v>
      </c>
      <c r="AP246">
        <v>56.75</v>
      </c>
      <c r="AQ246">
        <v>53.5</v>
      </c>
      <c r="AR246">
        <v>54.25</v>
      </c>
      <c r="AS246" s="17">
        <v>51.75</v>
      </c>
      <c r="AT246">
        <v>50.875</v>
      </c>
      <c r="AU246">
        <v>51</v>
      </c>
      <c r="AV246">
        <v>50.25</v>
      </c>
      <c r="AW246">
        <v>50</v>
      </c>
      <c r="AX246">
        <v>51.5</v>
      </c>
      <c r="AY246" s="17">
        <v>51.625</v>
      </c>
      <c r="AZ246" s="7"/>
      <c r="BB246" s="124">
        <v>44076</v>
      </c>
      <c r="BC246" s="2">
        <v>55.31</v>
      </c>
      <c r="BD246" s="2">
        <v>36.97</v>
      </c>
      <c r="BE246" s="2">
        <v>28.23</v>
      </c>
      <c r="BF246" s="2">
        <v>26.65</v>
      </c>
      <c r="BG246" s="2">
        <v>26.86</v>
      </c>
      <c r="BH246" s="2">
        <v>26.1</v>
      </c>
      <c r="BI246" s="2">
        <v>23.44</v>
      </c>
      <c r="BJ246" s="2">
        <v>21.77</v>
      </c>
      <c r="BK246" s="2">
        <v>25.15</v>
      </c>
      <c r="BL246" s="2">
        <v>23.32</v>
      </c>
      <c r="BM246" s="7"/>
      <c r="BN246" s="7"/>
      <c r="BO246" s="128">
        <v>44391</v>
      </c>
      <c r="BP246" s="2">
        <v>8.68</v>
      </c>
      <c r="BQ246" s="2">
        <v>9.26</v>
      </c>
      <c r="BR246" s="2">
        <v>8.99</v>
      </c>
      <c r="BS246" s="2">
        <v>8.93</v>
      </c>
      <c r="BT246" s="2"/>
      <c r="BU246" s="2"/>
      <c r="BV246" s="7"/>
      <c r="BW246" s="128">
        <v>44391</v>
      </c>
      <c r="BX246" s="2">
        <v>87.125</v>
      </c>
      <c r="BY246" s="2">
        <v>70.25</v>
      </c>
      <c r="BZ246" s="2">
        <v>63.698999999999998</v>
      </c>
      <c r="CA246" s="2">
        <v>56.375</v>
      </c>
    </row>
    <row r="247" spans="1:79" x14ac:dyDescent="0.2">
      <c r="A247" s="124">
        <v>44077</v>
      </c>
      <c r="B247">
        <v>57</v>
      </c>
      <c r="C247">
        <v>53.625</v>
      </c>
      <c r="D247">
        <v>54.375</v>
      </c>
      <c r="E247" s="17">
        <v>51.75</v>
      </c>
      <c r="F247">
        <v>51</v>
      </c>
      <c r="G247">
        <v>51.125</v>
      </c>
      <c r="H247">
        <v>50.375</v>
      </c>
      <c r="I247">
        <v>50.125</v>
      </c>
      <c r="J247">
        <v>51.75</v>
      </c>
      <c r="K247" s="17">
        <v>51.75</v>
      </c>
      <c r="L247" s="7"/>
      <c r="N247" s="124">
        <v>44077</v>
      </c>
      <c r="O247" s="2">
        <v>55.260950000000001</v>
      </c>
      <c r="P247" s="2">
        <v>36.962150000000001</v>
      </c>
      <c r="Q247" s="2">
        <v>28.2</v>
      </c>
      <c r="R247" s="2">
        <v>26.697199999999999</v>
      </c>
      <c r="S247" s="2">
        <v>26.87</v>
      </c>
      <c r="T247" s="2">
        <v>26.10765</v>
      </c>
      <c r="U247" s="2">
        <v>23.3992</v>
      </c>
      <c r="V247" s="2">
        <v>21.7331</v>
      </c>
      <c r="W247" s="2">
        <v>25.09</v>
      </c>
      <c r="X247" s="2">
        <v>23.319800000000001</v>
      </c>
      <c r="Y247" s="7"/>
      <c r="Z247" s="7"/>
      <c r="AA247" s="128">
        <v>44392</v>
      </c>
      <c r="AB247" s="2">
        <v>8.6961650000000006</v>
      </c>
      <c r="AC247" s="2">
        <v>9.2840159999999994</v>
      </c>
      <c r="AD247" s="2">
        <v>9.0379349999999992</v>
      </c>
      <c r="AE247" s="2">
        <v>8.7814599999999992</v>
      </c>
      <c r="AF247" s="2"/>
      <c r="AG247" s="2"/>
      <c r="AH247" s="7"/>
      <c r="AI247" s="128">
        <v>44392</v>
      </c>
      <c r="AJ247" s="2">
        <v>87.125</v>
      </c>
      <c r="AK247" s="2">
        <v>70.125</v>
      </c>
      <c r="AL247" s="2">
        <v>63.375</v>
      </c>
      <c r="AM247" s="2">
        <v>56.25</v>
      </c>
      <c r="AO247" s="124">
        <v>44077</v>
      </c>
      <c r="AP247">
        <v>57</v>
      </c>
      <c r="AQ247">
        <v>53.625</v>
      </c>
      <c r="AR247">
        <v>54.375</v>
      </c>
      <c r="AS247" s="17">
        <v>51.75</v>
      </c>
      <c r="AT247">
        <v>51</v>
      </c>
      <c r="AU247">
        <v>51.125</v>
      </c>
      <c r="AV247">
        <v>50.375</v>
      </c>
      <c r="AW247">
        <v>50.125</v>
      </c>
      <c r="AX247">
        <v>51.75</v>
      </c>
      <c r="AY247" s="17">
        <v>51.75</v>
      </c>
      <c r="AZ247" s="7"/>
      <c r="BB247" s="124">
        <v>44077</v>
      </c>
      <c r="BC247" s="2">
        <v>55.26</v>
      </c>
      <c r="BD247" s="2">
        <v>36.96</v>
      </c>
      <c r="BE247" s="2">
        <v>28.2</v>
      </c>
      <c r="BF247" s="2">
        <v>26.7</v>
      </c>
      <c r="BG247" s="2">
        <v>26.87</v>
      </c>
      <c r="BH247" s="2">
        <v>26.11</v>
      </c>
      <c r="BI247" s="2">
        <v>23.4</v>
      </c>
      <c r="BJ247" s="2">
        <v>21.73</v>
      </c>
      <c r="BK247" s="2">
        <v>25.09</v>
      </c>
      <c r="BL247" s="2">
        <v>23.32</v>
      </c>
      <c r="BM247" s="7"/>
      <c r="BN247" s="7"/>
      <c r="BO247" s="128">
        <v>44392</v>
      </c>
      <c r="BP247" s="2">
        <v>8.6999999999999993</v>
      </c>
      <c r="BQ247" s="2">
        <v>9.2799999999999994</v>
      </c>
      <c r="BR247" s="2">
        <v>9.0399999999999991</v>
      </c>
      <c r="BS247" s="2">
        <v>8.9700000000000006</v>
      </c>
      <c r="BT247" s="2"/>
      <c r="BU247" s="2"/>
      <c r="BV247" s="7"/>
      <c r="BW247" s="128">
        <v>44392</v>
      </c>
      <c r="BX247" s="2">
        <v>87.125</v>
      </c>
      <c r="BY247" s="2">
        <v>70.125</v>
      </c>
      <c r="BZ247" s="2">
        <v>63.375</v>
      </c>
      <c r="CA247" s="2">
        <v>56.25</v>
      </c>
    </row>
    <row r="248" spans="1:79" x14ac:dyDescent="0.2">
      <c r="A248" s="124">
        <v>44078</v>
      </c>
      <c r="B248">
        <v>57</v>
      </c>
      <c r="C248">
        <v>53.625</v>
      </c>
      <c r="D248">
        <v>54.25</v>
      </c>
      <c r="E248" s="17">
        <v>51.75</v>
      </c>
      <c r="F248">
        <v>50.625</v>
      </c>
      <c r="G248">
        <v>51.25</v>
      </c>
      <c r="H248">
        <v>50</v>
      </c>
      <c r="I248">
        <v>49.875</v>
      </c>
      <c r="J248">
        <v>51.75</v>
      </c>
      <c r="K248" s="17">
        <v>51.75</v>
      </c>
      <c r="L248" s="7"/>
      <c r="N248" s="124">
        <v>44078</v>
      </c>
      <c r="O248" s="2">
        <v>55.344700000000003</v>
      </c>
      <c r="P248" s="2">
        <v>36.988599999999998</v>
      </c>
      <c r="Q248" s="2">
        <v>28.29</v>
      </c>
      <c r="R248" s="2">
        <v>26.7074</v>
      </c>
      <c r="S248" s="2">
        <v>27.11</v>
      </c>
      <c r="T248" s="2">
        <v>26.059200000000001</v>
      </c>
      <c r="U248" s="2">
        <v>23.58315</v>
      </c>
      <c r="V248" s="2">
        <v>21.8489</v>
      </c>
      <c r="W248" s="2">
        <v>25.11</v>
      </c>
      <c r="X248" s="2">
        <v>23.33465</v>
      </c>
      <c r="Y248" s="7"/>
      <c r="Z248" s="7"/>
      <c r="AA248" s="128">
        <v>44393</v>
      </c>
      <c r="AB248" s="2">
        <v>8.7812049999999999</v>
      </c>
      <c r="AC248" s="2">
        <v>9.3284500000000001</v>
      </c>
      <c r="AD248" s="2">
        <v>9.0279190000000007</v>
      </c>
      <c r="AE248" s="2">
        <v>8.8910169999999997</v>
      </c>
      <c r="AF248" s="2"/>
      <c r="AG248" s="2"/>
      <c r="AH248" s="7"/>
      <c r="AI248" s="128">
        <v>44393</v>
      </c>
      <c r="AJ248" s="2">
        <v>86.75</v>
      </c>
      <c r="AK248" s="2">
        <v>69.875</v>
      </c>
      <c r="AL248" s="2">
        <v>63.459000000000003</v>
      </c>
      <c r="AM248" s="2">
        <v>55.875</v>
      </c>
      <c r="AO248" s="124">
        <v>44078</v>
      </c>
      <c r="AP248">
        <v>57</v>
      </c>
      <c r="AQ248">
        <v>53.625</v>
      </c>
      <c r="AR248">
        <v>54.25</v>
      </c>
      <c r="AS248" s="17">
        <v>51.75</v>
      </c>
      <c r="AT248">
        <v>50.625</v>
      </c>
      <c r="AU248">
        <v>51.25</v>
      </c>
      <c r="AV248">
        <v>50</v>
      </c>
      <c r="AW248">
        <v>49.875</v>
      </c>
      <c r="AX248">
        <v>51.75</v>
      </c>
      <c r="AY248" s="17">
        <v>51.75</v>
      </c>
      <c r="AZ248" s="7"/>
      <c r="BB248" s="124">
        <v>44078</v>
      </c>
      <c r="BC248" s="2">
        <v>55.34</v>
      </c>
      <c r="BD248" s="2">
        <v>36.99</v>
      </c>
      <c r="BE248" s="2">
        <v>28.29</v>
      </c>
      <c r="BF248" s="2">
        <v>26.71</v>
      </c>
      <c r="BG248" s="2">
        <v>27.11</v>
      </c>
      <c r="BH248" s="2">
        <v>26.06</v>
      </c>
      <c r="BI248" s="2">
        <v>23.58</v>
      </c>
      <c r="BJ248" s="2">
        <v>21.85</v>
      </c>
      <c r="BK248" s="2">
        <v>25.11</v>
      </c>
      <c r="BL248" s="2">
        <v>23.33</v>
      </c>
      <c r="BM248" s="7"/>
      <c r="BN248" s="7"/>
      <c r="BO248" s="128">
        <v>44393</v>
      </c>
      <c r="BP248" s="2">
        <v>8.7799999999999994</v>
      </c>
      <c r="BQ248" s="2">
        <v>9.33</v>
      </c>
      <c r="BR248" s="2">
        <v>9.0299999999999994</v>
      </c>
      <c r="BS248" s="2">
        <v>9.09</v>
      </c>
      <c r="BT248" s="2"/>
      <c r="BU248" s="2"/>
      <c r="BV248" s="7"/>
      <c r="BW248" s="128">
        <v>44393</v>
      </c>
      <c r="BX248" s="2">
        <v>86.75</v>
      </c>
      <c r="BY248" s="2">
        <v>69.875</v>
      </c>
      <c r="BZ248" s="2">
        <v>63.459000000000003</v>
      </c>
      <c r="CA248" s="2">
        <v>55.875</v>
      </c>
    </row>
    <row r="249" spans="1:79" x14ac:dyDescent="0.2">
      <c r="A249" s="124">
        <v>44081</v>
      </c>
      <c r="B249">
        <v>57</v>
      </c>
      <c r="C249">
        <v>53.625</v>
      </c>
      <c r="D249">
        <v>54.25</v>
      </c>
      <c r="E249" s="17">
        <v>51.75</v>
      </c>
      <c r="F249">
        <v>50.625</v>
      </c>
      <c r="G249">
        <v>51.25</v>
      </c>
      <c r="H249">
        <v>50</v>
      </c>
      <c r="I249">
        <v>49.875</v>
      </c>
      <c r="J249">
        <v>51.75</v>
      </c>
      <c r="K249" s="17">
        <v>51.75</v>
      </c>
      <c r="L249" s="7"/>
      <c r="N249" s="124">
        <v>44081</v>
      </c>
      <c r="O249" s="2">
        <v>55.344700000000003</v>
      </c>
      <c r="P249" s="2">
        <v>36.988599999999998</v>
      </c>
      <c r="Q249" s="2">
        <v>28.29</v>
      </c>
      <c r="R249" s="2">
        <v>26.7074</v>
      </c>
      <c r="S249" s="2">
        <v>27.11</v>
      </c>
      <c r="T249" s="2">
        <v>26.059200000000001</v>
      </c>
      <c r="U249" s="2">
        <v>23.58315</v>
      </c>
      <c r="V249" s="2">
        <v>21.8489</v>
      </c>
      <c r="W249" s="2">
        <v>25.11</v>
      </c>
      <c r="X249" s="2">
        <v>23.33465</v>
      </c>
      <c r="Y249" s="7"/>
      <c r="Z249" s="7"/>
      <c r="AA249" s="128">
        <v>44396</v>
      </c>
      <c r="AB249" s="2">
        <v>8.7853980000000007</v>
      </c>
      <c r="AC249" s="2">
        <v>9.3521199999999993</v>
      </c>
      <c r="AD249" s="2">
        <v>9.0774749999999997</v>
      </c>
      <c r="AE249" s="2">
        <v>8.8948420000000006</v>
      </c>
      <c r="AF249" s="2"/>
      <c r="AG249" s="2"/>
      <c r="AH249" s="7"/>
      <c r="AI249" s="128">
        <v>44396</v>
      </c>
      <c r="AJ249" s="2">
        <v>86.75</v>
      </c>
      <c r="AK249" s="2">
        <v>69.75</v>
      </c>
      <c r="AL249" s="2">
        <v>63.128999999999998</v>
      </c>
      <c r="AM249" s="2">
        <v>55.875</v>
      </c>
      <c r="AO249" s="124">
        <v>44081</v>
      </c>
      <c r="AP249">
        <v>57</v>
      </c>
      <c r="AQ249">
        <v>53.625</v>
      </c>
      <c r="AR249">
        <v>54.25</v>
      </c>
      <c r="AS249" s="17">
        <v>51.75</v>
      </c>
      <c r="AT249">
        <v>50.625</v>
      </c>
      <c r="AU249">
        <v>51.25</v>
      </c>
      <c r="AV249">
        <v>50</v>
      </c>
      <c r="AW249">
        <v>49.875</v>
      </c>
      <c r="AX249">
        <v>51.75</v>
      </c>
      <c r="AY249" s="17">
        <v>51.75</v>
      </c>
      <c r="AZ249" s="7"/>
      <c r="BB249" s="124">
        <v>44081</v>
      </c>
      <c r="BC249" s="2">
        <v>55.34</v>
      </c>
      <c r="BD249" s="2">
        <v>36.99</v>
      </c>
      <c r="BE249" s="2">
        <v>28.29</v>
      </c>
      <c r="BF249" s="2">
        <v>26.71</v>
      </c>
      <c r="BG249" s="2">
        <v>27.11</v>
      </c>
      <c r="BH249" s="2">
        <v>26.06</v>
      </c>
      <c r="BI249" s="2">
        <v>23.58</v>
      </c>
      <c r="BJ249" s="2">
        <v>21.85</v>
      </c>
      <c r="BK249" s="2">
        <v>25.11</v>
      </c>
      <c r="BL249" s="2">
        <v>23.33</v>
      </c>
      <c r="BM249" s="7"/>
      <c r="BN249" s="7"/>
      <c r="BO249" s="128">
        <v>44396</v>
      </c>
      <c r="BP249" s="2">
        <v>8.7899999999999991</v>
      </c>
      <c r="BQ249" s="2">
        <v>9.35</v>
      </c>
      <c r="BR249" s="2">
        <v>9.08</v>
      </c>
      <c r="BS249" s="2">
        <v>9.09</v>
      </c>
      <c r="BT249" s="2"/>
      <c r="BU249" s="2"/>
      <c r="BV249" s="7"/>
      <c r="BW249" s="128">
        <v>44396</v>
      </c>
      <c r="BX249" s="2">
        <v>86.75</v>
      </c>
      <c r="BY249" s="2">
        <v>69.75</v>
      </c>
      <c r="BZ249" s="2">
        <v>63.128999999999998</v>
      </c>
      <c r="CA249" s="2">
        <v>55.875</v>
      </c>
    </row>
    <row r="250" spans="1:79" x14ac:dyDescent="0.2">
      <c r="A250" s="124">
        <v>44082</v>
      </c>
      <c r="B250">
        <v>57</v>
      </c>
      <c r="C250">
        <v>53.625</v>
      </c>
      <c r="D250">
        <v>54.25</v>
      </c>
      <c r="E250" s="17">
        <v>51.75</v>
      </c>
      <c r="F250">
        <v>50.625</v>
      </c>
      <c r="G250">
        <v>51.25</v>
      </c>
      <c r="H250">
        <v>50</v>
      </c>
      <c r="I250">
        <v>49.875</v>
      </c>
      <c r="J250">
        <v>51.75</v>
      </c>
      <c r="K250" s="17">
        <v>51.75</v>
      </c>
      <c r="L250" s="7"/>
      <c r="N250" s="124">
        <v>44082</v>
      </c>
      <c r="O250" s="2">
        <v>55.428899999999999</v>
      </c>
      <c r="P250" s="2">
        <v>37.015149999999998</v>
      </c>
      <c r="Q250" s="2">
        <v>28.31</v>
      </c>
      <c r="R250" s="2">
        <v>26.717600000000001</v>
      </c>
      <c r="S250" s="2">
        <v>27.13</v>
      </c>
      <c r="T250" s="2">
        <v>26.0779</v>
      </c>
      <c r="U250" s="2">
        <v>23.587350000000001</v>
      </c>
      <c r="V250" s="2">
        <v>21.852250000000002</v>
      </c>
      <c r="W250" s="2">
        <v>25.12</v>
      </c>
      <c r="X250" s="2">
        <v>23.349499999999999</v>
      </c>
      <c r="Y250" s="7"/>
      <c r="Z250" s="7"/>
      <c r="AA250" s="128">
        <v>44397</v>
      </c>
      <c r="AB250" s="2">
        <v>8.8438269999999992</v>
      </c>
      <c r="AC250" s="2">
        <v>9.4179560000000002</v>
      </c>
      <c r="AD250" s="2">
        <v>9.2082420000000003</v>
      </c>
      <c r="AE250" s="2">
        <v>8.9341399999999993</v>
      </c>
      <c r="AF250" s="2"/>
      <c r="AG250" s="2"/>
      <c r="AH250" s="7"/>
      <c r="AI250" s="128">
        <v>44397</v>
      </c>
      <c r="AJ250" s="2">
        <v>86.5</v>
      </c>
      <c r="AK250" s="2">
        <v>69.375</v>
      </c>
      <c r="AL250" s="2">
        <v>62.246000000000002</v>
      </c>
      <c r="AM250" s="2">
        <v>55.75</v>
      </c>
      <c r="AO250" s="124">
        <v>44082</v>
      </c>
      <c r="AP250">
        <v>57</v>
      </c>
      <c r="AQ250">
        <v>53.625</v>
      </c>
      <c r="AR250">
        <v>54.25</v>
      </c>
      <c r="AS250" s="17">
        <v>51.75</v>
      </c>
      <c r="AT250">
        <v>50.625</v>
      </c>
      <c r="AU250">
        <v>51.25</v>
      </c>
      <c r="AV250">
        <v>50</v>
      </c>
      <c r="AW250">
        <v>49.875</v>
      </c>
      <c r="AX250">
        <v>51.75</v>
      </c>
      <c r="AY250" s="17">
        <v>51.75</v>
      </c>
      <c r="AZ250" s="7"/>
      <c r="BB250" s="124">
        <v>44082</v>
      </c>
      <c r="BC250" s="2">
        <v>55.42</v>
      </c>
      <c r="BD250" s="2">
        <v>37.01</v>
      </c>
      <c r="BE250" s="2">
        <v>28.31</v>
      </c>
      <c r="BF250" s="2">
        <v>26.72</v>
      </c>
      <c r="BG250" s="2">
        <v>27.13</v>
      </c>
      <c r="BH250" s="2">
        <v>26.08</v>
      </c>
      <c r="BI250" s="2">
        <v>23.59</v>
      </c>
      <c r="BJ250" s="2">
        <v>21.85</v>
      </c>
      <c r="BK250" s="2">
        <v>25.12</v>
      </c>
      <c r="BL250" s="2">
        <v>23.35</v>
      </c>
      <c r="BM250" s="7"/>
      <c r="BN250" s="7"/>
      <c r="BO250" s="128">
        <v>44397</v>
      </c>
      <c r="BP250" s="2">
        <v>8.84</v>
      </c>
      <c r="BQ250" s="2">
        <v>9.42</v>
      </c>
      <c r="BR250" s="2">
        <v>9.2100000000000009</v>
      </c>
      <c r="BS250" s="2">
        <v>9.1300000000000008</v>
      </c>
      <c r="BT250" s="2"/>
      <c r="BU250" s="2"/>
      <c r="BV250" s="7"/>
      <c r="BW250" s="128">
        <v>44397</v>
      </c>
      <c r="BX250" s="2">
        <v>86.5</v>
      </c>
      <c r="BY250" s="2">
        <v>69.375</v>
      </c>
      <c r="BZ250" s="2">
        <v>62.246000000000002</v>
      </c>
      <c r="CA250" s="2">
        <v>55.75</v>
      </c>
    </row>
    <row r="251" spans="1:79" x14ac:dyDescent="0.2">
      <c r="A251" s="124">
        <v>44083</v>
      </c>
      <c r="B251">
        <v>57</v>
      </c>
      <c r="C251">
        <v>53.625</v>
      </c>
      <c r="D251">
        <v>54.25</v>
      </c>
      <c r="E251" s="17">
        <v>51.75</v>
      </c>
      <c r="F251">
        <v>50.625</v>
      </c>
      <c r="G251">
        <v>51.25</v>
      </c>
      <c r="H251">
        <v>50</v>
      </c>
      <c r="I251">
        <v>49.875</v>
      </c>
      <c r="J251">
        <v>51.75</v>
      </c>
      <c r="K251" s="17">
        <v>51.75</v>
      </c>
      <c r="L251" s="7"/>
      <c r="N251" s="124">
        <v>44083</v>
      </c>
      <c r="O251" s="2">
        <v>55.513500000000001</v>
      </c>
      <c r="P251" s="2">
        <v>37.041800000000002</v>
      </c>
      <c r="Q251" s="2">
        <v>28.32</v>
      </c>
      <c r="R251" s="2">
        <v>26.72785</v>
      </c>
      <c r="S251" s="2">
        <v>27.15</v>
      </c>
      <c r="T251" s="2">
        <v>26.09665</v>
      </c>
      <c r="U251" s="2">
        <v>23.5915</v>
      </c>
      <c r="V251" s="2">
        <v>21.855699999999999</v>
      </c>
      <c r="W251" s="2">
        <v>25.14</v>
      </c>
      <c r="X251" s="2">
        <v>23.3644</v>
      </c>
      <c r="Y251" s="7"/>
      <c r="Z251" s="7"/>
      <c r="AA251" s="128">
        <v>44398</v>
      </c>
      <c r="AB251" s="2">
        <v>8.7127719999999993</v>
      </c>
      <c r="AC251" s="2">
        <v>9.3786059999999996</v>
      </c>
      <c r="AD251" s="2">
        <v>9.028022</v>
      </c>
      <c r="AE251" s="2">
        <v>8.8671039999999994</v>
      </c>
      <c r="AF251" s="2"/>
      <c r="AG251" s="2"/>
      <c r="AH251" s="7"/>
      <c r="AI251" s="128">
        <v>44398</v>
      </c>
      <c r="AJ251" s="2">
        <v>87.125</v>
      </c>
      <c r="AK251" s="2">
        <v>69.625</v>
      </c>
      <c r="AL251" s="2">
        <v>63.500999999999998</v>
      </c>
      <c r="AM251" s="2">
        <v>56</v>
      </c>
      <c r="AO251" s="124">
        <v>44083</v>
      </c>
      <c r="AP251">
        <v>57</v>
      </c>
      <c r="AQ251">
        <v>53.625</v>
      </c>
      <c r="AR251">
        <v>54.25</v>
      </c>
      <c r="AS251" s="17">
        <v>51.75</v>
      </c>
      <c r="AT251">
        <v>50.625</v>
      </c>
      <c r="AU251">
        <v>51.25</v>
      </c>
      <c r="AV251">
        <v>50</v>
      </c>
      <c r="AW251">
        <v>49.875</v>
      </c>
      <c r="AX251">
        <v>51.75</v>
      </c>
      <c r="AY251" s="17">
        <v>51.75</v>
      </c>
      <c r="AZ251" s="7"/>
      <c r="BB251" s="124">
        <v>44083</v>
      </c>
      <c r="BC251" s="2">
        <v>55.51</v>
      </c>
      <c r="BD251" s="2">
        <v>37.04</v>
      </c>
      <c r="BE251" s="2">
        <v>28.32</v>
      </c>
      <c r="BF251" s="2">
        <v>26.73</v>
      </c>
      <c r="BG251" s="2">
        <v>27.15</v>
      </c>
      <c r="BH251" s="2">
        <v>26.09</v>
      </c>
      <c r="BI251" s="2">
        <v>23.59</v>
      </c>
      <c r="BJ251" s="2">
        <v>21.85</v>
      </c>
      <c r="BK251" s="2">
        <v>25.14</v>
      </c>
      <c r="BL251" s="2">
        <v>23.36</v>
      </c>
      <c r="BM251" s="7"/>
      <c r="BN251" s="7"/>
      <c r="BO251" s="128">
        <v>44398</v>
      </c>
      <c r="BP251" s="2">
        <v>8.7100000000000009</v>
      </c>
      <c r="BQ251" s="2">
        <v>9.3800000000000008</v>
      </c>
      <c r="BR251" s="2">
        <v>9.0299999999999994</v>
      </c>
      <c r="BS251" s="2">
        <v>9.06</v>
      </c>
      <c r="BT251" s="2"/>
      <c r="BU251" s="2"/>
      <c r="BV251" s="7"/>
      <c r="BW251" s="128">
        <v>44398</v>
      </c>
      <c r="BX251" s="2">
        <v>87.125</v>
      </c>
      <c r="BY251" s="2">
        <v>69.625</v>
      </c>
      <c r="BZ251" s="2">
        <v>63.500999999999998</v>
      </c>
      <c r="CA251" s="2">
        <v>56</v>
      </c>
    </row>
    <row r="252" spans="1:79" x14ac:dyDescent="0.2">
      <c r="A252" s="124">
        <v>44084</v>
      </c>
      <c r="B252">
        <v>57</v>
      </c>
      <c r="C252">
        <v>53.625</v>
      </c>
      <c r="D252">
        <v>54.25</v>
      </c>
      <c r="E252" s="17">
        <v>51.75</v>
      </c>
      <c r="F252">
        <v>50.75</v>
      </c>
      <c r="G252">
        <v>51.75</v>
      </c>
      <c r="H252">
        <v>50.375</v>
      </c>
      <c r="I252">
        <v>49.875</v>
      </c>
      <c r="J252">
        <v>51.75</v>
      </c>
      <c r="K252" s="17">
        <v>51.5</v>
      </c>
      <c r="L252" s="7"/>
      <c r="N252" s="124">
        <v>44084</v>
      </c>
      <c r="O252" s="2">
        <v>55.769750000000002</v>
      </c>
      <c r="P252" s="2">
        <v>37.122199999999999</v>
      </c>
      <c r="Q252" s="2">
        <v>28.36</v>
      </c>
      <c r="R252" s="2">
        <v>26.758700000000001</v>
      </c>
      <c r="S252" s="2">
        <v>27.14</v>
      </c>
      <c r="T252" s="2">
        <v>25.885249999999999</v>
      </c>
      <c r="U252" s="2">
        <v>23.424050000000001</v>
      </c>
      <c r="V252" s="2">
        <v>21.8658</v>
      </c>
      <c r="W252" s="2">
        <v>25.19</v>
      </c>
      <c r="X252" s="2">
        <v>23.527200000000001</v>
      </c>
      <c r="Y252" s="7"/>
      <c r="Z252" s="7"/>
      <c r="AA252" s="128">
        <v>44399</v>
      </c>
      <c r="AB252" s="2">
        <v>8.5642580000000006</v>
      </c>
      <c r="AC252" s="2">
        <v>9.2407459999999997</v>
      </c>
      <c r="AD252" s="2">
        <v>9.2160360000000008</v>
      </c>
      <c r="AE252" s="2">
        <v>8.7026669999999999</v>
      </c>
      <c r="AF252" s="2"/>
      <c r="AG252" s="2"/>
      <c r="AH252" s="7"/>
      <c r="AI252" s="128">
        <v>44399</v>
      </c>
      <c r="AJ252" s="2">
        <v>87.875</v>
      </c>
      <c r="AK252" s="2">
        <v>70.5</v>
      </c>
      <c r="AL252" s="2">
        <v>62.25</v>
      </c>
      <c r="AM252" s="2">
        <v>56.625</v>
      </c>
      <c r="AO252" s="124">
        <v>44084</v>
      </c>
      <c r="AP252">
        <v>57</v>
      </c>
      <c r="AQ252">
        <v>53.625</v>
      </c>
      <c r="AR252">
        <v>54.25</v>
      </c>
      <c r="AS252" s="17">
        <v>51.75</v>
      </c>
      <c r="AT252">
        <v>50.75</v>
      </c>
      <c r="AU252">
        <v>51.75</v>
      </c>
      <c r="AV252">
        <v>50.375</v>
      </c>
      <c r="AW252">
        <v>49.875</v>
      </c>
      <c r="AX252">
        <v>51.75</v>
      </c>
      <c r="AY252" s="17">
        <v>51.5</v>
      </c>
      <c r="AZ252" s="7"/>
      <c r="BB252" s="124">
        <v>44084</v>
      </c>
      <c r="BC252" s="2">
        <v>55.76</v>
      </c>
      <c r="BD252" s="2">
        <v>37.119999999999997</v>
      </c>
      <c r="BE252" s="2">
        <v>28.36</v>
      </c>
      <c r="BF252" s="2">
        <v>26.76</v>
      </c>
      <c r="BG252" s="2">
        <v>27.14</v>
      </c>
      <c r="BH252" s="2">
        <v>25.88</v>
      </c>
      <c r="BI252" s="2">
        <v>23.42</v>
      </c>
      <c r="BJ252" s="2">
        <v>21.86</v>
      </c>
      <c r="BK252" s="2">
        <v>25.19</v>
      </c>
      <c r="BL252" s="2">
        <v>23.53</v>
      </c>
      <c r="BM252" s="7"/>
      <c r="BN252" s="7"/>
      <c r="BO252" s="128">
        <v>44399</v>
      </c>
      <c r="BP252" s="2">
        <v>8.56</v>
      </c>
      <c r="BQ252" s="2">
        <v>9.24</v>
      </c>
      <c r="BR252" s="2">
        <v>9.2200000000000006</v>
      </c>
      <c r="BS252" s="2">
        <v>8.89</v>
      </c>
      <c r="BT252" s="2"/>
      <c r="BU252" s="2"/>
      <c r="BV252" s="7"/>
      <c r="BW252" s="128">
        <v>44399</v>
      </c>
      <c r="BX252" s="2">
        <v>87.875</v>
      </c>
      <c r="BY252" s="2">
        <v>70.5</v>
      </c>
      <c r="BZ252" s="2">
        <v>62.25</v>
      </c>
      <c r="CA252" s="2">
        <v>56.625</v>
      </c>
    </row>
    <row r="253" spans="1:79" x14ac:dyDescent="0.2">
      <c r="A253" s="124">
        <v>44085</v>
      </c>
      <c r="B253">
        <v>57</v>
      </c>
      <c r="C253">
        <v>53.625</v>
      </c>
      <c r="D253">
        <v>54.25</v>
      </c>
      <c r="E253" s="17">
        <v>51.75</v>
      </c>
      <c r="F253">
        <v>50.75</v>
      </c>
      <c r="G253">
        <v>51.75</v>
      </c>
      <c r="H253">
        <v>50.375</v>
      </c>
      <c r="I253">
        <v>49.875</v>
      </c>
      <c r="J253">
        <v>51.75</v>
      </c>
      <c r="K253" s="17">
        <v>51.5</v>
      </c>
      <c r="L253" s="7"/>
      <c r="N253" s="124">
        <v>44085</v>
      </c>
      <c r="O253" s="2">
        <v>55.856050000000003</v>
      </c>
      <c r="P253" s="2">
        <v>37.149149999999999</v>
      </c>
      <c r="Q253" s="2">
        <v>28.37</v>
      </c>
      <c r="R253" s="2">
        <v>26.769100000000002</v>
      </c>
      <c r="S253" s="2">
        <v>27.16</v>
      </c>
      <c r="T253" s="2">
        <v>25.903849999999998</v>
      </c>
      <c r="U253" s="2">
        <v>23.428249999999998</v>
      </c>
      <c r="V253" s="2">
        <v>21.869199999999999</v>
      </c>
      <c r="W253" s="2">
        <v>25.21</v>
      </c>
      <c r="X253" s="2">
        <v>23.542249999999999</v>
      </c>
      <c r="Y253" s="7"/>
      <c r="Z253" s="7"/>
      <c r="AA253" s="128">
        <v>44400</v>
      </c>
      <c r="AB253" s="2">
        <v>8.5683469999999993</v>
      </c>
      <c r="AC253" s="2">
        <v>9.3058409999999991</v>
      </c>
      <c r="AD253" s="2">
        <v>9.2181350000000002</v>
      </c>
      <c r="AE253" s="2">
        <v>8.8117420000000006</v>
      </c>
      <c r="AF253" s="2"/>
      <c r="AG253" s="2"/>
      <c r="AH253" s="7"/>
      <c r="AI253" s="128">
        <v>44400</v>
      </c>
      <c r="AJ253" s="2">
        <v>87.875</v>
      </c>
      <c r="AK253" s="2">
        <v>70.125</v>
      </c>
      <c r="AL253" s="2">
        <v>62.25</v>
      </c>
      <c r="AM253" s="2">
        <v>56.25</v>
      </c>
      <c r="AO253" s="124">
        <v>44085</v>
      </c>
      <c r="AP253">
        <v>57</v>
      </c>
      <c r="AQ253">
        <v>53.625</v>
      </c>
      <c r="AR253">
        <v>54.25</v>
      </c>
      <c r="AS253" s="17">
        <v>51.75</v>
      </c>
      <c r="AT253">
        <v>50.75</v>
      </c>
      <c r="AU253">
        <v>51.75</v>
      </c>
      <c r="AV253">
        <v>50.375</v>
      </c>
      <c r="AW253">
        <v>49.875</v>
      </c>
      <c r="AX253">
        <v>51.75</v>
      </c>
      <c r="AY253" s="17">
        <v>51.5</v>
      </c>
      <c r="AZ253" s="7"/>
      <c r="BB253" s="124">
        <v>44085</v>
      </c>
      <c r="BC253" s="2">
        <v>55.85</v>
      </c>
      <c r="BD253" s="2">
        <v>37.15</v>
      </c>
      <c r="BE253" s="2">
        <v>28.37</v>
      </c>
      <c r="BF253" s="2">
        <v>26.77</v>
      </c>
      <c r="BG253" s="2">
        <v>27.16</v>
      </c>
      <c r="BH253" s="2">
        <v>25.9</v>
      </c>
      <c r="BI253" s="2">
        <v>23.43</v>
      </c>
      <c r="BJ253" s="2">
        <v>21.87</v>
      </c>
      <c r="BK253" s="2">
        <v>25.21</v>
      </c>
      <c r="BL253" s="2">
        <v>23.54</v>
      </c>
      <c r="BM253" s="7"/>
      <c r="BN253" s="7"/>
      <c r="BO253" s="128">
        <v>44400</v>
      </c>
      <c r="BP253" s="2">
        <v>8.57</v>
      </c>
      <c r="BQ253" s="2">
        <v>9.31</v>
      </c>
      <c r="BR253" s="2">
        <v>9.2200000000000006</v>
      </c>
      <c r="BS253" s="2">
        <v>9.01</v>
      </c>
      <c r="BT253" s="2"/>
      <c r="BU253" s="2"/>
      <c r="BV253" s="7"/>
      <c r="BW253" s="128">
        <v>44400</v>
      </c>
      <c r="BX253" s="2">
        <v>87.875</v>
      </c>
      <c r="BY253" s="2">
        <v>70.125</v>
      </c>
      <c r="BZ253" s="2">
        <v>62.25</v>
      </c>
      <c r="CA253" s="2">
        <v>56.25</v>
      </c>
    </row>
    <row r="254" spans="1:79" x14ac:dyDescent="0.2">
      <c r="A254" s="124">
        <v>44088</v>
      </c>
      <c r="B254">
        <v>57</v>
      </c>
      <c r="C254">
        <v>53.625</v>
      </c>
      <c r="D254">
        <v>54.25</v>
      </c>
      <c r="E254" s="17">
        <v>52</v>
      </c>
      <c r="F254">
        <v>50.75</v>
      </c>
      <c r="G254">
        <v>52</v>
      </c>
      <c r="H254">
        <v>50.375</v>
      </c>
      <c r="I254">
        <v>50.125</v>
      </c>
      <c r="J254">
        <v>52</v>
      </c>
      <c r="K254" s="17">
        <v>51.75</v>
      </c>
      <c r="L254" s="7"/>
      <c r="N254" s="124">
        <v>44088</v>
      </c>
      <c r="O254" s="2">
        <v>55.942700000000002</v>
      </c>
      <c r="P254" s="2">
        <v>37.17615</v>
      </c>
      <c r="Q254" s="2">
        <v>28.38</v>
      </c>
      <c r="R254" s="2">
        <v>26.63035</v>
      </c>
      <c r="S254" s="2">
        <v>27.18</v>
      </c>
      <c r="T254" s="2">
        <v>25.792149999999999</v>
      </c>
      <c r="U254" s="2">
        <v>23.432400000000001</v>
      </c>
      <c r="V254" s="2">
        <v>21.761900000000001</v>
      </c>
      <c r="W254" s="2">
        <v>25.1</v>
      </c>
      <c r="X254" s="2">
        <v>23.441549999999999</v>
      </c>
      <c r="Y254" s="7"/>
      <c r="Z254" s="7"/>
      <c r="AA254" s="128">
        <v>44403</v>
      </c>
      <c r="AB254" s="2">
        <v>8.5190909999999995</v>
      </c>
      <c r="AC254" s="2">
        <v>9.3085769999999997</v>
      </c>
      <c r="AD254" s="2">
        <v>9.1171249999999997</v>
      </c>
      <c r="AE254" s="2">
        <v>8.8508420000000001</v>
      </c>
      <c r="AF254" s="2"/>
      <c r="AG254" s="2"/>
      <c r="AH254" s="7"/>
      <c r="AI254" s="128">
        <v>44403</v>
      </c>
      <c r="AJ254" s="2">
        <v>88.125</v>
      </c>
      <c r="AK254" s="2">
        <v>70.125</v>
      </c>
      <c r="AL254" s="2">
        <v>62.954999999999998</v>
      </c>
      <c r="AM254" s="2">
        <v>56.125</v>
      </c>
      <c r="AO254" s="124">
        <v>44088</v>
      </c>
      <c r="AP254">
        <v>57</v>
      </c>
      <c r="AQ254">
        <v>53.625</v>
      </c>
      <c r="AR254">
        <v>54.25</v>
      </c>
      <c r="AS254" s="17">
        <v>52</v>
      </c>
      <c r="AT254">
        <v>50.75</v>
      </c>
      <c r="AU254">
        <v>52</v>
      </c>
      <c r="AV254">
        <v>50.375</v>
      </c>
      <c r="AW254">
        <v>50.125</v>
      </c>
      <c r="AX254">
        <v>52</v>
      </c>
      <c r="AY254" s="17">
        <v>51.75</v>
      </c>
      <c r="AZ254" s="7"/>
      <c r="BB254" s="124">
        <v>44088</v>
      </c>
      <c r="BC254" s="2">
        <v>55.94</v>
      </c>
      <c r="BD254" s="2">
        <v>37.17</v>
      </c>
      <c r="BE254" s="2">
        <v>28.38</v>
      </c>
      <c r="BF254" s="2">
        <v>15.71</v>
      </c>
      <c r="BG254" s="2">
        <v>27.18</v>
      </c>
      <c r="BH254" s="2">
        <v>25.79</v>
      </c>
      <c r="BI254" s="2">
        <v>23.43</v>
      </c>
      <c r="BJ254" s="2">
        <v>21.76</v>
      </c>
      <c r="BK254" s="2">
        <v>21.56</v>
      </c>
      <c r="BL254" s="2">
        <v>23.44</v>
      </c>
      <c r="BM254" s="7"/>
      <c r="BN254" s="7"/>
      <c r="BO254" s="128">
        <v>44403</v>
      </c>
      <c r="BP254" s="2">
        <v>8.52</v>
      </c>
      <c r="BQ254" s="2">
        <v>9.31</v>
      </c>
      <c r="BR254" s="2">
        <v>9.1199999999999992</v>
      </c>
      <c r="BS254" s="2">
        <v>9.0500000000000007</v>
      </c>
      <c r="BT254" s="2"/>
      <c r="BU254" s="2"/>
      <c r="BV254" s="7"/>
      <c r="BW254" s="128">
        <v>44403</v>
      </c>
      <c r="BX254" s="2">
        <v>88.125</v>
      </c>
      <c r="BY254" s="2">
        <v>70.125</v>
      </c>
      <c r="BZ254" s="2">
        <v>62.954999999999998</v>
      </c>
      <c r="CA254" s="2">
        <v>56.125</v>
      </c>
    </row>
    <row r="255" spans="1:79" x14ac:dyDescent="0.2">
      <c r="A255" s="124">
        <v>44089</v>
      </c>
      <c r="B255">
        <v>57</v>
      </c>
      <c r="C255">
        <v>53.875</v>
      </c>
      <c r="D255">
        <v>54.25</v>
      </c>
      <c r="E255" s="17">
        <v>52</v>
      </c>
      <c r="F255">
        <v>51</v>
      </c>
      <c r="G255">
        <v>52</v>
      </c>
      <c r="H255">
        <v>50.375</v>
      </c>
      <c r="I255">
        <v>50.125</v>
      </c>
      <c r="J255">
        <v>52</v>
      </c>
      <c r="K255" s="17">
        <v>51.75</v>
      </c>
      <c r="L255" s="7"/>
      <c r="N255" s="124">
        <v>44089</v>
      </c>
      <c r="O255" s="2">
        <v>56.029850000000003</v>
      </c>
      <c r="P255" s="2">
        <v>16.664149999999999</v>
      </c>
      <c r="Q255" s="2">
        <v>15.2</v>
      </c>
      <c r="R255" s="2">
        <v>15.70865</v>
      </c>
      <c r="S255" s="2">
        <v>20.149999999999999</v>
      </c>
      <c r="T255" s="2">
        <v>19.822949999999999</v>
      </c>
      <c r="U255" s="2">
        <v>18.006399999999999</v>
      </c>
      <c r="V255" s="2">
        <v>16.44295</v>
      </c>
      <c r="W255" s="2">
        <v>21.58</v>
      </c>
      <c r="X255" s="2">
        <v>20.360050000000001</v>
      </c>
      <c r="Y255" s="7"/>
      <c r="Z255" s="7"/>
      <c r="AA255" s="128">
        <v>44404</v>
      </c>
      <c r="AB255" s="2">
        <v>8.5498250000000002</v>
      </c>
      <c r="AC255" s="2">
        <v>9.3322140000000005</v>
      </c>
      <c r="AD255" s="2">
        <v>9.2260200000000001</v>
      </c>
      <c r="AE255" s="2">
        <v>8.8546619999999994</v>
      </c>
      <c r="AF255" s="2"/>
      <c r="AG255" s="2"/>
      <c r="AH255" s="7"/>
      <c r="AI255" s="128">
        <v>44404</v>
      </c>
      <c r="AJ255" s="2">
        <v>88</v>
      </c>
      <c r="AK255" s="2">
        <v>70</v>
      </c>
      <c r="AL255" s="2">
        <v>62.225000000000001</v>
      </c>
      <c r="AM255" s="2">
        <v>56.125</v>
      </c>
      <c r="AO255" s="124">
        <v>44089</v>
      </c>
      <c r="AP255">
        <v>57</v>
      </c>
      <c r="AQ255">
        <v>53.875</v>
      </c>
      <c r="AR255">
        <v>54.25</v>
      </c>
      <c r="AS255" s="17">
        <v>52</v>
      </c>
      <c r="AT255">
        <v>51</v>
      </c>
      <c r="AU255">
        <v>52</v>
      </c>
      <c r="AV255">
        <v>50.375</v>
      </c>
      <c r="AW255">
        <v>50.125</v>
      </c>
      <c r="AX255">
        <v>52</v>
      </c>
      <c r="AY255" s="17">
        <v>51.75</v>
      </c>
      <c r="AZ255" s="7"/>
      <c r="BB255" s="124">
        <v>44089</v>
      </c>
      <c r="BC255" s="2">
        <v>19.079999999999998</v>
      </c>
      <c r="BD255" s="2">
        <v>36.97</v>
      </c>
      <c r="BE255" s="2">
        <v>15.2</v>
      </c>
      <c r="BF255" s="2">
        <v>15.71</v>
      </c>
      <c r="BG255" s="2">
        <v>27.06</v>
      </c>
      <c r="BH255" s="2">
        <v>19.82</v>
      </c>
      <c r="BI255" s="2">
        <v>18</v>
      </c>
      <c r="BJ255" s="2">
        <v>16.440000000000001</v>
      </c>
      <c r="BK255" s="2">
        <v>21.58</v>
      </c>
      <c r="BL255" s="2">
        <v>20.36</v>
      </c>
      <c r="BM255" s="7"/>
      <c r="BN255" s="7"/>
      <c r="BO255" s="128">
        <v>44404</v>
      </c>
      <c r="BP255" s="2">
        <v>8.5500000000000007</v>
      </c>
      <c r="BQ255" s="2">
        <v>9.33</v>
      </c>
      <c r="BR255" s="2">
        <v>9.23</v>
      </c>
      <c r="BS255" s="2">
        <v>9.0500000000000007</v>
      </c>
      <c r="BT255" s="2"/>
      <c r="BU255" s="2"/>
      <c r="BV255" s="7"/>
      <c r="BW255" s="128">
        <v>44404</v>
      </c>
      <c r="BX255" s="2">
        <v>88</v>
      </c>
      <c r="BY255" s="2">
        <v>70</v>
      </c>
      <c r="BZ255" s="2">
        <v>62.225000000000001</v>
      </c>
      <c r="CA255" s="2">
        <v>56.125</v>
      </c>
    </row>
    <row r="256" spans="1:79" x14ac:dyDescent="0.2">
      <c r="A256" s="124">
        <v>44090</v>
      </c>
      <c r="B256">
        <v>57</v>
      </c>
      <c r="C256">
        <v>54.25</v>
      </c>
      <c r="D256">
        <v>54.5</v>
      </c>
      <c r="E256" s="17">
        <v>51.75</v>
      </c>
      <c r="F256">
        <v>51</v>
      </c>
      <c r="G256">
        <v>52</v>
      </c>
      <c r="H256">
        <v>50.375</v>
      </c>
      <c r="I256">
        <v>50</v>
      </c>
      <c r="J256">
        <v>51.125</v>
      </c>
      <c r="K256" s="17">
        <v>51.75</v>
      </c>
      <c r="L256" s="7"/>
      <c r="N256" s="124">
        <v>44090</v>
      </c>
      <c r="O256" s="2">
        <v>19.077500000000001</v>
      </c>
      <c r="P256" s="2">
        <v>16.553349999999998</v>
      </c>
      <c r="Q256" s="2">
        <v>15.13</v>
      </c>
      <c r="R256" s="2">
        <v>15.78185</v>
      </c>
      <c r="S256" s="2">
        <v>20.16</v>
      </c>
      <c r="T256" s="2">
        <v>19.833549999999999</v>
      </c>
      <c r="U256" s="2">
        <v>18.006900000000002</v>
      </c>
      <c r="V256" s="2">
        <v>16.482299999999999</v>
      </c>
      <c r="W256" s="2">
        <v>21.96</v>
      </c>
      <c r="X256" s="2">
        <v>20.371600000000001</v>
      </c>
      <c r="Y256" s="7"/>
      <c r="Z256" s="7"/>
      <c r="AA256" s="128">
        <v>44405</v>
      </c>
      <c r="AB256" s="2">
        <v>8.6611060000000002</v>
      </c>
      <c r="AC256" s="2">
        <v>9.4825769999999991</v>
      </c>
      <c r="AD256" s="2">
        <v>9.0557379999999998</v>
      </c>
      <c r="AE256" s="2">
        <v>8.9650130000000008</v>
      </c>
      <c r="AF256" s="2"/>
      <c r="AG256" s="2"/>
      <c r="AH256" s="7"/>
      <c r="AI256" s="128">
        <v>44405</v>
      </c>
      <c r="AJ256" s="2">
        <v>87.5</v>
      </c>
      <c r="AK256" s="2">
        <v>69.125</v>
      </c>
      <c r="AL256" s="2">
        <v>63.408000000000001</v>
      </c>
      <c r="AM256" s="2">
        <v>55.75</v>
      </c>
      <c r="AO256" s="124">
        <v>44090</v>
      </c>
      <c r="AP256">
        <v>57</v>
      </c>
      <c r="AQ256">
        <v>54.25</v>
      </c>
      <c r="AR256">
        <v>54.5</v>
      </c>
      <c r="AS256" s="17">
        <v>51.75</v>
      </c>
      <c r="AT256">
        <v>51</v>
      </c>
      <c r="AU256">
        <v>52</v>
      </c>
      <c r="AV256">
        <v>50.375</v>
      </c>
      <c r="AW256">
        <v>50</v>
      </c>
      <c r="AX256">
        <v>51.125</v>
      </c>
      <c r="AY256" s="17">
        <v>51.75</v>
      </c>
      <c r="AZ256" s="7"/>
      <c r="BB256" s="124">
        <v>44090</v>
      </c>
      <c r="BC256" s="2">
        <v>19.079999999999998</v>
      </c>
      <c r="BD256" s="2">
        <v>16.55</v>
      </c>
      <c r="BE256" s="2">
        <v>15.13</v>
      </c>
      <c r="BF256" s="2">
        <v>15.78</v>
      </c>
      <c r="BG256" s="2">
        <v>20.16</v>
      </c>
      <c r="BH256" s="2">
        <v>19.829999999999998</v>
      </c>
      <c r="BI256" s="2">
        <v>18.010000000000002</v>
      </c>
      <c r="BJ256" s="2">
        <v>16.48</v>
      </c>
      <c r="BK256" s="2">
        <v>21.96</v>
      </c>
      <c r="BL256" s="2">
        <v>20.37</v>
      </c>
      <c r="BM256" s="7"/>
      <c r="BN256" s="7"/>
      <c r="BO256" s="128">
        <v>44405</v>
      </c>
      <c r="BP256" s="2">
        <v>8.66</v>
      </c>
      <c r="BQ256" s="2">
        <v>9.48</v>
      </c>
      <c r="BR256" s="2">
        <v>9.06</v>
      </c>
      <c r="BS256" s="2">
        <v>9.17</v>
      </c>
      <c r="BT256" s="2"/>
      <c r="BU256" s="2"/>
      <c r="BV256" s="7"/>
      <c r="BW256" s="128">
        <v>44405</v>
      </c>
      <c r="BX256" s="2">
        <v>87.5</v>
      </c>
      <c r="BY256" s="2">
        <v>69.125</v>
      </c>
      <c r="BZ256" s="2">
        <v>63.408000000000001</v>
      </c>
      <c r="CA256" s="2">
        <v>55.75</v>
      </c>
    </row>
    <row r="257" spans="1:79" x14ac:dyDescent="0.2">
      <c r="A257" s="124">
        <v>44091</v>
      </c>
      <c r="B257">
        <v>57</v>
      </c>
      <c r="C257">
        <v>54.25</v>
      </c>
      <c r="D257">
        <v>54.5</v>
      </c>
      <c r="E257" s="17">
        <v>51.75</v>
      </c>
      <c r="F257">
        <v>51</v>
      </c>
      <c r="G257">
        <v>52</v>
      </c>
      <c r="H257">
        <v>50.375</v>
      </c>
      <c r="I257">
        <v>50</v>
      </c>
      <c r="J257">
        <v>51.125</v>
      </c>
      <c r="K257" s="17">
        <v>51.75</v>
      </c>
      <c r="L257" s="7"/>
      <c r="N257" s="124">
        <v>44091</v>
      </c>
      <c r="O257" s="2">
        <v>19.079350000000002</v>
      </c>
      <c r="P257" s="2">
        <v>16.554349999999999</v>
      </c>
      <c r="Q257" s="2">
        <v>15.13</v>
      </c>
      <c r="R257" s="2">
        <v>15.78345</v>
      </c>
      <c r="S257" s="2">
        <v>20.190000000000001</v>
      </c>
      <c r="T257" s="2">
        <v>19.86525</v>
      </c>
      <c r="U257" s="2">
        <v>18.008400000000002</v>
      </c>
      <c r="V257" s="2">
        <v>16.482949999999999</v>
      </c>
      <c r="W257" s="2">
        <v>21.99</v>
      </c>
      <c r="X257" s="2">
        <v>20.406199999999998</v>
      </c>
      <c r="Y257" s="7"/>
      <c r="Z257" s="7"/>
      <c r="AA257" s="128">
        <v>44406</v>
      </c>
      <c r="AB257" s="2">
        <v>8.6371249999999993</v>
      </c>
      <c r="AC257" s="2">
        <v>9.4452619999999996</v>
      </c>
      <c r="AD257" s="2">
        <v>9.2853290000000008</v>
      </c>
      <c r="AE257" s="2">
        <v>8.9727650000000008</v>
      </c>
      <c r="AF257" s="2"/>
      <c r="AG257" s="2"/>
      <c r="AH257" s="7"/>
      <c r="AI257" s="128">
        <v>44406</v>
      </c>
      <c r="AJ257" s="2">
        <v>87.625</v>
      </c>
      <c r="AK257" s="2">
        <v>69.375</v>
      </c>
      <c r="AL257" s="2">
        <v>61.866999999999997</v>
      </c>
      <c r="AM257" s="2">
        <v>55.75</v>
      </c>
      <c r="AO257" s="124">
        <v>44091</v>
      </c>
      <c r="AP257">
        <v>57</v>
      </c>
      <c r="AQ257">
        <v>54.25</v>
      </c>
      <c r="AR257">
        <v>54.5</v>
      </c>
      <c r="AS257" s="17">
        <v>51.75</v>
      </c>
      <c r="AT257">
        <v>51</v>
      </c>
      <c r="AU257">
        <v>52</v>
      </c>
      <c r="AV257">
        <v>50.375</v>
      </c>
      <c r="AW257">
        <v>50</v>
      </c>
      <c r="AX257">
        <v>51.125</v>
      </c>
      <c r="AY257" s="17">
        <v>51.75</v>
      </c>
      <c r="AZ257" s="7"/>
      <c r="BB257" s="124">
        <v>44091</v>
      </c>
      <c r="BC257" s="2">
        <v>19.079999999999998</v>
      </c>
      <c r="BD257" s="2">
        <v>16.55</v>
      </c>
      <c r="BE257" s="2">
        <v>15.13</v>
      </c>
      <c r="BF257" s="2">
        <v>15.78</v>
      </c>
      <c r="BG257" s="2">
        <v>20.190000000000001</v>
      </c>
      <c r="BH257" s="2">
        <v>19.86</v>
      </c>
      <c r="BI257" s="2">
        <v>18.010000000000002</v>
      </c>
      <c r="BJ257" s="2">
        <v>16.48</v>
      </c>
      <c r="BK257" s="2">
        <v>21.99</v>
      </c>
      <c r="BL257" s="2">
        <v>20.399999999999999</v>
      </c>
      <c r="BM257" s="7"/>
      <c r="BN257" s="7"/>
      <c r="BO257" s="128">
        <v>44406</v>
      </c>
      <c r="BP257" s="2">
        <v>8.64</v>
      </c>
      <c r="BQ257" s="2">
        <v>9.4499999999999993</v>
      </c>
      <c r="BR257" s="2">
        <v>9.2899999999999991</v>
      </c>
      <c r="BS257" s="2">
        <v>9.17</v>
      </c>
      <c r="BT257" s="2"/>
      <c r="BU257" s="2"/>
      <c r="BV257" s="7"/>
      <c r="BW257" s="128">
        <v>44406</v>
      </c>
      <c r="BX257" s="2">
        <v>87.625</v>
      </c>
      <c r="BY257" s="2">
        <v>69.375</v>
      </c>
      <c r="BZ257" s="2">
        <v>61.866999999999997</v>
      </c>
      <c r="CA257" s="2">
        <v>55.75</v>
      </c>
    </row>
    <row r="258" spans="1:79" x14ac:dyDescent="0.2">
      <c r="A258" s="124">
        <v>44092</v>
      </c>
      <c r="B258">
        <v>57</v>
      </c>
      <c r="C258">
        <v>54.25</v>
      </c>
      <c r="D258">
        <v>54.5</v>
      </c>
      <c r="E258" s="17">
        <v>51.75</v>
      </c>
      <c r="F258">
        <v>51</v>
      </c>
      <c r="G258">
        <v>52</v>
      </c>
      <c r="H258">
        <v>52.5</v>
      </c>
      <c r="I258">
        <v>52.75</v>
      </c>
      <c r="J258">
        <v>51.125</v>
      </c>
      <c r="K258" s="17">
        <v>51.75</v>
      </c>
      <c r="L258" s="7"/>
      <c r="N258" s="124">
        <v>44092</v>
      </c>
      <c r="O258" s="2">
        <v>19.07995</v>
      </c>
      <c r="P258" s="2">
        <v>16.554649999999999</v>
      </c>
      <c r="Q258" s="2">
        <v>15.13</v>
      </c>
      <c r="R258" s="2">
        <v>15.784000000000001</v>
      </c>
      <c r="S258" s="2">
        <v>20.2</v>
      </c>
      <c r="T258" s="2">
        <v>19.875900000000001</v>
      </c>
      <c r="U258" s="2">
        <v>17.309249999999999</v>
      </c>
      <c r="V258" s="2">
        <v>15.661049999999999</v>
      </c>
      <c r="W258" s="2">
        <v>22.01</v>
      </c>
      <c r="X258" s="2">
        <v>20.4178</v>
      </c>
      <c r="Y258" s="7"/>
      <c r="Z258" s="7"/>
      <c r="AA258" s="128">
        <v>44407</v>
      </c>
      <c r="AB258" s="2">
        <v>8.6117139999999992</v>
      </c>
      <c r="AC258" s="2">
        <v>9.4266509999999997</v>
      </c>
      <c r="AD258" s="2">
        <v>9.2308800000000009</v>
      </c>
      <c r="AE258" s="2">
        <v>8.9766460000000006</v>
      </c>
      <c r="AF258" s="2"/>
      <c r="AG258" s="2"/>
      <c r="AH258" s="7"/>
      <c r="AI258" s="128">
        <v>44407</v>
      </c>
      <c r="AJ258" s="2">
        <v>87.75</v>
      </c>
      <c r="AK258" s="2">
        <v>69.5</v>
      </c>
      <c r="AL258" s="2">
        <v>62.249000000000002</v>
      </c>
      <c r="AM258" s="2">
        <v>55.75</v>
      </c>
      <c r="AO258" s="124">
        <v>44092</v>
      </c>
      <c r="AP258">
        <v>57</v>
      </c>
      <c r="AQ258">
        <v>54.25</v>
      </c>
      <c r="AR258">
        <v>54.5</v>
      </c>
      <c r="AS258" s="17">
        <v>51.75</v>
      </c>
      <c r="AT258">
        <v>51</v>
      </c>
      <c r="AU258">
        <v>52</v>
      </c>
      <c r="AV258">
        <v>52.5</v>
      </c>
      <c r="AW258">
        <v>52.75</v>
      </c>
      <c r="AX258">
        <v>51.125</v>
      </c>
      <c r="AY258" s="17">
        <v>51.75</v>
      </c>
      <c r="AZ258" s="7"/>
      <c r="BB258" s="124">
        <v>44092</v>
      </c>
      <c r="BC258" s="2">
        <v>19.079999999999998</v>
      </c>
      <c r="BD258" s="2">
        <v>16.55</v>
      </c>
      <c r="BE258" s="2">
        <v>15.13</v>
      </c>
      <c r="BF258" s="2">
        <v>15.78</v>
      </c>
      <c r="BG258" s="2">
        <v>20.2</v>
      </c>
      <c r="BH258" s="2">
        <v>19.87</v>
      </c>
      <c r="BI258" s="2">
        <v>17.309999999999999</v>
      </c>
      <c r="BJ258" s="2">
        <v>15.66</v>
      </c>
      <c r="BK258" s="2">
        <v>22.01</v>
      </c>
      <c r="BL258" s="2">
        <v>20.41</v>
      </c>
      <c r="BM258" s="7"/>
      <c r="BN258" s="7"/>
      <c r="BO258" s="128">
        <v>44407</v>
      </c>
      <c r="BP258" s="2">
        <v>8.61</v>
      </c>
      <c r="BQ258" s="2">
        <v>9.43</v>
      </c>
      <c r="BR258" s="2">
        <v>9.23</v>
      </c>
      <c r="BS258" s="2">
        <v>9.18</v>
      </c>
      <c r="BT258" s="2"/>
      <c r="BU258" s="2"/>
      <c r="BV258" s="7"/>
      <c r="BW258" s="128">
        <v>44407</v>
      </c>
      <c r="BX258" s="2">
        <v>87.75</v>
      </c>
      <c r="BY258" s="2">
        <v>69.5</v>
      </c>
      <c r="BZ258" s="2">
        <v>62.249000000000002</v>
      </c>
      <c r="CA258" s="2">
        <v>55.75</v>
      </c>
    </row>
    <row r="259" spans="1:79" x14ac:dyDescent="0.2">
      <c r="A259" s="124">
        <v>44095</v>
      </c>
      <c r="B259">
        <v>57</v>
      </c>
      <c r="C259">
        <v>54.25</v>
      </c>
      <c r="D259">
        <v>54.5</v>
      </c>
      <c r="E259" s="17">
        <v>51.75</v>
      </c>
      <c r="F259">
        <v>51</v>
      </c>
      <c r="G259">
        <v>52</v>
      </c>
      <c r="H259">
        <v>52.5</v>
      </c>
      <c r="I259">
        <v>52.75</v>
      </c>
      <c r="J259">
        <v>51.125</v>
      </c>
      <c r="K259" s="17">
        <v>51.75</v>
      </c>
      <c r="L259" s="7"/>
      <c r="N259" s="124">
        <v>44095</v>
      </c>
      <c r="O259" s="2">
        <v>9.3766999999999996</v>
      </c>
      <c r="P259" s="2">
        <v>9.8068500000000007</v>
      </c>
      <c r="Q259" s="2">
        <v>15.13</v>
      </c>
      <c r="R259" s="2">
        <v>10.0297</v>
      </c>
      <c r="S259" s="2">
        <v>10.49</v>
      </c>
      <c r="T259" s="2">
        <v>19.886500000000002</v>
      </c>
      <c r="U259" s="2">
        <v>17.309699999999999</v>
      </c>
      <c r="V259" s="2">
        <v>15.661300000000001</v>
      </c>
      <c r="W259" s="2">
        <v>10.49</v>
      </c>
      <c r="X259" s="2">
        <v>10.3605</v>
      </c>
      <c r="Y259" s="7"/>
      <c r="Z259" s="7"/>
      <c r="AA259" s="128">
        <v>44410</v>
      </c>
      <c r="AB259" s="2">
        <v>8.5061780000000002</v>
      </c>
      <c r="AC259" s="2">
        <v>9.3031869999999994</v>
      </c>
      <c r="AD259" s="2">
        <v>9.1566550000000007</v>
      </c>
      <c r="AE259" s="2">
        <v>8.9805299999999999</v>
      </c>
      <c r="AF259" s="2"/>
      <c r="AG259" s="2"/>
      <c r="AH259" s="7"/>
      <c r="AI259" s="128">
        <v>44410</v>
      </c>
      <c r="AJ259" s="2">
        <v>88.25</v>
      </c>
      <c r="AK259" s="2">
        <v>70.25</v>
      </c>
      <c r="AL259" s="2">
        <v>62.768999999999998</v>
      </c>
      <c r="AM259" s="2">
        <v>55.75</v>
      </c>
      <c r="AO259" s="124">
        <v>44095</v>
      </c>
      <c r="AP259">
        <v>57</v>
      </c>
      <c r="AQ259">
        <v>54.25</v>
      </c>
      <c r="AR259">
        <v>54.5</v>
      </c>
      <c r="AS259" s="17">
        <v>51.75</v>
      </c>
      <c r="AT259">
        <v>51</v>
      </c>
      <c r="AU259">
        <v>52</v>
      </c>
      <c r="AV259">
        <v>52.5</v>
      </c>
      <c r="AW259">
        <v>52.75</v>
      </c>
      <c r="AX259">
        <v>51.125</v>
      </c>
      <c r="AY259" s="17">
        <v>51.75</v>
      </c>
      <c r="AZ259" s="7"/>
      <c r="BB259" s="124">
        <v>44095</v>
      </c>
      <c r="BC259" s="2">
        <v>19.079999999999998</v>
      </c>
      <c r="BD259" s="2">
        <v>9.68</v>
      </c>
      <c r="BE259" s="2">
        <v>15.14</v>
      </c>
      <c r="BF259" s="2">
        <v>10.029999999999999</v>
      </c>
      <c r="BG259" s="2">
        <v>10.17</v>
      </c>
      <c r="BH259" s="2">
        <v>19.88</v>
      </c>
      <c r="BI259" s="2">
        <v>17.309999999999999</v>
      </c>
      <c r="BJ259" s="2">
        <v>15.66</v>
      </c>
      <c r="BK259" s="2">
        <v>22.02</v>
      </c>
      <c r="BL259" s="2">
        <v>20.420000000000002</v>
      </c>
      <c r="BM259" s="7"/>
      <c r="BN259" s="7"/>
      <c r="BO259" s="128">
        <v>44410</v>
      </c>
      <c r="BP259" s="2">
        <v>8.51</v>
      </c>
      <c r="BQ259" s="2">
        <v>9.3000000000000007</v>
      </c>
      <c r="BR259" s="2">
        <v>9.16</v>
      </c>
      <c r="BS259" s="2">
        <v>9.18</v>
      </c>
      <c r="BT259" s="2"/>
      <c r="BU259" s="2"/>
      <c r="BV259" s="7"/>
      <c r="BW259" s="128">
        <v>44410</v>
      </c>
      <c r="BX259" s="2">
        <v>88.25</v>
      </c>
      <c r="BY259" s="2">
        <v>70.25</v>
      </c>
      <c r="BZ259" s="2">
        <v>62.768999999999998</v>
      </c>
      <c r="CA259" s="2">
        <v>55.75</v>
      </c>
    </row>
    <row r="260" spans="1:79" x14ac:dyDescent="0.2">
      <c r="A260" s="124">
        <v>44096</v>
      </c>
      <c r="B260">
        <v>57</v>
      </c>
      <c r="C260">
        <v>54.25</v>
      </c>
      <c r="D260">
        <v>54.5</v>
      </c>
      <c r="E260" s="17">
        <v>51.75</v>
      </c>
      <c r="F260">
        <v>47.25</v>
      </c>
      <c r="G260">
        <v>52</v>
      </c>
      <c r="H260">
        <v>52.5</v>
      </c>
      <c r="I260">
        <v>52.75</v>
      </c>
      <c r="J260">
        <v>49.625</v>
      </c>
      <c r="K260" s="17">
        <v>49</v>
      </c>
      <c r="L260" s="7"/>
      <c r="N260" s="124">
        <v>44096</v>
      </c>
      <c r="O260" s="2">
        <v>9.3787500000000001</v>
      </c>
      <c r="P260" s="2">
        <v>9.8089499999999994</v>
      </c>
      <c r="Q260" s="2">
        <v>9.77</v>
      </c>
      <c r="R260" s="2">
        <v>10.22325</v>
      </c>
      <c r="S260" s="2">
        <v>11.19</v>
      </c>
      <c r="T260" s="2">
        <v>10.321400000000001</v>
      </c>
      <c r="U260" s="2">
        <v>10.0954</v>
      </c>
      <c r="V260" s="2">
        <v>10.05475</v>
      </c>
      <c r="W260" s="2">
        <v>10.76</v>
      </c>
      <c r="X260" s="2">
        <v>10.857749999999999</v>
      </c>
      <c r="Y260" s="7"/>
      <c r="Z260" s="7"/>
      <c r="AA260" s="128">
        <v>44411</v>
      </c>
      <c r="AB260" s="2">
        <v>8.5075749999999992</v>
      </c>
      <c r="AC260" s="2">
        <v>9.3265799999999999</v>
      </c>
      <c r="AD260" s="2">
        <v>9.0675799999999995</v>
      </c>
      <c r="AE260" s="2">
        <v>8.9487389999999998</v>
      </c>
      <c r="AF260" s="2"/>
      <c r="AG260" s="2"/>
      <c r="AH260" s="7"/>
      <c r="AI260" s="128">
        <v>44411</v>
      </c>
      <c r="AJ260" s="2">
        <v>88.25</v>
      </c>
      <c r="AK260" s="2">
        <v>70.125</v>
      </c>
      <c r="AL260" s="2">
        <v>63.396999999999998</v>
      </c>
      <c r="AM260" s="2">
        <v>55.875</v>
      </c>
      <c r="AO260" s="124">
        <v>44096</v>
      </c>
      <c r="AP260">
        <v>57</v>
      </c>
      <c r="AQ260">
        <v>54.25</v>
      </c>
      <c r="AR260">
        <v>54.5</v>
      </c>
      <c r="AS260" s="17">
        <v>51.75</v>
      </c>
      <c r="AT260">
        <v>48.5</v>
      </c>
      <c r="AU260">
        <v>49</v>
      </c>
      <c r="AV260">
        <v>52.5</v>
      </c>
      <c r="AW260">
        <v>52.75</v>
      </c>
      <c r="AX260">
        <v>49.625</v>
      </c>
      <c r="AY260" s="17">
        <v>47.25</v>
      </c>
      <c r="AZ260" s="7"/>
      <c r="BB260" s="124">
        <v>44096</v>
      </c>
      <c r="BC260" s="2">
        <v>9.3800000000000008</v>
      </c>
      <c r="BD260" s="2">
        <v>9.81</v>
      </c>
      <c r="BE260" s="2">
        <v>9.77</v>
      </c>
      <c r="BF260" s="2">
        <v>10.220000000000001</v>
      </c>
      <c r="BG260" s="2">
        <v>10.95</v>
      </c>
      <c r="BH260" s="2">
        <v>10.86</v>
      </c>
      <c r="BI260" s="2">
        <v>10.09</v>
      </c>
      <c r="BJ260" s="2">
        <v>10.050000000000001</v>
      </c>
      <c r="BK260" s="2">
        <v>10.76</v>
      </c>
      <c r="BL260" s="2">
        <v>11.19</v>
      </c>
      <c r="BM260" s="7"/>
      <c r="BN260" s="7"/>
      <c r="BO260" s="128">
        <v>44411</v>
      </c>
      <c r="BP260" s="2">
        <v>8.51</v>
      </c>
      <c r="BQ260" s="2">
        <v>9.33</v>
      </c>
      <c r="BR260" s="2">
        <v>9.07</v>
      </c>
      <c r="BS260" s="2">
        <v>9.15</v>
      </c>
      <c r="BT260" s="2"/>
      <c r="BU260" s="2"/>
      <c r="BV260" s="7"/>
      <c r="BW260" s="128">
        <v>44411</v>
      </c>
      <c r="BX260" s="2">
        <v>88.25</v>
      </c>
      <c r="BY260" s="2">
        <v>70.125</v>
      </c>
      <c r="BZ260" s="2">
        <v>63.396999999999998</v>
      </c>
      <c r="CA260" s="2">
        <v>55.875</v>
      </c>
    </row>
    <row r="261" spans="1:79" x14ac:dyDescent="0.2">
      <c r="A261" s="124">
        <v>44097</v>
      </c>
      <c r="B261">
        <v>57</v>
      </c>
      <c r="C261">
        <v>54.25</v>
      </c>
      <c r="D261">
        <v>55.125</v>
      </c>
      <c r="E261" s="17">
        <v>51.75</v>
      </c>
      <c r="F261">
        <v>47.25</v>
      </c>
      <c r="G261">
        <v>52</v>
      </c>
      <c r="H261">
        <v>52.25</v>
      </c>
      <c r="I261">
        <v>52.75</v>
      </c>
      <c r="J261">
        <v>49.625</v>
      </c>
      <c r="K261" s="17">
        <v>49</v>
      </c>
      <c r="L261" s="7"/>
      <c r="N261" s="124">
        <v>44097</v>
      </c>
      <c r="O261" s="2">
        <v>9.3807500000000008</v>
      </c>
      <c r="P261" s="2">
        <v>9.8110999999999997</v>
      </c>
      <c r="Q261" s="2">
        <v>9.67</v>
      </c>
      <c r="R261" s="2">
        <v>10.22545</v>
      </c>
      <c r="S261" s="2">
        <v>11.19</v>
      </c>
      <c r="T261" s="2">
        <v>10.32395</v>
      </c>
      <c r="U261" s="2">
        <v>10.1396</v>
      </c>
      <c r="V261" s="2">
        <v>10.056950000000001</v>
      </c>
      <c r="W261" s="2">
        <v>10.76</v>
      </c>
      <c r="X261" s="2">
        <v>10.8605</v>
      </c>
      <c r="Y261" s="7"/>
      <c r="Z261" s="7"/>
      <c r="AA261" s="128">
        <v>44412</v>
      </c>
      <c r="AB261" s="2">
        <v>8.5089729999999992</v>
      </c>
      <c r="AC261" s="2">
        <v>9.3290880000000005</v>
      </c>
      <c r="AD261" s="2">
        <v>9.1269950000000009</v>
      </c>
      <c r="AE261" s="2">
        <v>8.9526140000000005</v>
      </c>
      <c r="AF261" s="2"/>
      <c r="AG261" s="2"/>
      <c r="AH261" s="7"/>
      <c r="AI261" s="128">
        <v>44412</v>
      </c>
      <c r="AJ261" s="2">
        <v>88.25</v>
      </c>
      <c r="AK261" s="2">
        <v>70.125</v>
      </c>
      <c r="AL261" s="2">
        <v>63.000999999999998</v>
      </c>
      <c r="AM261" s="2">
        <v>55.875</v>
      </c>
      <c r="AO261" s="124">
        <v>44097</v>
      </c>
      <c r="AP261">
        <v>57</v>
      </c>
      <c r="AQ261">
        <v>54.25</v>
      </c>
      <c r="AR261">
        <v>55.125</v>
      </c>
      <c r="AS261" s="17">
        <v>51.75</v>
      </c>
      <c r="AT261">
        <v>48.5</v>
      </c>
      <c r="AU261">
        <v>49</v>
      </c>
      <c r="AV261">
        <v>52.25</v>
      </c>
      <c r="AW261">
        <v>52.75</v>
      </c>
      <c r="AX261">
        <v>49.625</v>
      </c>
      <c r="AY261" s="17">
        <v>47.25</v>
      </c>
      <c r="AZ261" s="7"/>
      <c r="BB261" s="124">
        <v>44097</v>
      </c>
      <c r="BC261" s="2">
        <v>9.3800000000000008</v>
      </c>
      <c r="BD261" s="2">
        <v>9.81</v>
      </c>
      <c r="BE261" s="2">
        <v>9.67</v>
      </c>
      <c r="BF261" s="2">
        <v>10.220000000000001</v>
      </c>
      <c r="BG261" s="2">
        <v>10.96</v>
      </c>
      <c r="BH261" s="2">
        <v>10.86</v>
      </c>
      <c r="BI261" s="2">
        <v>10.14</v>
      </c>
      <c r="BJ261" s="2">
        <v>10.06</v>
      </c>
      <c r="BK261" s="2">
        <v>10.76</v>
      </c>
      <c r="BL261" s="2">
        <v>11.19</v>
      </c>
      <c r="BM261" s="7"/>
      <c r="BN261" s="7"/>
      <c r="BO261" s="128">
        <v>44412</v>
      </c>
      <c r="BP261" s="2">
        <v>8.51</v>
      </c>
      <c r="BQ261" s="2">
        <v>9.33</v>
      </c>
      <c r="BR261" s="2">
        <v>9.1300000000000008</v>
      </c>
      <c r="BS261" s="2">
        <v>9.15</v>
      </c>
      <c r="BT261" s="2"/>
      <c r="BU261" s="2"/>
      <c r="BV261" s="7"/>
      <c r="BW261" s="128">
        <v>44412</v>
      </c>
      <c r="BX261" s="2">
        <v>88.25</v>
      </c>
      <c r="BY261" s="2">
        <v>70.125</v>
      </c>
      <c r="BZ261" s="2">
        <v>63.000999999999998</v>
      </c>
      <c r="CA261" s="2">
        <v>55.875</v>
      </c>
    </row>
    <row r="262" spans="1:79" x14ac:dyDescent="0.2">
      <c r="A262" s="124">
        <v>44098</v>
      </c>
      <c r="B262">
        <v>52.131</v>
      </c>
      <c r="C262">
        <v>52.387</v>
      </c>
      <c r="D262">
        <v>52.137999999999998</v>
      </c>
      <c r="E262" s="17">
        <v>52.389000000000003</v>
      </c>
      <c r="F262">
        <v>53.219000000000001</v>
      </c>
      <c r="G262">
        <v>53.216999999999999</v>
      </c>
      <c r="H262">
        <v>52.136000000000003</v>
      </c>
      <c r="I262">
        <v>52.389000000000003</v>
      </c>
      <c r="J262">
        <v>53.314999999999998</v>
      </c>
      <c r="K262" s="17">
        <v>53.207000000000001</v>
      </c>
      <c r="L262" s="7"/>
      <c r="N262" s="124">
        <v>44098</v>
      </c>
      <c r="O262" s="2">
        <v>10.1655</v>
      </c>
      <c r="P262" s="2">
        <v>10.123900000000001</v>
      </c>
      <c r="Q262" s="2">
        <v>10.17</v>
      </c>
      <c r="R262" s="2">
        <v>10.123950000000001</v>
      </c>
      <c r="S262" s="2">
        <v>10.119999999999999</v>
      </c>
      <c r="T262" s="2">
        <v>10.123950000000001</v>
      </c>
      <c r="U262" s="2">
        <v>10.16555</v>
      </c>
      <c r="V262" s="2">
        <v>10.123950000000001</v>
      </c>
      <c r="W262" s="2">
        <v>10.119999999999999</v>
      </c>
      <c r="X262" s="2">
        <v>10.123950000000001</v>
      </c>
      <c r="Y262" s="7"/>
      <c r="Z262" s="7"/>
      <c r="AA262" s="128">
        <v>44413</v>
      </c>
      <c r="AB262" s="2">
        <v>8.4598800000000001</v>
      </c>
      <c r="AC262" s="2">
        <v>9.3575859999999995</v>
      </c>
      <c r="AD262" s="2">
        <v>9.1368480000000005</v>
      </c>
      <c r="AE262" s="2">
        <v>8.9642599999999995</v>
      </c>
      <c r="AF262" s="2"/>
      <c r="AG262" s="2"/>
      <c r="AH262" s="7"/>
      <c r="AI262" s="128">
        <v>44413</v>
      </c>
      <c r="AJ262" s="2">
        <v>88.5</v>
      </c>
      <c r="AK262" s="2">
        <v>70</v>
      </c>
      <c r="AL262" s="2">
        <v>62.975999999999999</v>
      </c>
      <c r="AM262" s="2">
        <v>55.875</v>
      </c>
      <c r="AO262" s="124">
        <v>44098</v>
      </c>
      <c r="AP262">
        <v>52.131</v>
      </c>
      <c r="AQ262">
        <v>52.386000000000003</v>
      </c>
      <c r="AR262">
        <v>52.137999999999998</v>
      </c>
      <c r="AS262" s="17">
        <v>52.389000000000003</v>
      </c>
      <c r="AT262">
        <v>53.218000000000004</v>
      </c>
      <c r="AU262">
        <v>53.216000000000001</v>
      </c>
      <c r="AV262">
        <v>52.136000000000003</v>
      </c>
      <c r="AW262">
        <v>52.387999999999998</v>
      </c>
      <c r="AX262">
        <v>53.316000000000003</v>
      </c>
      <c r="AY262" s="17">
        <v>53.207000000000001</v>
      </c>
      <c r="AZ262" s="7"/>
      <c r="BB262" s="124">
        <v>44098</v>
      </c>
      <c r="BC262" s="2">
        <v>10.16</v>
      </c>
      <c r="BD262" s="2">
        <v>10.119999999999999</v>
      </c>
      <c r="BE262" s="2">
        <v>10.17</v>
      </c>
      <c r="BF262" s="2">
        <v>10.119999999999999</v>
      </c>
      <c r="BG262" s="2">
        <v>10.119999999999999</v>
      </c>
      <c r="BH262" s="2">
        <v>10.119999999999999</v>
      </c>
      <c r="BI262" s="2">
        <v>10.16</v>
      </c>
      <c r="BJ262" s="2">
        <v>10.119999999999999</v>
      </c>
      <c r="BK262" s="2">
        <v>10.119999999999999</v>
      </c>
      <c r="BL262" s="2">
        <v>10.119999999999999</v>
      </c>
      <c r="BM262" s="7"/>
      <c r="BN262" s="7"/>
      <c r="BO262" s="128">
        <v>44413</v>
      </c>
      <c r="BP262" s="2">
        <v>8.4600000000000009</v>
      </c>
      <c r="BQ262" s="2">
        <v>9.36</v>
      </c>
      <c r="BR262" s="2">
        <v>9.14</v>
      </c>
      <c r="BS262" s="2">
        <v>9.17</v>
      </c>
      <c r="BT262" s="2"/>
      <c r="BU262" s="2"/>
      <c r="BV262" s="7"/>
      <c r="BW262" s="128">
        <v>44413</v>
      </c>
      <c r="BX262" s="2">
        <v>88.5</v>
      </c>
      <c r="BY262" s="2">
        <v>70</v>
      </c>
      <c r="BZ262" s="2">
        <v>62.975999999999999</v>
      </c>
      <c r="CA262" s="2">
        <v>55.875</v>
      </c>
    </row>
    <row r="263" spans="1:79" x14ac:dyDescent="0.2">
      <c r="A263" s="124">
        <v>44099</v>
      </c>
      <c r="B263">
        <v>51.42</v>
      </c>
      <c r="C263">
        <v>51.674999999999997</v>
      </c>
      <c r="D263">
        <v>51.427</v>
      </c>
      <c r="E263" s="17">
        <v>51.677999999999997</v>
      </c>
      <c r="F263">
        <v>52.509</v>
      </c>
      <c r="G263">
        <v>52.506999999999998</v>
      </c>
      <c r="H263">
        <v>51.424999999999997</v>
      </c>
      <c r="I263">
        <v>51.677999999999997</v>
      </c>
      <c r="J263">
        <v>52.604999999999997</v>
      </c>
      <c r="K263" s="17">
        <v>52.497</v>
      </c>
      <c r="L263" s="7"/>
      <c r="N263" s="124">
        <v>44099</v>
      </c>
      <c r="O263" s="2">
        <v>10.289</v>
      </c>
      <c r="P263" s="2">
        <v>10.24685</v>
      </c>
      <c r="Q263" s="2">
        <v>10.29</v>
      </c>
      <c r="R263" s="2">
        <v>10.24675</v>
      </c>
      <c r="S263" s="2">
        <v>10.25</v>
      </c>
      <c r="T263" s="2">
        <v>10.2468</v>
      </c>
      <c r="U263" s="2">
        <v>10.289</v>
      </c>
      <c r="V263" s="2">
        <v>10.246700000000001</v>
      </c>
      <c r="W263" s="2">
        <v>10.25</v>
      </c>
      <c r="X263" s="2">
        <v>10.2468</v>
      </c>
      <c r="Y263" s="7"/>
      <c r="Z263" s="7"/>
      <c r="AA263" s="128">
        <v>44414</v>
      </c>
      <c r="AB263" s="2">
        <v>8.5680899999999998</v>
      </c>
      <c r="AC263" s="2">
        <v>9.3391359999999999</v>
      </c>
      <c r="AD263" s="2">
        <v>9.1368840000000002</v>
      </c>
      <c r="AE263" s="2">
        <v>8.9681490000000004</v>
      </c>
      <c r="AF263" s="2"/>
      <c r="AG263" s="2"/>
      <c r="AH263" s="7"/>
      <c r="AI263" s="128">
        <v>44414</v>
      </c>
      <c r="AJ263" s="2">
        <v>88</v>
      </c>
      <c r="AK263" s="2">
        <v>70.125</v>
      </c>
      <c r="AL263" s="2">
        <v>62.99</v>
      </c>
      <c r="AM263" s="2">
        <v>55.875</v>
      </c>
      <c r="AO263" s="124">
        <v>44099</v>
      </c>
      <c r="AP263">
        <v>51.418999999999997</v>
      </c>
      <c r="AQ263">
        <v>51.674999999999997</v>
      </c>
      <c r="AR263">
        <v>51.427</v>
      </c>
      <c r="AS263" s="17">
        <v>51.677999999999997</v>
      </c>
      <c r="AT263">
        <v>52.508000000000003</v>
      </c>
      <c r="AU263">
        <v>52.506</v>
      </c>
      <c r="AV263">
        <v>51.424999999999997</v>
      </c>
      <c r="AW263">
        <v>51.677</v>
      </c>
      <c r="AX263">
        <v>52.606000000000002</v>
      </c>
      <c r="AY263" s="17">
        <v>52.497</v>
      </c>
      <c r="AZ263" s="7"/>
      <c r="BB263" s="124">
        <v>44099</v>
      </c>
      <c r="BC263" s="2">
        <v>10.29</v>
      </c>
      <c r="BD263" s="2">
        <v>10.25</v>
      </c>
      <c r="BE263" s="2">
        <v>10.29</v>
      </c>
      <c r="BF263" s="2">
        <v>10.25</v>
      </c>
      <c r="BG263" s="2">
        <v>10.25</v>
      </c>
      <c r="BH263" s="2">
        <v>10.25</v>
      </c>
      <c r="BI263" s="2">
        <v>10.29</v>
      </c>
      <c r="BJ263" s="2">
        <v>10.25</v>
      </c>
      <c r="BK263" s="2">
        <v>10.25</v>
      </c>
      <c r="BL263" s="2">
        <v>10.25</v>
      </c>
      <c r="BM263" s="7"/>
      <c r="BN263" s="7"/>
      <c r="BO263" s="128">
        <v>44414</v>
      </c>
      <c r="BP263" s="2">
        <v>8.57</v>
      </c>
      <c r="BQ263" s="2">
        <v>9.34</v>
      </c>
      <c r="BR263" s="2">
        <v>9.14</v>
      </c>
      <c r="BS263" s="2">
        <v>9.17</v>
      </c>
      <c r="BT263" s="2"/>
      <c r="BU263" s="2"/>
      <c r="BV263" s="7"/>
      <c r="BW263" s="128">
        <v>44414</v>
      </c>
      <c r="BX263" s="2">
        <v>88</v>
      </c>
      <c r="BY263" s="2">
        <v>70.125</v>
      </c>
      <c r="BZ263" s="2">
        <v>62.99</v>
      </c>
      <c r="CA263" s="2">
        <v>55.875</v>
      </c>
    </row>
    <row r="264" spans="1:79" x14ac:dyDescent="0.2">
      <c r="A264" s="124">
        <v>44102</v>
      </c>
      <c r="B264">
        <v>51.42</v>
      </c>
      <c r="C264">
        <v>51.674999999999997</v>
      </c>
      <c r="D264">
        <v>51.427</v>
      </c>
      <c r="E264" s="17">
        <v>51.677999999999997</v>
      </c>
      <c r="F264">
        <v>52.509</v>
      </c>
      <c r="G264">
        <v>52.506999999999998</v>
      </c>
      <c r="H264">
        <v>51.424999999999997</v>
      </c>
      <c r="I264">
        <v>51.677999999999997</v>
      </c>
      <c r="J264">
        <v>52.604999999999997</v>
      </c>
      <c r="K264" s="17">
        <v>52.497</v>
      </c>
      <c r="L264" s="7"/>
      <c r="N264" s="124">
        <v>44102</v>
      </c>
      <c r="O264" s="2">
        <v>10.293749999999999</v>
      </c>
      <c r="P264" s="2">
        <v>10.2516</v>
      </c>
      <c r="Q264" s="2">
        <v>10.29</v>
      </c>
      <c r="R264" s="2">
        <v>10.2515</v>
      </c>
      <c r="S264" s="2">
        <v>10.25</v>
      </c>
      <c r="T264" s="2">
        <v>10.251799999999999</v>
      </c>
      <c r="U264" s="2">
        <v>10.293749999999999</v>
      </c>
      <c r="V264" s="2">
        <v>10.2514</v>
      </c>
      <c r="W264" s="2">
        <v>10.25</v>
      </c>
      <c r="X264" s="2">
        <v>10.251749999999999</v>
      </c>
      <c r="Y264" s="7"/>
      <c r="Z264" s="7"/>
      <c r="AA264" s="128">
        <v>44417</v>
      </c>
      <c r="AB264" s="2">
        <v>8.5963510000000003</v>
      </c>
      <c r="AC264" s="2">
        <v>9.3626310000000004</v>
      </c>
      <c r="AD264" s="2">
        <v>9.3249669999999991</v>
      </c>
      <c r="AE264" s="2">
        <v>9.115691</v>
      </c>
      <c r="AF264" s="2"/>
      <c r="AG264" s="2"/>
      <c r="AH264" s="7"/>
      <c r="AI264" s="128">
        <v>44417</v>
      </c>
      <c r="AJ264" s="2">
        <v>87.875</v>
      </c>
      <c r="AK264" s="2">
        <v>70</v>
      </c>
      <c r="AL264" s="2">
        <v>61.728999999999999</v>
      </c>
      <c r="AM264" s="2">
        <v>55.375</v>
      </c>
      <c r="AO264" s="124">
        <v>44102</v>
      </c>
      <c r="AP264">
        <v>51.418999999999997</v>
      </c>
      <c r="AQ264">
        <v>51.674999999999997</v>
      </c>
      <c r="AR264">
        <v>51.427</v>
      </c>
      <c r="AS264" s="17">
        <v>51.677999999999997</v>
      </c>
      <c r="AT264">
        <v>52.508000000000003</v>
      </c>
      <c r="AU264">
        <v>52.506</v>
      </c>
      <c r="AV264">
        <v>51.424999999999997</v>
      </c>
      <c r="AW264">
        <v>51.677</v>
      </c>
      <c r="AX264">
        <v>52.606000000000002</v>
      </c>
      <c r="AY264" s="17">
        <v>52.497</v>
      </c>
      <c r="AZ264" s="7"/>
      <c r="BB264" s="124">
        <v>44102</v>
      </c>
      <c r="BC264" s="2">
        <v>10.29</v>
      </c>
      <c r="BD264" s="2">
        <v>10.25</v>
      </c>
      <c r="BE264" s="2">
        <v>10.29</v>
      </c>
      <c r="BF264" s="2">
        <v>10.25</v>
      </c>
      <c r="BG264" s="2">
        <v>10.25</v>
      </c>
      <c r="BH264" s="2">
        <v>10.25</v>
      </c>
      <c r="BI264" s="2">
        <v>10.29</v>
      </c>
      <c r="BJ264" s="2">
        <v>10.25</v>
      </c>
      <c r="BK264" s="2">
        <v>10.25</v>
      </c>
      <c r="BL264" s="2">
        <v>10.25</v>
      </c>
      <c r="BM264" s="7"/>
      <c r="BN264" s="7"/>
      <c r="BO264" s="128">
        <v>44417</v>
      </c>
      <c r="BP264" s="2">
        <v>8.6</v>
      </c>
      <c r="BQ264" s="2">
        <v>9.36</v>
      </c>
      <c r="BR264" s="2">
        <v>9.32</v>
      </c>
      <c r="BS264" s="2">
        <v>9.32</v>
      </c>
      <c r="BT264" s="2"/>
      <c r="BU264" s="2"/>
      <c r="BV264" s="7"/>
      <c r="BW264" s="128">
        <v>44417</v>
      </c>
      <c r="BX264" s="2">
        <v>87.875</v>
      </c>
      <c r="BY264" s="2">
        <v>70</v>
      </c>
      <c r="BZ264" s="2">
        <v>61.728999999999999</v>
      </c>
      <c r="CA264" s="2">
        <v>55.375</v>
      </c>
    </row>
    <row r="265" spans="1:79" x14ac:dyDescent="0.2">
      <c r="A265" s="124">
        <v>44103</v>
      </c>
      <c r="B265">
        <v>50.034999999999997</v>
      </c>
      <c r="C265">
        <v>50.29</v>
      </c>
      <c r="D265">
        <v>50.042000000000002</v>
      </c>
      <c r="E265" s="17">
        <v>50.292999999999999</v>
      </c>
      <c r="F265">
        <v>51.127000000000002</v>
      </c>
      <c r="G265">
        <v>51.125</v>
      </c>
      <c r="H265">
        <v>50.04</v>
      </c>
      <c r="I265">
        <v>50.292000000000002</v>
      </c>
      <c r="J265">
        <v>51.222999999999999</v>
      </c>
      <c r="K265" s="17">
        <v>51.113999999999997</v>
      </c>
      <c r="L265" s="7"/>
      <c r="N265" s="124">
        <v>44103</v>
      </c>
      <c r="O265" s="2">
        <v>10.5359</v>
      </c>
      <c r="P265" s="2">
        <v>10.4923</v>
      </c>
      <c r="Q265" s="2">
        <v>10.54</v>
      </c>
      <c r="R265" s="2">
        <v>10.4922</v>
      </c>
      <c r="S265" s="2">
        <v>10.49</v>
      </c>
      <c r="T265" s="2">
        <v>10.4922</v>
      </c>
      <c r="U265" s="2">
        <v>10.536</v>
      </c>
      <c r="V265" s="2">
        <v>10.4924</v>
      </c>
      <c r="W265" s="2">
        <v>10.49</v>
      </c>
      <c r="X265" s="2">
        <v>10.4924</v>
      </c>
      <c r="Y265" s="7"/>
      <c r="Z265" s="7"/>
      <c r="AA265" s="128">
        <v>44418</v>
      </c>
      <c r="AB265" s="2">
        <v>8.8142720000000008</v>
      </c>
      <c r="AC265" s="2">
        <v>9.5346910000000005</v>
      </c>
      <c r="AD265" s="2">
        <v>9.4239630000000005</v>
      </c>
      <c r="AE265" s="2">
        <v>9.2648349999999997</v>
      </c>
      <c r="AF265" s="2"/>
      <c r="AG265" s="2"/>
      <c r="AH265" s="7"/>
      <c r="AI265" s="128">
        <v>44418</v>
      </c>
      <c r="AJ265" s="2">
        <v>86.875</v>
      </c>
      <c r="AK265" s="2">
        <v>69</v>
      </c>
      <c r="AL265" s="2">
        <v>61.085000000000001</v>
      </c>
      <c r="AM265" s="2">
        <v>54.875</v>
      </c>
      <c r="AO265" s="124">
        <v>44103</v>
      </c>
      <c r="AP265">
        <v>50.033999999999999</v>
      </c>
      <c r="AQ265">
        <v>50.29</v>
      </c>
      <c r="AR265">
        <v>50.042000000000002</v>
      </c>
      <c r="AS265" s="17">
        <v>50.292999999999999</v>
      </c>
      <c r="AT265">
        <v>51.125999999999998</v>
      </c>
      <c r="AU265">
        <v>51.124000000000002</v>
      </c>
      <c r="AV265">
        <v>50.039000000000001</v>
      </c>
      <c r="AW265">
        <v>50.292000000000002</v>
      </c>
      <c r="AX265">
        <v>51.222999999999999</v>
      </c>
      <c r="AY265" s="17">
        <v>51.113999999999997</v>
      </c>
      <c r="AZ265" s="7"/>
      <c r="BB265" s="124">
        <v>44103</v>
      </c>
      <c r="BC265" s="2">
        <v>10.54</v>
      </c>
      <c r="BD265" s="2">
        <v>10.49</v>
      </c>
      <c r="BE265" s="2">
        <v>10.54</v>
      </c>
      <c r="BF265" s="2">
        <v>10.49</v>
      </c>
      <c r="BG265" s="2">
        <v>10.49</v>
      </c>
      <c r="BH265" s="2">
        <v>10.49</v>
      </c>
      <c r="BI265" s="2">
        <v>10.54</v>
      </c>
      <c r="BJ265" s="2">
        <v>10.49</v>
      </c>
      <c r="BK265" s="2">
        <v>10.49</v>
      </c>
      <c r="BL265" s="2">
        <v>10.49</v>
      </c>
      <c r="BM265" s="7"/>
      <c r="BN265" s="7"/>
      <c r="BO265" s="128">
        <v>44418</v>
      </c>
      <c r="BP265" s="2">
        <v>8.81</v>
      </c>
      <c r="BQ265" s="2">
        <v>9.5299999999999994</v>
      </c>
      <c r="BR265" s="2">
        <v>9.42</v>
      </c>
      <c r="BS265" s="2">
        <v>9.48</v>
      </c>
      <c r="BT265" s="2"/>
      <c r="BU265" s="2"/>
      <c r="BV265" s="7"/>
      <c r="BW265" s="128">
        <v>44418</v>
      </c>
      <c r="BX265" s="2">
        <v>86.875</v>
      </c>
      <c r="BY265" s="2">
        <v>69</v>
      </c>
      <c r="BZ265" s="2">
        <v>61.085000000000001</v>
      </c>
      <c r="CA265" s="2">
        <v>54.875</v>
      </c>
    </row>
    <row r="266" spans="1:79" x14ac:dyDescent="0.2">
      <c r="A266" s="124">
        <v>44104</v>
      </c>
      <c r="B266">
        <v>51.459000000000003</v>
      </c>
      <c r="C266">
        <v>51.715000000000003</v>
      </c>
      <c r="D266">
        <v>51.466999999999999</v>
      </c>
      <c r="E266" s="17">
        <v>51.716999999999999</v>
      </c>
      <c r="F266">
        <v>52.552999999999997</v>
      </c>
      <c r="G266">
        <v>52.551000000000002</v>
      </c>
      <c r="H266">
        <v>51.465000000000003</v>
      </c>
      <c r="I266">
        <v>51.716999999999999</v>
      </c>
      <c r="J266">
        <v>52.649000000000001</v>
      </c>
      <c r="K266" s="17">
        <v>52.540999999999997</v>
      </c>
      <c r="L266" s="7"/>
      <c r="N266" s="124">
        <v>44104</v>
      </c>
      <c r="O266" s="2">
        <v>10.289099999999999</v>
      </c>
      <c r="P266" s="2">
        <v>10.2468</v>
      </c>
      <c r="Q266" s="2">
        <v>10.29</v>
      </c>
      <c r="R266" s="2">
        <v>10.2468</v>
      </c>
      <c r="S266" s="2">
        <v>10.25</v>
      </c>
      <c r="T266" s="2">
        <v>10.246700000000001</v>
      </c>
      <c r="U266" s="2">
        <v>10.28895</v>
      </c>
      <c r="V266" s="2">
        <v>10.2468</v>
      </c>
      <c r="W266" s="2">
        <v>10.25</v>
      </c>
      <c r="X266" s="2">
        <v>10.246700000000001</v>
      </c>
      <c r="Y266" s="7"/>
      <c r="Z266" s="7"/>
      <c r="AA266" s="128">
        <v>44419</v>
      </c>
      <c r="AB266" s="2">
        <v>8.8704190000000001</v>
      </c>
      <c r="AC266" s="2">
        <v>9.6447880000000001</v>
      </c>
      <c r="AD266" s="2">
        <v>9.5151020000000006</v>
      </c>
      <c r="AE266" s="2">
        <v>9.3054100000000002</v>
      </c>
      <c r="AF266" s="2"/>
      <c r="AG266" s="2"/>
      <c r="AH266" s="7"/>
      <c r="AI266" s="128">
        <v>44419</v>
      </c>
      <c r="AJ266" s="2">
        <v>86.625</v>
      </c>
      <c r="AK266" s="2">
        <v>68.375</v>
      </c>
      <c r="AL266" s="2">
        <v>60.500999999999998</v>
      </c>
      <c r="AM266" s="2">
        <v>54.75</v>
      </c>
      <c r="AO266" s="124">
        <v>44104</v>
      </c>
      <c r="AP266">
        <v>51.459000000000003</v>
      </c>
      <c r="AQ266">
        <v>51.713999999999999</v>
      </c>
      <c r="AR266">
        <v>51.466999999999999</v>
      </c>
      <c r="AS266" s="17">
        <v>51.716999999999999</v>
      </c>
      <c r="AT266">
        <v>52.552</v>
      </c>
      <c r="AU266">
        <v>52.55</v>
      </c>
      <c r="AV266">
        <v>51.463999999999999</v>
      </c>
      <c r="AW266">
        <v>51.716000000000001</v>
      </c>
      <c r="AX266">
        <v>52.649000000000001</v>
      </c>
      <c r="AY266" s="17">
        <v>52.540999999999997</v>
      </c>
      <c r="AZ266" s="7"/>
      <c r="BB266" s="124">
        <v>44104</v>
      </c>
      <c r="BC266" s="2">
        <v>10.29</v>
      </c>
      <c r="BD266" s="2">
        <v>10.25</v>
      </c>
      <c r="BE266" s="2">
        <v>10.29</v>
      </c>
      <c r="BF266" s="2">
        <v>10.25</v>
      </c>
      <c r="BG266" s="2">
        <v>10.25</v>
      </c>
      <c r="BH266" s="2">
        <v>10.25</v>
      </c>
      <c r="BI266" s="2">
        <v>10.29</v>
      </c>
      <c r="BJ266" s="2">
        <v>10.25</v>
      </c>
      <c r="BK266" s="2">
        <v>10.25</v>
      </c>
      <c r="BL266" s="2">
        <v>10.25</v>
      </c>
      <c r="BM266" s="7"/>
      <c r="BN266" s="7"/>
      <c r="BO266" s="128">
        <v>44419</v>
      </c>
      <c r="BP266" s="2">
        <v>8.8699999999999992</v>
      </c>
      <c r="BQ266" s="2">
        <v>9.64</v>
      </c>
      <c r="BR266" s="2">
        <v>9.52</v>
      </c>
      <c r="BS266" s="2">
        <v>9.52</v>
      </c>
      <c r="BT266" s="2"/>
      <c r="BU266" s="2"/>
      <c r="BV266" s="7"/>
      <c r="BW266" s="128">
        <v>44419</v>
      </c>
      <c r="BX266" s="2">
        <v>86.625</v>
      </c>
      <c r="BY266" s="2">
        <v>68.375</v>
      </c>
      <c r="BZ266" s="2">
        <v>60.500999999999998</v>
      </c>
      <c r="CA266" s="2">
        <v>54.75</v>
      </c>
    </row>
    <row r="267" spans="1:79" x14ac:dyDescent="0.2">
      <c r="A267" s="124">
        <v>44105</v>
      </c>
      <c r="B267">
        <v>51.499000000000002</v>
      </c>
      <c r="C267">
        <v>51.753999999999998</v>
      </c>
      <c r="D267">
        <v>52.23</v>
      </c>
      <c r="E267" s="17">
        <v>51.756999999999998</v>
      </c>
      <c r="F267">
        <v>51.569000000000003</v>
      </c>
      <c r="G267">
        <v>52.594000000000001</v>
      </c>
      <c r="H267">
        <v>50.476999999999997</v>
      </c>
      <c r="I267">
        <v>51.756</v>
      </c>
      <c r="J267">
        <v>52.692999999999998</v>
      </c>
      <c r="K267">
        <v>52.584000000000003</v>
      </c>
      <c r="L267" s="7"/>
      <c r="N267" s="124">
        <v>44105</v>
      </c>
      <c r="O267" s="2">
        <v>10.28905</v>
      </c>
      <c r="P267" s="2">
        <v>10.24685</v>
      </c>
      <c r="Q267" s="2">
        <v>10.17</v>
      </c>
      <c r="R267" s="2">
        <v>10.246700000000001</v>
      </c>
      <c r="S267" s="2">
        <v>10.42</v>
      </c>
      <c r="T267" s="2">
        <v>10.2469</v>
      </c>
      <c r="U267" s="2">
        <v>10.46785</v>
      </c>
      <c r="V267" s="2">
        <v>10.2469</v>
      </c>
      <c r="W267" s="2">
        <v>10.25</v>
      </c>
      <c r="X267" s="2">
        <v>10.24685</v>
      </c>
      <c r="Y267" s="7"/>
      <c r="Z267" s="7"/>
      <c r="AA267" s="128">
        <v>44420</v>
      </c>
      <c r="AB267" s="2">
        <v>8.8203639999999996</v>
      </c>
      <c r="AC267" s="2">
        <v>9.5879290000000008</v>
      </c>
      <c r="AD267" s="2">
        <v>9.3966089999999998</v>
      </c>
      <c r="AE267" s="2">
        <v>9.2080699999999993</v>
      </c>
      <c r="AF267" s="2"/>
      <c r="AG267" s="2"/>
      <c r="AH267" s="7"/>
      <c r="AI267" s="128">
        <v>44420</v>
      </c>
      <c r="AJ267" s="2">
        <v>86.875</v>
      </c>
      <c r="AK267" s="2">
        <v>68.75</v>
      </c>
      <c r="AL267" s="2">
        <v>61.323</v>
      </c>
      <c r="AM267" s="2">
        <v>55.125</v>
      </c>
      <c r="AO267" s="124">
        <v>44105</v>
      </c>
      <c r="AP267">
        <v>51.497999999999998</v>
      </c>
      <c r="AQ267">
        <v>52.478000000000002</v>
      </c>
      <c r="AR267">
        <v>52.23</v>
      </c>
      <c r="AS267" s="17">
        <v>52.481000000000002</v>
      </c>
      <c r="AT267">
        <v>53.32</v>
      </c>
      <c r="AU267">
        <v>53.317999999999998</v>
      </c>
      <c r="AV267">
        <v>51.503</v>
      </c>
      <c r="AW267">
        <v>51.756</v>
      </c>
      <c r="AX267">
        <v>52.692999999999998</v>
      </c>
      <c r="AY267">
        <v>52.584000000000003</v>
      </c>
      <c r="AZ267" s="7"/>
      <c r="BB267" s="124">
        <v>44105</v>
      </c>
      <c r="BC267" s="2">
        <v>10.29</v>
      </c>
      <c r="BD267" s="2">
        <v>10.119999999999999</v>
      </c>
      <c r="BE267" s="2">
        <v>10.17</v>
      </c>
      <c r="BF267" s="2">
        <v>10.119999999999999</v>
      </c>
      <c r="BG267" s="2">
        <v>10.119999999999999</v>
      </c>
      <c r="BH267" s="2">
        <v>10.119999999999999</v>
      </c>
      <c r="BI267" s="2">
        <v>10.29</v>
      </c>
      <c r="BJ267" s="2">
        <v>10.25</v>
      </c>
      <c r="BK267" s="2">
        <v>10.25</v>
      </c>
      <c r="BL267" s="2">
        <v>10.25</v>
      </c>
      <c r="BM267" s="7"/>
      <c r="BN267" s="7"/>
      <c r="BO267" s="128">
        <v>44420</v>
      </c>
      <c r="BP267" s="2">
        <v>8.82</v>
      </c>
      <c r="BQ267" s="2">
        <v>9.59</v>
      </c>
      <c r="BR267" s="2">
        <v>9.4</v>
      </c>
      <c r="BS267" s="2">
        <v>9.42</v>
      </c>
      <c r="BT267" s="2"/>
      <c r="BU267" s="2"/>
      <c r="BV267" s="7"/>
      <c r="BW267" s="128">
        <v>44420</v>
      </c>
      <c r="BX267" s="2">
        <v>86.875</v>
      </c>
      <c r="BY267" s="2">
        <v>68.75</v>
      </c>
      <c r="BZ267" s="2">
        <v>61.323</v>
      </c>
      <c r="CA267" s="2">
        <v>55.125</v>
      </c>
    </row>
    <row r="268" spans="1:79" x14ac:dyDescent="0.2">
      <c r="A268" s="124">
        <v>44106</v>
      </c>
      <c r="B268">
        <v>51.945</v>
      </c>
      <c r="C268">
        <v>52.201000000000001</v>
      </c>
      <c r="D268">
        <v>51.951999999999998</v>
      </c>
      <c r="E268" s="17">
        <v>52.203000000000003</v>
      </c>
      <c r="F268">
        <v>53.043999999999997</v>
      </c>
      <c r="G268">
        <v>53.042000000000002</v>
      </c>
      <c r="H268">
        <v>51.95</v>
      </c>
      <c r="I268">
        <v>52.203000000000003</v>
      </c>
      <c r="J268">
        <v>53.140999999999998</v>
      </c>
      <c r="K268">
        <v>53.031999999999996</v>
      </c>
      <c r="L268" s="7"/>
      <c r="N268" s="124">
        <v>44106</v>
      </c>
      <c r="O268" s="2">
        <v>10.215</v>
      </c>
      <c r="P268" s="2">
        <v>10.17305</v>
      </c>
      <c r="Q268" s="2">
        <v>10.210000000000001</v>
      </c>
      <c r="R268" s="2">
        <v>10.17315</v>
      </c>
      <c r="S268" s="2">
        <v>10.17</v>
      </c>
      <c r="T268" s="2">
        <v>10.17315</v>
      </c>
      <c r="U268" s="2">
        <v>10.215</v>
      </c>
      <c r="V268" s="2">
        <v>10.1731</v>
      </c>
      <c r="W268" s="2">
        <v>10.17</v>
      </c>
      <c r="X268" s="2">
        <v>10.17315</v>
      </c>
      <c r="Y268" s="7"/>
      <c r="Z268" s="7"/>
      <c r="AA268" s="128">
        <v>44421</v>
      </c>
      <c r="AB268" s="2">
        <v>8.7130650000000003</v>
      </c>
      <c r="AC268" s="2">
        <v>9.4835849999999997</v>
      </c>
      <c r="AD268" s="2">
        <v>9.4338490000000004</v>
      </c>
      <c r="AE268" s="2">
        <v>9.1033629999999999</v>
      </c>
      <c r="AF268" s="2"/>
      <c r="AG268" s="2"/>
      <c r="AH268" s="7"/>
      <c r="AI268" s="128">
        <v>44421</v>
      </c>
      <c r="AJ268" s="2">
        <v>87.375</v>
      </c>
      <c r="AK268" s="2">
        <v>69.375</v>
      </c>
      <c r="AL268" s="2">
        <v>61.091000000000001</v>
      </c>
      <c r="AM268" s="2">
        <v>55.5</v>
      </c>
      <c r="AO268" s="124">
        <v>44106</v>
      </c>
      <c r="AP268">
        <v>51.945</v>
      </c>
      <c r="AQ268">
        <v>52.2</v>
      </c>
      <c r="AR268">
        <v>51.951999999999998</v>
      </c>
      <c r="AS268" s="17">
        <v>52.203000000000003</v>
      </c>
      <c r="AT268">
        <v>53.043999999999997</v>
      </c>
      <c r="AU268">
        <v>53.042000000000002</v>
      </c>
      <c r="AV268">
        <v>51.95</v>
      </c>
      <c r="AW268">
        <v>52.201999999999998</v>
      </c>
      <c r="AX268">
        <v>53.140999999999998</v>
      </c>
      <c r="AY268">
        <v>53.031999999999996</v>
      </c>
      <c r="AZ268" s="7"/>
      <c r="BB268" s="124">
        <v>44106</v>
      </c>
      <c r="BC268" s="2">
        <v>10.210000000000001</v>
      </c>
      <c r="BD268" s="2">
        <v>10.17</v>
      </c>
      <c r="BE268" s="2">
        <v>10.210000000000001</v>
      </c>
      <c r="BF268" s="2">
        <v>10.17</v>
      </c>
      <c r="BG268" s="2">
        <v>10.17</v>
      </c>
      <c r="BH268" s="2">
        <v>10.17</v>
      </c>
      <c r="BI268" s="2">
        <v>10.210000000000001</v>
      </c>
      <c r="BJ268" s="2">
        <v>10.17</v>
      </c>
      <c r="BK268" s="2">
        <v>10.17</v>
      </c>
      <c r="BL268" s="2">
        <v>10.17</v>
      </c>
      <c r="BM268" s="7"/>
      <c r="BN268" s="7"/>
      <c r="BO268" s="128">
        <v>44421</v>
      </c>
      <c r="BP268" s="2">
        <v>8.7100000000000009</v>
      </c>
      <c r="BQ268" s="2">
        <v>9.48</v>
      </c>
      <c r="BR268" s="2">
        <v>9.43</v>
      </c>
      <c r="BS268" s="2">
        <v>9.31</v>
      </c>
      <c r="BT268" s="2"/>
      <c r="BU268" s="2"/>
      <c r="BV268" s="7"/>
      <c r="BW268" s="128">
        <v>44421</v>
      </c>
      <c r="BX268" s="2">
        <v>87.375</v>
      </c>
      <c r="BY268" s="2">
        <v>69.375</v>
      </c>
      <c r="BZ268" s="2">
        <v>61.091000000000001</v>
      </c>
      <c r="CA268" s="2">
        <v>55.5</v>
      </c>
    </row>
    <row r="269" spans="1:79" x14ac:dyDescent="0.2">
      <c r="A269" s="124">
        <v>44109</v>
      </c>
      <c r="B269">
        <v>51.347999999999999</v>
      </c>
      <c r="C269">
        <v>51.603000000000002</v>
      </c>
      <c r="D269">
        <v>51.976999999999997</v>
      </c>
      <c r="E269" s="17">
        <v>51.604999999999997</v>
      </c>
      <c r="F269">
        <v>52.448</v>
      </c>
      <c r="G269">
        <v>52.445999999999998</v>
      </c>
      <c r="H269">
        <v>51.353000000000002</v>
      </c>
      <c r="I269">
        <v>51.604999999999997</v>
      </c>
      <c r="J269">
        <v>52.543999999999997</v>
      </c>
      <c r="K269">
        <v>52.436</v>
      </c>
      <c r="L269" s="7"/>
      <c r="N269" s="124">
        <v>44109</v>
      </c>
      <c r="O269" s="2">
        <v>10.319599999999999</v>
      </c>
      <c r="P269" s="2">
        <v>10.27725</v>
      </c>
      <c r="Q269" s="2">
        <v>10.210000000000001</v>
      </c>
      <c r="R269" s="2">
        <v>10.2773</v>
      </c>
      <c r="S269" s="2">
        <v>10.28</v>
      </c>
      <c r="T269" s="2">
        <v>10.277200000000001</v>
      </c>
      <c r="U269" s="2">
        <v>10.319599999999999</v>
      </c>
      <c r="V269" s="2">
        <v>10.27725</v>
      </c>
      <c r="W269" s="2">
        <v>10.28</v>
      </c>
      <c r="X269" s="2">
        <v>10.277200000000001</v>
      </c>
      <c r="Y269" s="7"/>
      <c r="Z269" s="7"/>
      <c r="AA269" s="128">
        <v>44424</v>
      </c>
      <c r="AB269" s="2">
        <v>8.6874599999999997</v>
      </c>
      <c r="AC269" s="2">
        <v>9.5074559999999995</v>
      </c>
      <c r="AD269" s="2">
        <v>9.5625009999999993</v>
      </c>
      <c r="AE269" s="2">
        <v>9.1434920000000002</v>
      </c>
      <c r="AF269" s="2"/>
      <c r="AG269" s="2"/>
      <c r="AH269" s="7"/>
      <c r="AI269" s="128">
        <v>44424</v>
      </c>
      <c r="AJ269" s="2">
        <v>87.5</v>
      </c>
      <c r="AK269" s="2">
        <v>69.25</v>
      </c>
      <c r="AL269" s="2">
        <v>60.264000000000003</v>
      </c>
      <c r="AM269" s="2">
        <v>55.375</v>
      </c>
      <c r="AO269" s="124">
        <v>44109</v>
      </c>
      <c r="AP269">
        <v>51.347000000000001</v>
      </c>
      <c r="AQ269">
        <v>52.225000000000001</v>
      </c>
      <c r="AR269">
        <v>51.976999999999997</v>
      </c>
      <c r="AS269" s="17">
        <v>52.228000000000002</v>
      </c>
      <c r="AT269">
        <v>53.07</v>
      </c>
      <c r="AU269">
        <v>53.067999999999998</v>
      </c>
      <c r="AV269">
        <v>51.351999999999997</v>
      </c>
      <c r="AW269">
        <v>51.603999999999999</v>
      </c>
      <c r="AX269">
        <v>52.545000000000002</v>
      </c>
      <c r="AY269">
        <v>52.436</v>
      </c>
      <c r="AZ269" s="7"/>
      <c r="BB269" s="124">
        <v>44109</v>
      </c>
      <c r="BC269" s="2">
        <v>10.32</v>
      </c>
      <c r="BD269" s="2">
        <v>10.17</v>
      </c>
      <c r="BE269" s="2">
        <v>10.210000000000001</v>
      </c>
      <c r="BF269" s="2">
        <v>10.17</v>
      </c>
      <c r="BG269" s="2">
        <v>10.17</v>
      </c>
      <c r="BH269" s="2">
        <v>10.17</v>
      </c>
      <c r="BI269" s="2">
        <v>10.32</v>
      </c>
      <c r="BJ269" s="2">
        <v>10.28</v>
      </c>
      <c r="BK269" s="2">
        <v>10.28</v>
      </c>
      <c r="BL269" s="2">
        <v>10.28</v>
      </c>
      <c r="BM269" s="7"/>
      <c r="BN269" s="7"/>
      <c r="BO269" s="128">
        <v>44424</v>
      </c>
      <c r="BP269" s="2">
        <v>8.69</v>
      </c>
      <c r="BQ269" s="2">
        <v>9.51</v>
      </c>
      <c r="BR269" s="2">
        <v>9.56</v>
      </c>
      <c r="BS269" s="2">
        <v>9.35</v>
      </c>
      <c r="BT269" s="2"/>
      <c r="BU269" s="2"/>
      <c r="BV269" s="7"/>
      <c r="BW269" s="128">
        <v>44424</v>
      </c>
      <c r="BX269" s="2">
        <v>87.5</v>
      </c>
      <c r="BY269" s="2">
        <v>69.25</v>
      </c>
      <c r="BZ269" s="2">
        <v>60.264000000000003</v>
      </c>
      <c r="CA269" s="2">
        <v>55.375</v>
      </c>
    </row>
    <row r="270" spans="1:79" x14ac:dyDescent="0.2">
      <c r="A270" s="124">
        <v>44110</v>
      </c>
      <c r="B270">
        <v>51.972000000000001</v>
      </c>
      <c r="C270">
        <v>52.226999999999997</v>
      </c>
      <c r="D270">
        <v>52.563000000000002</v>
      </c>
      <c r="E270" s="17">
        <v>52.228999999999999</v>
      </c>
      <c r="F270">
        <v>53.073</v>
      </c>
      <c r="G270">
        <v>53.070999999999998</v>
      </c>
      <c r="H270">
        <v>51.976999999999997</v>
      </c>
      <c r="I270">
        <v>52.228999999999999</v>
      </c>
      <c r="J270">
        <v>53.17</v>
      </c>
      <c r="K270">
        <v>53.061</v>
      </c>
      <c r="L270" s="7"/>
      <c r="N270" s="124">
        <v>44110</v>
      </c>
      <c r="O270" s="2">
        <v>10.21495</v>
      </c>
      <c r="P270" s="2">
        <v>10.17315</v>
      </c>
      <c r="Q270" s="2">
        <v>10.119999999999999</v>
      </c>
      <c r="R270" s="2">
        <v>10.1732</v>
      </c>
      <c r="S270" s="2">
        <v>10.17</v>
      </c>
      <c r="T270" s="2">
        <v>10.1732</v>
      </c>
      <c r="U270" s="2">
        <v>10.2149</v>
      </c>
      <c r="V270" s="2">
        <v>10.17315</v>
      </c>
      <c r="W270" s="2">
        <v>10.17</v>
      </c>
      <c r="X270" s="2">
        <v>10.17315</v>
      </c>
      <c r="Y270" s="7"/>
      <c r="Z270" s="7"/>
      <c r="AA270" s="128">
        <v>44425</v>
      </c>
      <c r="AB270" s="2">
        <v>8.7704029999999999</v>
      </c>
      <c r="AC270" s="2">
        <v>9.5527909999999991</v>
      </c>
      <c r="AD270" s="2">
        <v>9.5665519999999997</v>
      </c>
      <c r="AE270" s="2">
        <v>9.1837510000000009</v>
      </c>
      <c r="AF270" s="2"/>
      <c r="AG270" s="2"/>
      <c r="AH270" s="7"/>
      <c r="AI270" s="128">
        <v>44425</v>
      </c>
      <c r="AJ270" s="2">
        <v>87.125</v>
      </c>
      <c r="AK270" s="2">
        <v>69</v>
      </c>
      <c r="AL270" s="2">
        <v>60.252000000000002</v>
      </c>
      <c r="AM270" s="2">
        <v>55.25</v>
      </c>
      <c r="AO270" s="124">
        <v>44110</v>
      </c>
      <c r="AP270">
        <v>51.970999999999997</v>
      </c>
      <c r="AQ270">
        <v>52.811</v>
      </c>
      <c r="AR270">
        <v>52.563000000000002</v>
      </c>
      <c r="AS270" s="17">
        <v>52.814</v>
      </c>
      <c r="AT270">
        <v>53.658000000000001</v>
      </c>
      <c r="AU270">
        <v>53.655999999999999</v>
      </c>
      <c r="AV270">
        <v>51.975999999999999</v>
      </c>
      <c r="AW270">
        <v>52.228999999999999</v>
      </c>
      <c r="AX270">
        <v>53.17</v>
      </c>
      <c r="AY270">
        <v>53.061</v>
      </c>
      <c r="AZ270" s="7"/>
      <c r="BB270" s="124">
        <v>44110</v>
      </c>
      <c r="BC270" s="2">
        <v>10.210000000000001</v>
      </c>
      <c r="BD270" s="2">
        <v>10.07</v>
      </c>
      <c r="BE270" s="2">
        <v>10.119999999999999</v>
      </c>
      <c r="BF270" s="2">
        <v>10.07</v>
      </c>
      <c r="BG270" s="2">
        <v>10.07</v>
      </c>
      <c r="BH270" s="2">
        <v>10.07</v>
      </c>
      <c r="BI270" s="2">
        <v>10.210000000000001</v>
      </c>
      <c r="BJ270" s="2">
        <v>10.17</v>
      </c>
      <c r="BK270" s="2">
        <v>10.17</v>
      </c>
      <c r="BL270" s="2">
        <v>10.17</v>
      </c>
      <c r="BM270" s="7"/>
      <c r="BN270" s="7"/>
      <c r="BO270" s="128">
        <v>44425</v>
      </c>
      <c r="BP270" s="2">
        <v>8.77</v>
      </c>
      <c r="BQ270" s="2">
        <v>9.5500000000000007</v>
      </c>
      <c r="BR270" s="2">
        <v>9.57</v>
      </c>
      <c r="BS270" s="2">
        <v>9.39</v>
      </c>
      <c r="BT270" s="2"/>
      <c r="BU270" s="2"/>
      <c r="BV270" s="7"/>
      <c r="BW270" s="128">
        <v>44425</v>
      </c>
      <c r="BX270" s="2">
        <v>87.125</v>
      </c>
      <c r="BY270" s="2">
        <v>69</v>
      </c>
      <c r="BZ270" s="2">
        <v>60.252000000000002</v>
      </c>
      <c r="CA270" s="2">
        <v>55.25</v>
      </c>
    </row>
    <row r="271" spans="1:79" x14ac:dyDescent="0.2">
      <c r="A271" s="124">
        <v>44111</v>
      </c>
      <c r="B271">
        <v>50.75</v>
      </c>
      <c r="C271">
        <v>51</v>
      </c>
      <c r="D271">
        <v>50.75</v>
      </c>
      <c r="E271">
        <v>51</v>
      </c>
      <c r="F271">
        <v>53.968000000000004</v>
      </c>
      <c r="G271">
        <v>53.966000000000001</v>
      </c>
      <c r="H271">
        <v>50.75</v>
      </c>
      <c r="I271">
        <v>51</v>
      </c>
      <c r="J271">
        <v>54.064999999999998</v>
      </c>
      <c r="K271">
        <v>53.956000000000003</v>
      </c>
      <c r="L271" s="7"/>
      <c r="N271" s="124">
        <v>44111</v>
      </c>
      <c r="O271" s="2">
        <v>10.42825</v>
      </c>
      <c r="P271" s="2">
        <v>10.386100000000001</v>
      </c>
      <c r="Q271" s="2">
        <v>10.43</v>
      </c>
      <c r="R271" s="2">
        <v>10.3865</v>
      </c>
      <c r="S271" s="2">
        <v>10.02</v>
      </c>
      <c r="T271" s="2">
        <v>10.0258</v>
      </c>
      <c r="U271" s="2">
        <v>10.42905</v>
      </c>
      <c r="V271" s="2">
        <v>10.3865</v>
      </c>
      <c r="W271" s="2">
        <v>10.02</v>
      </c>
      <c r="X271" s="2">
        <v>10.02575</v>
      </c>
      <c r="Y271" s="7"/>
      <c r="Z271" s="7"/>
      <c r="AA271" s="128">
        <v>44426</v>
      </c>
      <c r="AB271" s="2">
        <v>8.8538479999999993</v>
      </c>
      <c r="AC271" s="2">
        <v>9.6198960000000007</v>
      </c>
      <c r="AD271" s="2">
        <v>9.5328680000000006</v>
      </c>
      <c r="AE271" s="2">
        <v>9.2241379999999999</v>
      </c>
      <c r="AF271" s="2"/>
      <c r="AG271" s="2"/>
      <c r="AH271" s="7"/>
      <c r="AI271" s="128">
        <v>44426</v>
      </c>
      <c r="AJ271" s="2">
        <v>86.75</v>
      </c>
      <c r="AK271" s="2">
        <v>68.625</v>
      </c>
      <c r="AL271" s="2">
        <v>60.484999999999999</v>
      </c>
      <c r="AM271" s="2">
        <v>55.125</v>
      </c>
      <c r="AO271" s="124">
        <v>44111</v>
      </c>
      <c r="AP271">
        <v>50.75</v>
      </c>
      <c r="AQ271">
        <v>51</v>
      </c>
      <c r="AR271">
        <v>50.75</v>
      </c>
      <c r="AS271">
        <v>51</v>
      </c>
      <c r="AT271">
        <v>53.848999999999997</v>
      </c>
      <c r="AU271">
        <v>53.847000000000001</v>
      </c>
      <c r="AV271">
        <v>50.75</v>
      </c>
      <c r="AW271">
        <v>51</v>
      </c>
      <c r="AX271">
        <v>54.064999999999998</v>
      </c>
      <c r="AY271">
        <v>53.956000000000003</v>
      </c>
      <c r="AZ271" s="7"/>
      <c r="BB271" s="124">
        <v>44111</v>
      </c>
      <c r="BC271" s="2">
        <v>10.43</v>
      </c>
      <c r="BD271" s="2">
        <v>10.38</v>
      </c>
      <c r="BE271" s="2">
        <v>10.43</v>
      </c>
      <c r="BF271" s="2">
        <v>10.39</v>
      </c>
      <c r="BG271" s="2">
        <v>10.039999999999999</v>
      </c>
      <c r="BH271" s="2">
        <v>10.039999999999999</v>
      </c>
      <c r="BI271" s="2">
        <v>10.43</v>
      </c>
      <c r="BJ271" s="2">
        <v>10.39</v>
      </c>
      <c r="BK271" s="2">
        <v>10.02</v>
      </c>
      <c r="BL271" s="2">
        <v>10.02</v>
      </c>
      <c r="BM271" s="7"/>
      <c r="BN271" s="7"/>
      <c r="BO271" s="128">
        <v>44426</v>
      </c>
      <c r="BP271" s="2">
        <v>8.85</v>
      </c>
      <c r="BQ271" s="2">
        <v>9.6199999999999992</v>
      </c>
      <c r="BR271" s="2">
        <v>9.5299999999999994</v>
      </c>
      <c r="BS271" s="2">
        <v>9.44</v>
      </c>
      <c r="BT271" s="2"/>
      <c r="BU271" s="2"/>
      <c r="BV271" s="7"/>
      <c r="BW271" s="128">
        <v>44426</v>
      </c>
      <c r="BX271" s="2">
        <v>86.75</v>
      </c>
      <c r="BY271" s="2">
        <v>68.625</v>
      </c>
      <c r="BZ271" s="2">
        <v>60.484999999999999</v>
      </c>
      <c r="CA271" s="2">
        <v>55.125</v>
      </c>
    </row>
    <row r="272" spans="1:79" x14ac:dyDescent="0.2">
      <c r="A272" s="124">
        <v>44112</v>
      </c>
      <c r="B272">
        <v>52.622999999999998</v>
      </c>
      <c r="C272">
        <v>52.878</v>
      </c>
      <c r="D272">
        <v>52.045000000000002</v>
      </c>
      <c r="E272">
        <v>52.88</v>
      </c>
      <c r="F272">
        <v>53.848999999999997</v>
      </c>
      <c r="G272">
        <v>53.728999999999999</v>
      </c>
      <c r="H272">
        <v>52.746000000000002</v>
      </c>
      <c r="I272">
        <v>52.88</v>
      </c>
      <c r="J272">
        <v>53.828000000000003</v>
      </c>
      <c r="K272">
        <v>53.719000000000001</v>
      </c>
      <c r="L272" s="7"/>
      <c r="N272" s="124">
        <v>44112</v>
      </c>
      <c r="O272" s="2">
        <v>10.116149999999999</v>
      </c>
      <c r="P272" s="2">
        <v>10.0749</v>
      </c>
      <c r="Q272" s="2">
        <v>10.210000000000001</v>
      </c>
      <c r="R272" s="2">
        <v>10.0749</v>
      </c>
      <c r="S272" s="2">
        <v>10.050000000000001</v>
      </c>
      <c r="T272" s="2">
        <v>10.074999999999999</v>
      </c>
      <c r="U272" s="2">
        <v>10.09625</v>
      </c>
      <c r="V272" s="2">
        <v>10.0749</v>
      </c>
      <c r="W272" s="2">
        <v>10.07</v>
      </c>
      <c r="X272" s="2">
        <v>10.0749</v>
      </c>
      <c r="Y272" s="7"/>
      <c r="Z272" s="7"/>
      <c r="AA272" s="128">
        <v>44427</v>
      </c>
      <c r="AB272" s="2">
        <v>8.8584940000000003</v>
      </c>
      <c r="AC272" s="2">
        <v>9.6493680000000008</v>
      </c>
      <c r="AD272" s="2">
        <v>9.5625509999999991</v>
      </c>
      <c r="AE272" s="2">
        <v>9.3460819999999991</v>
      </c>
      <c r="AF272" s="2"/>
      <c r="AG272" s="2"/>
      <c r="AH272" s="7"/>
      <c r="AI272" s="128">
        <v>44427</v>
      </c>
      <c r="AJ272" s="2">
        <v>86.75</v>
      </c>
      <c r="AK272" s="2">
        <v>68.5</v>
      </c>
      <c r="AL272" s="2">
        <v>60.335000000000001</v>
      </c>
      <c r="AM272" s="2">
        <v>54.75</v>
      </c>
      <c r="AO272" s="124">
        <v>44112</v>
      </c>
      <c r="AP272">
        <v>52.622999999999998</v>
      </c>
      <c r="AQ272">
        <v>52.292999999999999</v>
      </c>
      <c r="AR272">
        <v>52.045000000000002</v>
      </c>
      <c r="AS272">
        <v>52.295000000000002</v>
      </c>
      <c r="AT272">
        <v>53.146000000000001</v>
      </c>
      <c r="AU272">
        <v>53.143999999999998</v>
      </c>
      <c r="AV272">
        <v>52.627000000000002</v>
      </c>
      <c r="AW272">
        <v>52.878999999999998</v>
      </c>
      <c r="AX272">
        <v>53.828000000000003</v>
      </c>
      <c r="AY272">
        <v>53.719000000000001</v>
      </c>
      <c r="AZ272" s="7"/>
      <c r="BB272" s="124">
        <v>44112</v>
      </c>
      <c r="BC272" s="2">
        <v>10.119999999999999</v>
      </c>
      <c r="BD272" s="2">
        <v>10.17</v>
      </c>
      <c r="BE272" s="2">
        <v>10.210000000000001</v>
      </c>
      <c r="BF272" s="2">
        <v>10.17</v>
      </c>
      <c r="BG272" s="2">
        <v>10.17</v>
      </c>
      <c r="BH272" s="2">
        <v>10.17</v>
      </c>
      <c r="BI272" s="2">
        <v>10.119999999999999</v>
      </c>
      <c r="BJ272" s="2">
        <v>10.07</v>
      </c>
      <c r="BK272" s="2">
        <v>10.07</v>
      </c>
      <c r="BL272" s="2">
        <v>10.07</v>
      </c>
      <c r="BM272" s="7"/>
      <c r="BN272" s="7"/>
      <c r="BO272" s="128">
        <v>44427</v>
      </c>
      <c r="BP272" s="2">
        <v>8.86</v>
      </c>
      <c r="BQ272" s="2">
        <v>9.65</v>
      </c>
      <c r="BR272" s="2">
        <v>9.56</v>
      </c>
      <c r="BS272" s="2">
        <v>9.56</v>
      </c>
      <c r="BT272" s="2"/>
      <c r="BU272" s="2"/>
      <c r="BV272" s="7"/>
      <c r="BW272" s="128">
        <v>44427</v>
      </c>
      <c r="BX272" s="2">
        <v>86.75</v>
      </c>
      <c r="BY272" s="2">
        <v>68.5</v>
      </c>
      <c r="BZ272" s="2">
        <v>60.335000000000001</v>
      </c>
      <c r="CA272" s="2">
        <v>54.75</v>
      </c>
    </row>
    <row r="273" spans="1:79" x14ac:dyDescent="0.2">
      <c r="A273" s="124">
        <v>44113</v>
      </c>
      <c r="B273">
        <v>53.831000000000003</v>
      </c>
      <c r="C273">
        <v>54.085999999999999</v>
      </c>
      <c r="D273">
        <v>51.624000000000002</v>
      </c>
      <c r="E273">
        <v>54.088000000000001</v>
      </c>
      <c r="F273">
        <v>54.042000000000002</v>
      </c>
      <c r="G273">
        <v>54.939</v>
      </c>
      <c r="H273">
        <v>52.936</v>
      </c>
      <c r="I273">
        <v>54.088000000000001</v>
      </c>
      <c r="J273">
        <v>55.037999999999997</v>
      </c>
      <c r="K273">
        <v>54.929000000000002</v>
      </c>
      <c r="L273" s="7"/>
      <c r="N273" s="124">
        <v>44113</v>
      </c>
      <c r="O273" s="2">
        <v>9.9184999999999999</v>
      </c>
      <c r="P273" s="2">
        <v>9.8782999999999994</v>
      </c>
      <c r="Q273" s="2">
        <v>10.29</v>
      </c>
      <c r="R273" s="2">
        <v>9.8782999999999994</v>
      </c>
      <c r="S273" s="2">
        <v>10.02</v>
      </c>
      <c r="T273" s="2">
        <v>9.8782999999999994</v>
      </c>
      <c r="U273" s="2">
        <v>10.066800000000001</v>
      </c>
      <c r="V273" s="2">
        <v>9.8782999999999994</v>
      </c>
      <c r="W273" s="2">
        <v>9.8800000000000008</v>
      </c>
      <c r="X273" s="2">
        <v>9.8782999999999994</v>
      </c>
      <c r="Y273" s="7"/>
      <c r="Z273" s="7"/>
      <c r="AA273" s="128">
        <v>44428</v>
      </c>
      <c r="AB273" s="2">
        <v>8.9149940000000001</v>
      </c>
      <c r="AC273" s="2">
        <v>9.6303680000000007</v>
      </c>
      <c r="AD273" s="2">
        <v>9.473509</v>
      </c>
      <c r="AE273" s="2">
        <v>9.3134399999999999</v>
      </c>
      <c r="AF273" s="2"/>
      <c r="AG273" s="2"/>
      <c r="AH273" s="7"/>
      <c r="AI273" s="128">
        <v>44428</v>
      </c>
      <c r="AJ273" s="2">
        <v>86.5</v>
      </c>
      <c r="AK273" s="2">
        <v>68.625</v>
      </c>
      <c r="AL273" s="2">
        <v>60.93</v>
      </c>
      <c r="AM273" s="2">
        <v>54.875</v>
      </c>
      <c r="AO273" s="124">
        <v>44113</v>
      </c>
      <c r="AP273">
        <v>53.831000000000003</v>
      </c>
      <c r="AQ273">
        <v>51.872</v>
      </c>
      <c r="AR273">
        <v>51.624000000000002</v>
      </c>
      <c r="AS273">
        <v>51.875</v>
      </c>
      <c r="AT273">
        <v>52.726999999999997</v>
      </c>
      <c r="AU273">
        <v>52.725000000000001</v>
      </c>
      <c r="AV273">
        <v>53.835000000000001</v>
      </c>
      <c r="AW273">
        <v>54.087000000000003</v>
      </c>
      <c r="AX273">
        <v>55.037999999999997</v>
      </c>
      <c r="AY273">
        <v>54.929000000000002</v>
      </c>
      <c r="AZ273" s="7"/>
      <c r="BB273" s="124">
        <v>44113</v>
      </c>
      <c r="BC273" s="2">
        <v>9.92</v>
      </c>
      <c r="BD273" s="2">
        <v>10.25</v>
      </c>
      <c r="BE273" s="2">
        <v>10.29</v>
      </c>
      <c r="BF273" s="2">
        <v>10.25</v>
      </c>
      <c r="BG273" s="2">
        <v>10.25</v>
      </c>
      <c r="BH273" s="2">
        <v>10.25</v>
      </c>
      <c r="BI273" s="2">
        <v>9.92</v>
      </c>
      <c r="BJ273" s="2">
        <v>9.8800000000000008</v>
      </c>
      <c r="BK273" s="2">
        <v>9.8800000000000008</v>
      </c>
      <c r="BL273" s="2">
        <v>9.8800000000000008</v>
      </c>
      <c r="BM273" s="7"/>
      <c r="BN273" s="7"/>
      <c r="BO273" s="128">
        <v>44428</v>
      </c>
      <c r="BP273" s="2">
        <v>8.91</v>
      </c>
      <c r="BQ273" s="2">
        <v>9.6300000000000008</v>
      </c>
      <c r="BR273" s="2">
        <v>9.4700000000000006</v>
      </c>
      <c r="BS273" s="2">
        <v>9.5299999999999994</v>
      </c>
      <c r="BT273" s="2"/>
      <c r="BU273" s="2"/>
      <c r="BV273" s="7"/>
      <c r="BW273" s="128">
        <v>44428</v>
      </c>
      <c r="BX273" s="2">
        <v>86.5</v>
      </c>
      <c r="BY273" s="2">
        <v>68.625</v>
      </c>
      <c r="BZ273" s="2">
        <v>60.93</v>
      </c>
      <c r="CA273" s="2">
        <v>54.875</v>
      </c>
    </row>
    <row r="274" spans="1:79" x14ac:dyDescent="0.2">
      <c r="A274" s="124">
        <v>44116</v>
      </c>
      <c r="B274">
        <v>53.831000000000003</v>
      </c>
      <c r="C274">
        <v>54.085999999999999</v>
      </c>
      <c r="D274">
        <v>51.624000000000002</v>
      </c>
      <c r="E274">
        <v>54.088000000000001</v>
      </c>
      <c r="F274">
        <v>54.042000000000002</v>
      </c>
      <c r="G274">
        <v>54.939</v>
      </c>
      <c r="H274">
        <v>52.936</v>
      </c>
      <c r="I274">
        <v>54.088000000000001</v>
      </c>
      <c r="J274">
        <v>55.037999999999997</v>
      </c>
      <c r="K274">
        <v>54.929000000000002</v>
      </c>
      <c r="L274" s="7"/>
      <c r="N274" s="124">
        <v>44116</v>
      </c>
      <c r="O274" s="2">
        <v>9.9184999999999999</v>
      </c>
      <c r="P274" s="2">
        <v>9.8782999999999994</v>
      </c>
      <c r="Q274" s="2">
        <v>10.29</v>
      </c>
      <c r="R274" s="2">
        <v>9.8782999999999994</v>
      </c>
      <c r="S274" s="2">
        <v>10.02</v>
      </c>
      <c r="T274" s="2">
        <v>9.8782999999999994</v>
      </c>
      <c r="U274" s="2">
        <v>10.066800000000001</v>
      </c>
      <c r="V274" s="2">
        <v>9.8782999999999994</v>
      </c>
      <c r="W274" s="2">
        <v>9.8800000000000008</v>
      </c>
      <c r="X274" s="2">
        <v>9.8782999999999994</v>
      </c>
      <c r="Y274" s="7"/>
      <c r="Z274" s="7"/>
      <c r="AA274" s="128">
        <v>44431</v>
      </c>
      <c r="AB274" s="2">
        <v>8.8341910000000006</v>
      </c>
      <c r="AC274" s="2">
        <v>9.5683749999999996</v>
      </c>
      <c r="AD274" s="2">
        <v>9.4338809999999995</v>
      </c>
      <c r="AE274" s="2">
        <v>9.1714660000000006</v>
      </c>
      <c r="AF274" s="2"/>
      <c r="AG274" s="2"/>
      <c r="AH274" s="7"/>
      <c r="AI274" s="128">
        <v>44431</v>
      </c>
      <c r="AJ274" s="2">
        <v>86.875</v>
      </c>
      <c r="AK274" s="2">
        <v>69</v>
      </c>
      <c r="AL274" s="2">
        <v>61.204999999999998</v>
      </c>
      <c r="AM274" s="2">
        <v>55.375</v>
      </c>
      <c r="AO274" s="124">
        <v>44116</v>
      </c>
      <c r="AP274">
        <v>53.831000000000003</v>
      </c>
      <c r="AQ274">
        <v>51.872</v>
      </c>
      <c r="AR274">
        <v>51.624000000000002</v>
      </c>
      <c r="AS274">
        <v>51.875</v>
      </c>
      <c r="AT274">
        <v>52.726999999999997</v>
      </c>
      <c r="AU274">
        <v>52.725000000000001</v>
      </c>
      <c r="AV274">
        <v>53.835000000000001</v>
      </c>
      <c r="AW274">
        <v>54.087000000000003</v>
      </c>
      <c r="AX274">
        <v>55.037999999999997</v>
      </c>
      <c r="AY274">
        <v>54.929000000000002</v>
      </c>
      <c r="AZ274" s="7"/>
      <c r="BB274" s="124">
        <v>44116</v>
      </c>
      <c r="BC274" s="2">
        <v>9.92</v>
      </c>
      <c r="BD274" s="2">
        <v>10.25</v>
      </c>
      <c r="BE274" s="2">
        <v>10.29</v>
      </c>
      <c r="BF274" s="2">
        <v>10.25</v>
      </c>
      <c r="BG274" s="2">
        <v>10.25</v>
      </c>
      <c r="BH274" s="2">
        <v>10.25</v>
      </c>
      <c r="BI274" s="2">
        <v>9.92</v>
      </c>
      <c r="BJ274" s="2">
        <v>9.8800000000000008</v>
      </c>
      <c r="BK274" s="2">
        <v>9.8800000000000008</v>
      </c>
      <c r="BL274" s="2">
        <v>9.8800000000000008</v>
      </c>
      <c r="BM274" s="7"/>
      <c r="BN274" s="7"/>
      <c r="BO274" s="128">
        <v>44431</v>
      </c>
      <c r="BP274" s="2">
        <v>8.83</v>
      </c>
      <c r="BQ274" s="2">
        <v>9.57</v>
      </c>
      <c r="BR274" s="2">
        <v>9.43</v>
      </c>
      <c r="BS274" s="2">
        <v>9.3800000000000008</v>
      </c>
      <c r="BT274" s="2"/>
      <c r="BU274" s="2"/>
      <c r="BV274" s="7"/>
      <c r="BW274" s="128">
        <v>44431</v>
      </c>
      <c r="BX274" s="2">
        <v>86.875</v>
      </c>
      <c r="BY274" s="2">
        <v>69</v>
      </c>
      <c r="BZ274" s="2">
        <v>61.204999999999998</v>
      </c>
      <c r="CA274" s="2">
        <v>55.375</v>
      </c>
    </row>
    <row r="275" spans="1:79" x14ac:dyDescent="0.2">
      <c r="A275" s="124">
        <v>44117</v>
      </c>
      <c r="B275">
        <v>54.222000000000001</v>
      </c>
      <c r="C275">
        <v>54.476999999999997</v>
      </c>
      <c r="D275">
        <v>54.228000000000002</v>
      </c>
      <c r="E275">
        <v>54.478999999999999</v>
      </c>
      <c r="F275">
        <v>55.332999999999998</v>
      </c>
      <c r="G275">
        <v>55.331000000000003</v>
      </c>
      <c r="H275">
        <v>54.225999999999999</v>
      </c>
      <c r="I275">
        <v>54.478999999999999</v>
      </c>
      <c r="J275">
        <v>55.43</v>
      </c>
      <c r="K275">
        <v>55.320999999999998</v>
      </c>
      <c r="L275" s="7"/>
      <c r="N275" s="124">
        <v>44117</v>
      </c>
      <c r="O275" s="2">
        <v>9.8571000000000009</v>
      </c>
      <c r="P275" s="2">
        <v>9.8172999999999995</v>
      </c>
      <c r="Q275" s="2">
        <v>9.86</v>
      </c>
      <c r="R275" s="2">
        <v>9.8173499999999994</v>
      </c>
      <c r="S275" s="2">
        <v>9.82</v>
      </c>
      <c r="T275" s="2">
        <v>9.8173499999999994</v>
      </c>
      <c r="U275" s="2">
        <v>9.8572000000000006</v>
      </c>
      <c r="V275" s="2">
        <v>9.8172499999999996</v>
      </c>
      <c r="W275" s="2">
        <v>9.82</v>
      </c>
      <c r="X275" s="2">
        <v>9.8173499999999994</v>
      </c>
      <c r="Y275" s="7"/>
      <c r="Z275" s="7"/>
      <c r="AA275" s="128">
        <v>44432</v>
      </c>
      <c r="AB275" s="2">
        <v>8.7265499999999996</v>
      </c>
      <c r="AC275" s="2">
        <v>9.4641940000000009</v>
      </c>
      <c r="AD275" s="2">
        <v>9.2755539999999996</v>
      </c>
      <c r="AE275" s="2">
        <v>9.0668600000000001</v>
      </c>
      <c r="AF275" s="2"/>
      <c r="AG275" s="2"/>
      <c r="AH275" s="7"/>
      <c r="AI275" s="128">
        <v>44432</v>
      </c>
      <c r="AJ275" s="2">
        <v>87.375</v>
      </c>
      <c r="AK275" s="2">
        <v>69.625</v>
      </c>
      <c r="AL275" s="2">
        <v>62.274999999999999</v>
      </c>
      <c r="AM275" s="2">
        <v>55.75</v>
      </c>
      <c r="AO275" s="124">
        <v>44117</v>
      </c>
      <c r="AP275">
        <v>54.220999999999997</v>
      </c>
      <c r="AQ275">
        <v>54.475999999999999</v>
      </c>
      <c r="AR275">
        <v>54.228000000000002</v>
      </c>
      <c r="AS275">
        <v>54.478999999999999</v>
      </c>
      <c r="AT275">
        <v>55.332000000000001</v>
      </c>
      <c r="AU275">
        <v>55.33</v>
      </c>
      <c r="AV275">
        <v>54.225999999999999</v>
      </c>
      <c r="AW275">
        <v>54.478000000000002</v>
      </c>
      <c r="AX275">
        <v>55.43</v>
      </c>
      <c r="AY275">
        <v>55.320999999999998</v>
      </c>
      <c r="AZ275" s="7"/>
      <c r="BB275" s="124">
        <v>44117</v>
      </c>
      <c r="BC275" s="2">
        <v>9.86</v>
      </c>
      <c r="BD275" s="2">
        <v>9.82</v>
      </c>
      <c r="BE275" s="2">
        <v>9.86</v>
      </c>
      <c r="BF275" s="2">
        <v>9.82</v>
      </c>
      <c r="BG275" s="2">
        <v>9.82</v>
      </c>
      <c r="BH275" s="2">
        <v>9.82</v>
      </c>
      <c r="BI275" s="2">
        <v>9.86</v>
      </c>
      <c r="BJ275" s="2">
        <v>9.82</v>
      </c>
      <c r="BK275" s="2">
        <v>9.82</v>
      </c>
      <c r="BL275" s="2">
        <v>9.82</v>
      </c>
      <c r="BM275" s="7"/>
      <c r="BN275" s="7"/>
      <c r="BO275" s="128">
        <v>44432</v>
      </c>
      <c r="BP275" s="2">
        <v>8.73</v>
      </c>
      <c r="BQ275" s="2">
        <v>9.4600000000000009</v>
      </c>
      <c r="BR275" s="2">
        <v>9.2799999999999994</v>
      </c>
      <c r="BS275" s="2">
        <v>9.27</v>
      </c>
      <c r="BT275" s="2"/>
      <c r="BU275" s="2"/>
      <c r="BV275" s="7"/>
      <c r="BW275" s="128">
        <v>44432</v>
      </c>
      <c r="BX275" s="2">
        <v>87.375</v>
      </c>
      <c r="BY275" s="2">
        <v>69.625</v>
      </c>
      <c r="BZ275" s="2">
        <v>62.274999999999999</v>
      </c>
      <c r="CA275" s="2">
        <v>55.75</v>
      </c>
    </row>
    <row r="276" spans="1:79" x14ac:dyDescent="0.2">
      <c r="A276" s="124">
        <v>44118</v>
      </c>
      <c r="B276">
        <v>54.11</v>
      </c>
      <c r="C276">
        <v>54.365000000000002</v>
      </c>
      <c r="D276">
        <v>54.116</v>
      </c>
      <c r="E276">
        <v>54.366999999999997</v>
      </c>
      <c r="F276">
        <v>55.207999999999998</v>
      </c>
      <c r="G276">
        <v>55.206000000000003</v>
      </c>
      <c r="H276">
        <v>54.115000000000002</v>
      </c>
      <c r="I276">
        <v>54.366999999999997</v>
      </c>
      <c r="J276">
        <v>55.305</v>
      </c>
      <c r="K276">
        <v>55.195999999999998</v>
      </c>
      <c r="L276" s="7"/>
      <c r="N276" s="124">
        <v>44118</v>
      </c>
      <c r="O276" s="2">
        <v>9.8773999999999997</v>
      </c>
      <c r="P276" s="2">
        <v>9.8375000000000004</v>
      </c>
      <c r="Q276" s="2">
        <v>9.8800000000000008</v>
      </c>
      <c r="R276" s="2">
        <v>9.8375000000000004</v>
      </c>
      <c r="S276" s="2">
        <v>9.84</v>
      </c>
      <c r="T276" s="2">
        <v>9.8398500000000002</v>
      </c>
      <c r="U276" s="2">
        <v>9.8773</v>
      </c>
      <c r="V276" s="2">
        <v>9.8374500000000005</v>
      </c>
      <c r="W276" s="2">
        <v>9.84</v>
      </c>
      <c r="X276" s="2">
        <v>9.8398000000000003</v>
      </c>
      <c r="Y276" s="7"/>
      <c r="Z276" s="7"/>
      <c r="AA276" s="128">
        <v>44433</v>
      </c>
      <c r="AB276" s="2">
        <v>8.6196079999999995</v>
      </c>
      <c r="AC276" s="2">
        <v>9.3611050000000002</v>
      </c>
      <c r="AD276" s="2">
        <v>9.2260609999999996</v>
      </c>
      <c r="AE276" s="2">
        <v>9.0347849999999994</v>
      </c>
      <c r="AF276" s="2"/>
      <c r="AG276" s="2"/>
      <c r="AH276" s="7"/>
      <c r="AI276" s="128">
        <v>44433</v>
      </c>
      <c r="AJ276" s="2">
        <v>87.875</v>
      </c>
      <c r="AK276" s="2">
        <v>70.25</v>
      </c>
      <c r="AL276" s="2">
        <v>62.624000000000002</v>
      </c>
      <c r="AM276" s="2">
        <v>55.875</v>
      </c>
      <c r="AO276" s="124">
        <v>44118</v>
      </c>
      <c r="AP276">
        <v>54.11</v>
      </c>
      <c r="AQ276">
        <v>54.363999999999997</v>
      </c>
      <c r="AR276">
        <v>54.116</v>
      </c>
      <c r="AS276">
        <v>54.366999999999997</v>
      </c>
      <c r="AT276">
        <v>55.207000000000001</v>
      </c>
      <c r="AU276">
        <v>55.204999999999998</v>
      </c>
      <c r="AV276">
        <v>54.113999999999997</v>
      </c>
      <c r="AW276">
        <v>54.366</v>
      </c>
      <c r="AX276">
        <v>55.305</v>
      </c>
      <c r="AY276">
        <v>55.195999999999998</v>
      </c>
      <c r="AZ276" s="7"/>
      <c r="BB276" s="124">
        <v>44118</v>
      </c>
      <c r="BC276" s="2">
        <v>9.8800000000000008</v>
      </c>
      <c r="BD276" s="2">
        <v>9.84</v>
      </c>
      <c r="BE276" s="2">
        <v>9.8800000000000008</v>
      </c>
      <c r="BF276" s="2">
        <v>9.84</v>
      </c>
      <c r="BG276" s="2">
        <v>9.84</v>
      </c>
      <c r="BH276" s="2">
        <v>9.84</v>
      </c>
      <c r="BI276" s="2">
        <v>9.8800000000000008</v>
      </c>
      <c r="BJ276" s="2">
        <v>9.84</v>
      </c>
      <c r="BK276" s="2">
        <v>9.84</v>
      </c>
      <c r="BL276" s="2">
        <v>9.84</v>
      </c>
      <c r="BM276" s="7"/>
      <c r="BN276" s="7"/>
      <c r="BO276" s="128">
        <v>44433</v>
      </c>
      <c r="BP276" s="2">
        <v>8.6199999999999992</v>
      </c>
      <c r="BQ276" s="2">
        <v>9.36</v>
      </c>
      <c r="BR276" s="2">
        <v>9.23</v>
      </c>
      <c r="BS276" s="2">
        <v>9.24</v>
      </c>
      <c r="BT276" s="2"/>
      <c r="BU276" s="2"/>
      <c r="BV276" s="7"/>
      <c r="BW276" s="128">
        <v>44433</v>
      </c>
      <c r="BX276" s="2">
        <v>87.875</v>
      </c>
      <c r="BY276" s="2">
        <v>70.25</v>
      </c>
      <c r="BZ276" s="2">
        <v>62.624000000000002</v>
      </c>
      <c r="CA276" s="2">
        <v>55.875</v>
      </c>
    </row>
    <row r="277" spans="1:79" x14ac:dyDescent="0.2">
      <c r="A277" s="124">
        <v>44119</v>
      </c>
      <c r="B277">
        <v>53.475999999999999</v>
      </c>
      <c r="C277">
        <v>53.731000000000002</v>
      </c>
      <c r="D277">
        <v>52.414999999999999</v>
      </c>
      <c r="E277">
        <v>53.732999999999997</v>
      </c>
      <c r="F277">
        <v>54.591999999999999</v>
      </c>
      <c r="G277">
        <v>54.59</v>
      </c>
      <c r="H277">
        <v>53.48</v>
      </c>
      <c r="I277">
        <v>53.731999999999999</v>
      </c>
      <c r="J277">
        <v>54.689</v>
      </c>
      <c r="K277">
        <v>54.58</v>
      </c>
      <c r="L277" s="7"/>
      <c r="N277" s="124">
        <v>44119</v>
      </c>
      <c r="O277" s="2">
        <v>9.9876500000000004</v>
      </c>
      <c r="P277" s="2">
        <v>9.9470500000000008</v>
      </c>
      <c r="Q277" s="2">
        <v>10.17</v>
      </c>
      <c r="R277" s="2">
        <v>9.9470500000000008</v>
      </c>
      <c r="S277" s="2">
        <v>9.9499999999999993</v>
      </c>
      <c r="T277" s="2">
        <v>9.9471500000000006</v>
      </c>
      <c r="U277" s="2">
        <v>9.9876500000000004</v>
      </c>
      <c r="V277" s="2">
        <v>9.9471500000000006</v>
      </c>
      <c r="W277" s="2">
        <v>9.9499999999999993</v>
      </c>
      <c r="X277" s="2">
        <v>9.9471500000000006</v>
      </c>
      <c r="Y277" s="7"/>
      <c r="Z277" s="7"/>
      <c r="AA277" s="128">
        <v>44434</v>
      </c>
      <c r="AB277" s="2">
        <v>8.7099100000000007</v>
      </c>
      <c r="AC277" s="2">
        <v>9.3297380000000008</v>
      </c>
      <c r="AD277" s="2">
        <v>9.2904009999999992</v>
      </c>
      <c r="AE277" s="2">
        <v>9.0506100000000007</v>
      </c>
      <c r="AF277" s="2"/>
      <c r="AG277" s="2"/>
      <c r="AH277" s="7"/>
      <c r="AI277" s="128">
        <v>44434</v>
      </c>
      <c r="AJ277" s="2">
        <v>87.5</v>
      </c>
      <c r="AK277" s="2">
        <v>70.5</v>
      </c>
      <c r="AL277" s="2">
        <v>62.247999999999998</v>
      </c>
      <c r="AM277" s="2">
        <v>55.875</v>
      </c>
      <c r="AO277" s="124">
        <v>44119</v>
      </c>
      <c r="AP277">
        <v>53.475000000000001</v>
      </c>
      <c r="AQ277">
        <v>52.662999999999997</v>
      </c>
      <c r="AR277">
        <v>52.414999999999999</v>
      </c>
      <c r="AS277">
        <v>52.665999999999997</v>
      </c>
      <c r="AT277">
        <v>53.524999999999999</v>
      </c>
      <c r="AU277">
        <v>53.523000000000003</v>
      </c>
      <c r="AV277">
        <v>53.48</v>
      </c>
      <c r="AW277">
        <v>53.731999999999999</v>
      </c>
      <c r="AX277">
        <v>54.689</v>
      </c>
      <c r="AY277">
        <v>54.58</v>
      </c>
      <c r="AZ277" s="7"/>
      <c r="BB277" s="124">
        <v>44119</v>
      </c>
      <c r="BC277" s="2">
        <v>9.99</v>
      </c>
      <c r="BD277" s="2">
        <v>10.119999999999999</v>
      </c>
      <c r="BE277" s="2">
        <v>10.17</v>
      </c>
      <c r="BF277" s="2">
        <v>10.119999999999999</v>
      </c>
      <c r="BG277" s="2">
        <v>10.119999999999999</v>
      </c>
      <c r="BH277" s="2">
        <v>10.119999999999999</v>
      </c>
      <c r="BI277" s="2">
        <v>9.99</v>
      </c>
      <c r="BJ277" s="2">
        <v>9.9499999999999993</v>
      </c>
      <c r="BK277" s="2">
        <v>9.9499999999999993</v>
      </c>
      <c r="BL277" s="2">
        <v>9.9499999999999993</v>
      </c>
      <c r="BM277" s="7"/>
      <c r="BN277" s="7"/>
      <c r="BO277" s="128">
        <v>44434</v>
      </c>
      <c r="BP277" s="2">
        <v>8.7100000000000009</v>
      </c>
      <c r="BQ277" s="2">
        <v>9.33</v>
      </c>
      <c r="BR277" s="2">
        <v>9.2899999999999991</v>
      </c>
      <c r="BS277" s="2">
        <v>9.26</v>
      </c>
      <c r="BT277" s="2"/>
      <c r="BU277" s="2"/>
      <c r="BV277" s="7"/>
      <c r="BW277" s="128">
        <v>44434</v>
      </c>
      <c r="BX277" s="2">
        <v>87.5</v>
      </c>
      <c r="BY277" s="2">
        <v>70.5</v>
      </c>
      <c r="BZ277" s="2">
        <v>62.247999999999998</v>
      </c>
      <c r="CA277" s="2">
        <v>55.875</v>
      </c>
    </row>
    <row r="278" spans="1:79" x14ac:dyDescent="0.2">
      <c r="A278" s="124">
        <v>44120</v>
      </c>
      <c r="B278">
        <v>53.73</v>
      </c>
      <c r="C278">
        <v>53.984000000000002</v>
      </c>
      <c r="D278">
        <v>52.137</v>
      </c>
      <c r="E278">
        <v>53.985999999999997</v>
      </c>
      <c r="F278">
        <v>54.726999999999997</v>
      </c>
      <c r="G278">
        <v>54.845999999999997</v>
      </c>
      <c r="H278">
        <v>53.613999999999997</v>
      </c>
      <c r="I278">
        <v>53.985999999999997</v>
      </c>
      <c r="J278">
        <v>54.944000000000003</v>
      </c>
      <c r="K278">
        <v>54.835000000000001</v>
      </c>
      <c r="L278" s="7"/>
      <c r="N278" s="124">
        <v>44120</v>
      </c>
      <c r="O278" s="2">
        <v>9.9481000000000002</v>
      </c>
      <c r="P278" s="2">
        <v>9.9078999999999997</v>
      </c>
      <c r="Q278" s="2">
        <v>10.210000000000001</v>
      </c>
      <c r="R278" s="2">
        <v>9.9078999999999997</v>
      </c>
      <c r="S278" s="2">
        <v>9.93</v>
      </c>
      <c r="T278" s="2">
        <v>9.9077500000000001</v>
      </c>
      <c r="U278" s="2">
        <v>9.9678000000000004</v>
      </c>
      <c r="V278" s="2">
        <v>9.9078499999999998</v>
      </c>
      <c r="W278" s="2">
        <v>9.91</v>
      </c>
      <c r="X278" s="2">
        <v>9.9079499999999996</v>
      </c>
      <c r="Y278" s="7"/>
      <c r="Z278" s="7"/>
      <c r="AA278" s="128">
        <v>44435</v>
      </c>
      <c r="AB278" s="2">
        <v>8.6285080000000001</v>
      </c>
      <c r="AC278" s="2">
        <v>9.3088049999999996</v>
      </c>
      <c r="AD278" s="2">
        <v>9.2556940000000001</v>
      </c>
      <c r="AE278" s="2">
        <v>9.0145959999999992</v>
      </c>
      <c r="AF278" s="2"/>
      <c r="AG278" s="2"/>
      <c r="AH278" s="7"/>
      <c r="AI278" s="128">
        <v>44435</v>
      </c>
      <c r="AJ278" s="2">
        <v>87.875</v>
      </c>
      <c r="AK278" s="2">
        <v>70.625</v>
      </c>
      <c r="AL278" s="2">
        <v>62.481999999999999</v>
      </c>
      <c r="AM278" s="2">
        <v>56</v>
      </c>
      <c r="AO278" s="124">
        <v>44120</v>
      </c>
      <c r="AP278">
        <v>53.728999999999999</v>
      </c>
      <c r="AQ278">
        <v>52.384999999999998</v>
      </c>
      <c r="AR278">
        <v>52.137</v>
      </c>
      <c r="AS278">
        <v>52.387999999999998</v>
      </c>
      <c r="AT278">
        <v>53.247999999999998</v>
      </c>
      <c r="AU278">
        <v>53.246000000000002</v>
      </c>
      <c r="AV278">
        <v>53.734000000000002</v>
      </c>
      <c r="AW278">
        <v>53.985999999999997</v>
      </c>
      <c r="AX278">
        <v>54.945</v>
      </c>
      <c r="AY278">
        <v>54.835000000000001</v>
      </c>
      <c r="AZ278" s="7"/>
      <c r="BB278" s="124">
        <v>44120</v>
      </c>
      <c r="BC278" s="2">
        <v>9.9499999999999993</v>
      </c>
      <c r="BD278" s="2">
        <v>10.17</v>
      </c>
      <c r="BE278" s="2">
        <v>10.210000000000001</v>
      </c>
      <c r="BF278" s="2">
        <v>10.17</v>
      </c>
      <c r="BG278" s="2">
        <v>10.17</v>
      </c>
      <c r="BH278" s="2">
        <v>10.17</v>
      </c>
      <c r="BI278" s="2">
        <v>9.9499999999999993</v>
      </c>
      <c r="BJ278" s="2">
        <v>9.91</v>
      </c>
      <c r="BK278" s="2">
        <v>9.91</v>
      </c>
      <c r="BL278" s="2">
        <v>9.91</v>
      </c>
      <c r="BM278" s="7"/>
      <c r="BN278" s="7"/>
      <c r="BO278" s="128">
        <v>44435</v>
      </c>
      <c r="BP278" s="2">
        <v>8.6300000000000008</v>
      </c>
      <c r="BQ278" s="2">
        <v>9.31</v>
      </c>
      <c r="BR278" s="2">
        <v>9.26</v>
      </c>
      <c r="BS278" s="2">
        <v>9.2200000000000006</v>
      </c>
      <c r="BT278" s="2"/>
      <c r="BU278" s="2"/>
      <c r="BV278" s="7"/>
      <c r="BW278" s="128">
        <v>44435</v>
      </c>
      <c r="BX278" s="2">
        <v>87.875</v>
      </c>
      <c r="BY278" s="2">
        <v>70.625</v>
      </c>
      <c r="BZ278" s="2">
        <v>62.481999999999999</v>
      </c>
      <c r="CA278" s="2">
        <v>56</v>
      </c>
    </row>
    <row r="279" spans="1:79" x14ac:dyDescent="0.2">
      <c r="A279" s="124">
        <v>44123</v>
      </c>
      <c r="B279">
        <v>53.924999999999997</v>
      </c>
      <c r="C279">
        <v>54.179000000000002</v>
      </c>
      <c r="D279">
        <v>52.734999999999999</v>
      </c>
      <c r="E279">
        <v>54.180999999999997</v>
      </c>
      <c r="F279">
        <v>55.043999999999997</v>
      </c>
      <c r="G279">
        <v>55.042000000000002</v>
      </c>
      <c r="H279">
        <v>53.929000000000002</v>
      </c>
      <c r="I279">
        <v>54.180999999999997</v>
      </c>
      <c r="J279">
        <v>55.140999999999998</v>
      </c>
      <c r="K279">
        <v>55.031999999999996</v>
      </c>
      <c r="L279" s="7"/>
      <c r="N279" s="124">
        <v>44123</v>
      </c>
      <c r="O279" s="2">
        <v>9.9184000000000001</v>
      </c>
      <c r="P279" s="2">
        <v>9.8783499999999993</v>
      </c>
      <c r="Q279" s="2">
        <v>10.119999999999999</v>
      </c>
      <c r="R279" s="2">
        <v>9.8783499999999993</v>
      </c>
      <c r="S279" s="2">
        <v>9.8800000000000008</v>
      </c>
      <c r="T279" s="2">
        <v>9.8783499999999993</v>
      </c>
      <c r="U279" s="2">
        <v>9.9184000000000001</v>
      </c>
      <c r="V279" s="2">
        <v>9.8783499999999993</v>
      </c>
      <c r="W279" s="2">
        <v>9.8800000000000008</v>
      </c>
      <c r="X279" s="2">
        <v>9.8782499999999995</v>
      </c>
      <c r="Y279" s="7"/>
      <c r="Z279" s="7"/>
      <c r="AA279" s="128">
        <v>44438</v>
      </c>
      <c r="AB279" s="2">
        <v>8.5176580000000008</v>
      </c>
      <c r="AC279" s="2">
        <v>9.2458150000000003</v>
      </c>
      <c r="AD279" s="2">
        <v>9.0874070000000007</v>
      </c>
      <c r="AE279" s="2">
        <v>8.8714370000000002</v>
      </c>
      <c r="AF279" s="2"/>
      <c r="AG279" s="2"/>
      <c r="AH279" s="7"/>
      <c r="AI279" s="128">
        <v>44438</v>
      </c>
      <c r="AJ279" s="2">
        <v>88.375</v>
      </c>
      <c r="AK279" s="2">
        <v>71</v>
      </c>
      <c r="AL279" s="2">
        <v>63.631</v>
      </c>
      <c r="AM279" s="2">
        <v>56.5</v>
      </c>
      <c r="AO279" s="124">
        <v>44123</v>
      </c>
      <c r="AP279">
        <v>53.923999999999999</v>
      </c>
      <c r="AQ279">
        <v>52.984000000000002</v>
      </c>
      <c r="AR279">
        <v>52.734999999999999</v>
      </c>
      <c r="AS279">
        <v>52.985999999999997</v>
      </c>
      <c r="AT279">
        <v>53.847999999999999</v>
      </c>
      <c r="AU279">
        <v>53.845999999999997</v>
      </c>
      <c r="AV279">
        <v>53.927999999999997</v>
      </c>
      <c r="AW279">
        <v>54.18</v>
      </c>
      <c r="AX279">
        <v>55.140999999999998</v>
      </c>
      <c r="AY279">
        <v>55.031999999999996</v>
      </c>
      <c r="AZ279" s="7"/>
      <c r="BB279" s="124">
        <v>44123</v>
      </c>
      <c r="BC279" s="2">
        <v>9.92</v>
      </c>
      <c r="BD279" s="2">
        <v>10.07</v>
      </c>
      <c r="BE279" s="2">
        <v>10.119999999999999</v>
      </c>
      <c r="BF279" s="2">
        <v>10.07</v>
      </c>
      <c r="BG279" s="2">
        <v>10.07</v>
      </c>
      <c r="BH279" s="2">
        <v>10.07</v>
      </c>
      <c r="BI279" s="2">
        <v>9.92</v>
      </c>
      <c r="BJ279" s="2">
        <v>9.8800000000000008</v>
      </c>
      <c r="BK279" s="2">
        <v>9.8800000000000008</v>
      </c>
      <c r="BL279" s="2">
        <v>9.8800000000000008</v>
      </c>
      <c r="BM279" s="7"/>
      <c r="BN279" s="7"/>
      <c r="BO279" s="128">
        <v>44438</v>
      </c>
      <c r="BP279" s="2">
        <v>8.52</v>
      </c>
      <c r="BQ279" s="2">
        <v>9.25</v>
      </c>
      <c r="BR279" s="2">
        <v>9.09</v>
      </c>
      <c r="BS279" s="2">
        <v>9.07</v>
      </c>
      <c r="BT279" s="2"/>
      <c r="BU279" s="2"/>
      <c r="BV279" s="7"/>
      <c r="BW279" s="128">
        <v>44438</v>
      </c>
      <c r="BX279" s="2">
        <v>88.375</v>
      </c>
      <c r="BY279" s="2">
        <v>71</v>
      </c>
      <c r="BZ279" s="2">
        <v>63.631</v>
      </c>
      <c r="CA279" s="2">
        <v>56.5</v>
      </c>
    </row>
    <row r="280" spans="1:79" x14ac:dyDescent="0.2">
      <c r="A280" s="124">
        <v>44124</v>
      </c>
      <c r="B280">
        <v>53.335999999999999</v>
      </c>
      <c r="C280">
        <v>53.591000000000001</v>
      </c>
      <c r="D280">
        <v>52.162999999999997</v>
      </c>
      <c r="E280">
        <v>53.593000000000004</v>
      </c>
      <c r="F280">
        <v>54.457000000000001</v>
      </c>
      <c r="G280">
        <v>54.454999999999998</v>
      </c>
      <c r="H280">
        <v>53.34</v>
      </c>
      <c r="I280">
        <v>53.591999999999999</v>
      </c>
      <c r="J280">
        <v>54.554000000000002</v>
      </c>
      <c r="K280">
        <v>54.445</v>
      </c>
      <c r="L280" s="7"/>
      <c r="N280" s="124">
        <v>44124</v>
      </c>
      <c r="O280" s="2">
        <v>10.017300000000001</v>
      </c>
      <c r="P280" s="2">
        <v>9.9765999999999995</v>
      </c>
      <c r="Q280" s="2">
        <v>10.210000000000001</v>
      </c>
      <c r="R280" s="2">
        <v>9.9765499999999996</v>
      </c>
      <c r="S280" s="2">
        <v>9.98</v>
      </c>
      <c r="T280" s="2">
        <v>9.9766499999999994</v>
      </c>
      <c r="U280" s="2">
        <v>10.0174</v>
      </c>
      <c r="V280" s="2">
        <v>9.9767499999999991</v>
      </c>
      <c r="W280" s="2">
        <v>9.98</v>
      </c>
      <c r="X280" s="2">
        <v>9.9765499999999996</v>
      </c>
      <c r="Y280" s="7"/>
      <c r="Z280" s="7"/>
      <c r="AA280" s="128">
        <v>44439</v>
      </c>
      <c r="AB280" s="2">
        <v>8.332122</v>
      </c>
      <c r="AC280" s="2">
        <v>9.1039259999999995</v>
      </c>
      <c r="AD280" s="2">
        <v>9.0378710000000009</v>
      </c>
      <c r="AE280" s="2">
        <v>8.7688349999999993</v>
      </c>
      <c r="AF280" s="2"/>
      <c r="AG280" s="2"/>
      <c r="AH280" s="7"/>
      <c r="AI280" s="128">
        <v>44439</v>
      </c>
      <c r="AJ280" s="2">
        <v>89.25</v>
      </c>
      <c r="AK280" s="2">
        <v>71.875</v>
      </c>
      <c r="AL280" s="2">
        <v>63.988999999999997</v>
      </c>
      <c r="AM280" s="2">
        <v>56.875</v>
      </c>
      <c r="AO280" s="124">
        <v>44124</v>
      </c>
      <c r="AP280">
        <v>53.335999999999999</v>
      </c>
      <c r="AQ280">
        <v>52.411999999999999</v>
      </c>
      <c r="AR280">
        <v>52.162999999999997</v>
      </c>
      <c r="AS280">
        <v>52.414000000000001</v>
      </c>
      <c r="AT280">
        <v>53.277999999999999</v>
      </c>
      <c r="AU280">
        <v>53.276000000000003</v>
      </c>
      <c r="AV280">
        <v>53.34</v>
      </c>
      <c r="AW280">
        <v>53.591999999999999</v>
      </c>
      <c r="AX280">
        <v>54.554000000000002</v>
      </c>
      <c r="AY280">
        <v>54.445</v>
      </c>
      <c r="AZ280" s="7"/>
      <c r="BB280" s="124">
        <v>44124</v>
      </c>
      <c r="BC280" s="2">
        <v>10.02</v>
      </c>
      <c r="BD280" s="2">
        <v>10.17</v>
      </c>
      <c r="BE280" s="2">
        <v>10.210000000000001</v>
      </c>
      <c r="BF280" s="2">
        <v>10.17</v>
      </c>
      <c r="BG280" s="2">
        <v>10.17</v>
      </c>
      <c r="BH280" s="2">
        <v>10.17</v>
      </c>
      <c r="BI280" s="2">
        <v>10.02</v>
      </c>
      <c r="BJ280" s="2">
        <v>9.98</v>
      </c>
      <c r="BK280" s="2">
        <v>9.98</v>
      </c>
      <c r="BL280" s="2">
        <v>9.98</v>
      </c>
      <c r="BM280" s="7"/>
      <c r="BN280" s="7"/>
      <c r="BO280" s="128">
        <v>44439</v>
      </c>
      <c r="BP280" s="2">
        <v>8.33</v>
      </c>
      <c r="BQ280" s="2">
        <v>9.1</v>
      </c>
      <c r="BR280" s="2">
        <v>9.0399999999999991</v>
      </c>
      <c r="BS280" s="2">
        <v>8.9600000000000009</v>
      </c>
      <c r="BT280" s="2"/>
      <c r="BU280" s="2"/>
      <c r="BV280" s="7"/>
      <c r="BW280" s="128">
        <v>44439</v>
      </c>
      <c r="BX280" s="2">
        <v>89.25</v>
      </c>
      <c r="BY280" s="2">
        <v>71.875</v>
      </c>
      <c r="BZ280" s="2">
        <v>63.988999999999997</v>
      </c>
      <c r="CA280" s="2">
        <v>56.875</v>
      </c>
    </row>
    <row r="281" spans="1:79" x14ac:dyDescent="0.2">
      <c r="A281" s="124">
        <v>44125</v>
      </c>
      <c r="B281">
        <v>52.463000000000001</v>
      </c>
      <c r="C281">
        <v>52.716999999999999</v>
      </c>
      <c r="D281">
        <v>51.887</v>
      </c>
      <c r="E281">
        <v>52.719000000000001</v>
      </c>
      <c r="F281">
        <v>53.292999999999999</v>
      </c>
      <c r="G281">
        <v>53.582000000000001</v>
      </c>
      <c r="H281">
        <v>52.174999999999997</v>
      </c>
      <c r="I281">
        <v>52.719000000000001</v>
      </c>
      <c r="J281">
        <v>53.680999999999997</v>
      </c>
      <c r="K281">
        <v>53.572000000000003</v>
      </c>
      <c r="L281" s="7"/>
      <c r="N281" s="124">
        <v>44125</v>
      </c>
      <c r="O281" s="2">
        <v>10.16545</v>
      </c>
      <c r="P281" s="2">
        <v>10.12405</v>
      </c>
      <c r="Q281" s="2">
        <v>10.26</v>
      </c>
      <c r="R281" s="2">
        <v>10.12405</v>
      </c>
      <c r="S281" s="2">
        <v>10.17</v>
      </c>
      <c r="T281" s="2">
        <v>10.12415</v>
      </c>
      <c r="U281" s="2">
        <v>10.215</v>
      </c>
      <c r="V281" s="2">
        <v>10.124000000000001</v>
      </c>
      <c r="W281" s="2">
        <v>10.119999999999999</v>
      </c>
      <c r="X281" s="2">
        <v>10.1241</v>
      </c>
      <c r="Y281" s="7"/>
      <c r="Z281" s="7"/>
      <c r="AA281" s="128">
        <v>44440</v>
      </c>
      <c r="AB281" s="2">
        <v>8.1749810000000007</v>
      </c>
      <c r="AC281" s="2">
        <v>8.9842669999999991</v>
      </c>
      <c r="AD281" s="2">
        <v>9.0280129999999996</v>
      </c>
      <c r="AE281" s="2">
        <v>8.7020879999999998</v>
      </c>
      <c r="AF281" s="2"/>
      <c r="AG281" s="2"/>
      <c r="AH281" s="7"/>
      <c r="AI281" s="128">
        <v>44440</v>
      </c>
      <c r="AJ281" s="2">
        <v>90</v>
      </c>
      <c r="AK281" s="2">
        <v>72.625</v>
      </c>
      <c r="AL281" s="2">
        <v>64.072000000000003</v>
      </c>
      <c r="AM281" s="2">
        <v>57.125</v>
      </c>
      <c r="AO281" s="124">
        <v>44125</v>
      </c>
      <c r="AP281">
        <v>52.462000000000003</v>
      </c>
      <c r="AQ281">
        <v>52.134999999999998</v>
      </c>
      <c r="AR281">
        <v>51.887</v>
      </c>
      <c r="AS281">
        <v>52.137999999999998</v>
      </c>
      <c r="AT281">
        <v>53.003</v>
      </c>
      <c r="AU281">
        <v>53.000999999999998</v>
      </c>
      <c r="AV281">
        <v>52.466000000000001</v>
      </c>
      <c r="AW281">
        <v>52.718000000000004</v>
      </c>
      <c r="AX281">
        <v>53.682000000000002</v>
      </c>
      <c r="AY281">
        <v>53.572000000000003</v>
      </c>
      <c r="AZ281" s="7"/>
      <c r="BB281" s="124">
        <v>44125</v>
      </c>
      <c r="BC281" s="2">
        <v>10.17</v>
      </c>
      <c r="BD281" s="2">
        <v>10.220000000000001</v>
      </c>
      <c r="BE281" s="2">
        <v>10.26</v>
      </c>
      <c r="BF281" s="2">
        <v>10.220000000000001</v>
      </c>
      <c r="BG281" s="2">
        <v>10.220000000000001</v>
      </c>
      <c r="BH281" s="2">
        <v>10.220000000000001</v>
      </c>
      <c r="BI281" s="2">
        <v>10.17</v>
      </c>
      <c r="BJ281" s="2">
        <v>10.119999999999999</v>
      </c>
      <c r="BK281" s="2">
        <v>10.119999999999999</v>
      </c>
      <c r="BL281" s="2">
        <v>10.119999999999999</v>
      </c>
      <c r="BM281" s="7"/>
      <c r="BN281" s="7"/>
      <c r="BO281" s="128">
        <v>44440</v>
      </c>
      <c r="BP281" s="2">
        <v>8.18</v>
      </c>
      <c r="BQ281" s="2">
        <v>8.98</v>
      </c>
      <c r="BR281" s="2">
        <v>9.0299999999999994</v>
      </c>
      <c r="BS281" s="2">
        <v>8.89</v>
      </c>
      <c r="BT281" s="2"/>
      <c r="BU281" s="2"/>
      <c r="BV281" s="7"/>
      <c r="BW281" s="128">
        <v>44440</v>
      </c>
      <c r="BX281" s="2">
        <v>90</v>
      </c>
      <c r="BY281" s="2">
        <v>72.625</v>
      </c>
      <c r="BZ281" s="2">
        <v>64.072000000000003</v>
      </c>
      <c r="CA281" s="2">
        <v>57.125</v>
      </c>
    </row>
    <row r="282" spans="1:79" x14ac:dyDescent="0.2">
      <c r="A282" s="124">
        <v>44126</v>
      </c>
      <c r="B282">
        <v>51.777000000000001</v>
      </c>
      <c r="C282">
        <v>52.031999999999996</v>
      </c>
      <c r="D282">
        <v>51.07</v>
      </c>
      <c r="E282">
        <v>52.033000000000001</v>
      </c>
      <c r="F282">
        <v>52.902999999999999</v>
      </c>
      <c r="G282">
        <v>52.901000000000003</v>
      </c>
      <c r="H282">
        <v>51.780999999999999</v>
      </c>
      <c r="I282">
        <v>52.033000000000001</v>
      </c>
      <c r="J282">
        <v>53</v>
      </c>
      <c r="K282">
        <v>52.890999999999998</v>
      </c>
      <c r="L282" s="7"/>
      <c r="N282" s="124">
        <v>44126</v>
      </c>
      <c r="O282" s="2">
        <v>10.289099999999999</v>
      </c>
      <c r="P282" s="2">
        <v>10.2468</v>
      </c>
      <c r="Q282" s="2">
        <v>10.41</v>
      </c>
      <c r="R282" s="2">
        <v>10.247</v>
      </c>
      <c r="S282" s="2">
        <v>10.25</v>
      </c>
      <c r="T282" s="2">
        <v>10.24695</v>
      </c>
      <c r="U282" s="2">
        <v>10.289099999999999</v>
      </c>
      <c r="V282" s="2">
        <v>10.24695</v>
      </c>
      <c r="W282" s="2">
        <v>10.25</v>
      </c>
      <c r="X282" s="2">
        <v>10.2469</v>
      </c>
      <c r="Y282" s="7"/>
      <c r="Z282" s="7"/>
      <c r="AA282" s="128">
        <v>44441</v>
      </c>
      <c r="AB282" s="2">
        <v>8.3389950000000006</v>
      </c>
      <c r="AC282" s="2">
        <v>9.0753179999999993</v>
      </c>
      <c r="AD282" s="2">
        <v>9.1468050000000005</v>
      </c>
      <c r="AE282" s="2">
        <v>8.859121</v>
      </c>
      <c r="AF282" s="2"/>
      <c r="AG282" s="2"/>
      <c r="AH282" s="7"/>
      <c r="AI282" s="128">
        <v>44441</v>
      </c>
      <c r="AJ282" s="2">
        <v>89.25</v>
      </c>
      <c r="AK282" s="2">
        <v>72.125</v>
      </c>
      <c r="AL282" s="2">
        <v>63.308</v>
      </c>
      <c r="AM282" s="2">
        <v>56.625</v>
      </c>
      <c r="AO282" s="124">
        <v>44126</v>
      </c>
      <c r="AP282">
        <v>51.777000000000001</v>
      </c>
      <c r="AQ282">
        <v>51.317999999999998</v>
      </c>
      <c r="AR282">
        <v>51.07</v>
      </c>
      <c r="AS282">
        <v>51.320999999999998</v>
      </c>
      <c r="AT282">
        <v>52.19</v>
      </c>
      <c r="AU282">
        <v>52.188000000000002</v>
      </c>
      <c r="AV282">
        <v>51.780999999999999</v>
      </c>
      <c r="AW282">
        <v>52.033000000000001</v>
      </c>
      <c r="AX282">
        <v>53.000999999999998</v>
      </c>
      <c r="AY282">
        <v>52.890999999999998</v>
      </c>
      <c r="AZ282" s="7"/>
      <c r="BB282" s="124">
        <v>44126</v>
      </c>
      <c r="BC282" s="2">
        <v>10.29</v>
      </c>
      <c r="BD282" s="2">
        <v>10.37</v>
      </c>
      <c r="BE282" s="2">
        <v>10.41</v>
      </c>
      <c r="BF282" s="2">
        <v>10.37</v>
      </c>
      <c r="BG282" s="2">
        <v>10.37</v>
      </c>
      <c r="BH282" s="2">
        <v>10.37</v>
      </c>
      <c r="BI282" s="2">
        <v>10.29</v>
      </c>
      <c r="BJ282" s="2">
        <v>10.25</v>
      </c>
      <c r="BK282" s="2">
        <v>10.25</v>
      </c>
      <c r="BL282" s="2">
        <v>10.25</v>
      </c>
      <c r="BM282" s="7"/>
      <c r="BN282" s="7"/>
      <c r="BO282" s="128">
        <v>44441</v>
      </c>
      <c r="BP282" s="2">
        <v>8.34</v>
      </c>
      <c r="BQ282" s="2">
        <v>9.08</v>
      </c>
      <c r="BR282" s="2">
        <v>9.15</v>
      </c>
      <c r="BS282" s="2">
        <v>9.06</v>
      </c>
      <c r="BT282" s="2"/>
      <c r="BU282" s="2"/>
      <c r="BV282" s="7"/>
      <c r="BW282" s="128">
        <v>44441</v>
      </c>
      <c r="BX282" s="2">
        <v>89.25</v>
      </c>
      <c r="BY282" s="2">
        <v>72.125</v>
      </c>
      <c r="BZ282" s="2">
        <v>63.308</v>
      </c>
      <c r="CA282" s="2">
        <v>56.625</v>
      </c>
    </row>
    <row r="283" spans="1:79" x14ac:dyDescent="0.2">
      <c r="A283" s="124">
        <v>44127</v>
      </c>
      <c r="B283">
        <v>51.078000000000003</v>
      </c>
      <c r="C283">
        <v>51.332000000000001</v>
      </c>
      <c r="D283">
        <v>49.694000000000003</v>
      </c>
      <c r="E283">
        <v>51.334000000000003</v>
      </c>
      <c r="F283">
        <v>52.204999999999998</v>
      </c>
      <c r="G283">
        <v>52.203000000000003</v>
      </c>
      <c r="H283">
        <v>51.082000000000001</v>
      </c>
      <c r="I283">
        <v>51.334000000000003</v>
      </c>
      <c r="J283">
        <v>52.302</v>
      </c>
      <c r="K283">
        <v>52.192999999999998</v>
      </c>
      <c r="L283" s="7"/>
      <c r="N283" s="124">
        <v>44127</v>
      </c>
      <c r="O283" s="2">
        <v>10.41255</v>
      </c>
      <c r="P283" s="2">
        <v>10.3697</v>
      </c>
      <c r="Q283" s="2">
        <v>10.66</v>
      </c>
      <c r="R283" s="2">
        <v>10.3697</v>
      </c>
      <c r="S283" s="2">
        <v>10.37</v>
      </c>
      <c r="T283" s="2">
        <v>10.3697</v>
      </c>
      <c r="U283" s="2">
        <v>10.412599999999999</v>
      </c>
      <c r="V283" s="2">
        <v>10.36965</v>
      </c>
      <c r="W283" s="2">
        <v>10.37</v>
      </c>
      <c r="X283" s="2">
        <v>10.3697</v>
      </c>
      <c r="Y283" s="7"/>
      <c r="Z283" s="7"/>
      <c r="AA283" s="128">
        <v>44442</v>
      </c>
      <c r="AB283" s="2">
        <v>8.3403749999999999</v>
      </c>
      <c r="AC283" s="2">
        <v>9.0982240000000001</v>
      </c>
      <c r="AD283" s="2">
        <v>9.1468559999999997</v>
      </c>
      <c r="AE283" s="2">
        <v>8.8630080000000007</v>
      </c>
      <c r="AF283" s="2"/>
      <c r="AG283" s="2"/>
      <c r="AH283" s="7"/>
      <c r="AI283" s="128">
        <v>44442</v>
      </c>
      <c r="AJ283" s="2">
        <v>89.25</v>
      </c>
      <c r="AK283" s="2">
        <v>72</v>
      </c>
      <c r="AL283" s="2">
        <v>63.322000000000003</v>
      </c>
      <c r="AM283" s="2">
        <v>56.625</v>
      </c>
      <c r="AO283" s="124">
        <v>44127</v>
      </c>
      <c r="AP283">
        <v>51.076999999999998</v>
      </c>
      <c r="AQ283">
        <v>49.942999999999998</v>
      </c>
      <c r="AR283">
        <v>49.694000000000003</v>
      </c>
      <c r="AS283">
        <v>49.945</v>
      </c>
      <c r="AT283">
        <v>50.816000000000003</v>
      </c>
      <c r="AU283">
        <v>50.814</v>
      </c>
      <c r="AV283">
        <v>51.081000000000003</v>
      </c>
      <c r="AW283">
        <v>51.332999999999998</v>
      </c>
      <c r="AX283">
        <v>52.302</v>
      </c>
      <c r="AY283">
        <v>52.192999999999998</v>
      </c>
      <c r="AZ283" s="7"/>
      <c r="BB283" s="124">
        <v>44127</v>
      </c>
      <c r="BC283" s="2">
        <v>10.41</v>
      </c>
      <c r="BD283" s="2">
        <v>10.61</v>
      </c>
      <c r="BE283" s="2">
        <v>10.66</v>
      </c>
      <c r="BF283" s="2">
        <v>10.61</v>
      </c>
      <c r="BG283" s="2">
        <v>10.61</v>
      </c>
      <c r="BH283" s="2">
        <v>10.61</v>
      </c>
      <c r="BI283" s="2">
        <v>10.41</v>
      </c>
      <c r="BJ283" s="2">
        <v>10.37</v>
      </c>
      <c r="BK283" s="2">
        <v>10.37</v>
      </c>
      <c r="BL283" s="2">
        <v>10.37</v>
      </c>
      <c r="BM283" s="7"/>
      <c r="BN283" s="7"/>
      <c r="BO283" s="128">
        <v>44442</v>
      </c>
      <c r="BP283" s="2">
        <v>8.34</v>
      </c>
      <c r="BQ283" s="2">
        <v>9.1</v>
      </c>
      <c r="BR283" s="2">
        <v>9.15</v>
      </c>
      <c r="BS283" s="2">
        <v>9.06</v>
      </c>
      <c r="BT283" s="2"/>
      <c r="BU283" s="2"/>
      <c r="BV283" s="7"/>
      <c r="BW283" s="128">
        <v>44442</v>
      </c>
      <c r="BX283" s="2">
        <v>89.25</v>
      </c>
      <c r="BY283" s="2">
        <v>72</v>
      </c>
      <c r="BZ283" s="2">
        <v>63.322000000000003</v>
      </c>
      <c r="CA283" s="2">
        <v>56.625</v>
      </c>
    </row>
    <row r="284" spans="1:79" x14ac:dyDescent="0.2">
      <c r="A284" s="124">
        <v>44130</v>
      </c>
      <c r="B284">
        <v>50.725000000000001</v>
      </c>
      <c r="C284">
        <v>50.978999999999999</v>
      </c>
      <c r="D284">
        <v>49.598999999999997</v>
      </c>
      <c r="E284">
        <v>50.981000000000002</v>
      </c>
      <c r="F284">
        <v>51.853999999999999</v>
      </c>
      <c r="G284">
        <v>51.851999999999997</v>
      </c>
      <c r="H284">
        <v>50.728999999999999</v>
      </c>
      <c r="I284">
        <v>50.981000000000002</v>
      </c>
      <c r="J284">
        <v>51.951000000000001</v>
      </c>
      <c r="K284">
        <v>51.841999999999999</v>
      </c>
      <c r="L284" s="7"/>
      <c r="N284" s="124">
        <v>44130</v>
      </c>
      <c r="O284" s="2">
        <v>10.476850000000001</v>
      </c>
      <c r="P284" s="2">
        <v>10.43365</v>
      </c>
      <c r="Q284" s="2">
        <v>10.68</v>
      </c>
      <c r="R284" s="2">
        <v>10.43365</v>
      </c>
      <c r="S284" s="2">
        <v>10.43</v>
      </c>
      <c r="T284" s="2">
        <v>10.43355</v>
      </c>
      <c r="U284" s="2">
        <v>10.476850000000001</v>
      </c>
      <c r="V284" s="2">
        <v>10.43355</v>
      </c>
      <c r="W284" s="2">
        <v>10.43</v>
      </c>
      <c r="X284" s="2">
        <v>10.4335</v>
      </c>
      <c r="Y284" s="7"/>
      <c r="Z284" s="7"/>
      <c r="AA284" s="128">
        <v>44445</v>
      </c>
      <c r="AB284" s="2">
        <v>8.3670039999999997</v>
      </c>
      <c r="AC284" s="2">
        <v>9.1187170000000002</v>
      </c>
      <c r="AD284" s="2">
        <v>9.0847180000000005</v>
      </c>
      <c r="AE284" s="2">
        <v>8.8986900000000002</v>
      </c>
      <c r="AF284" s="2"/>
      <c r="AG284" s="2"/>
      <c r="AH284" s="7"/>
      <c r="AI284" s="128">
        <v>44445</v>
      </c>
      <c r="AJ284" s="2">
        <v>89.125</v>
      </c>
      <c r="AK284" s="2">
        <v>71.875</v>
      </c>
      <c r="AL284" s="2">
        <v>63.75</v>
      </c>
      <c r="AM284" s="2">
        <v>56.5</v>
      </c>
      <c r="AO284" s="124">
        <v>44130</v>
      </c>
      <c r="AP284">
        <v>50.725000000000001</v>
      </c>
      <c r="AQ284">
        <v>49.847000000000001</v>
      </c>
      <c r="AR284">
        <v>49.598999999999997</v>
      </c>
      <c r="AS284">
        <v>49.848999999999997</v>
      </c>
      <c r="AT284">
        <v>50.720999999999997</v>
      </c>
      <c r="AU284">
        <v>50.719000000000001</v>
      </c>
      <c r="AV284">
        <v>50.728999999999999</v>
      </c>
      <c r="AW284">
        <v>50.981000000000002</v>
      </c>
      <c r="AX284">
        <v>51.951000000000001</v>
      </c>
      <c r="AY284">
        <v>51.841999999999999</v>
      </c>
      <c r="AZ284" s="7"/>
      <c r="BB284" s="124">
        <v>44130</v>
      </c>
      <c r="BC284" s="2">
        <v>10.48</v>
      </c>
      <c r="BD284" s="2">
        <v>10.63</v>
      </c>
      <c r="BE284" s="2">
        <v>10.68</v>
      </c>
      <c r="BF284" s="2">
        <v>10.63</v>
      </c>
      <c r="BG284" s="2">
        <v>10.63</v>
      </c>
      <c r="BH284" s="2">
        <v>10.63</v>
      </c>
      <c r="BI284" s="2">
        <v>10.48</v>
      </c>
      <c r="BJ284" s="2">
        <v>10.43</v>
      </c>
      <c r="BK284" s="2">
        <v>10.43</v>
      </c>
      <c r="BL284" s="2">
        <v>10.43</v>
      </c>
      <c r="BM284" s="7"/>
      <c r="BN284" s="7"/>
      <c r="BO284" s="128">
        <v>44445</v>
      </c>
      <c r="BP284" s="2">
        <v>8.3699999999999992</v>
      </c>
      <c r="BQ284" s="2">
        <v>9.1199999999999992</v>
      </c>
      <c r="BR284" s="2">
        <v>9.08</v>
      </c>
      <c r="BS284" s="2">
        <v>9.1</v>
      </c>
      <c r="BT284" s="2"/>
      <c r="BU284" s="2"/>
      <c r="BV284" s="7"/>
      <c r="BW284" s="128">
        <v>44445</v>
      </c>
      <c r="BX284" s="2">
        <v>89.125</v>
      </c>
      <c r="BY284" s="2">
        <v>71.875</v>
      </c>
      <c r="BZ284" s="2">
        <v>63.75</v>
      </c>
      <c r="CA284" s="2">
        <v>56.5</v>
      </c>
    </row>
    <row r="285" spans="1:79" x14ac:dyDescent="0.2">
      <c r="A285" s="124">
        <v>44131</v>
      </c>
      <c r="B285">
        <v>50.225999999999999</v>
      </c>
      <c r="C285">
        <v>50.481000000000002</v>
      </c>
      <c r="D285">
        <v>49.448999999999998</v>
      </c>
      <c r="E285">
        <v>50.481999999999999</v>
      </c>
      <c r="F285">
        <v>51.356000000000002</v>
      </c>
      <c r="G285">
        <v>51.353999999999999</v>
      </c>
      <c r="H285">
        <v>50.23</v>
      </c>
      <c r="I285">
        <v>50.481999999999999</v>
      </c>
      <c r="J285">
        <v>51.453000000000003</v>
      </c>
      <c r="K285">
        <v>51.344000000000001</v>
      </c>
      <c r="L285" s="7"/>
      <c r="N285" s="124">
        <v>44131</v>
      </c>
      <c r="O285" s="2">
        <v>10.56775</v>
      </c>
      <c r="P285" s="2">
        <v>10.5238</v>
      </c>
      <c r="Q285" s="2">
        <v>10.71</v>
      </c>
      <c r="R285" s="2">
        <v>10.523999999999999</v>
      </c>
      <c r="S285" s="2">
        <v>10.52</v>
      </c>
      <c r="T285" s="2">
        <v>10.523999999999999</v>
      </c>
      <c r="U285" s="2">
        <v>10.56775</v>
      </c>
      <c r="V285" s="2">
        <v>10.523899999999999</v>
      </c>
      <c r="W285" s="2">
        <v>10.52</v>
      </c>
      <c r="X285" s="2">
        <v>10.523899999999999</v>
      </c>
      <c r="Y285" s="7"/>
      <c r="Z285" s="7"/>
      <c r="AA285" s="128">
        <v>44446</v>
      </c>
      <c r="AB285" s="2">
        <v>8.3417569999999994</v>
      </c>
      <c r="AC285" s="2">
        <v>9.1417300000000008</v>
      </c>
      <c r="AD285" s="2">
        <v>9.2754499999999993</v>
      </c>
      <c r="AE285" s="2">
        <v>8.8668990000000001</v>
      </c>
      <c r="AF285" s="2"/>
      <c r="AG285" s="2"/>
      <c r="AH285" s="7"/>
      <c r="AI285" s="128">
        <v>44446</v>
      </c>
      <c r="AJ285" s="2">
        <v>89.25</v>
      </c>
      <c r="AK285" s="2">
        <v>71.75</v>
      </c>
      <c r="AL285" s="2">
        <v>62.462000000000003</v>
      </c>
      <c r="AM285" s="2">
        <v>56.625</v>
      </c>
      <c r="AO285" s="124">
        <v>44131</v>
      </c>
      <c r="AP285">
        <v>50.225999999999999</v>
      </c>
      <c r="AQ285">
        <v>49.697000000000003</v>
      </c>
      <c r="AR285">
        <v>49.448999999999998</v>
      </c>
      <c r="AS285">
        <v>49.698999999999998</v>
      </c>
      <c r="AT285">
        <v>50.573</v>
      </c>
      <c r="AU285">
        <v>50.570999999999998</v>
      </c>
      <c r="AV285">
        <v>50.23</v>
      </c>
      <c r="AW285">
        <v>50.481999999999999</v>
      </c>
      <c r="AX285">
        <v>51.454000000000001</v>
      </c>
      <c r="AY285">
        <v>51.344000000000001</v>
      </c>
      <c r="AZ285" s="7"/>
      <c r="BB285" s="124">
        <v>44131</v>
      </c>
      <c r="BC285" s="2">
        <v>10.57</v>
      </c>
      <c r="BD285" s="2">
        <v>10.66</v>
      </c>
      <c r="BE285" s="2">
        <v>10.71</v>
      </c>
      <c r="BF285" s="2">
        <v>10.66</v>
      </c>
      <c r="BG285" s="2">
        <v>10.66</v>
      </c>
      <c r="BH285" s="2">
        <v>10.66</v>
      </c>
      <c r="BI285" s="2">
        <v>10.57</v>
      </c>
      <c r="BJ285" s="2">
        <v>10.52</v>
      </c>
      <c r="BK285" s="2">
        <v>10.52</v>
      </c>
      <c r="BL285" s="2">
        <v>10.52</v>
      </c>
      <c r="BM285" s="7"/>
      <c r="BN285" s="7"/>
      <c r="BO285" s="128">
        <v>44446</v>
      </c>
      <c r="BP285" s="2">
        <v>8.34</v>
      </c>
      <c r="BQ285" s="2">
        <v>9.14</v>
      </c>
      <c r="BR285" s="2">
        <v>9.2799999999999994</v>
      </c>
      <c r="BS285" s="2">
        <v>9.06</v>
      </c>
      <c r="BT285" s="2"/>
      <c r="BU285" s="2"/>
      <c r="BV285" s="7"/>
      <c r="BW285" s="128">
        <v>44446</v>
      </c>
      <c r="BX285" s="2">
        <v>89.25</v>
      </c>
      <c r="BY285" s="2">
        <v>71.75</v>
      </c>
      <c r="BZ285" s="2">
        <v>62.462000000000003</v>
      </c>
      <c r="CA285" s="2">
        <v>56.625</v>
      </c>
    </row>
    <row r="286" spans="1:79" x14ac:dyDescent="0.2">
      <c r="A286" s="124">
        <v>44132</v>
      </c>
      <c r="B286">
        <v>50.104999999999997</v>
      </c>
      <c r="C286">
        <v>50.359000000000002</v>
      </c>
      <c r="D286">
        <v>49.206000000000003</v>
      </c>
      <c r="E286">
        <v>50.360999999999997</v>
      </c>
      <c r="F286">
        <v>51.606999999999999</v>
      </c>
      <c r="G286">
        <v>51.234000000000002</v>
      </c>
      <c r="H286">
        <v>50.48</v>
      </c>
      <c r="I286">
        <v>50.360999999999997</v>
      </c>
      <c r="J286">
        <v>51.332999999999998</v>
      </c>
      <c r="K286">
        <v>51.223999999999997</v>
      </c>
      <c r="L286" s="7"/>
      <c r="N286" s="124">
        <v>44132</v>
      </c>
      <c r="O286" s="2">
        <v>10.5944</v>
      </c>
      <c r="P286" s="2">
        <v>10.55045</v>
      </c>
      <c r="Q286" s="2">
        <v>10.76</v>
      </c>
      <c r="R286" s="2">
        <v>10.5504</v>
      </c>
      <c r="S286" s="2">
        <v>10.48</v>
      </c>
      <c r="T286" s="2">
        <v>10.5505</v>
      </c>
      <c r="U286" s="2">
        <v>10.5282</v>
      </c>
      <c r="V286" s="2">
        <v>10.5504</v>
      </c>
      <c r="W286" s="2">
        <v>10.55</v>
      </c>
      <c r="X286" s="2">
        <v>10.5505</v>
      </c>
      <c r="Y286" s="7"/>
      <c r="Z286" s="7"/>
      <c r="AA286" s="128">
        <v>44447</v>
      </c>
      <c r="AB286" s="2">
        <v>8.3964870000000005</v>
      </c>
      <c r="AC286" s="2">
        <v>9.1442099999999993</v>
      </c>
      <c r="AD286" s="2">
        <v>9.1072649999999999</v>
      </c>
      <c r="AE286" s="2">
        <v>8.8707930000000008</v>
      </c>
      <c r="AF286" s="2"/>
      <c r="AG286" s="2"/>
      <c r="AH286" s="7"/>
      <c r="AI286" s="128">
        <v>44447</v>
      </c>
      <c r="AJ286" s="2">
        <v>89</v>
      </c>
      <c r="AK286" s="2">
        <v>71.75</v>
      </c>
      <c r="AL286" s="2">
        <v>63.622999999999998</v>
      </c>
      <c r="AM286" s="2">
        <v>56.625</v>
      </c>
      <c r="AO286" s="124">
        <v>44132</v>
      </c>
      <c r="AP286">
        <v>50.103999999999999</v>
      </c>
      <c r="AQ286">
        <v>49.454000000000001</v>
      </c>
      <c r="AR286">
        <v>49.206000000000003</v>
      </c>
      <c r="AS286">
        <v>49.457000000000001</v>
      </c>
      <c r="AT286">
        <v>50.332000000000001</v>
      </c>
      <c r="AU286">
        <v>50.33</v>
      </c>
      <c r="AV286">
        <v>50.107999999999997</v>
      </c>
      <c r="AW286">
        <v>50.36</v>
      </c>
      <c r="AX286">
        <v>51.334000000000003</v>
      </c>
      <c r="AY286">
        <v>51.223999999999997</v>
      </c>
      <c r="AZ286" s="7"/>
      <c r="BB286" s="124">
        <v>44132</v>
      </c>
      <c r="BC286" s="2">
        <v>10.59</v>
      </c>
      <c r="BD286" s="2">
        <v>10.71</v>
      </c>
      <c r="BE286" s="2">
        <v>10.76</v>
      </c>
      <c r="BF286" s="2">
        <v>10.71</v>
      </c>
      <c r="BG286" s="2">
        <v>10.71</v>
      </c>
      <c r="BH286" s="2">
        <v>10.71</v>
      </c>
      <c r="BI286" s="2">
        <v>10.59</v>
      </c>
      <c r="BJ286" s="2">
        <v>10.55</v>
      </c>
      <c r="BK286" s="2">
        <v>10.55</v>
      </c>
      <c r="BL286" s="2">
        <v>10.55</v>
      </c>
      <c r="BM286" s="7"/>
      <c r="BN286" s="7"/>
      <c r="BO286" s="128">
        <v>44447</v>
      </c>
      <c r="BP286" s="2">
        <v>8.4</v>
      </c>
      <c r="BQ286" s="2">
        <v>9.14</v>
      </c>
      <c r="BR286" s="2">
        <v>9.11</v>
      </c>
      <c r="BS286" s="2">
        <v>9.07</v>
      </c>
      <c r="BT286" s="2"/>
      <c r="BU286" s="2"/>
      <c r="BV286" s="7"/>
      <c r="BW286" s="128">
        <v>44447</v>
      </c>
      <c r="BX286" s="2">
        <v>89</v>
      </c>
      <c r="BY286" s="2">
        <v>71.75</v>
      </c>
      <c r="BZ286" s="2">
        <v>63.622999999999998</v>
      </c>
      <c r="CA286" s="2">
        <v>56.625</v>
      </c>
    </row>
    <row r="287" spans="1:79" x14ac:dyDescent="0.2">
      <c r="A287" s="124">
        <v>44133</v>
      </c>
      <c r="B287">
        <v>49.726999999999997</v>
      </c>
      <c r="C287">
        <v>49.981999999999999</v>
      </c>
      <c r="D287">
        <v>49.082999999999998</v>
      </c>
      <c r="E287">
        <v>49.984000000000002</v>
      </c>
      <c r="F287">
        <v>51.113</v>
      </c>
      <c r="G287">
        <v>50.86</v>
      </c>
      <c r="H287">
        <v>49.982999999999997</v>
      </c>
      <c r="I287">
        <v>49.982999999999997</v>
      </c>
      <c r="J287">
        <v>50.959000000000003</v>
      </c>
      <c r="K287">
        <v>50.85</v>
      </c>
      <c r="L287" s="7"/>
      <c r="N287" s="124">
        <v>44133</v>
      </c>
      <c r="O287" s="2">
        <v>10.6646</v>
      </c>
      <c r="P287" s="2">
        <v>10.620050000000001</v>
      </c>
      <c r="Q287" s="2">
        <v>10.78</v>
      </c>
      <c r="R287" s="2">
        <v>10.620050000000001</v>
      </c>
      <c r="S287" s="2">
        <v>10.57</v>
      </c>
      <c r="T287" s="2">
        <v>10.620050000000001</v>
      </c>
      <c r="U287" s="2">
        <v>10.6191</v>
      </c>
      <c r="V287" s="2">
        <v>10.620200000000001</v>
      </c>
      <c r="W287" s="2">
        <v>10.62</v>
      </c>
      <c r="X287" s="2">
        <v>10.620050000000001</v>
      </c>
      <c r="Y287" s="7"/>
      <c r="Z287" s="7"/>
      <c r="AA287" s="128">
        <v>44448</v>
      </c>
      <c r="AB287" s="2">
        <v>8.3739830000000008</v>
      </c>
      <c r="AC287" s="2">
        <v>9.2343709999999994</v>
      </c>
      <c r="AD287" s="2">
        <v>9.2755170000000007</v>
      </c>
      <c r="AE287" s="2">
        <v>8.8824959999999997</v>
      </c>
      <c r="AF287" s="2"/>
      <c r="AG287" s="2"/>
      <c r="AH287" s="7"/>
      <c r="AI287" s="128">
        <v>44448</v>
      </c>
      <c r="AJ287" s="2">
        <v>89.125</v>
      </c>
      <c r="AK287" s="2">
        <v>71.25</v>
      </c>
      <c r="AL287" s="2">
        <v>62.518999999999998</v>
      </c>
      <c r="AM287" s="2">
        <v>56.625</v>
      </c>
      <c r="AO287" s="124">
        <v>44133</v>
      </c>
      <c r="AP287">
        <v>49.726999999999997</v>
      </c>
      <c r="AQ287">
        <v>49.332000000000001</v>
      </c>
      <c r="AR287">
        <v>49.082999999999998</v>
      </c>
      <c r="AS287">
        <v>49.334000000000003</v>
      </c>
      <c r="AT287">
        <v>50.212000000000003</v>
      </c>
      <c r="AU287">
        <v>50.21</v>
      </c>
      <c r="AV287">
        <v>49.731000000000002</v>
      </c>
      <c r="AW287">
        <v>49.982999999999997</v>
      </c>
      <c r="AX287">
        <v>50.959000000000003</v>
      </c>
      <c r="AY287">
        <v>50.85</v>
      </c>
      <c r="AZ287" s="7"/>
      <c r="BB287" s="124">
        <v>44133</v>
      </c>
      <c r="BC287" s="2">
        <v>10.66</v>
      </c>
      <c r="BD287" s="2">
        <v>10.74</v>
      </c>
      <c r="BE287" s="2">
        <v>10.78</v>
      </c>
      <c r="BF287" s="2">
        <v>10.74</v>
      </c>
      <c r="BG287" s="2">
        <v>10.74</v>
      </c>
      <c r="BH287" s="2">
        <v>10.74</v>
      </c>
      <c r="BI287" s="2">
        <v>10.66</v>
      </c>
      <c r="BJ287" s="2">
        <v>10.62</v>
      </c>
      <c r="BK287" s="2">
        <v>10.62</v>
      </c>
      <c r="BL287" s="2">
        <v>10.62</v>
      </c>
      <c r="BM287" s="7"/>
      <c r="BN287" s="7"/>
      <c r="BO287" s="128">
        <v>44448</v>
      </c>
      <c r="BP287" s="2">
        <v>8.3699999999999992</v>
      </c>
      <c r="BQ287" s="2">
        <v>9.23</v>
      </c>
      <c r="BR287" s="2">
        <v>9.2799999999999994</v>
      </c>
      <c r="BS287" s="2">
        <v>9.08</v>
      </c>
      <c r="BT287" s="2"/>
      <c r="BU287" s="2"/>
      <c r="BV287" s="7"/>
      <c r="BW287" s="128">
        <v>44448</v>
      </c>
      <c r="BX287" s="2">
        <v>89.125</v>
      </c>
      <c r="BY287" s="2">
        <v>71.25</v>
      </c>
      <c r="BZ287" s="2">
        <v>62.518999999999998</v>
      </c>
      <c r="CA287" s="2">
        <v>56.625</v>
      </c>
    </row>
    <row r="288" spans="1:79" x14ac:dyDescent="0.2">
      <c r="A288" s="124">
        <v>44134</v>
      </c>
      <c r="B288">
        <v>48.444000000000003</v>
      </c>
      <c r="C288">
        <v>48.698</v>
      </c>
      <c r="D288">
        <v>47.896999999999998</v>
      </c>
      <c r="E288">
        <v>48.7</v>
      </c>
      <c r="F288">
        <v>49.579000000000001</v>
      </c>
      <c r="G288">
        <v>49.576999999999998</v>
      </c>
      <c r="H288">
        <v>48.448</v>
      </c>
      <c r="I288">
        <v>48.698999999999998</v>
      </c>
      <c r="J288">
        <v>49.676000000000002</v>
      </c>
      <c r="K288">
        <v>49.567</v>
      </c>
      <c r="L288" s="7"/>
      <c r="N288" s="124">
        <v>44134</v>
      </c>
      <c r="O288" s="2">
        <v>10.903</v>
      </c>
      <c r="P288" s="2">
        <v>10.857250000000001</v>
      </c>
      <c r="Q288" s="2">
        <v>11.01</v>
      </c>
      <c r="R288" s="2">
        <v>10.857200000000001</v>
      </c>
      <c r="S288" s="2">
        <v>10.86</v>
      </c>
      <c r="T288" s="2">
        <v>10.8573</v>
      </c>
      <c r="U288" s="2">
        <v>10.90305</v>
      </c>
      <c r="V288" s="2">
        <v>10.85735</v>
      </c>
      <c r="W288" s="2">
        <v>10.86</v>
      </c>
      <c r="X288" s="2">
        <v>10.857250000000001</v>
      </c>
      <c r="Y288" s="7"/>
      <c r="Z288" s="7"/>
      <c r="AA288" s="128">
        <v>44449</v>
      </c>
      <c r="AB288" s="2">
        <v>8.4826119999999996</v>
      </c>
      <c r="AC288" s="2">
        <v>9.1335680000000004</v>
      </c>
      <c r="AD288" s="2">
        <v>9.1334850000000003</v>
      </c>
      <c r="AE288" s="2">
        <v>8.9221839999999997</v>
      </c>
      <c r="AF288" s="2"/>
      <c r="AG288" s="2"/>
      <c r="AH288" s="7"/>
      <c r="AI288" s="128">
        <v>44449</v>
      </c>
      <c r="AJ288" s="2">
        <v>88.625</v>
      </c>
      <c r="AK288" s="2">
        <v>71.875</v>
      </c>
      <c r="AL288" s="2">
        <v>63.5</v>
      </c>
      <c r="AM288" s="2">
        <v>56.5</v>
      </c>
      <c r="AO288" s="124">
        <v>44134</v>
      </c>
      <c r="AP288">
        <v>48.442999999999998</v>
      </c>
      <c r="AQ288">
        <v>48.145000000000003</v>
      </c>
      <c r="AR288">
        <v>47.896999999999998</v>
      </c>
      <c r="AS288">
        <v>48.148000000000003</v>
      </c>
      <c r="AT288">
        <v>49.027000000000001</v>
      </c>
      <c r="AU288">
        <v>49.024000000000001</v>
      </c>
      <c r="AV288">
        <v>48.447000000000003</v>
      </c>
      <c r="AW288">
        <v>48.698999999999998</v>
      </c>
      <c r="AX288">
        <v>49.677</v>
      </c>
      <c r="AY288">
        <v>49.567</v>
      </c>
      <c r="AZ288" s="7"/>
      <c r="BB288" s="124">
        <v>44134</v>
      </c>
      <c r="BC288" s="2">
        <v>10.9</v>
      </c>
      <c r="BD288" s="2">
        <v>10.96</v>
      </c>
      <c r="BE288" s="2">
        <v>11.01</v>
      </c>
      <c r="BF288" s="2">
        <v>10.96</v>
      </c>
      <c r="BG288" s="2">
        <v>10.96</v>
      </c>
      <c r="BH288" s="2">
        <v>10.96</v>
      </c>
      <c r="BI288" s="2">
        <v>10.9</v>
      </c>
      <c r="BJ288" s="2">
        <v>10.86</v>
      </c>
      <c r="BK288" s="2">
        <v>10.86</v>
      </c>
      <c r="BL288" s="2">
        <v>10.86</v>
      </c>
      <c r="BM288" s="7"/>
      <c r="BN288" s="7"/>
      <c r="BO288" s="128">
        <v>44449</v>
      </c>
      <c r="BP288" s="2">
        <v>8.48</v>
      </c>
      <c r="BQ288" s="2">
        <v>9.1300000000000008</v>
      </c>
      <c r="BR288" s="2">
        <v>9.1300000000000008</v>
      </c>
      <c r="BS288" s="2">
        <v>9.1199999999999992</v>
      </c>
      <c r="BT288" s="2"/>
      <c r="BU288" s="2"/>
      <c r="BV288" s="7"/>
      <c r="BW288" s="128">
        <v>44449</v>
      </c>
      <c r="BX288" s="2">
        <v>88.625</v>
      </c>
      <c r="BY288" s="2">
        <v>71.875</v>
      </c>
      <c r="BZ288" s="2">
        <v>63.5</v>
      </c>
      <c r="CA288" s="2">
        <v>56.5</v>
      </c>
    </row>
    <row r="289" spans="1:79" x14ac:dyDescent="0.2">
      <c r="A289" s="124">
        <v>44137</v>
      </c>
      <c r="B289">
        <v>48.569000000000003</v>
      </c>
      <c r="C289">
        <v>48.823</v>
      </c>
      <c r="D289">
        <v>48.021999999999998</v>
      </c>
      <c r="E289">
        <v>48.825000000000003</v>
      </c>
      <c r="F289">
        <v>49.704000000000001</v>
      </c>
      <c r="G289">
        <v>49.701999999999998</v>
      </c>
      <c r="H289">
        <v>48.573</v>
      </c>
      <c r="I289">
        <v>48.823999999999998</v>
      </c>
      <c r="J289">
        <v>49.801000000000002</v>
      </c>
      <c r="K289">
        <v>49.692</v>
      </c>
      <c r="L289" s="7"/>
      <c r="N289" s="124">
        <v>44137</v>
      </c>
      <c r="O289" s="2">
        <v>10.882149999999999</v>
      </c>
      <c r="P289" s="2">
        <v>10.836449999999999</v>
      </c>
      <c r="Q289" s="2">
        <v>10.99</v>
      </c>
      <c r="R289" s="2">
        <v>10.836449999999999</v>
      </c>
      <c r="S289" s="2">
        <v>10.84</v>
      </c>
      <c r="T289" s="2">
        <v>10.8368</v>
      </c>
      <c r="U289" s="2">
        <v>10.882149999999999</v>
      </c>
      <c r="V289" s="2">
        <v>10.836600000000001</v>
      </c>
      <c r="W289" s="2">
        <v>10.84</v>
      </c>
      <c r="X289" s="2">
        <v>10.83675</v>
      </c>
      <c r="Y289" s="7"/>
      <c r="Z289" s="7"/>
      <c r="AA289" s="128">
        <v>44452</v>
      </c>
      <c r="AB289" s="2">
        <v>8.5109910000000006</v>
      </c>
      <c r="AC289" s="2">
        <v>9.2601999999999993</v>
      </c>
      <c r="AD289" s="2">
        <v>9.1903710000000007</v>
      </c>
      <c r="AE289" s="2">
        <v>8.9619979999999995</v>
      </c>
      <c r="AF289" s="2"/>
      <c r="AG289" s="2"/>
      <c r="AH289" s="7"/>
      <c r="AI289" s="128">
        <v>44452</v>
      </c>
      <c r="AJ289" s="2">
        <v>88.5</v>
      </c>
      <c r="AK289" s="2">
        <v>71.125</v>
      </c>
      <c r="AL289" s="2">
        <v>63.125</v>
      </c>
      <c r="AM289" s="2">
        <v>56.375</v>
      </c>
      <c r="AO289" s="124">
        <v>44137</v>
      </c>
      <c r="AP289">
        <v>48.567999999999998</v>
      </c>
      <c r="AQ289">
        <v>48.27</v>
      </c>
      <c r="AR289">
        <v>48.021999999999998</v>
      </c>
      <c r="AS289">
        <v>48.273000000000003</v>
      </c>
      <c r="AT289">
        <v>52.375</v>
      </c>
      <c r="AU289">
        <v>49.149000000000001</v>
      </c>
      <c r="AV289">
        <v>48.572000000000003</v>
      </c>
      <c r="AW289">
        <v>48.823999999999998</v>
      </c>
      <c r="AX289">
        <v>49.802</v>
      </c>
      <c r="AY289">
        <v>49.692</v>
      </c>
      <c r="AZ289" s="7"/>
      <c r="BB289" s="124">
        <v>44137</v>
      </c>
      <c r="BC289" s="2">
        <v>10.88</v>
      </c>
      <c r="BD289" s="2">
        <v>10.94</v>
      </c>
      <c r="BE289" s="2">
        <v>10.99</v>
      </c>
      <c r="BF289" s="2">
        <v>10.94</v>
      </c>
      <c r="BG289" s="2">
        <v>10.36</v>
      </c>
      <c r="BH289" s="2">
        <v>10.94</v>
      </c>
      <c r="BI289" s="2">
        <v>10.88</v>
      </c>
      <c r="BJ289" s="2">
        <v>10.84</v>
      </c>
      <c r="BK289" s="2">
        <v>10.84</v>
      </c>
      <c r="BL289" s="2">
        <v>10.84</v>
      </c>
      <c r="BM289" s="7"/>
      <c r="BN289" s="7"/>
      <c r="BO289" s="128">
        <v>44452</v>
      </c>
      <c r="BP289" s="2">
        <v>8.51</v>
      </c>
      <c r="BQ289" s="2">
        <v>9.26</v>
      </c>
      <c r="BR289" s="2">
        <v>9.19</v>
      </c>
      <c r="BS289" s="2">
        <v>9.16</v>
      </c>
      <c r="BT289" s="2"/>
      <c r="BU289" s="2"/>
      <c r="BV289" s="7"/>
      <c r="BW289" s="128">
        <v>44452</v>
      </c>
      <c r="BX289" s="2">
        <v>88.5</v>
      </c>
      <c r="BY289" s="2">
        <v>71.125</v>
      </c>
      <c r="BZ289" s="2">
        <v>63.125</v>
      </c>
      <c r="CA289" s="2">
        <v>56.375</v>
      </c>
    </row>
    <row r="290" spans="1:79" x14ac:dyDescent="0.2">
      <c r="A290" s="124">
        <v>44138</v>
      </c>
      <c r="B290">
        <v>49.37</v>
      </c>
      <c r="C290">
        <v>49.624000000000002</v>
      </c>
      <c r="D290">
        <v>47.84</v>
      </c>
      <c r="E290">
        <v>49.625999999999998</v>
      </c>
      <c r="F290">
        <v>50.491</v>
      </c>
      <c r="G290">
        <v>50.506</v>
      </c>
      <c r="H290">
        <v>49.356999999999999</v>
      </c>
      <c r="I290">
        <v>49.625999999999998</v>
      </c>
      <c r="J290">
        <v>50.606000000000002</v>
      </c>
      <c r="K290">
        <v>50.496000000000002</v>
      </c>
      <c r="L290" s="7"/>
      <c r="N290" s="124">
        <v>44138</v>
      </c>
      <c r="O290" s="2">
        <v>10.736750000000001</v>
      </c>
      <c r="P290" s="2">
        <v>10.6919</v>
      </c>
      <c r="Q290" s="2">
        <v>11.02</v>
      </c>
      <c r="R290" s="2">
        <v>10.6919</v>
      </c>
      <c r="S290" s="2">
        <v>10.69</v>
      </c>
      <c r="T290" s="2">
        <v>10.692</v>
      </c>
      <c r="U290" s="2">
        <v>10.739800000000001</v>
      </c>
      <c r="V290" s="2">
        <v>10.691850000000001</v>
      </c>
      <c r="W290" s="2">
        <v>10.69</v>
      </c>
      <c r="X290" s="2">
        <v>10.6919</v>
      </c>
      <c r="Y290" s="7"/>
      <c r="Z290" s="7"/>
      <c r="AA290" s="128">
        <v>44453</v>
      </c>
      <c r="AB290" s="2">
        <v>8.5664800000000003</v>
      </c>
      <c r="AC290" s="2">
        <v>9.2835760000000001</v>
      </c>
      <c r="AD290" s="2">
        <v>9.2260039999999996</v>
      </c>
      <c r="AE290" s="2">
        <v>8.9659460000000006</v>
      </c>
      <c r="AF290" s="2"/>
      <c r="AG290" s="2"/>
      <c r="AH290" s="7"/>
      <c r="AI290" s="128">
        <v>44453</v>
      </c>
      <c r="AJ290" s="2">
        <v>88.25</v>
      </c>
      <c r="AK290" s="2">
        <v>71</v>
      </c>
      <c r="AL290" s="2">
        <v>62.896999999999998</v>
      </c>
      <c r="AM290" s="2">
        <v>56.375</v>
      </c>
      <c r="AO290" s="124">
        <v>44138</v>
      </c>
      <c r="AP290">
        <v>49.37</v>
      </c>
      <c r="AQ290">
        <v>48.088999999999999</v>
      </c>
      <c r="AR290">
        <v>47.84</v>
      </c>
      <c r="AS290">
        <v>48.091000000000001</v>
      </c>
      <c r="AT290">
        <v>52.5</v>
      </c>
      <c r="AU290">
        <v>48.970999999999997</v>
      </c>
      <c r="AV290">
        <v>49.372999999999998</v>
      </c>
      <c r="AW290">
        <v>49.625</v>
      </c>
      <c r="AX290">
        <v>50.606000000000002</v>
      </c>
      <c r="AY290">
        <v>50.496000000000002</v>
      </c>
      <c r="AZ290" s="7"/>
      <c r="BB290" s="124">
        <v>44138</v>
      </c>
      <c r="BC290" s="2">
        <v>10.74</v>
      </c>
      <c r="BD290" s="2">
        <v>10.97</v>
      </c>
      <c r="BE290" s="2">
        <v>11.02</v>
      </c>
      <c r="BF290" s="2">
        <v>10.97</v>
      </c>
      <c r="BG290" s="2">
        <v>10.34</v>
      </c>
      <c r="BH290" s="2">
        <v>10.97</v>
      </c>
      <c r="BI290" s="2">
        <v>10.74</v>
      </c>
      <c r="BJ290" s="2">
        <v>10.69</v>
      </c>
      <c r="BK290" s="2">
        <v>10.69</v>
      </c>
      <c r="BL290" s="2">
        <v>10.69</v>
      </c>
      <c r="BM290" s="7"/>
      <c r="BN290" s="7"/>
      <c r="BO290" s="128">
        <v>44453</v>
      </c>
      <c r="BP290" s="2">
        <v>8.57</v>
      </c>
      <c r="BQ290" s="2">
        <v>9.2799999999999994</v>
      </c>
      <c r="BR290" s="2">
        <v>9.23</v>
      </c>
      <c r="BS290" s="2">
        <v>9.17</v>
      </c>
      <c r="BT290" s="2"/>
      <c r="BU290" s="2"/>
      <c r="BV290" s="7"/>
      <c r="BW290" s="128">
        <v>44453</v>
      </c>
      <c r="BX290" s="2">
        <v>88.25</v>
      </c>
      <c r="BY290" s="2">
        <v>71</v>
      </c>
      <c r="BZ290" s="2">
        <v>62.896999999999998</v>
      </c>
      <c r="CA290" s="2">
        <v>56.375</v>
      </c>
    </row>
    <row r="291" spans="1:79" x14ac:dyDescent="0.2">
      <c r="A291" s="124">
        <v>44139</v>
      </c>
      <c r="B291">
        <v>50.686999999999998</v>
      </c>
      <c r="C291">
        <v>50.941000000000003</v>
      </c>
      <c r="D291">
        <v>49.246000000000002</v>
      </c>
      <c r="E291">
        <v>50.942999999999998</v>
      </c>
      <c r="F291">
        <v>51.387</v>
      </c>
      <c r="G291">
        <v>51.825000000000003</v>
      </c>
      <c r="H291">
        <v>50.250999999999998</v>
      </c>
      <c r="I291">
        <v>50.942</v>
      </c>
      <c r="J291">
        <v>51.923999999999999</v>
      </c>
      <c r="K291">
        <v>51.814</v>
      </c>
      <c r="L291" s="7"/>
      <c r="N291" s="124">
        <v>44139</v>
      </c>
      <c r="O291" s="2">
        <v>10.50235</v>
      </c>
      <c r="P291" s="2">
        <v>10.4589</v>
      </c>
      <c r="Q291" s="2">
        <v>10.76</v>
      </c>
      <c r="R291" s="2">
        <v>10.45885</v>
      </c>
      <c r="S291" s="2">
        <v>10.54</v>
      </c>
      <c r="T291" s="2">
        <v>10.45885</v>
      </c>
      <c r="U291" s="2">
        <v>10.580550000000001</v>
      </c>
      <c r="V291" s="2">
        <v>10.459</v>
      </c>
      <c r="W291" s="2">
        <v>10.46</v>
      </c>
      <c r="X291" s="2">
        <v>10.459</v>
      </c>
      <c r="Y291" s="7"/>
      <c r="Z291" s="7"/>
      <c r="AA291" s="128">
        <v>44454</v>
      </c>
      <c r="AB291" s="2">
        <v>8.6222030000000007</v>
      </c>
      <c r="AC291" s="2">
        <v>9.3070120000000003</v>
      </c>
      <c r="AD291" s="2">
        <v>9.2260609999999996</v>
      </c>
      <c r="AE291" s="2">
        <v>9.0059070000000006</v>
      </c>
      <c r="AF291" s="2"/>
      <c r="AG291" s="2"/>
      <c r="AH291" s="7"/>
      <c r="AI291" s="128">
        <v>44454</v>
      </c>
      <c r="AJ291" s="2">
        <v>88</v>
      </c>
      <c r="AK291" s="2">
        <v>70.875</v>
      </c>
      <c r="AL291" s="2">
        <v>62.911000000000001</v>
      </c>
      <c r="AM291" s="2">
        <v>56.25</v>
      </c>
      <c r="AO291" s="124">
        <v>44139</v>
      </c>
      <c r="AP291">
        <v>50.686</v>
      </c>
      <c r="AQ291">
        <v>49.494</v>
      </c>
      <c r="AR291">
        <v>49.246000000000002</v>
      </c>
      <c r="AS291">
        <v>49.497</v>
      </c>
      <c r="AT291">
        <v>52.75</v>
      </c>
      <c r="AU291">
        <v>50.378</v>
      </c>
      <c r="AV291">
        <v>50.69</v>
      </c>
      <c r="AW291">
        <v>50.942</v>
      </c>
      <c r="AX291">
        <v>51.923999999999999</v>
      </c>
      <c r="AY291">
        <v>51.814</v>
      </c>
      <c r="AZ291" s="7"/>
      <c r="BB291" s="124">
        <v>44139</v>
      </c>
      <c r="BC291" s="2">
        <v>10.5</v>
      </c>
      <c r="BD291" s="2">
        <v>10.72</v>
      </c>
      <c r="BE291" s="2">
        <v>10.76</v>
      </c>
      <c r="BF291" s="2">
        <v>10.72</v>
      </c>
      <c r="BG291" s="2">
        <v>10.3</v>
      </c>
      <c r="BH291" s="2">
        <v>10.72</v>
      </c>
      <c r="BI291" s="2">
        <v>10.5</v>
      </c>
      <c r="BJ291" s="2">
        <v>10.46</v>
      </c>
      <c r="BK291" s="2">
        <v>10.46</v>
      </c>
      <c r="BL291" s="2">
        <v>10.46</v>
      </c>
      <c r="BM291" s="7"/>
      <c r="BN291" s="7"/>
      <c r="BO291" s="128">
        <v>44454</v>
      </c>
      <c r="BP291" s="2">
        <v>8.6199999999999992</v>
      </c>
      <c r="BQ291" s="2">
        <v>9.31</v>
      </c>
      <c r="BR291" s="2">
        <v>9.23</v>
      </c>
      <c r="BS291" s="2">
        <v>9.2100000000000009</v>
      </c>
      <c r="BT291" s="2"/>
      <c r="BU291" s="2"/>
      <c r="BV291" s="7"/>
      <c r="BW291" s="128">
        <v>44454</v>
      </c>
      <c r="BX291" s="2">
        <v>88</v>
      </c>
      <c r="BY291" s="2">
        <v>70.875</v>
      </c>
      <c r="BZ291" s="2">
        <v>62.911000000000001</v>
      </c>
      <c r="CA291" s="2">
        <v>56.25</v>
      </c>
    </row>
    <row r="292" spans="1:79" x14ac:dyDescent="0.2">
      <c r="A292" s="124">
        <v>44140</v>
      </c>
      <c r="B292">
        <v>49.625</v>
      </c>
      <c r="C292">
        <v>49.875</v>
      </c>
      <c r="D292">
        <v>49.625</v>
      </c>
      <c r="E292">
        <v>49.875</v>
      </c>
      <c r="F292">
        <v>49.875</v>
      </c>
      <c r="G292">
        <v>49.875</v>
      </c>
      <c r="H292">
        <v>49.625</v>
      </c>
      <c r="I292">
        <v>49.875</v>
      </c>
      <c r="J292">
        <v>49.875</v>
      </c>
      <c r="K292">
        <v>49.875</v>
      </c>
      <c r="L292" s="7"/>
      <c r="N292" s="124">
        <v>44140</v>
      </c>
      <c r="O292" s="2">
        <v>10.6999</v>
      </c>
      <c r="P292" s="2">
        <v>10.656000000000001</v>
      </c>
      <c r="Q292" s="2">
        <v>10.7</v>
      </c>
      <c r="R292" s="2">
        <v>10.65635</v>
      </c>
      <c r="S292" s="2">
        <v>10.82</v>
      </c>
      <c r="T292" s="2">
        <v>10.818300000000001</v>
      </c>
      <c r="U292" s="2">
        <v>10.7006</v>
      </c>
      <c r="V292" s="2">
        <v>10.6563</v>
      </c>
      <c r="W292" s="2">
        <v>10.84</v>
      </c>
      <c r="X292" s="2">
        <v>10.8164</v>
      </c>
      <c r="Y292" s="7"/>
      <c r="Z292" s="7"/>
      <c r="AA292" s="128">
        <v>44455</v>
      </c>
      <c r="AB292" s="2">
        <v>8.7633240000000008</v>
      </c>
      <c r="AC292" s="2">
        <v>9.4623779999999993</v>
      </c>
      <c r="AD292" s="2">
        <v>9.2557690000000008</v>
      </c>
      <c r="AE292" s="2">
        <v>9.0902229999999999</v>
      </c>
      <c r="AF292" s="2"/>
      <c r="AG292" s="2"/>
      <c r="AH292" s="7"/>
      <c r="AI292" s="128">
        <v>44455</v>
      </c>
      <c r="AJ292" s="2">
        <v>87.375</v>
      </c>
      <c r="AK292" s="2">
        <v>70</v>
      </c>
      <c r="AL292" s="2">
        <v>62.753</v>
      </c>
      <c r="AM292" s="2">
        <v>56</v>
      </c>
      <c r="AO292" s="124">
        <v>44140</v>
      </c>
      <c r="AP292">
        <v>49.625</v>
      </c>
      <c r="AQ292">
        <v>49.875</v>
      </c>
      <c r="AR292">
        <v>49.625</v>
      </c>
      <c r="AS292">
        <v>49.875</v>
      </c>
      <c r="AT292">
        <v>49.875</v>
      </c>
      <c r="AU292">
        <v>49.875</v>
      </c>
      <c r="AV292">
        <v>49.625</v>
      </c>
      <c r="AW292">
        <v>49.875</v>
      </c>
      <c r="AX292">
        <v>49.875</v>
      </c>
      <c r="AY292">
        <v>49.875</v>
      </c>
      <c r="AZ292" s="7"/>
      <c r="BB292" s="124">
        <v>44140</v>
      </c>
      <c r="BC292" s="2">
        <v>10.7</v>
      </c>
      <c r="BD292" s="2">
        <v>10.65</v>
      </c>
      <c r="BE292" s="2">
        <v>10.7</v>
      </c>
      <c r="BF292" s="2">
        <v>10.66</v>
      </c>
      <c r="BG292" s="2">
        <v>10.82</v>
      </c>
      <c r="BH292" s="2">
        <v>10.82</v>
      </c>
      <c r="BI292" s="2">
        <v>10.7</v>
      </c>
      <c r="BJ292" s="2">
        <v>10.65</v>
      </c>
      <c r="BK292" s="2">
        <v>10.84</v>
      </c>
      <c r="BL292" s="2">
        <v>10.82</v>
      </c>
      <c r="BM292" s="7"/>
      <c r="BN292" s="7"/>
      <c r="BO292" s="128">
        <v>44455</v>
      </c>
      <c r="BP292" s="2">
        <v>8.76</v>
      </c>
      <c r="BQ292" s="2">
        <v>9.4600000000000009</v>
      </c>
      <c r="BR292" s="2">
        <v>9.26</v>
      </c>
      <c r="BS292" s="2">
        <v>9.33</v>
      </c>
      <c r="BT292" s="2"/>
      <c r="BU292" s="2"/>
      <c r="BV292" s="7"/>
      <c r="BW292" s="128">
        <v>44455</v>
      </c>
      <c r="BX292" s="2">
        <v>87.375</v>
      </c>
      <c r="BY292" s="2">
        <v>70</v>
      </c>
      <c r="BZ292" s="2">
        <v>62.753</v>
      </c>
      <c r="CA292" s="2">
        <v>55.875</v>
      </c>
    </row>
    <row r="293" spans="1:79" x14ac:dyDescent="0.2">
      <c r="A293" s="124">
        <v>44141</v>
      </c>
      <c r="B293">
        <v>50.756999999999998</v>
      </c>
      <c r="C293">
        <v>51.01</v>
      </c>
      <c r="D293">
        <v>50.5</v>
      </c>
      <c r="E293">
        <v>51.012</v>
      </c>
      <c r="F293">
        <v>51.902000000000001</v>
      </c>
      <c r="G293">
        <v>51.9</v>
      </c>
      <c r="H293">
        <v>50.76</v>
      </c>
      <c r="I293">
        <v>51.012</v>
      </c>
      <c r="J293">
        <v>51.999000000000002</v>
      </c>
      <c r="K293">
        <v>51.89</v>
      </c>
      <c r="L293" s="7"/>
      <c r="N293" s="124">
        <v>44141</v>
      </c>
      <c r="O293" s="2">
        <v>10.4994</v>
      </c>
      <c r="P293" s="2">
        <v>10.456099999999999</v>
      </c>
      <c r="Q293" s="2">
        <v>10.55</v>
      </c>
      <c r="R293" s="2">
        <v>10.456099999999999</v>
      </c>
      <c r="S293" s="2">
        <v>10.45</v>
      </c>
      <c r="T293" s="2">
        <v>10.456</v>
      </c>
      <c r="U293" s="2">
        <v>10.499499999999999</v>
      </c>
      <c r="V293" s="2">
        <v>10.456</v>
      </c>
      <c r="W293" s="2">
        <v>10.45</v>
      </c>
      <c r="X293" s="2">
        <v>10.456</v>
      </c>
      <c r="Y293" s="7"/>
      <c r="Z293" s="7"/>
      <c r="AA293" s="128">
        <v>44456</v>
      </c>
      <c r="AB293" s="2">
        <v>8.9305009999999996</v>
      </c>
      <c r="AC293" s="2">
        <v>9.5076090000000004</v>
      </c>
      <c r="AD293" s="2">
        <v>9.3327209999999994</v>
      </c>
      <c r="AE293" s="2">
        <v>9.1670269999999991</v>
      </c>
      <c r="AF293" s="2"/>
      <c r="AG293" s="2"/>
      <c r="AH293" s="7"/>
      <c r="AI293" s="128">
        <v>44456</v>
      </c>
      <c r="AJ293" s="2">
        <v>86.625</v>
      </c>
      <c r="AK293" s="2">
        <v>69.75</v>
      </c>
      <c r="AL293" s="2">
        <v>62.25</v>
      </c>
      <c r="AM293" s="2">
        <v>55.75</v>
      </c>
      <c r="AO293" s="124">
        <v>44141</v>
      </c>
      <c r="AP293">
        <v>50.756</v>
      </c>
      <c r="AQ293">
        <v>50.262</v>
      </c>
      <c r="AR293">
        <v>50.5</v>
      </c>
      <c r="AS293">
        <v>50.264000000000003</v>
      </c>
      <c r="AT293">
        <v>50.375</v>
      </c>
      <c r="AU293">
        <v>51.152000000000001</v>
      </c>
      <c r="AV293">
        <v>50.76</v>
      </c>
      <c r="AW293">
        <v>51.011000000000003</v>
      </c>
      <c r="AX293">
        <v>51.999000000000002</v>
      </c>
      <c r="AY293">
        <v>51.89</v>
      </c>
      <c r="AZ293" s="7"/>
      <c r="BB293" s="124">
        <v>44141</v>
      </c>
      <c r="BC293" s="2">
        <v>10.5</v>
      </c>
      <c r="BD293" s="2">
        <v>10.59</v>
      </c>
      <c r="BE293" s="2">
        <v>10.55</v>
      </c>
      <c r="BF293" s="2">
        <v>10.59</v>
      </c>
      <c r="BG293" s="2">
        <v>10.73</v>
      </c>
      <c r="BH293" s="2">
        <v>10.59</v>
      </c>
      <c r="BI293" s="2">
        <v>10.5</v>
      </c>
      <c r="BJ293" s="2">
        <v>10.45</v>
      </c>
      <c r="BK293" s="2">
        <v>10.45</v>
      </c>
      <c r="BL293" s="2">
        <v>10.45</v>
      </c>
      <c r="BM293" s="7"/>
      <c r="BN293" s="7"/>
      <c r="BO293" s="128">
        <v>44456</v>
      </c>
      <c r="BP293" s="2">
        <v>8.93</v>
      </c>
      <c r="BQ293" s="2">
        <v>9.51</v>
      </c>
      <c r="BR293" s="2">
        <v>9.33</v>
      </c>
      <c r="BS293" s="2">
        <v>9.3800000000000008</v>
      </c>
      <c r="BT293" s="2"/>
      <c r="BU293" s="2"/>
      <c r="BV293" s="7"/>
      <c r="BW293" s="128">
        <v>44456</v>
      </c>
      <c r="BX293" s="2">
        <v>86.625</v>
      </c>
      <c r="BY293" s="2">
        <v>69.75</v>
      </c>
      <c r="BZ293" s="2">
        <v>62.25</v>
      </c>
      <c r="CA293" s="2">
        <v>55.75</v>
      </c>
    </row>
    <row r="294" spans="1:79" x14ac:dyDescent="0.2">
      <c r="A294" s="124">
        <v>44144</v>
      </c>
      <c r="B294">
        <v>51.756999999999998</v>
      </c>
      <c r="C294">
        <v>52.01</v>
      </c>
      <c r="D294">
        <v>51.5</v>
      </c>
      <c r="E294">
        <v>52.012</v>
      </c>
      <c r="F294">
        <v>52.902000000000001</v>
      </c>
      <c r="G294">
        <v>52.9</v>
      </c>
      <c r="H294">
        <v>51.76</v>
      </c>
      <c r="I294">
        <v>52.012</v>
      </c>
      <c r="J294">
        <v>52.999000000000002</v>
      </c>
      <c r="K294">
        <v>52.89</v>
      </c>
      <c r="L294" s="7"/>
      <c r="N294" s="124">
        <v>44144</v>
      </c>
      <c r="O294" s="2">
        <v>10.3293</v>
      </c>
      <c r="P294" s="2">
        <v>10.287050000000001</v>
      </c>
      <c r="Q294" s="2">
        <v>10.37</v>
      </c>
      <c r="R294" s="2">
        <v>10.286949999999999</v>
      </c>
      <c r="S294" s="2">
        <v>10.29</v>
      </c>
      <c r="T294" s="2">
        <v>10.2874</v>
      </c>
      <c r="U294" s="2">
        <v>10.3294</v>
      </c>
      <c r="V294" s="2">
        <v>10.286949999999999</v>
      </c>
      <c r="W294" s="2">
        <v>10.29</v>
      </c>
      <c r="X294" s="2">
        <v>10.28735</v>
      </c>
      <c r="Y294" s="7"/>
      <c r="Z294" s="7"/>
      <c r="AA294" s="128">
        <v>44459</v>
      </c>
      <c r="AB294" s="2">
        <v>8.932124</v>
      </c>
      <c r="AC294" s="2">
        <v>9.6176680000000001</v>
      </c>
      <c r="AD294" s="2">
        <v>9.4668960000000002</v>
      </c>
      <c r="AE294" s="2">
        <v>9.3547589999999996</v>
      </c>
      <c r="AF294" s="2"/>
      <c r="AG294" s="2"/>
      <c r="AH294" s="7"/>
      <c r="AI294" s="128">
        <v>44459</v>
      </c>
      <c r="AJ294" s="2">
        <v>86.625</v>
      </c>
      <c r="AK294" s="2">
        <v>69.125</v>
      </c>
      <c r="AL294" s="2">
        <v>61.375</v>
      </c>
      <c r="AM294" s="2">
        <v>55.125</v>
      </c>
      <c r="AO294" s="124">
        <v>44144</v>
      </c>
      <c r="AP294">
        <v>51.756</v>
      </c>
      <c r="AQ294">
        <v>51.262</v>
      </c>
      <c r="AR294">
        <v>51.5</v>
      </c>
      <c r="AS294">
        <v>51.264000000000003</v>
      </c>
      <c r="AT294">
        <v>51.375</v>
      </c>
      <c r="AU294">
        <v>52.152000000000001</v>
      </c>
      <c r="AV294">
        <v>51.76</v>
      </c>
      <c r="AW294">
        <v>52.011000000000003</v>
      </c>
      <c r="AX294">
        <v>52.999000000000002</v>
      </c>
      <c r="AY294">
        <v>52.89</v>
      </c>
      <c r="AZ294" s="7"/>
      <c r="BB294" s="124">
        <v>44144</v>
      </c>
      <c r="BC294" s="2">
        <v>10.33</v>
      </c>
      <c r="BD294" s="2">
        <v>10.42</v>
      </c>
      <c r="BE294" s="2">
        <v>10.37</v>
      </c>
      <c r="BF294" s="2">
        <v>10.42</v>
      </c>
      <c r="BG294" s="2">
        <v>10.55</v>
      </c>
      <c r="BH294" s="2">
        <v>10.42</v>
      </c>
      <c r="BI294" s="2">
        <v>10.33</v>
      </c>
      <c r="BJ294" s="2">
        <v>10.29</v>
      </c>
      <c r="BK294" s="2">
        <v>10.29</v>
      </c>
      <c r="BL294" s="2">
        <v>10.29</v>
      </c>
      <c r="BM294" s="7"/>
      <c r="BN294" s="7"/>
      <c r="BO294" s="128">
        <v>44459</v>
      </c>
      <c r="BP294" s="2">
        <v>8.93</v>
      </c>
      <c r="BQ294" s="2">
        <v>9.6199999999999992</v>
      </c>
      <c r="BR294" s="2">
        <v>9.4700000000000006</v>
      </c>
      <c r="BS294" s="2">
        <v>9.57</v>
      </c>
      <c r="BT294" s="2"/>
      <c r="BU294" s="2"/>
      <c r="BV294" s="7"/>
      <c r="BW294" s="128">
        <v>44459</v>
      </c>
      <c r="BX294" s="2">
        <v>86.625</v>
      </c>
      <c r="BY294" s="2">
        <v>69.125</v>
      </c>
      <c r="BZ294" s="2">
        <v>61.375</v>
      </c>
      <c r="CA294" s="2">
        <v>55.125</v>
      </c>
    </row>
    <row r="295" spans="1:79" x14ac:dyDescent="0.2">
      <c r="A295" s="124">
        <v>44145</v>
      </c>
      <c r="B295">
        <v>49.473999999999997</v>
      </c>
      <c r="C295">
        <v>49.726999999999997</v>
      </c>
      <c r="D295">
        <v>50.732999999999997</v>
      </c>
      <c r="E295">
        <v>49.728999999999999</v>
      </c>
      <c r="F295">
        <v>50.622999999999998</v>
      </c>
      <c r="G295">
        <v>50.621000000000002</v>
      </c>
      <c r="H295">
        <v>49.476999999999997</v>
      </c>
      <c r="I295">
        <v>49.728999999999999</v>
      </c>
      <c r="J295">
        <v>50.72</v>
      </c>
      <c r="K295">
        <v>50.610999999999997</v>
      </c>
      <c r="L295" s="7"/>
      <c r="N295" s="124">
        <v>44145</v>
      </c>
      <c r="O295" s="2">
        <v>10.73715</v>
      </c>
      <c r="P295" s="2">
        <v>10.692449999999999</v>
      </c>
      <c r="Q295" s="2">
        <v>10.51</v>
      </c>
      <c r="R295" s="2">
        <v>10.692349999999999</v>
      </c>
      <c r="S295" s="2">
        <v>10.69</v>
      </c>
      <c r="T295" s="2">
        <v>10.692349999999999</v>
      </c>
      <c r="U295" s="2">
        <v>10.7372</v>
      </c>
      <c r="V295" s="2">
        <v>10.692349999999999</v>
      </c>
      <c r="W295" s="2">
        <v>10.69</v>
      </c>
      <c r="X295" s="2">
        <v>10.692299999999999</v>
      </c>
      <c r="Y295" s="7"/>
      <c r="Z295" s="7"/>
      <c r="AA295" s="128">
        <v>44460</v>
      </c>
      <c r="AB295" s="2">
        <v>9.2423269999999995</v>
      </c>
      <c r="AC295" s="2">
        <v>9.7289890000000003</v>
      </c>
      <c r="AD295" s="2">
        <v>9.4338440000000006</v>
      </c>
      <c r="AE295" s="2">
        <v>9.4702909999999996</v>
      </c>
      <c r="AF295" s="2"/>
      <c r="AG295" s="2"/>
      <c r="AH295" s="7"/>
      <c r="AI295" s="128">
        <v>44460</v>
      </c>
      <c r="AJ295" s="2">
        <v>85.25</v>
      </c>
      <c r="AK295" s="2">
        <v>68.5</v>
      </c>
      <c r="AL295" s="2">
        <v>61.606999999999999</v>
      </c>
      <c r="AM295" s="2">
        <v>54.75</v>
      </c>
      <c r="AO295" s="124">
        <v>44145</v>
      </c>
      <c r="AP295">
        <v>49.472999999999999</v>
      </c>
      <c r="AQ295">
        <v>49.726999999999997</v>
      </c>
      <c r="AR295">
        <v>50.732999999999997</v>
      </c>
      <c r="AS295">
        <v>49.728999999999999</v>
      </c>
      <c r="AT295">
        <v>51.375</v>
      </c>
      <c r="AU295">
        <v>50.62</v>
      </c>
      <c r="AV295">
        <v>49.476999999999997</v>
      </c>
      <c r="AW295">
        <v>49.728000000000002</v>
      </c>
      <c r="AX295">
        <v>50.720999999999997</v>
      </c>
      <c r="AY295">
        <v>50.610999999999997</v>
      </c>
      <c r="AZ295" s="7"/>
      <c r="BB295" s="124">
        <v>44145</v>
      </c>
      <c r="BC295" s="2">
        <v>10.74</v>
      </c>
      <c r="BD295" s="2">
        <v>10.69</v>
      </c>
      <c r="BE295" s="2">
        <v>10.51</v>
      </c>
      <c r="BF295" s="2">
        <v>10.69</v>
      </c>
      <c r="BG295" s="2">
        <v>10.56</v>
      </c>
      <c r="BH295" s="2">
        <v>10.69</v>
      </c>
      <c r="BI295" s="2">
        <v>10.74</v>
      </c>
      <c r="BJ295" s="2">
        <v>10.69</v>
      </c>
      <c r="BK295" s="2">
        <v>10.69</v>
      </c>
      <c r="BL295" s="2">
        <v>10.69</v>
      </c>
      <c r="BM295" s="7"/>
      <c r="BN295" s="7"/>
      <c r="BO295" s="128">
        <v>44460</v>
      </c>
      <c r="BP295" s="2">
        <v>9.24</v>
      </c>
      <c r="BQ295" s="2">
        <v>9.73</v>
      </c>
      <c r="BR295" s="2">
        <v>9.43</v>
      </c>
      <c r="BS295" s="2">
        <v>9.69</v>
      </c>
      <c r="BT295" s="2"/>
      <c r="BU295" s="2"/>
      <c r="BV295" s="7"/>
      <c r="BW295" s="128">
        <v>44460</v>
      </c>
      <c r="BX295" s="2">
        <v>85.25</v>
      </c>
      <c r="BY295" s="2">
        <v>68.5</v>
      </c>
      <c r="BZ295" s="2">
        <v>61.606999999999999</v>
      </c>
      <c r="CA295" s="2">
        <v>54.75</v>
      </c>
    </row>
    <row r="296" spans="1:79" x14ac:dyDescent="0.2">
      <c r="A296" s="124">
        <v>44146</v>
      </c>
      <c r="B296">
        <v>49.473999999999997</v>
      </c>
      <c r="C296">
        <v>49.726999999999997</v>
      </c>
      <c r="D296">
        <v>50.732999999999997</v>
      </c>
      <c r="E296">
        <v>49.728999999999999</v>
      </c>
      <c r="F296">
        <v>50.622999999999998</v>
      </c>
      <c r="G296">
        <v>50.621000000000002</v>
      </c>
      <c r="H296">
        <v>49.476999999999997</v>
      </c>
      <c r="I296">
        <v>49.728999999999999</v>
      </c>
      <c r="J296">
        <v>50.72</v>
      </c>
      <c r="K296">
        <v>50.610999999999997</v>
      </c>
      <c r="L296" s="7"/>
      <c r="N296" s="124">
        <v>44146</v>
      </c>
      <c r="O296" s="2">
        <v>10.73715</v>
      </c>
      <c r="P296" s="2">
        <v>10.692449999999999</v>
      </c>
      <c r="Q296" s="2">
        <v>10.51</v>
      </c>
      <c r="R296" s="2">
        <v>10.692349999999999</v>
      </c>
      <c r="S296" s="2">
        <v>10.69</v>
      </c>
      <c r="T296" s="2">
        <v>10.692349999999999</v>
      </c>
      <c r="U296" s="2">
        <v>10.7372</v>
      </c>
      <c r="V296" s="2">
        <v>10.692349999999999</v>
      </c>
      <c r="W296" s="2">
        <v>10.69</v>
      </c>
      <c r="X296" s="2">
        <v>10.692299999999999</v>
      </c>
      <c r="Y296" s="7"/>
      <c r="Z296" s="7"/>
      <c r="AA296" s="128">
        <v>44461</v>
      </c>
      <c r="AB296" s="2">
        <v>9.2157520000000002</v>
      </c>
      <c r="AC296" s="2">
        <v>9.7754960000000004</v>
      </c>
      <c r="AD296" s="2">
        <v>9.522945</v>
      </c>
      <c r="AE296" s="2">
        <v>9.5867939999999994</v>
      </c>
      <c r="AF296" s="2"/>
      <c r="AG296" s="2"/>
      <c r="AH296" s="7"/>
      <c r="AI296" s="128">
        <v>44461</v>
      </c>
      <c r="AJ296" s="2">
        <v>85.375</v>
      </c>
      <c r="AK296" s="2">
        <v>68.25</v>
      </c>
      <c r="AL296" s="2">
        <v>61.036999999999999</v>
      </c>
      <c r="AM296" s="2">
        <v>54.375</v>
      </c>
      <c r="AO296" s="124">
        <v>44146</v>
      </c>
      <c r="AP296">
        <v>49.331000000000003</v>
      </c>
      <c r="AQ296">
        <v>49.726999999999997</v>
      </c>
      <c r="AR296">
        <v>50.732999999999997</v>
      </c>
      <c r="AS296">
        <v>49.728999999999999</v>
      </c>
      <c r="AT296">
        <v>50.375</v>
      </c>
      <c r="AU296">
        <v>50.62</v>
      </c>
      <c r="AV296">
        <v>49.334000000000003</v>
      </c>
      <c r="AW296">
        <v>49.585999999999999</v>
      </c>
      <c r="AX296">
        <v>50.578000000000003</v>
      </c>
      <c r="AY296">
        <v>50.468000000000004</v>
      </c>
      <c r="AZ296" s="7"/>
      <c r="BB296" s="124">
        <v>44146</v>
      </c>
      <c r="BC296" s="2">
        <v>10.763287</v>
      </c>
      <c r="BD296" s="2">
        <v>10.6924285</v>
      </c>
      <c r="BE296" s="2">
        <v>10.511599</v>
      </c>
      <c r="BF296" s="2">
        <v>10.692361</v>
      </c>
      <c r="BG296" s="2">
        <v>10.73752</v>
      </c>
      <c r="BH296" s="2">
        <v>10.6925215</v>
      </c>
      <c r="BI296" s="2">
        <v>10.7633805</v>
      </c>
      <c r="BJ296" s="2">
        <v>10.72</v>
      </c>
      <c r="BK296" s="2">
        <v>10.72</v>
      </c>
      <c r="BL296" s="2">
        <v>10.72</v>
      </c>
      <c r="BM296" s="7"/>
      <c r="BN296" s="7"/>
      <c r="BO296" s="128">
        <v>44461</v>
      </c>
      <c r="BP296" s="2">
        <v>9.2200000000000006</v>
      </c>
      <c r="BQ296" s="2">
        <v>9.7799999999999994</v>
      </c>
      <c r="BR296" s="2">
        <v>9.52</v>
      </c>
      <c r="BS296" s="2">
        <v>9.82</v>
      </c>
      <c r="BT296" s="2"/>
      <c r="BU296" s="2"/>
      <c r="BV296" s="7"/>
      <c r="BW296" s="128">
        <v>44461</v>
      </c>
      <c r="BX296" s="2">
        <v>85.375</v>
      </c>
      <c r="BY296" s="2">
        <v>68.25</v>
      </c>
      <c r="BZ296" s="2">
        <v>61.036999999999999</v>
      </c>
      <c r="CA296" s="2">
        <v>54.375</v>
      </c>
    </row>
    <row r="297" spans="1:79" x14ac:dyDescent="0.2">
      <c r="A297" s="124">
        <v>44147</v>
      </c>
      <c r="B297">
        <v>49.206000000000003</v>
      </c>
      <c r="C297">
        <v>49.46</v>
      </c>
      <c r="D297">
        <v>50.607999999999997</v>
      </c>
      <c r="E297">
        <v>49.462000000000003</v>
      </c>
      <c r="F297">
        <v>50.356000000000002</v>
      </c>
      <c r="G297">
        <v>50.353999999999999</v>
      </c>
      <c r="H297">
        <v>49.21</v>
      </c>
      <c r="I297">
        <v>49.460999999999999</v>
      </c>
      <c r="J297">
        <v>50.453000000000003</v>
      </c>
      <c r="K297">
        <v>50.343000000000004</v>
      </c>
      <c r="L297" s="7"/>
      <c r="N297" s="124">
        <v>44147</v>
      </c>
      <c r="O297" s="2">
        <v>10.79355</v>
      </c>
      <c r="P297" s="2">
        <v>10.7483</v>
      </c>
      <c r="Q297" s="2">
        <v>10.54</v>
      </c>
      <c r="R297" s="2">
        <v>10.7483</v>
      </c>
      <c r="S297" s="2">
        <v>10.75</v>
      </c>
      <c r="T297" s="2">
        <v>10.749000000000001</v>
      </c>
      <c r="U297" s="2">
        <v>10.79345</v>
      </c>
      <c r="V297" s="2">
        <v>10.7484</v>
      </c>
      <c r="W297" s="2">
        <v>10.75</v>
      </c>
      <c r="X297" s="2">
        <v>10.7492</v>
      </c>
      <c r="Y297" s="7"/>
      <c r="Z297" s="7"/>
      <c r="AA297" s="128">
        <v>44462</v>
      </c>
      <c r="AB297" s="2">
        <v>9.1926679999999994</v>
      </c>
      <c r="AC297" s="2">
        <v>9.8276610000000009</v>
      </c>
      <c r="AD297" s="2">
        <v>9.6912839999999996</v>
      </c>
      <c r="AE297" s="2">
        <v>9.5619840000000007</v>
      </c>
      <c r="AF297" s="2"/>
      <c r="AG297" s="2"/>
      <c r="AH297" s="7"/>
      <c r="AI297" s="128">
        <v>44462</v>
      </c>
      <c r="AJ297" s="2">
        <v>85.5</v>
      </c>
      <c r="AK297" s="2">
        <v>68</v>
      </c>
      <c r="AL297" s="2">
        <v>59.994999999999997</v>
      </c>
      <c r="AM297" s="2">
        <v>54.5</v>
      </c>
      <c r="AO297" s="124">
        <v>44147</v>
      </c>
      <c r="AP297">
        <v>49.206000000000003</v>
      </c>
      <c r="AQ297">
        <v>49.601999999999997</v>
      </c>
      <c r="AR297">
        <v>50.607999999999997</v>
      </c>
      <c r="AS297">
        <v>49.603999999999999</v>
      </c>
      <c r="AT297">
        <v>50.375</v>
      </c>
      <c r="AU297">
        <v>50.494999999999997</v>
      </c>
      <c r="AV297">
        <v>49.209000000000003</v>
      </c>
      <c r="AW297">
        <v>49.460999999999999</v>
      </c>
      <c r="AX297">
        <v>50.453000000000003</v>
      </c>
      <c r="AY297">
        <v>50.343000000000004</v>
      </c>
      <c r="AZ297" s="7"/>
      <c r="BB297" s="124">
        <v>44147</v>
      </c>
      <c r="BC297" s="2">
        <v>10.79</v>
      </c>
      <c r="BD297" s="2">
        <v>10.72</v>
      </c>
      <c r="BE297" s="2">
        <v>10.54</v>
      </c>
      <c r="BF297" s="2">
        <v>10.72</v>
      </c>
      <c r="BG297" s="2">
        <v>10.74</v>
      </c>
      <c r="BH297" s="2">
        <v>10.72</v>
      </c>
      <c r="BI297" s="2">
        <v>10.79</v>
      </c>
      <c r="BJ297" s="2">
        <v>10.75</v>
      </c>
      <c r="BK297" s="2">
        <v>10.75</v>
      </c>
      <c r="BL297" s="2">
        <v>10.75</v>
      </c>
      <c r="BM297" s="7"/>
      <c r="BN297" s="7"/>
      <c r="BO297" s="128">
        <v>44462</v>
      </c>
      <c r="BP297" s="2">
        <v>9.19</v>
      </c>
      <c r="BQ297" s="2">
        <v>9.83</v>
      </c>
      <c r="BR297" s="2">
        <v>9.69</v>
      </c>
      <c r="BS297" s="2">
        <v>9.7899999999999991</v>
      </c>
      <c r="BT297" s="2"/>
      <c r="BU297" s="2"/>
      <c r="BV297" s="7"/>
      <c r="BW297" s="128">
        <v>44462</v>
      </c>
      <c r="BX297" s="2">
        <v>85.5</v>
      </c>
      <c r="BY297" s="2">
        <v>68</v>
      </c>
      <c r="BZ297" s="2">
        <v>59.994999999999997</v>
      </c>
      <c r="CA297" s="2">
        <v>54.5</v>
      </c>
    </row>
    <row r="298" spans="1:79" x14ac:dyDescent="0.2">
      <c r="A298" s="124">
        <v>44148</v>
      </c>
      <c r="B298">
        <v>50.1</v>
      </c>
      <c r="C298">
        <v>50.353000000000002</v>
      </c>
      <c r="D298">
        <v>50.597000000000001</v>
      </c>
      <c r="E298">
        <v>50.354999999999997</v>
      </c>
      <c r="F298">
        <v>51.75</v>
      </c>
      <c r="G298">
        <v>52.75</v>
      </c>
      <c r="H298">
        <v>50.103000000000002</v>
      </c>
      <c r="I298">
        <v>50.354999999999997</v>
      </c>
      <c r="J298">
        <v>51.75</v>
      </c>
      <c r="K298">
        <v>52.75</v>
      </c>
      <c r="L298" s="7"/>
      <c r="N298" s="124">
        <v>44148</v>
      </c>
      <c r="O298" s="2">
        <v>10.6332</v>
      </c>
      <c r="P298" s="2">
        <v>10.5891</v>
      </c>
      <c r="Q298" s="2">
        <v>10.54</v>
      </c>
      <c r="R298" s="2">
        <v>10.58905</v>
      </c>
      <c r="S298" s="2">
        <v>10.5</v>
      </c>
      <c r="T298" s="2">
        <v>10.325900000000001</v>
      </c>
      <c r="U298" s="2">
        <v>10.6333</v>
      </c>
      <c r="V298" s="2">
        <v>10.589</v>
      </c>
      <c r="W298" s="2">
        <v>10.52</v>
      </c>
      <c r="X298" s="2">
        <v>10.324149999999999</v>
      </c>
      <c r="Y298" s="7"/>
      <c r="Z298" s="7"/>
      <c r="AA298" s="128">
        <v>44463</v>
      </c>
      <c r="AB298" s="2">
        <v>9.2510750000000002</v>
      </c>
      <c r="AC298" s="2">
        <v>9.9191310000000001</v>
      </c>
      <c r="AD298" s="2">
        <v>9.6021459999999994</v>
      </c>
      <c r="AE298" s="2">
        <v>9.6793309999999995</v>
      </c>
      <c r="AF298" s="2"/>
      <c r="AG298" s="2"/>
      <c r="AH298" s="7"/>
      <c r="AI298" s="128">
        <v>44463</v>
      </c>
      <c r="AJ298" s="2">
        <v>85.25</v>
      </c>
      <c r="AK298" s="2">
        <v>67.5</v>
      </c>
      <c r="AL298" s="2">
        <v>60.581000000000003</v>
      </c>
      <c r="AM298" s="2">
        <v>54.125</v>
      </c>
      <c r="AO298" s="124">
        <v>44148</v>
      </c>
      <c r="AP298">
        <v>50.098999999999997</v>
      </c>
      <c r="AQ298">
        <v>49.585000000000001</v>
      </c>
      <c r="AR298">
        <v>50.597000000000001</v>
      </c>
      <c r="AS298">
        <v>49.587000000000003</v>
      </c>
      <c r="AT298">
        <v>51.75</v>
      </c>
      <c r="AU298">
        <v>52.75</v>
      </c>
      <c r="AV298">
        <v>50.103000000000002</v>
      </c>
      <c r="AW298">
        <v>50.353999999999999</v>
      </c>
      <c r="AX298">
        <v>51.75</v>
      </c>
      <c r="AY298">
        <v>51.75</v>
      </c>
      <c r="AZ298" s="7"/>
      <c r="BB298" s="124">
        <v>44148</v>
      </c>
      <c r="BC298" s="2">
        <v>10.63</v>
      </c>
      <c r="BD298" s="2">
        <v>10.73</v>
      </c>
      <c r="BE298" s="2">
        <v>10.54</v>
      </c>
      <c r="BF298" s="2">
        <v>10.73</v>
      </c>
      <c r="BG298" s="2">
        <v>10.5</v>
      </c>
      <c r="BH298" s="2">
        <v>10.32</v>
      </c>
      <c r="BI298" s="2">
        <v>10.63</v>
      </c>
      <c r="BJ298" s="2">
        <v>10.59</v>
      </c>
      <c r="BK298" s="2">
        <v>10.52</v>
      </c>
      <c r="BL298" s="2">
        <v>10.5</v>
      </c>
      <c r="BM298" s="7"/>
      <c r="BN298" s="7"/>
      <c r="BO298" s="128">
        <v>44463</v>
      </c>
      <c r="BP298" s="2">
        <v>9.25</v>
      </c>
      <c r="BQ298" s="2">
        <v>9.92</v>
      </c>
      <c r="BR298" s="2">
        <v>9.6</v>
      </c>
      <c r="BS298" s="2">
        <v>9.91</v>
      </c>
      <c r="BT298" s="2"/>
      <c r="BU298" s="2"/>
      <c r="BV298" s="7"/>
      <c r="BW298" s="128">
        <v>44463</v>
      </c>
      <c r="BX298" s="2">
        <v>85.25</v>
      </c>
      <c r="BY298" s="2">
        <v>67.5</v>
      </c>
      <c r="BZ298" s="2">
        <v>60.581000000000003</v>
      </c>
      <c r="CA298" s="2">
        <v>54.125</v>
      </c>
    </row>
    <row r="299" spans="1:79" x14ac:dyDescent="0.2">
      <c r="A299" s="124">
        <v>44151</v>
      </c>
      <c r="B299">
        <v>51.75</v>
      </c>
      <c r="C299">
        <v>52</v>
      </c>
      <c r="D299">
        <v>51.75</v>
      </c>
      <c r="E299">
        <v>52</v>
      </c>
      <c r="F299">
        <v>52</v>
      </c>
      <c r="G299">
        <v>52</v>
      </c>
      <c r="H299">
        <v>51.75</v>
      </c>
      <c r="I299">
        <v>52</v>
      </c>
      <c r="J299">
        <v>52</v>
      </c>
      <c r="K299">
        <v>52</v>
      </c>
      <c r="L299" s="7"/>
      <c r="N299" s="124">
        <v>44151</v>
      </c>
      <c r="O299" s="2">
        <v>10.3444</v>
      </c>
      <c r="P299" s="2">
        <v>10.3025</v>
      </c>
      <c r="Q299" s="2">
        <v>10.34</v>
      </c>
      <c r="R299" s="2">
        <v>10.30275</v>
      </c>
      <c r="S299" s="2">
        <v>10.46</v>
      </c>
      <c r="T299" s="2">
        <v>10.459099999999999</v>
      </c>
      <c r="U299" s="2">
        <v>10.344950000000001</v>
      </c>
      <c r="V299" s="2">
        <v>10.30275</v>
      </c>
      <c r="W299" s="2">
        <v>10.48</v>
      </c>
      <c r="X299" s="2">
        <v>10.4573</v>
      </c>
      <c r="Y299" s="7"/>
      <c r="Z299" s="7"/>
      <c r="AA299" s="128">
        <v>44466</v>
      </c>
      <c r="AB299" s="2">
        <v>9.3668499999999995</v>
      </c>
      <c r="AC299" s="2">
        <v>10.011468000000001</v>
      </c>
      <c r="AD299" s="2">
        <v>9.7704269999999998</v>
      </c>
      <c r="AE299" s="2">
        <v>9.759563</v>
      </c>
      <c r="AF299" s="2"/>
      <c r="AG299" s="2"/>
      <c r="AH299" s="7"/>
      <c r="AI299" s="128">
        <v>44466</v>
      </c>
      <c r="AJ299" s="2">
        <v>84.75</v>
      </c>
      <c r="AK299" s="2">
        <v>67</v>
      </c>
      <c r="AL299" s="2">
        <v>59.521999999999998</v>
      </c>
      <c r="AM299" s="2">
        <v>53.875</v>
      </c>
      <c r="AO299" s="124">
        <v>44151</v>
      </c>
      <c r="AP299">
        <v>51.75</v>
      </c>
      <c r="AQ299">
        <v>52</v>
      </c>
      <c r="AR299">
        <v>51.75</v>
      </c>
      <c r="AS299">
        <v>52</v>
      </c>
      <c r="AT299">
        <v>52</v>
      </c>
      <c r="AU299">
        <v>52</v>
      </c>
      <c r="AV299">
        <v>51.75</v>
      </c>
      <c r="AW299">
        <v>52</v>
      </c>
      <c r="AX299">
        <v>52</v>
      </c>
      <c r="AY299">
        <v>52</v>
      </c>
      <c r="AZ299" s="7"/>
      <c r="BB299" s="124">
        <v>44151</v>
      </c>
      <c r="BC299" s="2">
        <v>10.34</v>
      </c>
      <c r="BD299" s="2">
        <v>10.3</v>
      </c>
      <c r="BE299" s="2">
        <v>10.34</v>
      </c>
      <c r="BF299" s="2">
        <v>10.3</v>
      </c>
      <c r="BG299" s="2">
        <v>10.46</v>
      </c>
      <c r="BH299" s="2">
        <v>10.46</v>
      </c>
      <c r="BI299" s="2">
        <v>10.34</v>
      </c>
      <c r="BJ299" s="2">
        <v>10.3</v>
      </c>
      <c r="BK299" s="2">
        <v>10.48</v>
      </c>
      <c r="BL299" s="2">
        <v>10.46</v>
      </c>
      <c r="BM299" s="7"/>
      <c r="BN299" s="7"/>
      <c r="BO299" s="128">
        <v>44466</v>
      </c>
      <c r="BP299" s="2">
        <v>9.3699999999999992</v>
      </c>
      <c r="BQ299" s="2">
        <v>10.01</v>
      </c>
      <c r="BR299" s="2">
        <v>9.77</v>
      </c>
      <c r="BS299" s="2">
        <v>10</v>
      </c>
      <c r="BT299" s="2"/>
      <c r="BU299" s="2"/>
      <c r="BV299" s="7"/>
      <c r="BW299" s="128">
        <v>44466</v>
      </c>
      <c r="BX299" s="2">
        <v>84.75</v>
      </c>
      <c r="BY299" s="2">
        <v>67</v>
      </c>
      <c r="BZ299" s="2">
        <v>59.521999999999998</v>
      </c>
      <c r="CA299" s="2">
        <v>53.875</v>
      </c>
    </row>
    <row r="300" spans="1:79" x14ac:dyDescent="0.2">
      <c r="A300" s="124">
        <v>44152</v>
      </c>
      <c r="B300">
        <v>51.5</v>
      </c>
      <c r="C300">
        <v>51.75</v>
      </c>
      <c r="D300">
        <v>51.5</v>
      </c>
      <c r="E300">
        <v>51.75</v>
      </c>
      <c r="F300">
        <v>51.75</v>
      </c>
      <c r="G300">
        <v>51.75</v>
      </c>
      <c r="H300">
        <v>51.5</v>
      </c>
      <c r="I300">
        <v>51.75</v>
      </c>
      <c r="J300">
        <v>51.75</v>
      </c>
      <c r="K300">
        <v>51.75</v>
      </c>
      <c r="L300" s="7"/>
      <c r="N300" s="124">
        <v>44152</v>
      </c>
      <c r="O300" s="2">
        <v>10.3901</v>
      </c>
      <c r="P300" s="2">
        <v>10.347950000000001</v>
      </c>
      <c r="Q300" s="2">
        <v>10.39</v>
      </c>
      <c r="R300" s="2">
        <v>10.3482</v>
      </c>
      <c r="S300" s="2">
        <v>10.5</v>
      </c>
      <c r="T300" s="2">
        <v>10.505750000000001</v>
      </c>
      <c r="U300" s="2">
        <v>10.390650000000001</v>
      </c>
      <c r="V300" s="2">
        <v>10.3482</v>
      </c>
      <c r="W300" s="2">
        <v>10.52</v>
      </c>
      <c r="X300" s="2">
        <v>10.504</v>
      </c>
      <c r="Y300" s="7"/>
      <c r="Z300" s="7"/>
      <c r="AA300" s="128">
        <v>44467</v>
      </c>
      <c r="AB300" s="2">
        <v>9.4023029999999999</v>
      </c>
      <c r="AC300" s="2">
        <v>10.085309000000001</v>
      </c>
      <c r="AD300" s="2">
        <v>9.8594570000000008</v>
      </c>
      <c r="AE300" s="2">
        <v>9.8446529999999992</v>
      </c>
      <c r="AF300" s="2"/>
      <c r="AG300" s="2"/>
      <c r="AH300" s="7"/>
      <c r="AI300" s="128">
        <v>44467</v>
      </c>
      <c r="AJ300" s="2">
        <v>84.625</v>
      </c>
      <c r="AK300" s="2">
        <v>66.625</v>
      </c>
      <c r="AL300" s="2">
        <v>58.994</v>
      </c>
      <c r="AM300" s="2">
        <v>53.625</v>
      </c>
      <c r="AO300" s="124">
        <v>44152</v>
      </c>
      <c r="AP300">
        <v>51.5</v>
      </c>
      <c r="AQ300">
        <v>51.75</v>
      </c>
      <c r="AR300">
        <v>51.5</v>
      </c>
      <c r="AS300">
        <v>51.75</v>
      </c>
      <c r="AT300">
        <v>51.75</v>
      </c>
      <c r="AU300">
        <v>51.75</v>
      </c>
      <c r="AV300">
        <v>51.5</v>
      </c>
      <c r="AW300">
        <v>51.75</v>
      </c>
      <c r="AX300">
        <v>51.75</v>
      </c>
      <c r="AY300">
        <v>51.75</v>
      </c>
      <c r="AZ300" s="7"/>
      <c r="BB300" s="124">
        <v>44152</v>
      </c>
      <c r="BC300" s="2">
        <v>10.39</v>
      </c>
      <c r="BD300" s="2">
        <v>10.35</v>
      </c>
      <c r="BE300" s="2">
        <v>10.39</v>
      </c>
      <c r="BF300" s="2">
        <v>10.35</v>
      </c>
      <c r="BG300" s="2">
        <v>10.5</v>
      </c>
      <c r="BH300" s="2">
        <v>10.5</v>
      </c>
      <c r="BI300" s="2">
        <v>10.39</v>
      </c>
      <c r="BJ300" s="2">
        <v>10.35</v>
      </c>
      <c r="BK300" s="2">
        <v>10.52</v>
      </c>
      <c r="BL300" s="2">
        <v>10.5</v>
      </c>
      <c r="BM300" s="7"/>
      <c r="BN300" s="7"/>
      <c r="BO300" s="128">
        <v>44467</v>
      </c>
      <c r="BP300" s="2">
        <v>9.4</v>
      </c>
      <c r="BQ300" s="2">
        <v>10.09</v>
      </c>
      <c r="BR300" s="2">
        <v>9.86</v>
      </c>
      <c r="BS300" s="2">
        <v>10.09</v>
      </c>
      <c r="BT300" s="2"/>
      <c r="BU300" s="2"/>
      <c r="BV300" s="7"/>
      <c r="BW300" s="128">
        <v>44467</v>
      </c>
      <c r="BX300" s="2">
        <v>84.625</v>
      </c>
      <c r="BY300" s="2">
        <v>66.625</v>
      </c>
      <c r="BZ300" s="2">
        <v>58.994</v>
      </c>
      <c r="CA300" s="2">
        <v>53.625</v>
      </c>
    </row>
    <row r="301" spans="1:79" x14ac:dyDescent="0.2">
      <c r="A301" s="124">
        <v>44153</v>
      </c>
      <c r="B301">
        <v>50.875</v>
      </c>
      <c r="C301">
        <v>51.125</v>
      </c>
      <c r="D301">
        <v>50.875</v>
      </c>
      <c r="E301">
        <v>51.125</v>
      </c>
      <c r="F301">
        <v>51.125</v>
      </c>
      <c r="G301">
        <v>51.125</v>
      </c>
      <c r="H301">
        <v>50.875</v>
      </c>
      <c r="I301">
        <v>51.125</v>
      </c>
      <c r="J301">
        <v>51.125</v>
      </c>
      <c r="K301">
        <v>51.125</v>
      </c>
      <c r="L301" s="7"/>
      <c r="N301" s="124">
        <v>44153</v>
      </c>
      <c r="O301" s="2">
        <v>10.5021</v>
      </c>
      <c r="P301" s="2">
        <v>10.459300000000001</v>
      </c>
      <c r="Q301" s="2">
        <v>10.5</v>
      </c>
      <c r="R301" s="2">
        <v>10.4595</v>
      </c>
      <c r="S301" s="2">
        <v>10.62</v>
      </c>
      <c r="T301" s="2">
        <v>10.61985</v>
      </c>
      <c r="U301" s="2">
        <v>10.502599999999999</v>
      </c>
      <c r="V301" s="2">
        <v>10.4595</v>
      </c>
      <c r="W301" s="2">
        <v>10.64</v>
      </c>
      <c r="X301" s="2">
        <v>10.618</v>
      </c>
      <c r="Y301" s="7"/>
      <c r="Z301" s="7"/>
      <c r="AA301" s="128">
        <v>44468</v>
      </c>
      <c r="AB301" s="2">
        <v>9.370457</v>
      </c>
      <c r="AC301" s="2">
        <v>9.9721080000000004</v>
      </c>
      <c r="AD301" s="2">
        <v>9.7983539999999998</v>
      </c>
      <c r="AE301" s="2">
        <v>9.7682559999999992</v>
      </c>
      <c r="AF301" s="2"/>
      <c r="AG301" s="2"/>
      <c r="AH301" s="7"/>
      <c r="AI301" s="128">
        <v>44468</v>
      </c>
      <c r="AJ301" s="2">
        <v>84.75</v>
      </c>
      <c r="AK301" s="2">
        <v>67.25</v>
      </c>
      <c r="AL301" s="2">
        <v>59.375</v>
      </c>
      <c r="AM301" s="2">
        <v>53.875</v>
      </c>
      <c r="AO301" s="124">
        <v>44153</v>
      </c>
      <c r="AP301">
        <v>50.875</v>
      </c>
      <c r="AQ301">
        <v>51.125</v>
      </c>
      <c r="AR301">
        <v>50.875</v>
      </c>
      <c r="AS301">
        <v>51.125</v>
      </c>
      <c r="AT301">
        <v>51.125</v>
      </c>
      <c r="AU301">
        <v>51.125</v>
      </c>
      <c r="AV301">
        <v>50.875</v>
      </c>
      <c r="AW301">
        <v>51.125</v>
      </c>
      <c r="AX301">
        <v>51.125</v>
      </c>
      <c r="AY301">
        <v>51.125</v>
      </c>
      <c r="AZ301" s="7"/>
      <c r="BB301" s="124">
        <v>44153</v>
      </c>
      <c r="BC301" s="2">
        <v>10.5</v>
      </c>
      <c r="BD301" s="2">
        <v>10.46</v>
      </c>
      <c r="BE301" s="2">
        <v>10.5</v>
      </c>
      <c r="BF301" s="2">
        <v>10.46</v>
      </c>
      <c r="BG301" s="2">
        <v>10.62</v>
      </c>
      <c r="BH301" s="2">
        <v>10.62</v>
      </c>
      <c r="BI301" s="2">
        <v>10.5</v>
      </c>
      <c r="BJ301" s="2">
        <v>10.46</v>
      </c>
      <c r="BK301" s="2">
        <v>10.64</v>
      </c>
      <c r="BL301" s="2">
        <v>10.62</v>
      </c>
      <c r="BM301" s="7"/>
      <c r="BN301" s="7"/>
      <c r="BO301" s="128">
        <v>44468</v>
      </c>
      <c r="BP301" s="2">
        <v>9.3699999999999992</v>
      </c>
      <c r="BQ301" s="2">
        <v>9.9700000000000006</v>
      </c>
      <c r="BR301" s="2">
        <v>9.8000000000000007</v>
      </c>
      <c r="BS301" s="2">
        <v>10.01</v>
      </c>
      <c r="BT301" s="2"/>
      <c r="BU301" s="2"/>
      <c r="BV301" s="7"/>
      <c r="BW301" s="128">
        <v>44468</v>
      </c>
      <c r="BX301" s="2">
        <v>84.75</v>
      </c>
      <c r="BY301" s="2">
        <v>67.25</v>
      </c>
      <c r="BZ301" s="2">
        <v>59.375</v>
      </c>
      <c r="CA301" s="2">
        <v>53.875</v>
      </c>
    </row>
    <row r="302" spans="1:79" x14ac:dyDescent="0.2">
      <c r="A302" s="124">
        <v>44154</v>
      </c>
      <c r="B302">
        <v>49.875</v>
      </c>
      <c r="C302">
        <v>50.125</v>
      </c>
      <c r="D302">
        <v>49.875</v>
      </c>
      <c r="E302">
        <v>50.125</v>
      </c>
      <c r="F302">
        <v>50.125</v>
      </c>
      <c r="G302">
        <v>50.125</v>
      </c>
      <c r="H302">
        <v>49.875</v>
      </c>
      <c r="I302">
        <v>50.125</v>
      </c>
      <c r="J302">
        <v>50.125</v>
      </c>
      <c r="K302">
        <v>50.125</v>
      </c>
      <c r="L302" s="7"/>
      <c r="N302" s="124">
        <v>44154</v>
      </c>
      <c r="O302" s="2">
        <v>10.6883</v>
      </c>
      <c r="P302" s="2">
        <v>10.644399999999999</v>
      </c>
      <c r="Q302" s="2">
        <v>10.69</v>
      </c>
      <c r="R302" s="2">
        <v>10.6447</v>
      </c>
      <c r="S302" s="2">
        <v>10.81</v>
      </c>
      <c r="T302" s="2">
        <v>10.809900000000001</v>
      </c>
      <c r="U302" s="2">
        <v>10.6889</v>
      </c>
      <c r="V302" s="2">
        <v>10.644600000000001</v>
      </c>
      <c r="W302" s="2">
        <v>10.83</v>
      </c>
      <c r="X302" s="2">
        <v>10.80805</v>
      </c>
      <c r="Y302" s="7"/>
      <c r="Z302" s="7"/>
      <c r="AA302" s="128">
        <v>44469</v>
      </c>
      <c r="AB302" s="2">
        <v>9.3758859999999995</v>
      </c>
      <c r="AC302" s="2">
        <v>10.025395</v>
      </c>
      <c r="AD302" s="2">
        <v>9.825177</v>
      </c>
      <c r="AE302" s="2">
        <v>9.7813239999999997</v>
      </c>
      <c r="AF302" s="2"/>
      <c r="AG302" s="2"/>
      <c r="AH302" s="7"/>
      <c r="AI302" s="128">
        <v>44469</v>
      </c>
      <c r="AJ302" s="2">
        <v>84.75</v>
      </c>
      <c r="AK302" s="2">
        <v>67</v>
      </c>
      <c r="AL302" s="2">
        <v>59.25</v>
      </c>
      <c r="AM302" s="2">
        <v>53.875</v>
      </c>
      <c r="AO302" s="124">
        <v>44154</v>
      </c>
      <c r="AP302">
        <v>49.875</v>
      </c>
      <c r="AQ302">
        <v>50.125</v>
      </c>
      <c r="AR302">
        <v>49.875</v>
      </c>
      <c r="AS302">
        <v>50.125</v>
      </c>
      <c r="AT302">
        <v>50.125</v>
      </c>
      <c r="AU302">
        <v>50.125</v>
      </c>
      <c r="AV302">
        <v>49.875</v>
      </c>
      <c r="AW302">
        <v>50.125</v>
      </c>
      <c r="AX302">
        <v>50.125</v>
      </c>
      <c r="AY302">
        <v>50.125</v>
      </c>
      <c r="AZ302" s="7"/>
      <c r="BB302" s="124">
        <v>44154</v>
      </c>
      <c r="BC302" s="2">
        <v>10.69</v>
      </c>
      <c r="BD302" s="2">
        <v>10.64</v>
      </c>
      <c r="BE302" s="2">
        <v>10.69</v>
      </c>
      <c r="BF302" s="2">
        <v>10.64</v>
      </c>
      <c r="BG302" s="2">
        <v>10.81</v>
      </c>
      <c r="BH302" s="2">
        <v>10.81</v>
      </c>
      <c r="BI302" s="2">
        <v>10.69</v>
      </c>
      <c r="BJ302" s="2">
        <v>10.64</v>
      </c>
      <c r="BK302" s="2">
        <v>10.83</v>
      </c>
      <c r="BL302" s="2">
        <v>10.81</v>
      </c>
      <c r="BM302" s="7"/>
      <c r="BN302" s="7"/>
      <c r="BO302" s="128">
        <v>44469</v>
      </c>
      <c r="BP302" s="2">
        <v>9.3800000000000008</v>
      </c>
      <c r="BQ302" s="2">
        <v>10.029999999999999</v>
      </c>
      <c r="BR302" s="2">
        <v>9.83</v>
      </c>
      <c r="BS302" s="2">
        <v>10.02</v>
      </c>
      <c r="BT302" s="2"/>
      <c r="BU302" s="2"/>
      <c r="BV302" s="7"/>
      <c r="BW302" s="128">
        <v>44469</v>
      </c>
      <c r="BX302" s="2">
        <v>84.75</v>
      </c>
      <c r="BY302" s="2">
        <v>67</v>
      </c>
      <c r="BZ302" s="2">
        <v>59.25</v>
      </c>
      <c r="CA302" s="2">
        <v>53.875</v>
      </c>
    </row>
    <row r="303" spans="1:79" x14ac:dyDescent="0.2">
      <c r="A303" s="124">
        <v>44155</v>
      </c>
      <c r="B303">
        <v>50</v>
      </c>
      <c r="C303">
        <v>50.25</v>
      </c>
      <c r="D303">
        <v>50</v>
      </c>
      <c r="E303">
        <v>50.25</v>
      </c>
      <c r="F303">
        <v>50.25</v>
      </c>
      <c r="G303">
        <v>50.25</v>
      </c>
      <c r="H303">
        <v>50</v>
      </c>
      <c r="I303">
        <v>50.25</v>
      </c>
      <c r="J303">
        <v>50.25</v>
      </c>
      <c r="K303">
        <v>50.25</v>
      </c>
      <c r="L303" s="7"/>
      <c r="N303" s="124">
        <v>44155</v>
      </c>
      <c r="O303" s="2">
        <v>10.668100000000001</v>
      </c>
      <c r="P303" s="2">
        <v>10.6243</v>
      </c>
      <c r="Q303" s="2">
        <v>10.67</v>
      </c>
      <c r="R303" s="2">
        <v>10.624549999999999</v>
      </c>
      <c r="S303" s="2">
        <v>10.79</v>
      </c>
      <c r="T303" s="2">
        <v>10.7896</v>
      </c>
      <c r="U303" s="2">
        <v>10.66865</v>
      </c>
      <c r="V303" s="2">
        <v>10.624499999999999</v>
      </c>
      <c r="W303" s="2">
        <v>10.81</v>
      </c>
      <c r="X303" s="2">
        <v>10.787699999999999</v>
      </c>
      <c r="Y303" s="7"/>
      <c r="Z303" s="7"/>
      <c r="AA303" s="128">
        <v>44470</v>
      </c>
      <c r="AB303" s="2">
        <v>9.4351579999999995</v>
      </c>
      <c r="AC303" s="2">
        <v>10.210197000000001</v>
      </c>
      <c r="AD303" s="2">
        <v>9.9685839999999999</v>
      </c>
      <c r="AE303" s="2">
        <v>9.9006509999999999</v>
      </c>
      <c r="AF303" s="2"/>
      <c r="AG303" s="2"/>
      <c r="AH303" s="7"/>
      <c r="AI303" s="128">
        <v>44470</v>
      </c>
      <c r="AJ303" s="2">
        <v>84.5</v>
      </c>
      <c r="AK303" s="2">
        <v>66</v>
      </c>
      <c r="AL303" s="2">
        <v>58.375</v>
      </c>
      <c r="AM303" s="2">
        <v>53.5</v>
      </c>
      <c r="AO303" s="124">
        <v>44155</v>
      </c>
      <c r="AP303">
        <v>50</v>
      </c>
      <c r="AQ303">
        <v>50.25</v>
      </c>
      <c r="AR303">
        <v>50</v>
      </c>
      <c r="AS303">
        <v>50.25</v>
      </c>
      <c r="AT303">
        <v>50.25</v>
      </c>
      <c r="AU303">
        <v>50.25</v>
      </c>
      <c r="AV303">
        <v>50</v>
      </c>
      <c r="AW303">
        <v>50.25</v>
      </c>
      <c r="AX303">
        <v>50.25</v>
      </c>
      <c r="AY303">
        <v>50.25</v>
      </c>
      <c r="AZ303" s="7"/>
      <c r="BB303" s="124">
        <v>44155</v>
      </c>
      <c r="BC303" s="2">
        <v>10.67</v>
      </c>
      <c r="BD303" s="2">
        <v>10.62</v>
      </c>
      <c r="BE303" s="2">
        <v>10.67</v>
      </c>
      <c r="BF303" s="2">
        <v>10.62</v>
      </c>
      <c r="BG303" s="2">
        <v>10.79</v>
      </c>
      <c r="BH303" s="2">
        <v>10.79</v>
      </c>
      <c r="BI303" s="2">
        <v>10.67</v>
      </c>
      <c r="BJ303" s="2">
        <v>10.62</v>
      </c>
      <c r="BK303" s="2">
        <v>10.81</v>
      </c>
      <c r="BL303" s="2">
        <v>10.79</v>
      </c>
      <c r="BM303" s="7"/>
      <c r="BN303" s="7"/>
      <c r="BO303" s="128">
        <v>44470</v>
      </c>
      <c r="BP303" s="2">
        <v>9.44</v>
      </c>
      <c r="BQ303" s="2">
        <v>10.210000000000001</v>
      </c>
      <c r="BR303" s="2">
        <v>9.9700000000000006</v>
      </c>
      <c r="BS303" s="2">
        <v>10.15</v>
      </c>
      <c r="BT303" s="2"/>
      <c r="BU303" s="2"/>
      <c r="BV303" s="7"/>
      <c r="BW303" s="128">
        <v>44470</v>
      </c>
      <c r="BX303" s="2">
        <v>84.5</v>
      </c>
      <c r="BY303" s="2">
        <v>66</v>
      </c>
      <c r="BZ303" s="2">
        <v>58.375</v>
      </c>
      <c r="CA303" s="2">
        <v>53.5</v>
      </c>
    </row>
    <row r="304" spans="1:79" x14ac:dyDescent="0.2">
      <c r="A304" s="124">
        <v>44158</v>
      </c>
      <c r="B304">
        <v>49.875</v>
      </c>
      <c r="C304">
        <v>50.125</v>
      </c>
      <c r="D304">
        <v>49.875</v>
      </c>
      <c r="E304">
        <v>50.125</v>
      </c>
      <c r="F304">
        <v>50.125</v>
      </c>
      <c r="G304">
        <v>50.125</v>
      </c>
      <c r="H304">
        <v>49.875</v>
      </c>
      <c r="I304">
        <v>50.125</v>
      </c>
      <c r="J304">
        <v>50.125</v>
      </c>
      <c r="K304">
        <v>50.125</v>
      </c>
      <c r="L304" s="7"/>
      <c r="N304" s="124">
        <v>44158</v>
      </c>
      <c r="O304" s="2">
        <v>10.693149999999999</v>
      </c>
      <c r="P304" s="2">
        <v>10.6492</v>
      </c>
      <c r="Q304" s="2">
        <v>10.69</v>
      </c>
      <c r="R304" s="2">
        <v>10.64945</v>
      </c>
      <c r="S304" s="2">
        <v>10.81</v>
      </c>
      <c r="T304" s="2">
        <v>10.815300000000001</v>
      </c>
      <c r="U304" s="2">
        <v>10.6937</v>
      </c>
      <c r="V304" s="2">
        <v>10.6494</v>
      </c>
      <c r="W304" s="2">
        <v>10.83</v>
      </c>
      <c r="X304" s="2">
        <v>10.81345</v>
      </c>
      <c r="Y304" s="7"/>
      <c r="Z304" s="7"/>
      <c r="AA304" s="128">
        <v>44473</v>
      </c>
      <c r="AB304" s="2">
        <v>9.5525990000000007</v>
      </c>
      <c r="AC304" s="2">
        <v>10.236046999999999</v>
      </c>
      <c r="AD304" s="2">
        <v>10.032242999999999</v>
      </c>
      <c r="AE304" s="2">
        <v>9.9822570000000006</v>
      </c>
      <c r="AF304" s="2"/>
      <c r="AG304" s="2"/>
      <c r="AH304" s="7"/>
      <c r="AI304" s="128">
        <v>44473</v>
      </c>
      <c r="AJ304" s="2">
        <v>84</v>
      </c>
      <c r="AK304" s="2">
        <v>65.875</v>
      </c>
      <c r="AL304" s="2">
        <v>58</v>
      </c>
      <c r="AM304" s="2">
        <v>53.25</v>
      </c>
      <c r="AO304" s="124">
        <v>44158</v>
      </c>
      <c r="AP304">
        <v>49.875</v>
      </c>
      <c r="AQ304">
        <v>50.125</v>
      </c>
      <c r="AR304">
        <v>49.875</v>
      </c>
      <c r="AS304">
        <v>50.125</v>
      </c>
      <c r="AT304">
        <v>50.125</v>
      </c>
      <c r="AU304">
        <v>50.125</v>
      </c>
      <c r="AV304">
        <v>49.875</v>
      </c>
      <c r="AW304">
        <v>50.125</v>
      </c>
      <c r="AX304">
        <v>50.125</v>
      </c>
      <c r="AY304">
        <v>50.125</v>
      </c>
      <c r="AZ304" s="7"/>
      <c r="BB304" s="124">
        <v>44158</v>
      </c>
      <c r="BC304" s="2">
        <v>10.69</v>
      </c>
      <c r="BD304" s="2">
        <v>10.65</v>
      </c>
      <c r="BE304" s="2">
        <v>10.69</v>
      </c>
      <c r="BF304" s="2">
        <v>10.65</v>
      </c>
      <c r="BG304" s="2">
        <v>10.81</v>
      </c>
      <c r="BH304" s="2">
        <v>10.81</v>
      </c>
      <c r="BI304" s="2">
        <v>10.69</v>
      </c>
      <c r="BJ304" s="2">
        <v>10.65</v>
      </c>
      <c r="BK304" s="2">
        <v>10.83</v>
      </c>
      <c r="BL304" s="2">
        <v>10.81</v>
      </c>
      <c r="BM304" s="7"/>
      <c r="BN304" s="7"/>
      <c r="BO304" s="128">
        <v>44473</v>
      </c>
      <c r="BP304" s="2">
        <v>9.5500000000000007</v>
      </c>
      <c r="BQ304" s="2">
        <v>10.24</v>
      </c>
      <c r="BR304" s="2">
        <v>10.029999999999999</v>
      </c>
      <c r="BS304" s="2">
        <v>10.23</v>
      </c>
      <c r="BT304" s="2"/>
      <c r="BU304" s="2"/>
      <c r="BV304" s="7"/>
      <c r="BW304" s="128">
        <v>44473</v>
      </c>
      <c r="BX304" s="2">
        <v>84</v>
      </c>
      <c r="BY304" s="2">
        <v>65.875</v>
      </c>
      <c r="BZ304" s="2">
        <v>58</v>
      </c>
      <c r="CA304" s="2">
        <v>53.25</v>
      </c>
    </row>
    <row r="305" spans="1:79" x14ac:dyDescent="0.2">
      <c r="A305" s="124">
        <v>44159</v>
      </c>
      <c r="B305">
        <v>49.375</v>
      </c>
      <c r="C305">
        <v>49.625</v>
      </c>
      <c r="D305">
        <v>49.375</v>
      </c>
      <c r="E305">
        <v>49.625</v>
      </c>
      <c r="F305">
        <v>49.625</v>
      </c>
      <c r="G305">
        <v>49.625</v>
      </c>
      <c r="H305">
        <v>49.375</v>
      </c>
      <c r="I305">
        <v>49.625</v>
      </c>
      <c r="J305">
        <v>49.625</v>
      </c>
      <c r="K305">
        <v>49.625</v>
      </c>
      <c r="L305" s="7"/>
      <c r="N305" s="124">
        <v>44159</v>
      </c>
      <c r="O305" s="2">
        <v>10.789350000000001</v>
      </c>
      <c r="P305" s="2">
        <v>10.74485</v>
      </c>
      <c r="Q305" s="2">
        <v>10.79</v>
      </c>
      <c r="R305" s="2">
        <v>10.745050000000001</v>
      </c>
      <c r="S305" s="2">
        <v>10.91</v>
      </c>
      <c r="T305" s="2">
        <v>10.9137</v>
      </c>
      <c r="U305" s="2">
        <v>10.789899999999999</v>
      </c>
      <c r="V305" s="2">
        <v>10.745050000000001</v>
      </c>
      <c r="W305" s="2">
        <v>10.93</v>
      </c>
      <c r="X305" s="2">
        <v>10.91175</v>
      </c>
      <c r="Y305" s="7"/>
      <c r="Z305" s="7"/>
      <c r="AA305" s="128">
        <v>44474</v>
      </c>
      <c r="AB305" s="2">
        <v>9.5544849999999997</v>
      </c>
      <c r="AC305" s="2">
        <v>10.215907</v>
      </c>
      <c r="AD305" s="2">
        <v>9.9529449999999997</v>
      </c>
      <c r="AE305" s="2">
        <v>9.9480579999999996</v>
      </c>
      <c r="AF305" s="2"/>
      <c r="AG305" s="2"/>
      <c r="AH305" s="7"/>
      <c r="AI305" s="128">
        <v>44474</v>
      </c>
      <c r="AJ305" s="2">
        <v>84</v>
      </c>
      <c r="AK305" s="2">
        <v>66</v>
      </c>
      <c r="AL305" s="2">
        <v>58.5</v>
      </c>
      <c r="AM305" s="2">
        <v>53.375</v>
      </c>
      <c r="AO305" s="124">
        <v>44159</v>
      </c>
      <c r="AP305">
        <v>49.375</v>
      </c>
      <c r="AQ305">
        <v>49.625</v>
      </c>
      <c r="AR305">
        <v>49.375</v>
      </c>
      <c r="AS305">
        <v>49.625</v>
      </c>
      <c r="AT305">
        <v>49.625</v>
      </c>
      <c r="AU305">
        <v>49.625</v>
      </c>
      <c r="AV305">
        <v>49.375</v>
      </c>
      <c r="AW305">
        <v>49.625</v>
      </c>
      <c r="AX305">
        <v>49.625</v>
      </c>
      <c r="AY305">
        <v>49.625</v>
      </c>
      <c r="AZ305" s="7"/>
      <c r="BB305" s="124">
        <v>44159</v>
      </c>
      <c r="BC305" s="2">
        <v>10.79</v>
      </c>
      <c r="BD305" s="2">
        <v>10.74</v>
      </c>
      <c r="BE305" s="2">
        <v>10.79</v>
      </c>
      <c r="BF305" s="2">
        <v>10.74</v>
      </c>
      <c r="BG305" s="2">
        <v>10.91</v>
      </c>
      <c r="BH305" s="2">
        <v>10.91</v>
      </c>
      <c r="BI305" s="2">
        <v>10.79</v>
      </c>
      <c r="BJ305" s="2">
        <v>10.74</v>
      </c>
      <c r="BK305" s="2">
        <v>10.93</v>
      </c>
      <c r="BL305" s="2">
        <v>10.91</v>
      </c>
      <c r="BM305" s="7"/>
      <c r="BN305" s="7"/>
      <c r="BO305" s="128">
        <v>44474</v>
      </c>
      <c r="BP305" s="2">
        <v>9.5500000000000007</v>
      </c>
      <c r="BQ305" s="2">
        <v>10.220000000000001</v>
      </c>
      <c r="BR305" s="2">
        <v>9.9499999999999993</v>
      </c>
      <c r="BS305" s="2">
        <v>10.199999999999999</v>
      </c>
      <c r="BT305" s="2"/>
      <c r="BU305" s="2"/>
      <c r="BV305" s="7"/>
      <c r="BW305" s="128">
        <v>44474</v>
      </c>
      <c r="BX305" s="2">
        <v>84</v>
      </c>
      <c r="BY305" s="2">
        <v>66</v>
      </c>
      <c r="BZ305" s="2">
        <v>58.5</v>
      </c>
      <c r="CA305" s="2">
        <v>53.375</v>
      </c>
    </row>
    <row r="306" spans="1:79" x14ac:dyDescent="0.2">
      <c r="A306" s="124">
        <v>44160</v>
      </c>
      <c r="B306">
        <v>49.875</v>
      </c>
      <c r="C306">
        <v>50.125</v>
      </c>
      <c r="D306">
        <v>49.875</v>
      </c>
      <c r="E306">
        <v>50.125</v>
      </c>
      <c r="F306">
        <v>50.125</v>
      </c>
      <c r="G306">
        <v>50.125</v>
      </c>
      <c r="H306">
        <v>49.875</v>
      </c>
      <c r="I306">
        <v>50.125</v>
      </c>
      <c r="J306">
        <v>50.125</v>
      </c>
      <c r="K306">
        <v>50.125</v>
      </c>
      <c r="L306" s="7"/>
      <c r="N306" s="124">
        <v>44160</v>
      </c>
      <c r="O306" s="2">
        <v>10.708</v>
      </c>
      <c r="P306" s="2">
        <v>10.6639</v>
      </c>
      <c r="Q306" s="2">
        <v>10.71</v>
      </c>
      <c r="R306" s="2">
        <v>10.664099999999999</v>
      </c>
      <c r="S306" s="2">
        <v>10.83</v>
      </c>
      <c r="T306" s="2">
        <v>10.8316</v>
      </c>
      <c r="U306" s="2">
        <v>10.708399999999999</v>
      </c>
      <c r="V306" s="2">
        <v>10.66405</v>
      </c>
      <c r="W306" s="2">
        <v>10.85</v>
      </c>
      <c r="X306" s="2">
        <v>10.829750000000001</v>
      </c>
      <c r="Y306" s="7"/>
      <c r="Z306" s="7"/>
      <c r="AA306" s="128">
        <v>44475</v>
      </c>
      <c r="AB306" s="2">
        <v>9.3831600000000002</v>
      </c>
      <c r="AC306" s="2">
        <v>10.172901</v>
      </c>
      <c r="AD306" s="2">
        <v>9.9147750000000006</v>
      </c>
      <c r="AE306" s="2">
        <v>9.837078</v>
      </c>
      <c r="AF306" s="2"/>
      <c r="AG306" s="2"/>
      <c r="AH306" s="7"/>
      <c r="AI306" s="128">
        <v>44475</v>
      </c>
      <c r="AJ306" s="2">
        <v>84.75</v>
      </c>
      <c r="AK306" s="2">
        <v>66.25</v>
      </c>
      <c r="AL306" s="2">
        <v>58.75</v>
      </c>
      <c r="AM306" s="2">
        <v>53.75</v>
      </c>
      <c r="AO306" s="124">
        <v>44160</v>
      </c>
      <c r="AP306">
        <v>49.875</v>
      </c>
      <c r="AQ306">
        <v>50.125</v>
      </c>
      <c r="AR306">
        <v>49.875</v>
      </c>
      <c r="AS306">
        <v>50.125</v>
      </c>
      <c r="AT306">
        <v>50.125</v>
      </c>
      <c r="AU306">
        <v>50.125</v>
      </c>
      <c r="AV306">
        <v>49.875</v>
      </c>
      <c r="AW306">
        <v>50.125</v>
      </c>
      <c r="AX306">
        <v>50.125</v>
      </c>
      <c r="AY306">
        <v>50.125</v>
      </c>
      <c r="AZ306" s="7"/>
      <c r="BB306" s="124">
        <v>44160</v>
      </c>
      <c r="BC306" s="2">
        <v>10.71</v>
      </c>
      <c r="BD306" s="2">
        <v>10.66</v>
      </c>
      <c r="BE306" s="2">
        <v>10.71</v>
      </c>
      <c r="BF306" s="2">
        <v>10.66</v>
      </c>
      <c r="BG306" s="2">
        <v>10.83</v>
      </c>
      <c r="BH306" s="2">
        <v>10.83</v>
      </c>
      <c r="BI306" s="2">
        <v>10.71</v>
      </c>
      <c r="BJ306" s="2">
        <v>10.66</v>
      </c>
      <c r="BK306" s="2">
        <v>10.85</v>
      </c>
      <c r="BL306" s="2">
        <v>10.83</v>
      </c>
      <c r="BM306" s="7"/>
      <c r="BN306" s="7"/>
      <c r="BO306" s="128">
        <v>44475</v>
      </c>
      <c r="BP306" s="2">
        <v>9.3800000000000008</v>
      </c>
      <c r="BQ306" s="2">
        <v>10.17</v>
      </c>
      <c r="BR306" s="2">
        <v>9.91</v>
      </c>
      <c r="BS306" s="2">
        <v>10.08</v>
      </c>
      <c r="BT306" s="2"/>
      <c r="BU306" s="2"/>
      <c r="BV306" s="7"/>
      <c r="BW306" s="128">
        <v>44475</v>
      </c>
      <c r="BX306" s="2">
        <v>84.75</v>
      </c>
      <c r="BY306" s="2">
        <v>66.25</v>
      </c>
      <c r="BZ306" s="2">
        <v>58.75</v>
      </c>
      <c r="CA306" s="2">
        <v>53.75</v>
      </c>
    </row>
    <row r="307" spans="1:79" x14ac:dyDescent="0.2">
      <c r="A307" s="124">
        <v>44161</v>
      </c>
      <c r="B307">
        <v>49.25</v>
      </c>
      <c r="C307">
        <v>49.5</v>
      </c>
      <c r="D307">
        <v>49.25</v>
      </c>
      <c r="E307">
        <v>49.5</v>
      </c>
      <c r="F307">
        <v>49.5</v>
      </c>
      <c r="G307">
        <v>49.5</v>
      </c>
      <c r="H307">
        <v>49.25</v>
      </c>
      <c r="I307">
        <v>49.5</v>
      </c>
      <c r="J307">
        <v>49.5</v>
      </c>
      <c r="K307">
        <v>49.5</v>
      </c>
      <c r="L307" s="7"/>
      <c r="N307" s="124">
        <v>44161</v>
      </c>
      <c r="O307" s="2">
        <v>10.82245</v>
      </c>
      <c r="P307" s="2">
        <v>10.777749999999999</v>
      </c>
      <c r="Q307" s="2">
        <v>10.82</v>
      </c>
      <c r="R307" s="2">
        <v>10.777950000000001</v>
      </c>
      <c r="S307" s="2">
        <v>10.95</v>
      </c>
      <c r="T307" s="2">
        <v>10.9481</v>
      </c>
      <c r="U307" s="2">
        <v>10.822950000000001</v>
      </c>
      <c r="V307" s="2">
        <v>10.777950000000001</v>
      </c>
      <c r="W307" s="2">
        <v>10.97</v>
      </c>
      <c r="X307" s="2">
        <v>10.946199999999999</v>
      </c>
      <c r="Y307" s="7"/>
      <c r="Z307" s="7"/>
      <c r="AA307" s="128">
        <v>44476</v>
      </c>
      <c r="AB307" s="2">
        <v>8.9930559999999993</v>
      </c>
      <c r="AC307" s="2">
        <v>9.8686430000000005</v>
      </c>
      <c r="AD307" s="2">
        <v>9.6267080000000007</v>
      </c>
      <c r="AE307" s="2">
        <v>9.4756850000000004</v>
      </c>
      <c r="AF307" s="2"/>
      <c r="AG307" s="2"/>
      <c r="AH307" s="7"/>
      <c r="AI307" s="128">
        <v>44476</v>
      </c>
      <c r="AJ307" s="2">
        <v>86.5</v>
      </c>
      <c r="AK307" s="2">
        <v>68</v>
      </c>
      <c r="AL307" s="2">
        <v>60.625</v>
      </c>
      <c r="AM307" s="2">
        <v>55</v>
      </c>
      <c r="AO307" s="124">
        <v>44161</v>
      </c>
      <c r="AP307">
        <v>49.25</v>
      </c>
      <c r="AQ307">
        <v>49.5</v>
      </c>
      <c r="AR307">
        <v>49.25</v>
      </c>
      <c r="AS307">
        <v>49.5</v>
      </c>
      <c r="AT307">
        <v>49.5</v>
      </c>
      <c r="AU307">
        <v>49.5</v>
      </c>
      <c r="AV307">
        <v>49.25</v>
      </c>
      <c r="AW307">
        <v>49.5</v>
      </c>
      <c r="AX307">
        <v>49.5</v>
      </c>
      <c r="AY307">
        <v>49.5</v>
      </c>
      <c r="AZ307" s="7"/>
      <c r="BB307" s="124">
        <v>44161</v>
      </c>
      <c r="BC307" s="2">
        <v>10.82</v>
      </c>
      <c r="BD307" s="2">
        <v>10.78</v>
      </c>
      <c r="BE307" s="2">
        <v>10.82</v>
      </c>
      <c r="BF307" s="2">
        <v>10.78</v>
      </c>
      <c r="BG307" s="2">
        <v>10.95</v>
      </c>
      <c r="BH307" s="2">
        <v>10.95</v>
      </c>
      <c r="BI307" s="2">
        <v>10.82</v>
      </c>
      <c r="BJ307" s="2">
        <v>10.78</v>
      </c>
      <c r="BK307" s="2">
        <v>10.97</v>
      </c>
      <c r="BL307" s="2">
        <v>10.94</v>
      </c>
      <c r="BM307" s="7"/>
      <c r="BN307" s="7"/>
      <c r="BO307" s="128">
        <v>44476</v>
      </c>
      <c r="BP307" s="2">
        <v>8.99</v>
      </c>
      <c r="BQ307" s="2">
        <v>9.8699999999999992</v>
      </c>
      <c r="BR307" s="2">
        <v>9.6300000000000008</v>
      </c>
      <c r="BS307" s="2">
        <v>9.6999999999999993</v>
      </c>
      <c r="BT307" s="2"/>
      <c r="BU307" s="2"/>
      <c r="BV307" s="7"/>
      <c r="BW307" s="128">
        <v>44476</v>
      </c>
      <c r="BX307" s="2">
        <v>86.5</v>
      </c>
      <c r="BY307" s="2">
        <v>68</v>
      </c>
      <c r="BZ307" s="2">
        <v>60.625</v>
      </c>
      <c r="CA307" s="2">
        <v>55</v>
      </c>
    </row>
    <row r="308" spans="1:79" x14ac:dyDescent="0.2">
      <c r="A308" s="124">
        <v>44162</v>
      </c>
      <c r="B308">
        <v>49.25</v>
      </c>
      <c r="C308">
        <v>49.5</v>
      </c>
      <c r="D308">
        <v>49.25</v>
      </c>
      <c r="E308">
        <v>49.5</v>
      </c>
      <c r="F308">
        <v>49.5</v>
      </c>
      <c r="G308">
        <v>49.5</v>
      </c>
      <c r="H308">
        <v>49.25</v>
      </c>
      <c r="I308">
        <v>49.5</v>
      </c>
      <c r="J308">
        <v>49.5</v>
      </c>
      <c r="K308">
        <v>49.5</v>
      </c>
      <c r="L308" s="7"/>
      <c r="N308" s="124">
        <v>44162</v>
      </c>
      <c r="O308" s="2">
        <v>10.82225</v>
      </c>
      <c r="P308" s="2">
        <v>10.77745</v>
      </c>
      <c r="Q308" s="2">
        <v>10.82</v>
      </c>
      <c r="R308" s="2">
        <v>10.77765</v>
      </c>
      <c r="S308" s="2">
        <v>10.95</v>
      </c>
      <c r="T308" s="2">
        <v>10.9481</v>
      </c>
      <c r="U308" s="2">
        <v>10.822749999999999</v>
      </c>
      <c r="V308" s="2">
        <v>10.77765</v>
      </c>
      <c r="W308" s="2">
        <v>10.97</v>
      </c>
      <c r="X308" s="2">
        <v>10.946199999999999</v>
      </c>
      <c r="Y308" s="7"/>
      <c r="Z308" s="7"/>
      <c r="AA308" s="128">
        <v>44477</v>
      </c>
      <c r="AB308" s="2">
        <v>9.1355609999999992</v>
      </c>
      <c r="AC308" s="2">
        <v>9.9158860000000004</v>
      </c>
      <c r="AD308" s="2">
        <v>9.628959</v>
      </c>
      <c r="AE308" s="2">
        <v>9.5549739999999996</v>
      </c>
      <c r="AF308" s="2"/>
      <c r="AG308" s="2"/>
      <c r="AH308" s="7"/>
      <c r="AI308" s="128">
        <v>44477</v>
      </c>
      <c r="AJ308" s="2">
        <v>85.875</v>
      </c>
      <c r="AK308" s="2">
        <v>67.75</v>
      </c>
      <c r="AL308" s="2">
        <v>60.625</v>
      </c>
      <c r="AM308" s="2">
        <v>54.75</v>
      </c>
      <c r="AO308" s="124">
        <v>44162</v>
      </c>
      <c r="AP308">
        <v>49.25</v>
      </c>
      <c r="AQ308">
        <v>49.5</v>
      </c>
      <c r="AR308">
        <v>49.25</v>
      </c>
      <c r="AS308">
        <v>49.5</v>
      </c>
      <c r="AT308">
        <v>49.5</v>
      </c>
      <c r="AU308">
        <v>49.5</v>
      </c>
      <c r="AV308">
        <v>49.25</v>
      </c>
      <c r="AW308">
        <v>49.5</v>
      </c>
      <c r="AX308">
        <v>49.5</v>
      </c>
      <c r="AY308">
        <v>49.5</v>
      </c>
      <c r="AZ308" s="7"/>
      <c r="BB308" s="124">
        <v>44162</v>
      </c>
      <c r="BC308" s="2">
        <v>10.82</v>
      </c>
      <c r="BD308" s="2">
        <v>10.78</v>
      </c>
      <c r="BE308" s="2">
        <v>10.82</v>
      </c>
      <c r="BF308" s="2">
        <v>10.78</v>
      </c>
      <c r="BG308" s="2">
        <v>10.95</v>
      </c>
      <c r="BH308" s="2">
        <v>10.95</v>
      </c>
      <c r="BI308" s="2">
        <v>10.82</v>
      </c>
      <c r="BJ308" s="2">
        <v>10.78</v>
      </c>
      <c r="BK308" s="2">
        <v>10.97</v>
      </c>
      <c r="BL308" s="2">
        <v>10.94</v>
      </c>
      <c r="BM308" s="7"/>
      <c r="BN308" s="7"/>
      <c r="BO308" s="128">
        <v>44477</v>
      </c>
      <c r="BP308" s="2">
        <v>9.14</v>
      </c>
      <c r="BQ308" s="2">
        <v>9.92</v>
      </c>
      <c r="BR308" s="2">
        <v>9.6300000000000008</v>
      </c>
      <c r="BS308" s="2">
        <v>9.7799999999999994</v>
      </c>
      <c r="BT308" s="2"/>
      <c r="BU308" s="2"/>
      <c r="BV308" s="7"/>
      <c r="BW308" s="128">
        <v>44477</v>
      </c>
      <c r="BX308" s="2">
        <v>85.875</v>
      </c>
      <c r="BY308" s="2">
        <v>67.75</v>
      </c>
      <c r="BZ308" s="2">
        <v>60.625</v>
      </c>
      <c r="CA308" s="2">
        <v>54.75</v>
      </c>
    </row>
    <row r="309" spans="1:79" x14ac:dyDescent="0.2">
      <c r="A309" s="124">
        <v>44165</v>
      </c>
      <c r="B309">
        <v>49.625</v>
      </c>
      <c r="C309">
        <v>49.875</v>
      </c>
      <c r="D309">
        <v>49.625</v>
      </c>
      <c r="E309">
        <v>49.875</v>
      </c>
      <c r="F309">
        <v>49.875</v>
      </c>
      <c r="G309">
        <v>49.875</v>
      </c>
      <c r="H309">
        <v>49.625</v>
      </c>
      <c r="I309">
        <v>49.875</v>
      </c>
      <c r="J309">
        <v>49.875</v>
      </c>
      <c r="K309">
        <v>49.875</v>
      </c>
      <c r="L309" s="7"/>
      <c r="N309" s="124">
        <v>44165</v>
      </c>
      <c r="O309" s="2">
        <v>10.755750000000001</v>
      </c>
      <c r="P309" s="2">
        <v>10.711399999999999</v>
      </c>
      <c r="Q309" s="2">
        <v>10.76</v>
      </c>
      <c r="R309" s="2">
        <v>10.711600000000001</v>
      </c>
      <c r="S309" s="2">
        <v>10.88</v>
      </c>
      <c r="T309" s="2">
        <v>10.880699999999999</v>
      </c>
      <c r="U309" s="2">
        <v>10.7562</v>
      </c>
      <c r="V309" s="2">
        <v>10.711600000000001</v>
      </c>
      <c r="W309" s="2">
        <v>10.9</v>
      </c>
      <c r="X309" s="2">
        <v>10.8788</v>
      </c>
      <c r="Y309" s="7"/>
      <c r="Z309" s="7"/>
      <c r="AA309" s="128">
        <v>44480</v>
      </c>
      <c r="AB309" s="2">
        <v>9.0790780000000009</v>
      </c>
      <c r="AC309" s="2">
        <v>9.9158860000000004</v>
      </c>
      <c r="AD309" s="2">
        <v>9.786149</v>
      </c>
      <c r="AE309" s="2">
        <v>9.5926460000000002</v>
      </c>
      <c r="AF309" s="2"/>
      <c r="AG309" s="2"/>
      <c r="AH309" s="7"/>
      <c r="AI309" s="128">
        <v>44480</v>
      </c>
      <c r="AJ309" s="2">
        <v>86.125</v>
      </c>
      <c r="AK309" s="2">
        <v>67.75</v>
      </c>
      <c r="AL309" s="2">
        <v>59.625</v>
      </c>
      <c r="AM309" s="2">
        <v>54.625</v>
      </c>
      <c r="AO309" s="124">
        <v>44165</v>
      </c>
      <c r="AP309">
        <v>49.625</v>
      </c>
      <c r="AQ309">
        <v>49.875</v>
      </c>
      <c r="AR309">
        <v>49.625</v>
      </c>
      <c r="AS309">
        <v>49.875</v>
      </c>
      <c r="AT309">
        <v>49.875</v>
      </c>
      <c r="AU309">
        <v>49.875</v>
      </c>
      <c r="AV309">
        <v>49.625</v>
      </c>
      <c r="AW309">
        <v>49.875</v>
      </c>
      <c r="AX309">
        <v>49.875</v>
      </c>
      <c r="AY309">
        <v>49.875</v>
      </c>
      <c r="AZ309" s="7"/>
      <c r="BB309" s="124">
        <v>44165</v>
      </c>
      <c r="BC309" s="2">
        <v>10.76</v>
      </c>
      <c r="BD309" s="2">
        <v>10.71</v>
      </c>
      <c r="BE309" s="2">
        <v>10.76</v>
      </c>
      <c r="BF309" s="2">
        <v>10.71</v>
      </c>
      <c r="BG309" s="2">
        <v>10.88</v>
      </c>
      <c r="BH309" s="2">
        <v>10.88</v>
      </c>
      <c r="BI309" s="2">
        <v>10.76</v>
      </c>
      <c r="BJ309" s="2">
        <v>10.71</v>
      </c>
      <c r="BK309" s="2">
        <v>10.9</v>
      </c>
      <c r="BL309" s="2">
        <v>10.88</v>
      </c>
      <c r="BM309" s="7"/>
      <c r="BN309" s="7"/>
      <c r="BO309" s="128">
        <v>44480</v>
      </c>
      <c r="BP309" s="2">
        <v>9.08</v>
      </c>
      <c r="BQ309" s="2">
        <v>9.92</v>
      </c>
      <c r="BR309" s="2">
        <v>9.7899999999999991</v>
      </c>
      <c r="BS309" s="2">
        <v>9.82</v>
      </c>
      <c r="BT309" s="2"/>
      <c r="BU309" s="2"/>
      <c r="BV309" s="7"/>
      <c r="BW309" s="128">
        <v>44480</v>
      </c>
      <c r="BX309" s="2">
        <v>86.125</v>
      </c>
      <c r="BY309" s="2">
        <v>67.75</v>
      </c>
      <c r="BZ309" s="2">
        <v>59.625</v>
      </c>
      <c r="CA309" s="2">
        <v>54.625</v>
      </c>
    </row>
    <row r="310" spans="1:79" x14ac:dyDescent="0.2">
      <c r="A310" s="124">
        <v>44166</v>
      </c>
      <c r="B310">
        <v>50.25</v>
      </c>
      <c r="C310">
        <v>50.5</v>
      </c>
      <c r="D310">
        <v>50.25</v>
      </c>
      <c r="E310">
        <v>50.5</v>
      </c>
      <c r="F310">
        <v>50.5</v>
      </c>
      <c r="G310">
        <v>50.5</v>
      </c>
      <c r="H310">
        <v>50.25</v>
      </c>
      <c r="I310">
        <v>50.5</v>
      </c>
      <c r="J310">
        <v>50.5</v>
      </c>
      <c r="K310">
        <v>50.5</v>
      </c>
      <c r="L310" s="7"/>
      <c r="N310" s="124">
        <v>44166</v>
      </c>
      <c r="O310" s="2">
        <v>10.6447</v>
      </c>
      <c r="P310" s="2">
        <v>10.600949999999999</v>
      </c>
      <c r="Q310" s="2">
        <v>10.64</v>
      </c>
      <c r="R310" s="2">
        <v>10.601150000000001</v>
      </c>
      <c r="S310" s="2">
        <v>10.77</v>
      </c>
      <c r="T310" s="2">
        <v>10.767950000000001</v>
      </c>
      <c r="U310" s="2">
        <v>10.645099999999999</v>
      </c>
      <c r="V310" s="2">
        <v>10.601150000000001</v>
      </c>
      <c r="W310" s="2">
        <v>10.79</v>
      </c>
      <c r="X310" s="2">
        <v>10.7661</v>
      </c>
      <c r="Y310" s="7"/>
      <c r="Z310" s="7"/>
      <c r="AA310" s="128">
        <v>44481</v>
      </c>
      <c r="AB310" s="2">
        <v>9.1656279999999999</v>
      </c>
      <c r="AC310" s="2">
        <v>9.9633610000000008</v>
      </c>
      <c r="AD310" s="2">
        <v>9.6702110000000001</v>
      </c>
      <c r="AE310" s="2">
        <v>9.6347260000000006</v>
      </c>
      <c r="AF310" s="2"/>
      <c r="AG310" s="2"/>
      <c r="AH310" s="7"/>
      <c r="AI310" s="128">
        <v>44481</v>
      </c>
      <c r="AJ310" s="2">
        <v>85.75</v>
      </c>
      <c r="AK310" s="2">
        <v>67.5</v>
      </c>
      <c r="AL310" s="2">
        <v>60.375</v>
      </c>
      <c r="AM310" s="2">
        <v>54.5</v>
      </c>
      <c r="AO310" s="124">
        <v>44166</v>
      </c>
      <c r="AP310">
        <v>50.25</v>
      </c>
      <c r="AQ310">
        <v>50.5</v>
      </c>
      <c r="AR310">
        <v>50.25</v>
      </c>
      <c r="AS310">
        <v>50.5</v>
      </c>
      <c r="AT310">
        <v>50.5</v>
      </c>
      <c r="AU310">
        <v>50.5</v>
      </c>
      <c r="AV310">
        <v>50.25</v>
      </c>
      <c r="AW310">
        <v>50.5</v>
      </c>
      <c r="AX310">
        <v>50.5</v>
      </c>
      <c r="AY310">
        <v>50.5</v>
      </c>
      <c r="AZ310" s="7"/>
      <c r="BB310" s="124">
        <v>44166</v>
      </c>
      <c r="BC310" s="2">
        <v>10.64</v>
      </c>
      <c r="BD310" s="2">
        <v>10.6</v>
      </c>
      <c r="BE310" s="2">
        <v>10.64</v>
      </c>
      <c r="BF310" s="2">
        <v>10.6</v>
      </c>
      <c r="BG310" s="2">
        <v>10.77</v>
      </c>
      <c r="BH310" s="2">
        <v>10.77</v>
      </c>
      <c r="BI310" s="2">
        <v>10.64</v>
      </c>
      <c r="BJ310" s="2">
        <v>10.6</v>
      </c>
      <c r="BK310" s="2">
        <v>10.79</v>
      </c>
      <c r="BL310" s="2">
        <v>10.76</v>
      </c>
      <c r="BM310" s="7"/>
      <c r="BN310" s="7"/>
      <c r="BO310" s="128">
        <v>44481</v>
      </c>
      <c r="BP310" s="2">
        <v>9.17</v>
      </c>
      <c r="BQ310" s="2">
        <v>9.9600000000000009</v>
      </c>
      <c r="BR310" s="2">
        <v>9.67</v>
      </c>
      <c r="BS310" s="2">
        <v>9.8699999999999992</v>
      </c>
      <c r="BT310" s="2"/>
      <c r="BU310" s="2"/>
      <c r="BV310" s="7"/>
      <c r="BW310" s="128">
        <v>44481</v>
      </c>
      <c r="BX310" s="2">
        <v>85.75</v>
      </c>
      <c r="BY310" s="2">
        <v>67.5</v>
      </c>
      <c r="BZ310" s="2">
        <v>60.375</v>
      </c>
      <c r="CA310" s="2">
        <v>54.5</v>
      </c>
    </row>
    <row r="311" spans="1:79" x14ac:dyDescent="0.2">
      <c r="A311" s="124">
        <v>44167</v>
      </c>
      <c r="B311">
        <v>50.5</v>
      </c>
      <c r="C311">
        <v>50.75</v>
      </c>
      <c r="D311">
        <v>50.5</v>
      </c>
      <c r="E311">
        <v>50.75</v>
      </c>
      <c r="F311">
        <v>50.75</v>
      </c>
      <c r="G311">
        <v>50.75</v>
      </c>
      <c r="H311">
        <v>50.5</v>
      </c>
      <c r="I311">
        <v>50.75</v>
      </c>
      <c r="J311">
        <v>50.75</v>
      </c>
      <c r="K311">
        <v>50.75</v>
      </c>
      <c r="L311" s="7"/>
      <c r="N311" s="124">
        <v>44167</v>
      </c>
      <c r="O311" s="2">
        <v>10.60215</v>
      </c>
      <c r="P311" s="2">
        <v>10.55865</v>
      </c>
      <c r="Q311" s="2">
        <v>10.6</v>
      </c>
      <c r="R311" s="2">
        <v>10.55885</v>
      </c>
      <c r="S311" s="2">
        <v>10.72</v>
      </c>
      <c r="T311" s="2">
        <v>10.72495</v>
      </c>
      <c r="U311" s="2">
        <v>10.602600000000001</v>
      </c>
      <c r="V311" s="2">
        <v>10.55885</v>
      </c>
      <c r="W311" s="2">
        <v>10.74</v>
      </c>
      <c r="X311" s="2">
        <v>10.723100000000001</v>
      </c>
      <c r="Y311" s="7"/>
      <c r="Z311" s="7"/>
      <c r="AA311" s="128">
        <v>44482</v>
      </c>
      <c r="AB311" s="2">
        <v>9.2812610000000006</v>
      </c>
      <c r="AC311" s="2">
        <v>10.147093999999999</v>
      </c>
      <c r="AD311" s="2">
        <v>9.7511150000000004</v>
      </c>
      <c r="AE311" s="2">
        <v>9.7530450000000002</v>
      </c>
      <c r="AF311" s="2"/>
      <c r="AG311" s="2"/>
      <c r="AH311" s="7"/>
      <c r="AI311" s="128">
        <v>44482</v>
      </c>
      <c r="AJ311" s="2">
        <v>85.25</v>
      </c>
      <c r="AK311" s="2">
        <v>66.5</v>
      </c>
      <c r="AL311" s="2">
        <v>59.875</v>
      </c>
      <c r="AM311" s="2">
        <v>54.125</v>
      </c>
      <c r="AO311" s="124">
        <v>44167</v>
      </c>
      <c r="AP311">
        <v>50.5</v>
      </c>
      <c r="AQ311">
        <v>50.75</v>
      </c>
      <c r="AR311">
        <v>50.5</v>
      </c>
      <c r="AS311">
        <v>50.75</v>
      </c>
      <c r="AT311">
        <v>50.75</v>
      </c>
      <c r="AU311">
        <v>50.75</v>
      </c>
      <c r="AV311">
        <v>50.5</v>
      </c>
      <c r="AW311">
        <v>50.75</v>
      </c>
      <c r="AX311">
        <v>50.75</v>
      </c>
      <c r="AY311">
        <v>50.75</v>
      </c>
      <c r="AZ311" s="7"/>
      <c r="BB311" s="124">
        <v>44167</v>
      </c>
      <c r="BC311" s="2">
        <v>10.6</v>
      </c>
      <c r="BD311" s="2">
        <v>10.56</v>
      </c>
      <c r="BE311" s="2">
        <v>10.6</v>
      </c>
      <c r="BF311" s="2">
        <v>10.56</v>
      </c>
      <c r="BG311" s="2">
        <v>10.72</v>
      </c>
      <c r="BH311" s="2">
        <v>10.72</v>
      </c>
      <c r="BI311" s="2">
        <v>10.6</v>
      </c>
      <c r="BJ311" s="2">
        <v>10.56</v>
      </c>
      <c r="BK311" s="2">
        <v>10.74</v>
      </c>
      <c r="BL311" s="2">
        <v>10.72</v>
      </c>
      <c r="BM311" s="7"/>
      <c r="BN311" s="7"/>
      <c r="BO311" s="128">
        <v>44482</v>
      </c>
      <c r="BP311" s="2">
        <v>9.2799999999999994</v>
      </c>
      <c r="BQ311" s="2">
        <v>10.15</v>
      </c>
      <c r="BR311" s="2">
        <v>9.75</v>
      </c>
      <c r="BS311" s="2">
        <v>9.99</v>
      </c>
      <c r="BT311" s="2"/>
      <c r="BU311" s="2"/>
      <c r="BV311" s="7"/>
      <c r="BW311" s="128">
        <v>44482</v>
      </c>
      <c r="BX311" s="2">
        <v>85.25</v>
      </c>
      <c r="BY311" s="2">
        <v>66.5</v>
      </c>
      <c r="BZ311" s="2">
        <v>59.875</v>
      </c>
      <c r="CA311" s="2">
        <v>54.125</v>
      </c>
    </row>
    <row r="312" spans="1:79" x14ac:dyDescent="0.2">
      <c r="A312" s="124">
        <v>44168</v>
      </c>
      <c r="B312">
        <v>50.5</v>
      </c>
      <c r="C312">
        <v>50.75</v>
      </c>
      <c r="D312">
        <v>50.5</v>
      </c>
      <c r="E312">
        <v>50.75</v>
      </c>
      <c r="F312">
        <v>50.75</v>
      </c>
      <c r="G312">
        <v>50.75</v>
      </c>
      <c r="H312">
        <v>50.5</v>
      </c>
      <c r="I312">
        <v>50.75</v>
      </c>
      <c r="J312">
        <v>50.75</v>
      </c>
      <c r="K312">
        <v>50.75</v>
      </c>
      <c r="L312" s="7"/>
      <c r="N312" s="124">
        <v>44168</v>
      </c>
      <c r="O312" s="2">
        <v>10.609349999999999</v>
      </c>
      <c r="P312" s="2">
        <v>10.565849999999999</v>
      </c>
      <c r="Q312" s="2">
        <v>10.61</v>
      </c>
      <c r="R312" s="2">
        <v>10.566000000000001</v>
      </c>
      <c r="S312" s="2">
        <v>10.73</v>
      </c>
      <c r="T312" s="2">
        <v>10.73305</v>
      </c>
      <c r="U312" s="2">
        <v>10.60975</v>
      </c>
      <c r="V312" s="2">
        <v>10.566000000000001</v>
      </c>
      <c r="W312" s="2">
        <v>10.75</v>
      </c>
      <c r="X312" s="2">
        <v>10.73115</v>
      </c>
      <c r="Y312" s="7"/>
      <c r="Z312" s="7"/>
      <c r="AA312" s="128">
        <v>44483</v>
      </c>
      <c r="AB312" s="2">
        <v>9.0594610000000007</v>
      </c>
      <c r="AC312" s="2">
        <v>9.8407870000000006</v>
      </c>
      <c r="AD312" s="2">
        <v>9.5427330000000001</v>
      </c>
      <c r="AE312" s="2">
        <v>9.6520050000000008</v>
      </c>
      <c r="AF312" s="2"/>
      <c r="AG312" s="2"/>
      <c r="AH312" s="7"/>
      <c r="AI312" s="128">
        <v>44483</v>
      </c>
      <c r="AJ312" s="2">
        <v>86.25</v>
      </c>
      <c r="AK312" s="2">
        <v>68.25</v>
      </c>
      <c r="AL312" s="2">
        <v>61.255000000000003</v>
      </c>
      <c r="AM312" s="2">
        <v>54.5</v>
      </c>
      <c r="AO312" s="124">
        <v>44168</v>
      </c>
      <c r="AP312">
        <v>50.5</v>
      </c>
      <c r="AQ312">
        <v>50.75</v>
      </c>
      <c r="AR312">
        <v>50.5</v>
      </c>
      <c r="AS312">
        <v>50.75</v>
      </c>
      <c r="AT312">
        <v>50.75</v>
      </c>
      <c r="AU312">
        <v>50.75</v>
      </c>
      <c r="AV312">
        <v>50.5</v>
      </c>
      <c r="AW312">
        <v>50.75</v>
      </c>
      <c r="AX312">
        <v>50.75</v>
      </c>
      <c r="AY312">
        <v>50.75</v>
      </c>
      <c r="AZ312" s="7"/>
      <c r="BB312" s="124">
        <v>44168</v>
      </c>
      <c r="BC312" s="2">
        <v>10.61</v>
      </c>
      <c r="BD312" s="2">
        <v>10.56</v>
      </c>
      <c r="BE312" s="2">
        <v>10.61</v>
      </c>
      <c r="BF312" s="2">
        <v>10.56</v>
      </c>
      <c r="BG312" s="2">
        <v>10.73</v>
      </c>
      <c r="BH312" s="2">
        <v>10.73</v>
      </c>
      <c r="BI312" s="2">
        <v>10.61</v>
      </c>
      <c r="BJ312" s="2">
        <v>10.56</v>
      </c>
      <c r="BK312" s="2">
        <v>10.75</v>
      </c>
      <c r="BL312" s="2">
        <v>10.73</v>
      </c>
      <c r="BM312" s="7"/>
      <c r="BN312" s="7"/>
      <c r="BO312" s="128">
        <v>44483</v>
      </c>
      <c r="BP312" s="2">
        <v>9.06</v>
      </c>
      <c r="BQ312" s="2">
        <v>9.84</v>
      </c>
      <c r="BR312" s="2">
        <v>9.5399999999999991</v>
      </c>
      <c r="BS312" s="2">
        <v>9.8800000000000008</v>
      </c>
      <c r="BT312" s="2"/>
      <c r="BU312" s="2"/>
      <c r="BV312" s="7"/>
      <c r="BW312" s="128">
        <v>44483</v>
      </c>
      <c r="BX312" s="2">
        <v>86.25</v>
      </c>
      <c r="BY312" s="2">
        <v>68.25</v>
      </c>
      <c r="BZ312" s="2">
        <v>61.255000000000003</v>
      </c>
      <c r="CA312" s="2">
        <v>54.5</v>
      </c>
    </row>
    <row r="313" spans="1:79" x14ac:dyDescent="0.2">
      <c r="A313" s="124">
        <v>44169</v>
      </c>
      <c r="B313">
        <v>51.5</v>
      </c>
      <c r="C313">
        <v>51.75</v>
      </c>
      <c r="D313">
        <v>51.5</v>
      </c>
      <c r="E313">
        <v>51.75</v>
      </c>
      <c r="F313">
        <v>51.75</v>
      </c>
      <c r="G313">
        <v>51.75</v>
      </c>
      <c r="H313">
        <v>51.5</v>
      </c>
      <c r="I313">
        <v>51.75</v>
      </c>
      <c r="J313">
        <v>51.75</v>
      </c>
      <c r="K313">
        <v>51.75</v>
      </c>
      <c r="L313" s="7"/>
      <c r="N313" s="124">
        <v>44169</v>
      </c>
      <c r="O313" s="2">
        <v>10.4346</v>
      </c>
      <c r="P313" s="2">
        <v>10.392049999999999</v>
      </c>
      <c r="Q313" s="2">
        <v>10.43</v>
      </c>
      <c r="R313" s="2">
        <v>10.392250000000001</v>
      </c>
      <c r="S313" s="2">
        <v>10.55</v>
      </c>
      <c r="T313" s="2">
        <v>10.5555</v>
      </c>
      <c r="U313" s="2">
        <v>10.435</v>
      </c>
      <c r="V313" s="2">
        <v>10.392200000000001</v>
      </c>
      <c r="W313" s="2">
        <v>10.57</v>
      </c>
      <c r="X313" s="2">
        <v>10.553699999999999</v>
      </c>
      <c r="Y313" s="7"/>
      <c r="Z313" s="7"/>
      <c r="AA313" s="128">
        <v>44484</v>
      </c>
      <c r="AB313" s="2">
        <v>9.061178</v>
      </c>
      <c r="AC313" s="2">
        <v>9.7773260000000004</v>
      </c>
      <c r="AD313" s="2">
        <v>9.4312529999999999</v>
      </c>
      <c r="AE313" s="2">
        <v>9.5806789999999999</v>
      </c>
      <c r="AF313" s="2"/>
      <c r="AG313" s="2"/>
      <c r="AH313" s="7"/>
      <c r="AI313" s="128">
        <v>44484</v>
      </c>
      <c r="AJ313" s="2">
        <v>86.25</v>
      </c>
      <c r="AK313" s="2">
        <v>68.625</v>
      </c>
      <c r="AL313" s="2">
        <v>62</v>
      </c>
      <c r="AM313" s="2">
        <v>54.75</v>
      </c>
      <c r="AO313" s="124">
        <v>44169</v>
      </c>
      <c r="AP313">
        <v>51.5</v>
      </c>
      <c r="AQ313">
        <v>51.75</v>
      </c>
      <c r="AR313">
        <v>51.5</v>
      </c>
      <c r="AS313">
        <v>51.75</v>
      </c>
      <c r="AT313">
        <v>51.75</v>
      </c>
      <c r="AU313">
        <v>51.75</v>
      </c>
      <c r="AV313">
        <v>51.5</v>
      </c>
      <c r="AW313">
        <v>51.75</v>
      </c>
      <c r="AX313">
        <v>51.75</v>
      </c>
      <c r="AY313">
        <v>51.75</v>
      </c>
      <c r="AZ313" s="7"/>
      <c r="BB313" s="124">
        <v>44169</v>
      </c>
      <c r="BC313" s="2">
        <v>10.43</v>
      </c>
      <c r="BD313" s="2">
        <v>10.39</v>
      </c>
      <c r="BE313" s="2">
        <v>10.43</v>
      </c>
      <c r="BF313" s="2">
        <v>10.39</v>
      </c>
      <c r="BG313" s="2">
        <v>10.55</v>
      </c>
      <c r="BH313" s="2">
        <v>10.55</v>
      </c>
      <c r="BI313" s="2">
        <v>10.43</v>
      </c>
      <c r="BJ313" s="2">
        <v>10.39</v>
      </c>
      <c r="BK313" s="2">
        <v>10.57</v>
      </c>
      <c r="BL313" s="2">
        <v>10.55</v>
      </c>
      <c r="BM313" s="7"/>
      <c r="BN313" s="7"/>
      <c r="BO313" s="128">
        <v>44484</v>
      </c>
      <c r="BP313" s="2">
        <v>9.06</v>
      </c>
      <c r="BQ313" s="2">
        <v>9.7799999999999994</v>
      </c>
      <c r="BR313" s="2">
        <v>9.43</v>
      </c>
      <c r="BS313" s="2">
        <v>9.81</v>
      </c>
      <c r="BT313" s="2"/>
      <c r="BU313" s="2"/>
      <c r="BV313" s="7"/>
      <c r="BW313" s="128">
        <v>44484</v>
      </c>
      <c r="BX313" s="2">
        <v>86.25</v>
      </c>
      <c r="BY313" s="2">
        <v>68.625</v>
      </c>
      <c r="BZ313" s="2">
        <v>62</v>
      </c>
      <c r="CA313" s="2">
        <v>54.75</v>
      </c>
    </row>
    <row r="314" spans="1:79" x14ac:dyDescent="0.2">
      <c r="A314" s="124">
        <v>44172</v>
      </c>
      <c r="B314">
        <v>52</v>
      </c>
      <c r="C314">
        <v>52.25</v>
      </c>
      <c r="D314">
        <v>52</v>
      </c>
      <c r="E314">
        <v>52.25</v>
      </c>
      <c r="F314">
        <v>52.25</v>
      </c>
      <c r="G314">
        <v>52.25</v>
      </c>
      <c r="H314">
        <v>52</v>
      </c>
      <c r="I314">
        <v>52.25</v>
      </c>
      <c r="J314">
        <v>52.25</v>
      </c>
      <c r="K314">
        <v>52.25</v>
      </c>
      <c r="L314" s="7"/>
      <c r="N314" s="124">
        <v>44172</v>
      </c>
      <c r="O314" s="2">
        <v>10.34995</v>
      </c>
      <c r="P314" s="2">
        <v>10.30785</v>
      </c>
      <c r="Q314" s="2">
        <v>10.35</v>
      </c>
      <c r="R314" s="2">
        <v>10.30805</v>
      </c>
      <c r="S314" s="2">
        <v>10.47</v>
      </c>
      <c r="T314" s="2">
        <v>10.46965</v>
      </c>
      <c r="U314" s="2">
        <v>10.350350000000001</v>
      </c>
      <c r="V314" s="2">
        <v>10.30805</v>
      </c>
      <c r="W314" s="2">
        <v>10.49</v>
      </c>
      <c r="X314" s="2">
        <v>10.46785</v>
      </c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2"/>
      <c r="AL314" s="1"/>
      <c r="AM314" s="2"/>
      <c r="AO314" s="124">
        <v>44172</v>
      </c>
      <c r="AP314">
        <v>52</v>
      </c>
      <c r="AQ314">
        <v>52.25</v>
      </c>
      <c r="AR314">
        <v>52</v>
      </c>
      <c r="AS314">
        <v>52.25</v>
      </c>
      <c r="AT314">
        <v>52.25</v>
      </c>
      <c r="AU314">
        <v>52.25</v>
      </c>
      <c r="AV314">
        <v>52</v>
      </c>
      <c r="AW314">
        <v>52.25</v>
      </c>
      <c r="AX314">
        <v>52.25</v>
      </c>
      <c r="AY314">
        <v>52.25</v>
      </c>
      <c r="AZ314" s="7"/>
      <c r="BB314" s="124">
        <v>44172</v>
      </c>
      <c r="BC314" s="2">
        <v>10.35</v>
      </c>
      <c r="BD314" s="2">
        <v>10.31</v>
      </c>
      <c r="BE314" s="2">
        <v>10.35</v>
      </c>
      <c r="BF314" s="2">
        <v>10.31</v>
      </c>
      <c r="BG314" s="2">
        <v>10.47</v>
      </c>
      <c r="BH314" s="2">
        <v>10.47</v>
      </c>
      <c r="BI314" s="2">
        <v>10.35</v>
      </c>
      <c r="BJ314" s="2">
        <v>10.31</v>
      </c>
      <c r="BK314" s="2">
        <v>10.49</v>
      </c>
      <c r="BL314" s="2">
        <v>10.47</v>
      </c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2"/>
      <c r="BZ314" s="1"/>
      <c r="CA314" s="2"/>
    </row>
    <row r="315" spans="1:79" x14ac:dyDescent="0.2">
      <c r="A315" s="124">
        <v>44173</v>
      </c>
      <c r="B315">
        <v>52.25</v>
      </c>
      <c r="C315">
        <v>52.5</v>
      </c>
      <c r="D315">
        <v>52.25</v>
      </c>
      <c r="E315">
        <v>52.5</v>
      </c>
      <c r="F315">
        <v>52.5</v>
      </c>
      <c r="G315">
        <v>52.5</v>
      </c>
      <c r="H315">
        <v>52.25</v>
      </c>
      <c r="I315">
        <v>52.5</v>
      </c>
      <c r="J315">
        <v>52.5</v>
      </c>
      <c r="K315">
        <v>52.5</v>
      </c>
      <c r="L315" s="7"/>
      <c r="N315" s="124">
        <v>44173</v>
      </c>
      <c r="O315" s="2">
        <v>10.309150000000001</v>
      </c>
      <c r="P315" s="2">
        <v>10.267300000000001</v>
      </c>
      <c r="Q315" s="2">
        <v>10.31</v>
      </c>
      <c r="R315" s="2">
        <v>10.2675</v>
      </c>
      <c r="S315" s="2">
        <v>10.43</v>
      </c>
      <c r="T315" s="2">
        <v>10.4284</v>
      </c>
      <c r="U315" s="2">
        <v>10.3095</v>
      </c>
      <c r="V315" s="2">
        <v>10.26745</v>
      </c>
      <c r="W315" s="2">
        <v>10.44</v>
      </c>
      <c r="X315" s="2">
        <v>10.426600000000001</v>
      </c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2"/>
      <c r="AL315" s="1"/>
      <c r="AM315" s="2"/>
      <c r="AO315" s="124">
        <v>44173</v>
      </c>
      <c r="AP315">
        <v>52.25</v>
      </c>
      <c r="AQ315">
        <v>52.5</v>
      </c>
      <c r="AR315">
        <v>52.25</v>
      </c>
      <c r="AS315">
        <v>52.5</v>
      </c>
      <c r="AT315">
        <v>52.5</v>
      </c>
      <c r="AU315">
        <v>52.5</v>
      </c>
      <c r="AV315">
        <v>52.25</v>
      </c>
      <c r="AW315">
        <v>52.5</v>
      </c>
      <c r="AX315">
        <v>52.5</v>
      </c>
      <c r="AY315">
        <v>52.5</v>
      </c>
      <c r="AZ315" s="7"/>
      <c r="BB315" s="124">
        <v>44173</v>
      </c>
      <c r="BC315" s="2">
        <v>10.31</v>
      </c>
      <c r="BD315" s="2">
        <v>10.27</v>
      </c>
      <c r="BE315" s="2">
        <v>10.31</v>
      </c>
      <c r="BF315" s="2">
        <v>10.27</v>
      </c>
      <c r="BG315" s="2">
        <v>10.43</v>
      </c>
      <c r="BH315" s="2">
        <v>10.43</v>
      </c>
      <c r="BI315" s="2">
        <v>10.31</v>
      </c>
      <c r="BJ315" s="2">
        <v>10.27</v>
      </c>
      <c r="BK315" s="2">
        <v>10.44</v>
      </c>
      <c r="BL315" s="2">
        <v>10.43</v>
      </c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2"/>
      <c r="BZ315" s="1"/>
      <c r="CA315" s="2"/>
    </row>
    <row r="316" spans="1:79" x14ac:dyDescent="0.2">
      <c r="A316" s="124">
        <v>44174</v>
      </c>
      <c r="B316">
        <v>52.875</v>
      </c>
      <c r="C316">
        <v>53.125</v>
      </c>
      <c r="D316">
        <v>52.875</v>
      </c>
      <c r="E316">
        <v>53.125</v>
      </c>
      <c r="F316">
        <v>53.125</v>
      </c>
      <c r="G316">
        <v>53.125</v>
      </c>
      <c r="H316">
        <v>52.875</v>
      </c>
      <c r="I316">
        <v>53.125</v>
      </c>
      <c r="J316">
        <v>53.125</v>
      </c>
      <c r="K316">
        <v>53.125</v>
      </c>
      <c r="L316" s="7"/>
      <c r="N316" s="124">
        <v>44174</v>
      </c>
      <c r="O316" s="2">
        <v>10.204750000000001</v>
      </c>
      <c r="P316" s="2">
        <v>10.163500000000001</v>
      </c>
      <c r="Q316" s="2">
        <v>10.199999999999999</v>
      </c>
      <c r="R316" s="2">
        <v>10.1637</v>
      </c>
      <c r="S316" s="2">
        <v>10.32</v>
      </c>
      <c r="T316" s="2">
        <v>10.3225</v>
      </c>
      <c r="U316" s="2">
        <v>10.2051</v>
      </c>
      <c r="V316" s="2">
        <v>10.163600000000001</v>
      </c>
      <c r="W316" s="2">
        <v>10.34</v>
      </c>
      <c r="X316" s="2">
        <v>10.3207</v>
      </c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2"/>
      <c r="AL316" s="1"/>
      <c r="AM316" s="2"/>
      <c r="AO316" s="124">
        <v>44174</v>
      </c>
      <c r="AP316">
        <v>52.875</v>
      </c>
      <c r="AQ316">
        <v>53.125</v>
      </c>
      <c r="AR316">
        <v>52.875</v>
      </c>
      <c r="AS316">
        <v>53.125</v>
      </c>
      <c r="AT316">
        <v>53.125</v>
      </c>
      <c r="AU316">
        <v>53.125</v>
      </c>
      <c r="AV316">
        <v>52.875</v>
      </c>
      <c r="AW316">
        <v>53.125</v>
      </c>
      <c r="AX316">
        <v>53.125</v>
      </c>
      <c r="AY316">
        <v>53.125</v>
      </c>
      <c r="AZ316" s="7"/>
      <c r="BB316" s="124">
        <v>44174</v>
      </c>
      <c r="BC316" s="2">
        <v>10.199999999999999</v>
      </c>
      <c r="BD316" s="2">
        <v>10.16</v>
      </c>
      <c r="BE316" s="2">
        <v>10.199999999999999</v>
      </c>
      <c r="BF316" s="2">
        <v>10.16</v>
      </c>
      <c r="BG316" s="2">
        <v>10.32</v>
      </c>
      <c r="BH316" s="2">
        <v>10.32</v>
      </c>
      <c r="BI316" s="2">
        <v>10.199999999999999</v>
      </c>
      <c r="BJ316" s="2">
        <v>10.16</v>
      </c>
      <c r="BK316" s="2">
        <v>10.34</v>
      </c>
      <c r="BL316" s="2">
        <v>10.32</v>
      </c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2"/>
      <c r="BZ316" s="1"/>
      <c r="CA316" s="2"/>
    </row>
    <row r="317" spans="1:79" x14ac:dyDescent="0.2">
      <c r="A317" s="124">
        <v>44175</v>
      </c>
      <c r="B317">
        <v>52.625</v>
      </c>
      <c r="C317">
        <v>52.875</v>
      </c>
      <c r="D317">
        <v>52.625</v>
      </c>
      <c r="E317">
        <v>52.875</v>
      </c>
      <c r="F317">
        <v>52.875</v>
      </c>
      <c r="G317">
        <v>52.875</v>
      </c>
      <c r="H317">
        <v>52.625</v>
      </c>
      <c r="I317">
        <v>52.875</v>
      </c>
      <c r="J317">
        <v>52.875</v>
      </c>
      <c r="K317">
        <v>52.875</v>
      </c>
      <c r="L317" s="7"/>
      <c r="N317" s="124">
        <v>44175</v>
      </c>
      <c r="O317" s="2">
        <v>10.254149999999999</v>
      </c>
      <c r="P317" s="2">
        <v>10.21265</v>
      </c>
      <c r="Q317" s="2">
        <v>10.25</v>
      </c>
      <c r="R317" s="2">
        <v>10.21275</v>
      </c>
      <c r="S317" s="2">
        <v>10.37</v>
      </c>
      <c r="T317" s="2">
        <v>10.3734</v>
      </c>
      <c r="U317" s="2">
        <v>10.2545</v>
      </c>
      <c r="V317" s="2">
        <v>10.21275</v>
      </c>
      <c r="W317" s="2">
        <v>10.39</v>
      </c>
      <c r="X317" s="2">
        <v>10.371650000000001</v>
      </c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2"/>
      <c r="AL317" s="1"/>
      <c r="AM317" s="2"/>
      <c r="AO317" s="124">
        <v>44175</v>
      </c>
      <c r="AP317">
        <v>52.625</v>
      </c>
      <c r="AQ317">
        <v>52.875</v>
      </c>
      <c r="AR317">
        <v>52.625</v>
      </c>
      <c r="AS317">
        <v>52.875</v>
      </c>
      <c r="AT317">
        <v>52.875</v>
      </c>
      <c r="AU317">
        <v>52.875</v>
      </c>
      <c r="AV317">
        <v>52.625</v>
      </c>
      <c r="AW317">
        <v>52.875</v>
      </c>
      <c r="AX317">
        <v>52.875</v>
      </c>
      <c r="AY317">
        <v>52.875</v>
      </c>
      <c r="AZ317" s="7"/>
      <c r="BB317" s="124">
        <v>44175</v>
      </c>
      <c r="BC317" s="2">
        <v>10.25</v>
      </c>
      <c r="BD317" s="2">
        <v>10.210000000000001</v>
      </c>
      <c r="BE317" s="2">
        <v>10.25</v>
      </c>
      <c r="BF317" s="2">
        <v>10.210000000000001</v>
      </c>
      <c r="BG317" s="2">
        <v>10.37</v>
      </c>
      <c r="BH317" s="2">
        <v>10.37</v>
      </c>
      <c r="BI317" s="2">
        <v>10.25</v>
      </c>
      <c r="BJ317" s="2">
        <v>10.210000000000001</v>
      </c>
      <c r="BK317" s="2">
        <v>10.39</v>
      </c>
      <c r="BL317" s="2">
        <v>10.37</v>
      </c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2"/>
      <c r="BZ317" s="1"/>
      <c r="CA317" s="2"/>
    </row>
    <row r="318" spans="1:79" x14ac:dyDescent="0.2">
      <c r="A318" s="124">
        <v>44176</v>
      </c>
      <c r="B318">
        <v>52.25</v>
      </c>
      <c r="C318">
        <v>52.5</v>
      </c>
      <c r="D318">
        <v>52.25</v>
      </c>
      <c r="E318">
        <v>52.5</v>
      </c>
      <c r="F318">
        <v>52.5</v>
      </c>
      <c r="G318">
        <v>52.5</v>
      </c>
      <c r="H318">
        <v>52.25</v>
      </c>
      <c r="I318">
        <v>52.5</v>
      </c>
      <c r="J318">
        <v>52.5</v>
      </c>
      <c r="K318">
        <v>52.5</v>
      </c>
      <c r="L318" s="7"/>
      <c r="N318" s="124">
        <v>44176</v>
      </c>
      <c r="O318" s="2">
        <v>10.3208</v>
      </c>
      <c r="P318" s="2">
        <v>10.2788</v>
      </c>
      <c r="Q318" s="2">
        <v>10.32</v>
      </c>
      <c r="R318" s="2">
        <v>10.279</v>
      </c>
      <c r="S318" s="2">
        <v>10.44</v>
      </c>
      <c r="T318" s="2">
        <v>10.4414</v>
      </c>
      <c r="U318" s="2">
        <v>10.321099999999999</v>
      </c>
      <c r="V318" s="2">
        <v>10.279</v>
      </c>
      <c r="W318" s="2">
        <v>10.46</v>
      </c>
      <c r="X318" s="2">
        <v>10.4396</v>
      </c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2"/>
      <c r="AL318" s="1"/>
      <c r="AM318" s="2"/>
      <c r="AO318" s="124">
        <v>44176</v>
      </c>
      <c r="AP318">
        <v>52.25</v>
      </c>
      <c r="AQ318">
        <v>52.5</v>
      </c>
      <c r="AR318">
        <v>52.25</v>
      </c>
      <c r="AS318">
        <v>52.5</v>
      </c>
      <c r="AT318">
        <v>52.5</v>
      </c>
      <c r="AU318">
        <v>52.5</v>
      </c>
      <c r="AV318">
        <v>52.25</v>
      </c>
      <c r="AW318">
        <v>52.5</v>
      </c>
      <c r="AX318">
        <v>52.5</v>
      </c>
      <c r="AY318">
        <v>52.5</v>
      </c>
      <c r="AZ318" s="7"/>
      <c r="BB318" s="124">
        <v>44176</v>
      </c>
      <c r="BC318" s="2">
        <v>10.32</v>
      </c>
      <c r="BD318" s="2">
        <v>10.28</v>
      </c>
      <c r="BE318" s="2">
        <v>10.32</v>
      </c>
      <c r="BF318" s="2">
        <v>10.28</v>
      </c>
      <c r="BG318" s="2">
        <v>10.44</v>
      </c>
      <c r="BH318" s="2">
        <v>10.44</v>
      </c>
      <c r="BI318" s="2">
        <v>10.32</v>
      </c>
      <c r="BJ318" s="2">
        <v>10.28</v>
      </c>
      <c r="BK318" s="2">
        <v>10.46</v>
      </c>
      <c r="BL318" s="2">
        <v>10.44</v>
      </c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2"/>
      <c r="BZ318" s="1"/>
      <c r="CA318" s="2"/>
    </row>
    <row r="319" spans="1:79" x14ac:dyDescent="0.2">
      <c r="A319" s="124">
        <v>44179</v>
      </c>
      <c r="B319">
        <v>52.25</v>
      </c>
      <c r="C319">
        <v>52.5</v>
      </c>
      <c r="D319">
        <v>52.25</v>
      </c>
      <c r="E319">
        <v>52.5</v>
      </c>
      <c r="F319">
        <v>52.5</v>
      </c>
      <c r="G319">
        <v>52.5</v>
      </c>
      <c r="H319">
        <v>52.25</v>
      </c>
      <c r="I319">
        <v>52.5</v>
      </c>
      <c r="J319">
        <v>52.5</v>
      </c>
      <c r="K319">
        <v>52.5</v>
      </c>
      <c r="L319" s="7"/>
      <c r="N319" s="124">
        <v>44179</v>
      </c>
      <c r="O319" s="2">
        <v>10.3231</v>
      </c>
      <c r="P319" s="2">
        <v>10.28115</v>
      </c>
      <c r="Q319" s="2">
        <v>10.32</v>
      </c>
      <c r="R319" s="2">
        <v>10.28125</v>
      </c>
      <c r="S319" s="2">
        <v>10.44</v>
      </c>
      <c r="T319" s="2">
        <v>10.444000000000001</v>
      </c>
      <c r="U319" s="2">
        <v>10.323449999999999</v>
      </c>
      <c r="V319" s="2">
        <v>10.28125</v>
      </c>
      <c r="W319" s="2">
        <v>10.46</v>
      </c>
      <c r="X319" s="2">
        <v>10.44215</v>
      </c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2"/>
      <c r="AL319" s="1"/>
      <c r="AM319" s="2"/>
      <c r="AO319" s="124">
        <v>44179</v>
      </c>
      <c r="AP319">
        <v>52.25</v>
      </c>
      <c r="AQ319">
        <v>52.5</v>
      </c>
      <c r="AR319">
        <v>52.25</v>
      </c>
      <c r="AS319">
        <v>52.5</v>
      </c>
      <c r="AT319">
        <v>52.5</v>
      </c>
      <c r="AU319">
        <v>52.5</v>
      </c>
      <c r="AV319">
        <v>52.25</v>
      </c>
      <c r="AW319">
        <v>52.5</v>
      </c>
      <c r="AX319">
        <v>52.5</v>
      </c>
      <c r="AY319">
        <v>52.5</v>
      </c>
      <c r="AZ319" s="7"/>
      <c r="BB319" s="124">
        <v>44179</v>
      </c>
      <c r="BC319" s="2">
        <v>10.32</v>
      </c>
      <c r="BD319" s="2">
        <v>10.28</v>
      </c>
      <c r="BE319" s="2">
        <v>10.32</v>
      </c>
      <c r="BF319" s="2">
        <v>10.28</v>
      </c>
      <c r="BG319" s="2">
        <v>10.44</v>
      </c>
      <c r="BH319" s="2">
        <v>10.44</v>
      </c>
      <c r="BI319" s="2">
        <v>10.32</v>
      </c>
      <c r="BJ319" s="2">
        <v>10.28</v>
      </c>
      <c r="BK319" s="2">
        <v>10.46</v>
      </c>
      <c r="BL319" s="2">
        <v>10.44</v>
      </c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2"/>
      <c r="BZ319" s="1"/>
      <c r="CA319" s="2"/>
    </row>
    <row r="320" spans="1:79" x14ac:dyDescent="0.2">
      <c r="A320" s="124">
        <v>44180</v>
      </c>
      <c r="B320">
        <v>51.75</v>
      </c>
      <c r="C320">
        <v>52</v>
      </c>
      <c r="D320">
        <v>51.75</v>
      </c>
      <c r="E320">
        <v>52</v>
      </c>
      <c r="F320">
        <v>52</v>
      </c>
      <c r="G320">
        <v>52</v>
      </c>
      <c r="H320">
        <v>51.75</v>
      </c>
      <c r="I320">
        <v>52</v>
      </c>
      <c r="J320">
        <v>52</v>
      </c>
      <c r="K320">
        <v>52</v>
      </c>
      <c r="L320" s="7"/>
      <c r="N320" s="124">
        <v>44180</v>
      </c>
      <c r="O320" s="2">
        <v>10.412100000000001</v>
      </c>
      <c r="P320" s="2">
        <v>10.36965</v>
      </c>
      <c r="Q320" s="2">
        <v>10.41</v>
      </c>
      <c r="R320" s="2">
        <v>10.3698</v>
      </c>
      <c r="S320" s="2">
        <v>10.53</v>
      </c>
      <c r="T320" s="2">
        <v>10.534750000000001</v>
      </c>
      <c r="U320" s="2">
        <v>10.4124</v>
      </c>
      <c r="V320" s="2">
        <v>10.36975</v>
      </c>
      <c r="W320" s="2">
        <v>10.55</v>
      </c>
      <c r="X320" s="2">
        <v>10.5329</v>
      </c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2"/>
      <c r="AL320" s="1"/>
      <c r="AM320" s="2"/>
      <c r="AO320" s="124">
        <v>44180</v>
      </c>
      <c r="AP320">
        <v>51.75</v>
      </c>
      <c r="AQ320">
        <v>52</v>
      </c>
      <c r="AR320">
        <v>51.75</v>
      </c>
      <c r="AS320">
        <v>52</v>
      </c>
      <c r="AT320">
        <v>52</v>
      </c>
      <c r="AU320">
        <v>52</v>
      </c>
      <c r="AV320">
        <v>51.75</v>
      </c>
      <c r="AW320">
        <v>52</v>
      </c>
      <c r="AX320">
        <v>52</v>
      </c>
      <c r="AY320">
        <v>52</v>
      </c>
      <c r="AZ320" s="7"/>
      <c r="BB320" s="124">
        <v>44180</v>
      </c>
      <c r="BC320" s="2">
        <v>10.41</v>
      </c>
      <c r="BD320" s="2">
        <v>10.37</v>
      </c>
      <c r="BE320" s="2">
        <v>10.41</v>
      </c>
      <c r="BF320" s="2">
        <v>10.37</v>
      </c>
      <c r="BG320" s="2">
        <v>10.53</v>
      </c>
      <c r="BH320" s="2">
        <v>10.53</v>
      </c>
      <c r="BI320" s="2">
        <v>10.41</v>
      </c>
      <c r="BJ320" s="2">
        <v>10.37</v>
      </c>
      <c r="BK320" s="2">
        <v>10.55</v>
      </c>
      <c r="BL320" s="2">
        <v>10.53</v>
      </c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2"/>
      <c r="BZ320" s="1"/>
      <c r="CA320" s="2"/>
    </row>
    <row r="321" spans="1:79" x14ac:dyDescent="0.2">
      <c r="A321" s="124">
        <v>44181</v>
      </c>
      <c r="B321">
        <v>52.125</v>
      </c>
      <c r="C321">
        <v>52.375</v>
      </c>
      <c r="D321">
        <v>52.125</v>
      </c>
      <c r="E321">
        <v>52.375</v>
      </c>
      <c r="F321">
        <v>52.375</v>
      </c>
      <c r="G321">
        <v>52.375</v>
      </c>
      <c r="H321">
        <v>52.125</v>
      </c>
      <c r="I321">
        <v>52.375</v>
      </c>
      <c r="J321">
        <v>52.375</v>
      </c>
      <c r="K321">
        <v>52.375</v>
      </c>
      <c r="L321" s="7"/>
      <c r="N321" s="124">
        <v>44181</v>
      </c>
      <c r="O321" s="2">
        <v>10.349349999999999</v>
      </c>
      <c r="P321" s="2">
        <v>10.3072</v>
      </c>
      <c r="Q321" s="2">
        <v>10.35</v>
      </c>
      <c r="R321" s="2">
        <v>10.30735</v>
      </c>
      <c r="S321" s="2">
        <v>10.47</v>
      </c>
      <c r="T321" s="2">
        <v>10.47115</v>
      </c>
      <c r="U321" s="2">
        <v>10.34965</v>
      </c>
      <c r="V321" s="2">
        <v>10.30735</v>
      </c>
      <c r="W321" s="2">
        <v>10.49</v>
      </c>
      <c r="X321" s="2">
        <v>10.46935</v>
      </c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2"/>
      <c r="AL321" s="1"/>
      <c r="AM321" s="2"/>
      <c r="AO321" s="124">
        <v>44181</v>
      </c>
      <c r="AP321">
        <v>52.125</v>
      </c>
      <c r="AQ321">
        <v>52.375</v>
      </c>
      <c r="AR321">
        <v>52.125</v>
      </c>
      <c r="AS321">
        <v>52.375</v>
      </c>
      <c r="AT321">
        <v>52.375</v>
      </c>
      <c r="AU321">
        <v>52.375</v>
      </c>
      <c r="AV321">
        <v>52.125</v>
      </c>
      <c r="AW321">
        <v>52.375</v>
      </c>
      <c r="AX321">
        <v>52.375</v>
      </c>
      <c r="AY321">
        <v>52.375</v>
      </c>
      <c r="AZ321" s="7"/>
      <c r="BB321" s="124">
        <v>44181</v>
      </c>
      <c r="BC321" s="2">
        <v>10.35</v>
      </c>
      <c r="BD321" s="2">
        <v>10.31</v>
      </c>
      <c r="BE321" s="2">
        <v>10.35</v>
      </c>
      <c r="BF321" s="2">
        <v>10.31</v>
      </c>
      <c r="BG321" s="2">
        <v>10.47</v>
      </c>
      <c r="BH321" s="2">
        <v>10.47</v>
      </c>
      <c r="BI321" s="2">
        <v>10.35</v>
      </c>
      <c r="BJ321" s="2">
        <v>10.31</v>
      </c>
      <c r="BK321" s="2">
        <v>10.49</v>
      </c>
      <c r="BL321" s="2">
        <v>10.47</v>
      </c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2"/>
      <c r="BZ321" s="1"/>
      <c r="CA321" s="2"/>
    </row>
    <row r="322" spans="1:79" x14ac:dyDescent="0.2">
      <c r="A322" s="124">
        <v>44182</v>
      </c>
      <c r="B322">
        <v>56.75</v>
      </c>
      <c r="C322">
        <v>57</v>
      </c>
      <c r="D322">
        <v>56.75</v>
      </c>
      <c r="E322">
        <v>57</v>
      </c>
      <c r="F322">
        <v>57</v>
      </c>
      <c r="G322">
        <v>57</v>
      </c>
      <c r="H322">
        <v>56.75</v>
      </c>
      <c r="I322">
        <v>57</v>
      </c>
      <c r="J322">
        <v>57</v>
      </c>
      <c r="K322">
        <v>57</v>
      </c>
      <c r="L322" s="7"/>
      <c r="N322" s="124">
        <v>44182</v>
      </c>
      <c r="O322" s="2">
        <v>9.5974500000000003</v>
      </c>
      <c r="P322" s="2">
        <v>9.55945</v>
      </c>
      <c r="Q322" s="2">
        <v>9.6</v>
      </c>
      <c r="R322" s="2">
        <v>9.5595499999999998</v>
      </c>
      <c r="S322" s="2">
        <v>9.7100000000000009</v>
      </c>
      <c r="T322" s="2">
        <v>9.7076499999999992</v>
      </c>
      <c r="U322" s="2">
        <v>9.5976499999999998</v>
      </c>
      <c r="V322" s="2">
        <v>9.5595499999999998</v>
      </c>
      <c r="W322" s="2">
        <v>9.7200000000000006</v>
      </c>
      <c r="X322" s="2">
        <v>9.7060499999999994</v>
      </c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2"/>
      <c r="AL322" s="1"/>
      <c r="AM322" s="2"/>
      <c r="AO322" s="124">
        <v>44182</v>
      </c>
      <c r="AP322">
        <v>56.75</v>
      </c>
      <c r="AQ322">
        <v>57</v>
      </c>
      <c r="AR322">
        <v>56.75</v>
      </c>
      <c r="AS322">
        <v>57</v>
      </c>
      <c r="AT322">
        <v>57</v>
      </c>
      <c r="AU322">
        <v>57</v>
      </c>
      <c r="AV322">
        <v>56.75</v>
      </c>
      <c r="AW322">
        <v>57</v>
      </c>
      <c r="AX322">
        <v>57</v>
      </c>
      <c r="AY322">
        <v>57</v>
      </c>
      <c r="AZ322" s="7"/>
      <c r="BB322" s="124">
        <v>44182</v>
      </c>
      <c r="BC322" s="2">
        <v>9.6</v>
      </c>
      <c r="BD322" s="2">
        <v>9.56</v>
      </c>
      <c r="BE322" s="2">
        <v>9.6</v>
      </c>
      <c r="BF322" s="2">
        <v>9.56</v>
      </c>
      <c r="BG322" s="2">
        <v>9.7100000000000009</v>
      </c>
      <c r="BH322" s="2">
        <v>9.7100000000000009</v>
      </c>
      <c r="BI322" s="2">
        <v>9.6</v>
      </c>
      <c r="BJ322" s="2">
        <v>9.56</v>
      </c>
      <c r="BK322" s="2">
        <v>9.7200000000000006</v>
      </c>
      <c r="BL322" s="2">
        <v>9.6999999999999993</v>
      </c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2"/>
      <c r="BZ322" s="1"/>
      <c r="CA322" s="2"/>
    </row>
    <row r="323" spans="1:79" x14ac:dyDescent="0.2">
      <c r="A323" s="124">
        <v>44183</v>
      </c>
      <c r="B323">
        <v>52.5</v>
      </c>
      <c r="C323">
        <v>52.75</v>
      </c>
      <c r="D323">
        <v>52.5</v>
      </c>
      <c r="E323">
        <v>52.75</v>
      </c>
      <c r="F323">
        <v>52.75</v>
      </c>
      <c r="G323">
        <v>52.75</v>
      </c>
      <c r="H323">
        <v>52.5</v>
      </c>
      <c r="I323">
        <v>52.75</v>
      </c>
      <c r="J323">
        <v>52.75</v>
      </c>
      <c r="K323">
        <v>52.75</v>
      </c>
      <c r="L323" s="7"/>
      <c r="N323" s="124">
        <v>44183</v>
      </c>
      <c r="O323" s="2">
        <v>10.29405</v>
      </c>
      <c r="P323" s="2">
        <v>10.2522</v>
      </c>
      <c r="Q323" s="2">
        <v>10.29</v>
      </c>
      <c r="R323" s="2">
        <v>10.2524</v>
      </c>
      <c r="S323" s="2">
        <v>10.41</v>
      </c>
      <c r="T323" s="2">
        <v>10.415850000000001</v>
      </c>
      <c r="U323" s="2">
        <v>10.29435</v>
      </c>
      <c r="V323" s="2">
        <v>10.25235</v>
      </c>
      <c r="W323" s="2">
        <v>10.43</v>
      </c>
      <c r="X323" s="2">
        <v>10.414099999999999</v>
      </c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2"/>
      <c r="AL323" s="1"/>
      <c r="AM323" s="2"/>
      <c r="AO323" s="124">
        <v>44183</v>
      </c>
      <c r="AP323">
        <v>52.5</v>
      </c>
      <c r="AQ323">
        <v>52.75</v>
      </c>
      <c r="AR323">
        <v>52.5</v>
      </c>
      <c r="AS323">
        <v>52.75</v>
      </c>
      <c r="AT323">
        <v>52.75</v>
      </c>
      <c r="AU323">
        <v>52.75</v>
      </c>
      <c r="AV323">
        <v>52.5</v>
      </c>
      <c r="AW323">
        <v>52.75</v>
      </c>
      <c r="AX323">
        <v>52.75</v>
      </c>
      <c r="AY323">
        <v>52.75</v>
      </c>
      <c r="AZ323" s="7"/>
      <c r="BB323" s="124">
        <v>44183</v>
      </c>
      <c r="BC323" s="2">
        <v>10.29</v>
      </c>
      <c r="BD323" s="2">
        <v>10.25</v>
      </c>
      <c r="BE323" s="2">
        <v>10.29</v>
      </c>
      <c r="BF323" s="2">
        <v>10.25</v>
      </c>
      <c r="BG323" s="2">
        <v>10.41</v>
      </c>
      <c r="BH323" s="2">
        <v>10.41</v>
      </c>
      <c r="BI323" s="2">
        <v>10.29</v>
      </c>
      <c r="BJ323" s="2">
        <v>10.25</v>
      </c>
      <c r="BK323" s="2">
        <v>10.43</v>
      </c>
      <c r="BL323" s="2">
        <v>10.41</v>
      </c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2"/>
      <c r="BZ323" s="1"/>
      <c r="CA323" s="2"/>
    </row>
    <row r="324" spans="1:79" x14ac:dyDescent="0.2">
      <c r="A324" s="124">
        <v>44186</v>
      </c>
      <c r="B324">
        <v>51.75</v>
      </c>
      <c r="C324">
        <v>52</v>
      </c>
      <c r="D324">
        <v>51.75</v>
      </c>
      <c r="E324">
        <v>52</v>
      </c>
      <c r="F324">
        <v>52</v>
      </c>
      <c r="G324">
        <v>52</v>
      </c>
      <c r="H324">
        <v>51.75</v>
      </c>
      <c r="I324">
        <v>52</v>
      </c>
      <c r="J324">
        <v>52</v>
      </c>
      <c r="K324">
        <v>52</v>
      </c>
      <c r="L324" s="7"/>
      <c r="N324" s="124">
        <v>44186</v>
      </c>
      <c r="O324" s="2">
        <v>10.42625</v>
      </c>
      <c r="P324" s="2">
        <v>10.383649999999999</v>
      </c>
      <c r="Q324" s="2">
        <v>10.43</v>
      </c>
      <c r="R324" s="2">
        <v>10.383749999999999</v>
      </c>
      <c r="S324" s="2">
        <v>10.55</v>
      </c>
      <c r="T324" s="2">
        <v>10.550599999999999</v>
      </c>
      <c r="U324" s="2">
        <v>10.426550000000001</v>
      </c>
      <c r="V324" s="2">
        <v>10.383749999999999</v>
      </c>
      <c r="W324" s="2">
        <v>10.57</v>
      </c>
      <c r="X324" s="2">
        <v>10.54875</v>
      </c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2"/>
      <c r="AL324" s="1"/>
      <c r="AM324" s="2"/>
      <c r="AO324" s="124">
        <v>44186</v>
      </c>
      <c r="AP324">
        <v>51.75</v>
      </c>
      <c r="AQ324">
        <v>52</v>
      </c>
      <c r="AR324">
        <v>51.75</v>
      </c>
      <c r="AS324">
        <v>52</v>
      </c>
      <c r="AT324">
        <v>52</v>
      </c>
      <c r="AU324">
        <v>52</v>
      </c>
      <c r="AV324">
        <v>51.75</v>
      </c>
      <c r="AW324">
        <v>52</v>
      </c>
      <c r="AX324">
        <v>52</v>
      </c>
      <c r="AY324">
        <v>52</v>
      </c>
      <c r="AZ324" s="7"/>
      <c r="BB324" s="124">
        <v>44186</v>
      </c>
      <c r="BC324" s="2">
        <v>10.43</v>
      </c>
      <c r="BD324" s="2">
        <v>10.38</v>
      </c>
      <c r="BE324" s="2">
        <v>10.43</v>
      </c>
      <c r="BF324" s="2">
        <v>10.38</v>
      </c>
      <c r="BG324" s="2">
        <v>10.55</v>
      </c>
      <c r="BH324" s="2">
        <v>10.55</v>
      </c>
      <c r="BI324" s="2">
        <v>10.43</v>
      </c>
      <c r="BJ324" s="2">
        <v>10.38</v>
      </c>
      <c r="BK324" s="2">
        <v>10.57</v>
      </c>
      <c r="BL324" s="2">
        <v>10.55</v>
      </c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2"/>
      <c r="BZ324" s="1"/>
      <c r="CA324" s="2"/>
    </row>
    <row r="325" spans="1:79" x14ac:dyDescent="0.2">
      <c r="A325" s="124">
        <v>44187</v>
      </c>
      <c r="B325">
        <v>51</v>
      </c>
      <c r="C325">
        <v>51.25</v>
      </c>
      <c r="D325">
        <v>51</v>
      </c>
      <c r="E325">
        <v>51.25</v>
      </c>
      <c r="F325">
        <v>51.25</v>
      </c>
      <c r="G325">
        <v>51.25</v>
      </c>
      <c r="H325">
        <v>51</v>
      </c>
      <c r="I325">
        <v>51.25</v>
      </c>
      <c r="J325">
        <v>51.25</v>
      </c>
      <c r="K325">
        <v>51.25</v>
      </c>
      <c r="L325" s="7"/>
      <c r="N325" s="124">
        <v>44187</v>
      </c>
      <c r="O325" s="2">
        <v>10.5609</v>
      </c>
      <c r="P325" s="2">
        <v>10.5175</v>
      </c>
      <c r="Q325" s="2">
        <v>10.56</v>
      </c>
      <c r="R325" s="2">
        <v>10.51765</v>
      </c>
      <c r="S325" s="2">
        <v>10.69</v>
      </c>
      <c r="T325" s="2">
        <v>10.687799999999999</v>
      </c>
      <c r="U325" s="2">
        <v>10.561199999999999</v>
      </c>
      <c r="V325" s="2">
        <v>10.5176</v>
      </c>
      <c r="W325" s="2">
        <v>10.7</v>
      </c>
      <c r="X325" s="2">
        <v>10.68595</v>
      </c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2"/>
      <c r="AL325" s="1"/>
      <c r="AM325" s="2"/>
      <c r="AO325" s="124">
        <v>44187</v>
      </c>
      <c r="AP325">
        <v>51</v>
      </c>
      <c r="AQ325">
        <v>51.25</v>
      </c>
      <c r="AR325">
        <v>51</v>
      </c>
      <c r="AS325">
        <v>51.25</v>
      </c>
      <c r="AT325">
        <v>51.25</v>
      </c>
      <c r="AU325">
        <v>51.25</v>
      </c>
      <c r="AV325">
        <v>51</v>
      </c>
      <c r="AW325">
        <v>51.25</v>
      </c>
      <c r="AX325">
        <v>51.25</v>
      </c>
      <c r="AY325">
        <v>51.25</v>
      </c>
      <c r="AZ325" s="7"/>
      <c r="BB325" s="124">
        <v>44187</v>
      </c>
      <c r="BC325" s="2">
        <v>10.56</v>
      </c>
      <c r="BD325" s="2">
        <v>10.52</v>
      </c>
      <c r="BE325" s="2">
        <v>10.56</v>
      </c>
      <c r="BF325" s="2">
        <v>10.52</v>
      </c>
      <c r="BG325" s="2">
        <v>10.69</v>
      </c>
      <c r="BH325" s="2">
        <v>10.69</v>
      </c>
      <c r="BI325" s="2">
        <v>10.56</v>
      </c>
      <c r="BJ325" s="2">
        <v>10.52</v>
      </c>
      <c r="BK325" s="2">
        <v>10.7</v>
      </c>
      <c r="BL325" s="2">
        <v>10.68</v>
      </c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2"/>
      <c r="BZ325" s="1"/>
      <c r="CA325" s="2"/>
    </row>
    <row r="326" spans="1:79" x14ac:dyDescent="0.2">
      <c r="A326" s="124">
        <v>44188</v>
      </c>
      <c r="B326">
        <v>50.5</v>
      </c>
      <c r="C326">
        <v>50.75</v>
      </c>
      <c r="D326">
        <v>50.5</v>
      </c>
      <c r="E326">
        <v>50.75</v>
      </c>
      <c r="F326">
        <v>50.75</v>
      </c>
      <c r="G326">
        <v>50.75</v>
      </c>
      <c r="H326">
        <v>50.5</v>
      </c>
      <c r="I326">
        <v>50.75</v>
      </c>
      <c r="J326">
        <v>50.75</v>
      </c>
      <c r="K326">
        <v>50.75</v>
      </c>
      <c r="L326" s="7"/>
      <c r="N326" s="124">
        <v>44188</v>
      </c>
      <c r="O326" s="2">
        <v>10.6601</v>
      </c>
      <c r="P326" s="2">
        <v>10.616149999999999</v>
      </c>
      <c r="Q326" s="2">
        <v>10.66</v>
      </c>
      <c r="R326" s="2">
        <v>10.616250000000001</v>
      </c>
      <c r="S326" s="2">
        <v>10.79</v>
      </c>
      <c r="T326" s="2">
        <v>10.7898</v>
      </c>
      <c r="U326" s="2">
        <v>10.660399999999999</v>
      </c>
      <c r="V326" s="2">
        <v>10.616250000000001</v>
      </c>
      <c r="W326" s="2">
        <v>10.81</v>
      </c>
      <c r="X326" s="2">
        <v>10.7879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2"/>
      <c r="AL326" s="1"/>
      <c r="AM326" s="2"/>
      <c r="AO326" s="124">
        <v>44188</v>
      </c>
      <c r="AP326">
        <v>50.5</v>
      </c>
      <c r="AQ326">
        <v>50.75</v>
      </c>
      <c r="AR326">
        <v>50.5</v>
      </c>
      <c r="AS326">
        <v>50.75</v>
      </c>
      <c r="AT326">
        <v>50.75</v>
      </c>
      <c r="AU326">
        <v>50.75</v>
      </c>
      <c r="AV326">
        <v>50.5</v>
      </c>
      <c r="AW326">
        <v>50.75</v>
      </c>
      <c r="AX326">
        <v>50.75</v>
      </c>
      <c r="AY326">
        <v>50.75</v>
      </c>
      <c r="AZ326" s="7"/>
      <c r="BB326" s="124">
        <v>44188</v>
      </c>
      <c r="BC326" s="2">
        <v>10.66</v>
      </c>
      <c r="BD326" s="2">
        <v>10.61</v>
      </c>
      <c r="BE326" s="2">
        <v>10.66</v>
      </c>
      <c r="BF326" s="2">
        <v>10.61</v>
      </c>
      <c r="BG326" s="2">
        <v>10.79</v>
      </c>
      <c r="BH326" s="2">
        <v>10.79</v>
      </c>
      <c r="BI326" s="2">
        <v>10.66</v>
      </c>
      <c r="BJ326" s="2">
        <v>10.61</v>
      </c>
      <c r="BK326" s="2">
        <v>10.81</v>
      </c>
      <c r="BL326" s="2">
        <v>10.79</v>
      </c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2"/>
      <c r="BZ326" s="1"/>
      <c r="CA326" s="2"/>
    </row>
    <row r="327" spans="1:79" x14ac:dyDescent="0.2">
      <c r="A327" s="124">
        <v>44189</v>
      </c>
      <c r="B327">
        <v>50.5</v>
      </c>
      <c r="C327">
        <v>50.75</v>
      </c>
      <c r="D327">
        <v>50.5</v>
      </c>
      <c r="E327">
        <v>50.75</v>
      </c>
      <c r="F327">
        <v>50.75</v>
      </c>
      <c r="G327">
        <v>50.75</v>
      </c>
      <c r="H327">
        <v>50.5</v>
      </c>
      <c r="I327">
        <v>50.75</v>
      </c>
      <c r="J327">
        <v>50.75</v>
      </c>
      <c r="K327">
        <v>50.75</v>
      </c>
      <c r="L327" s="7"/>
      <c r="N327" s="124">
        <v>44189</v>
      </c>
      <c r="O327" s="2">
        <v>10.66255</v>
      </c>
      <c r="P327" s="2">
        <v>10.618600000000001</v>
      </c>
      <c r="Q327" s="2">
        <v>10.66</v>
      </c>
      <c r="R327" s="2">
        <v>10.6187</v>
      </c>
      <c r="S327" s="2">
        <v>10.79</v>
      </c>
      <c r="T327" s="2">
        <v>10.79255</v>
      </c>
      <c r="U327" s="2">
        <v>10.662800000000001</v>
      </c>
      <c r="V327" s="2">
        <v>10.6187</v>
      </c>
      <c r="W327" s="2">
        <v>10.81</v>
      </c>
      <c r="X327" s="2">
        <v>10.7906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2"/>
      <c r="AL327" s="1"/>
      <c r="AM327" s="2"/>
      <c r="AO327" s="124">
        <v>44189</v>
      </c>
      <c r="AP327">
        <v>50.5</v>
      </c>
      <c r="AQ327">
        <v>50.75</v>
      </c>
      <c r="AR327">
        <v>50.5</v>
      </c>
      <c r="AS327">
        <v>50.75</v>
      </c>
      <c r="AT327">
        <v>50.75</v>
      </c>
      <c r="AU327">
        <v>50.75</v>
      </c>
      <c r="AV327">
        <v>50.5</v>
      </c>
      <c r="AW327">
        <v>50.75</v>
      </c>
      <c r="AX327">
        <v>50.75</v>
      </c>
      <c r="AY327">
        <v>50.75</v>
      </c>
      <c r="AZ327" s="7"/>
      <c r="BB327" s="124">
        <v>44189</v>
      </c>
      <c r="BC327" s="2">
        <v>10.66</v>
      </c>
      <c r="BD327" s="2">
        <v>10.62</v>
      </c>
      <c r="BE327" s="2">
        <v>10.66</v>
      </c>
      <c r="BF327" s="2">
        <v>10.62</v>
      </c>
      <c r="BG327" s="2">
        <v>10.79</v>
      </c>
      <c r="BH327" s="2">
        <v>10.79</v>
      </c>
      <c r="BI327" s="2">
        <v>10.66</v>
      </c>
      <c r="BJ327" s="2">
        <v>10.62</v>
      </c>
      <c r="BK327" s="2">
        <v>10.81</v>
      </c>
      <c r="BL327" s="2">
        <v>10.79</v>
      </c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2"/>
      <c r="BZ327" s="1"/>
      <c r="CA327" s="2"/>
    </row>
    <row r="328" spans="1:79" x14ac:dyDescent="0.2">
      <c r="A328" s="124">
        <v>44190</v>
      </c>
      <c r="B328">
        <v>50.5</v>
      </c>
      <c r="C328">
        <v>50.75</v>
      </c>
      <c r="D328">
        <v>50.5</v>
      </c>
      <c r="E328">
        <v>50.75</v>
      </c>
      <c r="F328">
        <v>50.75</v>
      </c>
      <c r="G328">
        <v>50.75</v>
      </c>
      <c r="H328">
        <v>50.5</v>
      </c>
      <c r="I328">
        <v>50.75</v>
      </c>
      <c r="J328">
        <v>50.75</v>
      </c>
      <c r="K328">
        <v>50.75</v>
      </c>
      <c r="L328" s="7"/>
      <c r="N328" s="124">
        <v>44190</v>
      </c>
      <c r="O328" s="2">
        <v>10.66255</v>
      </c>
      <c r="P328" s="2">
        <v>10.618600000000001</v>
      </c>
      <c r="Q328" s="2">
        <v>10.66</v>
      </c>
      <c r="R328" s="2">
        <v>10.6187</v>
      </c>
      <c r="S328" s="2">
        <v>10.79</v>
      </c>
      <c r="T328" s="2">
        <v>10.79255</v>
      </c>
      <c r="U328" s="2">
        <v>10.662800000000001</v>
      </c>
      <c r="V328" s="2">
        <v>10.6187</v>
      </c>
      <c r="W328" s="2">
        <v>10.81</v>
      </c>
      <c r="X328" s="2">
        <v>10.7906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2"/>
      <c r="AL328" s="1"/>
      <c r="AM328" s="2"/>
      <c r="AO328" s="124">
        <v>44190</v>
      </c>
      <c r="AP328">
        <v>50.5</v>
      </c>
      <c r="AQ328">
        <v>50.75</v>
      </c>
      <c r="AR328">
        <v>50.5</v>
      </c>
      <c r="AS328">
        <v>50.75</v>
      </c>
      <c r="AT328">
        <v>50.75</v>
      </c>
      <c r="AU328">
        <v>50.75</v>
      </c>
      <c r="AV328">
        <v>50.5</v>
      </c>
      <c r="AW328">
        <v>50.75</v>
      </c>
      <c r="AX328">
        <v>50.75</v>
      </c>
      <c r="AY328">
        <v>50.75</v>
      </c>
      <c r="AZ328" s="7"/>
      <c r="BB328" s="124">
        <v>44190</v>
      </c>
      <c r="BC328" s="2">
        <v>10.66</v>
      </c>
      <c r="BD328" s="2">
        <v>10.62</v>
      </c>
      <c r="BE328" s="2">
        <v>10.66</v>
      </c>
      <c r="BF328" s="2">
        <v>10.62</v>
      </c>
      <c r="BG328" s="2">
        <v>10.79</v>
      </c>
      <c r="BH328" s="2">
        <v>10.79</v>
      </c>
      <c r="BI328" s="2">
        <v>10.66</v>
      </c>
      <c r="BJ328" s="2">
        <v>10.62</v>
      </c>
      <c r="BK328" s="2">
        <v>10.81</v>
      </c>
      <c r="BL328" s="2">
        <v>10.79</v>
      </c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2"/>
      <c r="BZ328" s="1"/>
      <c r="CA328" s="2"/>
    </row>
    <row r="329" spans="1:79" x14ac:dyDescent="0.2">
      <c r="A329" s="124">
        <v>44193</v>
      </c>
      <c r="B329">
        <v>50.875</v>
      </c>
      <c r="C329">
        <v>51.125</v>
      </c>
      <c r="D329">
        <v>50.875</v>
      </c>
      <c r="E329">
        <v>51.125</v>
      </c>
      <c r="F329">
        <v>51.125</v>
      </c>
      <c r="G329">
        <v>51.125</v>
      </c>
      <c r="H329">
        <v>50.875</v>
      </c>
      <c r="I329">
        <v>51.125</v>
      </c>
      <c r="J329">
        <v>51.125</v>
      </c>
      <c r="K329">
        <v>51.125</v>
      </c>
      <c r="L329" s="7"/>
      <c r="N329" s="124">
        <v>44193</v>
      </c>
      <c r="O329" s="2">
        <v>10.600300000000001</v>
      </c>
      <c r="P329" s="2">
        <v>10.556649999999999</v>
      </c>
      <c r="Q329" s="2">
        <v>10.6</v>
      </c>
      <c r="R329" s="2">
        <v>10.556749999999999</v>
      </c>
      <c r="S329" s="2">
        <v>10.73</v>
      </c>
      <c r="T329" s="2">
        <v>10.72935</v>
      </c>
      <c r="U329" s="2">
        <v>10.60055</v>
      </c>
      <c r="V329" s="2">
        <v>10.556749999999999</v>
      </c>
      <c r="W329" s="2">
        <v>10.75</v>
      </c>
      <c r="X329" s="2">
        <v>10.727499999999999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2"/>
      <c r="AL329" s="1"/>
      <c r="AM329" s="2"/>
      <c r="AO329" s="124">
        <v>44193</v>
      </c>
      <c r="AP329">
        <v>50.875</v>
      </c>
      <c r="AQ329">
        <v>51.125</v>
      </c>
      <c r="AR329">
        <v>50.875</v>
      </c>
      <c r="AS329">
        <v>51.125</v>
      </c>
      <c r="AT329">
        <v>51.125</v>
      </c>
      <c r="AU329">
        <v>51.125</v>
      </c>
      <c r="AV329">
        <v>50.875</v>
      </c>
      <c r="AW329">
        <v>51.125</v>
      </c>
      <c r="AX329">
        <v>51.125</v>
      </c>
      <c r="AY329">
        <v>51.125</v>
      </c>
      <c r="AZ329" s="7"/>
      <c r="BB329" s="124">
        <v>44193</v>
      </c>
      <c r="BC329" s="2">
        <v>10.6</v>
      </c>
      <c r="BD329" s="2">
        <v>10.56</v>
      </c>
      <c r="BE329" s="2">
        <v>10.6</v>
      </c>
      <c r="BF329" s="2">
        <v>10.56</v>
      </c>
      <c r="BG329" s="2">
        <v>10.73</v>
      </c>
      <c r="BH329" s="2">
        <v>10.73</v>
      </c>
      <c r="BI329" s="2">
        <v>10.6</v>
      </c>
      <c r="BJ329" s="2">
        <v>10.56</v>
      </c>
      <c r="BK329" s="2">
        <v>10.75</v>
      </c>
      <c r="BL329" s="2">
        <v>10.73</v>
      </c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2"/>
      <c r="BZ329" s="1"/>
      <c r="CA329" s="2"/>
    </row>
    <row r="330" spans="1:79" x14ac:dyDescent="0.2">
      <c r="A330" s="124">
        <v>44194</v>
      </c>
      <c r="B330">
        <v>51.125</v>
      </c>
      <c r="C330">
        <v>51.375</v>
      </c>
      <c r="D330">
        <v>51.125</v>
      </c>
      <c r="E330">
        <v>51.375</v>
      </c>
      <c r="F330">
        <v>51.375</v>
      </c>
      <c r="G330">
        <v>51.375</v>
      </c>
      <c r="H330">
        <v>51.125</v>
      </c>
      <c r="I330">
        <v>51.375</v>
      </c>
      <c r="J330">
        <v>51.375</v>
      </c>
      <c r="K330">
        <v>51.375</v>
      </c>
      <c r="L330" s="7"/>
      <c r="N330" s="124">
        <v>44194</v>
      </c>
      <c r="O330" s="2">
        <v>10.5557</v>
      </c>
      <c r="P330" s="2">
        <v>10.51235</v>
      </c>
      <c r="Q330" s="2">
        <v>10.56</v>
      </c>
      <c r="R330" s="2">
        <v>10.512449999999999</v>
      </c>
      <c r="S330" s="2">
        <v>10.68</v>
      </c>
      <c r="T330" s="2">
        <v>10.683999999999999</v>
      </c>
      <c r="U330" s="2">
        <v>10.555899999999999</v>
      </c>
      <c r="V330" s="2">
        <v>10.512449999999999</v>
      </c>
      <c r="W330" s="2">
        <v>10.7</v>
      </c>
      <c r="X330" s="2">
        <v>10.6821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2"/>
      <c r="AL330" s="1"/>
      <c r="AM330" s="2"/>
      <c r="AO330" s="124">
        <v>44194</v>
      </c>
      <c r="AP330">
        <v>51.125</v>
      </c>
      <c r="AQ330">
        <v>51.375</v>
      </c>
      <c r="AR330">
        <v>51.125</v>
      </c>
      <c r="AS330">
        <v>51.375</v>
      </c>
      <c r="AT330">
        <v>51.375</v>
      </c>
      <c r="AU330">
        <v>51.375</v>
      </c>
      <c r="AV330">
        <v>51.125</v>
      </c>
      <c r="AW330">
        <v>51.375</v>
      </c>
      <c r="AX330">
        <v>51.375</v>
      </c>
      <c r="AY330">
        <v>51.375</v>
      </c>
      <c r="AZ330" s="7"/>
      <c r="BB330" s="124">
        <v>44194</v>
      </c>
      <c r="BC330" s="2">
        <v>10.56</v>
      </c>
      <c r="BD330" s="2">
        <v>10.51</v>
      </c>
      <c r="BE330" s="2">
        <v>10.56</v>
      </c>
      <c r="BF330" s="2">
        <v>10.51</v>
      </c>
      <c r="BG330" s="2">
        <v>10.68</v>
      </c>
      <c r="BH330" s="2">
        <v>10.68</v>
      </c>
      <c r="BI330" s="2">
        <v>10.56</v>
      </c>
      <c r="BJ330" s="2">
        <v>10.51</v>
      </c>
      <c r="BK330" s="2">
        <v>10.7</v>
      </c>
      <c r="BL330" s="2">
        <v>10.68</v>
      </c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2"/>
      <c r="BZ330" s="1"/>
      <c r="CA330" s="2"/>
    </row>
    <row r="331" spans="1:79" x14ac:dyDescent="0.2">
      <c r="A331" s="124">
        <v>44195</v>
      </c>
      <c r="B331">
        <v>51.125</v>
      </c>
      <c r="C331">
        <v>51.375</v>
      </c>
      <c r="D331">
        <v>51.125</v>
      </c>
      <c r="E331">
        <v>51.375</v>
      </c>
      <c r="F331">
        <v>51.375</v>
      </c>
      <c r="G331">
        <v>51.375</v>
      </c>
      <c r="H331">
        <v>51.125</v>
      </c>
      <c r="I331">
        <v>51.375</v>
      </c>
      <c r="J331">
        <v>51.375</v>
      </c>
      <c r="K331">
        <v>51.375</v>
      </c>
      <c r="L331" s="7"/>
      <c r="N331" s="124">
        <v>44195</v>
      </c>
      <c r="O331" s="2">
        <v>10.56265</v>
      </c>
      <c r="P331" s="2">
        <v>10.51925</v>
      </c>
      <c r="Q331" s="2">
        <v>10.56</v>
      </c>
      <c r="R331" s="2">
        <v>10.519349999999999</v>
      </c>
      <c r="S331" s="2">
        <v>10.69</v>
      </c>
      <c r="T331" s="2">
        <v>10.69205</v>
      </c>
      <c r="U331" s="2">
        <v>10.562900000000001</v>
      </c>
      <c r="V331" s="2">
        <v>10.519349999999999</v>
      </c>
      <c r="W331" s="2">
        <v>10.71</v>
      </c>
      <c r="X331" s="2">
        <v>10.690200000000001</v>
      </c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2"/>
      <c r="AL331" s="1"/>
      <c r="AM331" s="2"/>
      <c r="AO331" s="124">
        <v>44195</v>
      </c>
      <c r="AP331">
        <v>51.125</v>
      </c>
      <c r="AQ331">
        <v>51.375</v>
      </c>
      <c r="AR331">
        <v>51.125</v>
      </c>
      <c r="AS331">
        <v>51.375</v>
      </c>
      <c r="AT331">
        <v>51.375</v>
      </c>
      <c r="AU331">
        <v>51.375</v>
      </c>
      <c r="AV331">
        <v>51.125</v>
      </c>
      <c r="AW331">
        <v>51.375</v>
      </c>
      <c r="AX331">
        <v>51.375</v>
      </c>
      <c r="AY331">
        <v>51.375</v>
      </c>
      <c r="AZ331" s="7"/>
      <c r="BB331" s="124">
        <v>44195</v>
      </c>
      <c r="BC331" s="2">
        <v>10.56</v>
      </c>
      <c r="BD331" s="2">
        <v>10.52</v>
      </c>
      <c r="BE331" s="2">
        <v>10.56</v>
      </c>
      <c r="BF331" s="2">
        <v>10.52</v>
      </c>
      <c r="BG331" s="2">
        <v>10.69</v>
      </c>
      <c r="BH331" s="2">
        <v>10.69</v>
      </c>
      <c r="BI331" s="2">
        <v>10.56</v>
      </c>
      <c r="BJ331" s="2">
        <v>10.52</v>
      </c>
      <c r="BK331" s="2">
        <v>10.71</v>
      </c>
      <c r="BL331" s="2">
        <v>10.69</v>
      </c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2"/>
      <c r="BZ331" s="1"/>
      <c r="CA331" s="2"/>
    </row>
    <row r="332" spans="1:79" x14ac:dyDescent="0.2">
      <c r="A332" s="124">
        <v>44196</v>
      </c>
      <c r="B332">
        <v>51.25</v>
      </c>
      <c r="C332">
        <v>51.5</v>
      </c>
      <c r="D332">
        <v>51.25</v>
      </c>
      <c r="E332">
        <v>51.5</v>
      </c>
      <c r="F332">
        <v>51.5</v>
      </c>
      <c r="G332">
        <v>51.5</v>
      </c>
      <c r="H332">
        <v>51.25</v>
      </c>
      <c r="I332">
        <v>51.5</v>
      </c>
      <c r="J332">
        <v>51.5</v>
      </c>
      <c r="K332">
        <v>51.5</v>
      </c>
      <c r="L332" s="7"/>
      <c r="N332" s="124">
        <v>44196</v>
      </c>
      <c r="O332" s="2">
        <v>10.54285</v>
      </c>
      <c r="P332" s="2">
        <v>10.499499999999999</v>
      </c>
      <c r="Q332" s="2">
        <v>10.54</v>
      </c>
      <c r="R332" s="2">
        <v>10.499599999999999</v>
      </c>
      <c r="S332" s="2">
        <v>10.67</v>
      </c>
      <c r="T332" s="2">
        <v>10.67215</v>
      </c>
      <c r="U332" s="2">
        <v>10.543049999999999</v>
      </c>
      <c r="V332" s="2">
        <v>10.499599999999999</v>
      </c>
      <c r="W332" s="2">
        <v>10.69</v>
      </c>
      <c r="X332" s="2">
        <v>10.670249999999999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2"/>
      <c r="AL332" s="1"/>
      <c r="AM332" s="2"/>
      <c r="AO332" s="124">
        <v>44196</v>
      </c>
      <c r="AP332">
        <v>51.25</v>
      </c>
      <c r="AQ332">
        <v>51.5</v>
      </c>
      <c r="AR332">
        <v>51.25</v>
      </c>
      <c r="AS332">
        <v>51.5</v>
      </c>
      <c r="AT332">
        <v>51.5</v>
      </c>
      <c r="AU332">
        <v>51.5</v>
      </c>
      <c r="AV332">
        <v>51.25</v>
      </c>
      <c r="AW332">
        <v>51.5</v>
      </c>
      <c r="AX332">
        <v>51.5</v>
      </c>
      <c r="AY332">
        <v>51.5</v>
      </c>
      <c r="AZ332" s="7"/>
      <c r="BB332" s="124">
        <v>44196</v>
      </c>
      <c r="BC332" s="2">
        <v>10.54</v>
      </c>
      <c r="BD332" s="2">
        <v>10.5</v>
      </c>
      <c r="BE332" s="2">
        <v>10.54</v>
      </c>
      <c r="BF332" s="2">
        <v>10.5</v>
      </c>
      <c r="BG332" s="2">
        <v>10.67</v>
      </c>
      <c r="BH332" s="2">
        <v>10.67</v>
      </c>
      <c r="BI332" s="2">
        <v>10.54</v>
      </c>
      <c r="BJ332" s="2">
        <v>10.5</v>
      </c>
      <c r="BK332" s="2">
        <v>10.69</v>
      </c>
      <c r="BL332" s="2">
        <v>10.67</v>
      </c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2"/>
      <c r="BZ332" s="1"/>
      <c r="CA332" s="2"/>
    </row>
    <row r="333" spans="1:79" x14ac:dyDescent="0.2">
      <c r="A333" s="124">
        <v>44197</v>
      </c>
      <c r="B333">
        <v>51.25</v>
      </c>
      <c r="C333">
        <v>51.5</v>
      </c>
      <c r="D333">
        <v>51.25</v>
      </c>
      <c r="E333">
        <v>51.5</v>
      </c>
      <c r="F333">
        <v>51.5</v>
      </c>
      <c r="G333">
        <v>51.5</v>
      </c>
      <c r="H333">
        <v>51.25</v>
      </c>
      <c r="I333">
        <v>51.5</v>
      </c>
      <c r="J333">
        <v>51.5</v>
      </c>
      <c r="K333">
        <v>51.5</v>
      </c>
      <c r="L333" s="7"/>
      <c r="N333" s="124">
        <v>44197</v>
      </c>
      <c r="O333" s="2">
        <v>10.54285</v>
      </c>
      <c r="P333" s="2">
        <v>10.499499999999999</v>
      </c>
      <c r="Q333" s="2">
        <v>10.54</v>
      </c>
      <c r="R333" s="2">
        <v>10.499599999999999</v>
      </c>
      <c r="S333" s="2">
        <v>10.67</v>
      </c>
      <c r="T333" s="2">
        <v>10.67215</v>
      </c>
      <c r="U333" s="2">
        <v>10.543049999999999</v>
      </c>
      <c r="V333" s="2">
        <v>10.499599999999999</v>
      </c>
      <c r="W333" s="2">
        <v>10.69</v>
      </c>
      <c r="X333" s="2">
        <v>10.670249999999999</v>
      </c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2"/>
      <c r="AL333" s="1"/>
      <c r="AM333" s="2"/>
      <c r="AO333" s="124">
        <v>44197</v>
      </c>
      <c r="AP333">
        <v>51.25</v>
      </c>
      <c r="AQ333">
        <v>51.5</v>
      </c>
      <c r="AR333">
        <v>51.25</v>
      </c>
      <c r="AS333">
        <v>51.5</v>
      </c>
      <c r="AT333">
        <v>51.5</v>
      </c>
      <c r="AU333">
        <v>51.5</v>
      </c>
      <c r="AV333">
        <v>51.25</v>
      </c>
      <c r="AW333">
        <v>51.5</v>
      </c>
      <c r="AX333">
        <v>51.5</v>
      </c>
      <c r="AY333">
        <v>51.5</v>
      </c>
      <c r="AZ333" s="7"/>
      <c r="BB333" s="124">
        <v>44197</v>
      </c>
      <c r="BC333" s="2">
        <v>10.54</v>
      </c>
      <c r="BD333" s="2">
        <v>10.5</v>
      </c>
      <c r="BE333" s="2">
        <v>10.54</v>
      </c>
      <c r="BF333" s="2">
        <v>10.5</v>
      </c>
      <c r="BG333" s="2">
        <v>10.67</v>
      </c>
      <c r="BH333" s="2">
        <v>10.67</v>
      </c>
      <c r="BI333" s="2">
        <v>10.54</v>
      </c>
      <c r="BJ333" s="2">
        <v>10.5</v>
      </c>
      <c r="BK333" s="2">
        <v>10.69</v>
      </c>
      <c r="BL333" s="2">
        <v>10.67</v>
      </c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2"/>
      <c r="BZ333" s="1"/>
      <c r="CA333" s="2"/>
    </row>
    <row r="334" spans="1:79" x14ac:dyDescent="0.2">
      <c r="A334" s="124">
        <v>44200</v>
      </c>
      <c r="B334">
        <v>51.25</v>
      </c>
      <c r="C334">
        <v>51.5</v>
      </c>
      <c r="D334">
        <v>51.25</v>
      </c>
      <c r="E334">
        <v>51.5</v>
      </c>
      <c r="F334">
        <v>51.5</v>
      </c>
      <c r="G334">
        <v>51.5</v>
      </c>
      <c r="H334">
        <v>51.25</v>
      </c>
      <c r="I334">
        <v>51.5</v>
      </c>
      <c r="J334">
        <v>51.5</v>
      </c>
      <c r="K334">
        <v>51.5</v>
      </c>
      <c r="L334" s="7"/>
      <c r="N334" s="124">
        <v>44200</v>
      </c>
      <c r="O334" s="2">
        <v>10.545249999999999</v>
      </c>
      <c r="P334" s="2">
        <v>10.501899999999999</v>
      </c>
      <c r="Q334" s="2">
        <v>10.55</v>
      </c>
      <c r="R334" s="2">
        <v>10.502000000000001</v>
      </c>
      <c r="S334" s="2">
        <v>10.67</v>
      </c>
      <c r="T334" s="2">
        <v>10.674799999999999</v>
      </c>
      <c r="U334" s="2">
        <v>10.545450000000001</v>
      </c>
      <c r="V334" s="2">
        <v>10.502000000000001</v>
      </c>
      <c r="W334" s="2">
        <v>10.69</v>
      </c>
      <c r="X334" s="2">
        <v>10.67295</v>
      </c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2"/>
      <c r="AL334" s="1"/>
      <c r="AM334" s="2"/>
      <c r="AO334" s="124">
        <v>44200</v>
      </c>
      <c r="AP334">
        <v>51.25</v>
      </c>
      <c r="AQ334">
        <v>51.5</v>
      </c>
      <c r="AR334">
        <v>51.25</v>
      </c>
      <c r="AS334">
        <v>51.5</v>
      </c>
      <c r="AT334">
        <v>51.5</v>
      </c>
      <c r="AU334">
        <v>51.5</v>
      </c>
      <c r="AV334">
        <v>51.25</v>
      </c>
      <c r="AW334">
        <v>51.5</v>
      </c>
      <c r="AX334">
        <v>51.5</v>
      </c>
      <c r="AY334">
        <v>51.5</v>
      </c>
      <c r="AZ334" s="7"/>
      <c r="BB334" s="124">
        <v>44200</v>
      </c>
      <c r="BC334" s="2">
        <v>10.54</v>
      </c>
      <c r="BD334" s="2">
        <v>10.5</v>
      </c>
      <c r="BE334" s="2">
        <v>10.55</v>
      </c>
      <c r="BF334" s="2">
        <v>10.5</v>
      </c>
      <c r="BG334" s="2">
        <v>10.67</v>
      </c>
      <c r="BH334" s="2">
        <v>10.67</v>
      </c>
      <c r="BI334" s="2">
        <v>10.54</v>
      </c>
      <c r="BJ334" s="2">
        <v>10.5</v>
      </c>
      <c r="BK334" s="2">
        <v>10.69</v>
      </c>
      <c r="BL334" s="2">
        <v>10.67</v>
      </c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2"/>
      <c r="BZ334" s="1"/>
      <c r="CA334" s="2"/>
    </row>
    <row r="335" spans="1:79" x14ac:dyDescent="0.2">
      <c r="A335" s="124">
        <v>44201</v>
      </c>
      <c r="B335">
        <v>50</v>
      </c>
      <c r="C335">
        <v>50.25</v>
      </c>
      <c r="D335">
        <v>50</v>
      </c>
      <c r="E335">
        <v>50.25</v>
      </c>
      <c r="F335">
        <v>50.25</v>
      </c>
      <c r="G335">
        <v>50.25</v>
      </c>
      <c r="H335">
        <v>50</v>
      </c>
      <c r="I335">
        <v>50.25</v>
      </c>
      <c r="J335">
        <v>50.25</v>
      </c>
      <c r="K335">
        <v>50.25</v>
      </c>
      <c r="L335" s="7"/>
      <c r="N335" s="124">
        <v>44201</v>
      </c>
      <c r="O335" s="2">
        <v>10.77305</v>
      </c>
      <c r="P335" s="2">
        <v>10.728350000000001</v>
      </c>
      <c r="Q335" s="2">
        <v>10.77</v>
      </c>
      <c r="R335" s="2">
        <v>10.728400000000001</v>
      </c>
      <c r="S335" s="2">
        <v>10.91</v>
      </c>
      <c r="T335" s="2">
        <v>10.90705</v>
      </c>
      <c r="U335" s="2">
        <v>10.773250000000001</v>
      </c>
      <c r="V335" s="2">
        <v>10.728400000000001</v>
      </c>
      <c r="W335" s="2">
        <v>10.92</v>
      </c>
      <c r="X335" s="2">
        <v>10.905099999999999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2"/>
      <c r="AL335" s="1"/>
      <c r="AM335" s="2"/>
      <c r="AO335" s="124">
        <v>44201</v>
      </c>
      <c r="AP335">
        <v>50</v>
      </c>
      <c r="AQ335">
        <v>50.25</v>
      </c>
      <c r="AR335">
        <v>50</v>
      </c>
      <c r="AS335">
        <v>50.25</v>
      </c>
      <c r="AT335">
        <v>50.25</v>
      </c>
      <c r="AU335">
        <v>50.25</v>
      </c>
      <c r="AV335">
        <v>50</v>
      </c>
      <c r="AW335">
        <v>50.25</v>
      </c>
      <c r="AX335">
        <v>50.25</v>
      </c>
      <c r="AY335">
        <v>50.25</v>
      </c>
      <c r="AZ335" s="7"/>
      <c r="BB335" s="124">
        <v>44201</v>
      </c>
      <c r="BC335" s="2">
        <v>10.77</v>
      </c>
      <c r="BD335" s="2">
        <v>10.73</v>
      </c>
      <c r="BE335" s="2">
        <v>10.77</v>
      </c>
      <c r="BF335" s="2">
        <v>10.73</v>
      </c>
      <c r="BG335" s="2">
        <v>10.91</v>
      </c>
      <c r="BH335" s="2">
        <v>10.91</v>
      </c>
      <c r="BI335" s="2">
        <v>10.77</v>
      </c>
      <c r="BJ335" s="2">
        <v>10.73</v>
      </c>
      <c r="BK335" s="2">
        <v>10.92</v>
      </c>
      <c r="BL335" s="2">
        <v>10.9</v>
      </c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2"/>
      <c r="BZ335" s="1"/>
      <c r="CA335" s="2"/>
    </row>
    <row r="336" spans="1:79" x14ac:dyDescent="0.2">
      <c r="A336" s="124">
        <v>44202</v>
      </c>
      <c r="B336">
        <v>50.25</v>
      </c>
      <c r="C336">
        <v>50.5</v>
      </c>
      <c r="D336">
        <v>50.25</v>
      </c>
      <c r="E336">
        <v>50.5</v>
      </c>
      <c r="F336">
        <v>50.5</v>
      </c>
      <c r="G336">
        <v>50.5</v>
      </c>
      <c r="H336">
        <v>50.25</v>
      </c>
      <c r="I336">
        <v>50.5</v>
      </c>
      <c r="J336">
        <v>50.5</v>
      </c>
      <c r="K336">
        <v>50.5</v>
      </c>
      <c r="L336" s="7"/>
      <c r="N336" s="124">
        <v>44202</v>
      </c>
      <c r="O336" s="2">
        <v>10.729900000000001</v>
      </c>
      <c r="P336" s="2">
        <v>10.6854</v>
      </c>
      <c r="Q336" s="2">
        <v>10.73</v>
      </c>
      <c r="R336" s="2">
        <v>10.685499999999999</v>
      </c>
      <c r="S336" s="2">
        <v>10.86</v>
      </c>
      <c r="T336" s="2">
        <v>10.863300000000001</v>
      </c>
      <c r="U336" s="2">
        <v>10.7301</v>
      </c>
      <c r="V336" s="2">
        <v>10.685499999999999</v>
      </c>
      <c r="W336" s="2">
        <v>10.88</v>
      </c>
      <c r="X336" s="2">
        <v>10.8614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2"/>
      <c r="AL336" s="1"/>
      <c r="AM336" s="2"/>
      <c r="AO336" s="124">
        <v>44202</v>
      </c>
      <c r="AP336">
        <v>50.25</v>
      </c>
      <c r="AQ336">
        <v>50.5</v>
      </c>
      <c r="AR336">
        <v>50.25</v>
      </c>
      <c r="AS336">
        <v>50.5</v>
      </c>
      <c r="AT336">
        <v>50.5</v>
      </c>
      <c r="AU336">
        <v>50.5</v>
      </c>
      <c r="AV336">
        <v>50.25</v>
      </c>
      <c r="AW336">
        <v>50.5</v>
      </c>
      <c r="AX336">
        <v>50.5</v>
      </c>
      <c r="AY336">
        <v>50.5</v>
      </c>
      <c r="AZ336" s="7"/>
      <c r="BB336" s="124">
        <v>44202</v>
      </c>
      <c r="BC336" s="2">
        <v>10.73</v>
      </c>
      <c r="BD336" s="2">
        <v>10.68</v>
      </c>
      <c r="BE336" s="2">
        <v>10.73</v>
      </c>
      <c r="BF336" s="2">
        <v>10.68</v>
      </c>
      <c r="BG336" s="2">
        <v>10.86</v>
      </c>
      <c r="BH336" s="2">
        <v>10.86</v>
      </c>
      <c r="BI336" s="2">
        <v>10.73</v>
      </c>
      <c r="BJ336" s="2">
        <v>10.68</v>
      </c>
      <c r="BK336" s="2">
        <v>10.88</v>
      </c>
      <c r="BL336" s="2">
        <v>10.86</v>
      </c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2"/>
      <c r="BZ336" s="1"/>
      <c r="CA336" s="2"/>
    </row>
    <row r="337" spans="1:79" x14ac:dyDescent="0.2">
      <c r="A337" s="124">
        <v>44203</v>
      </c>
      <c r="B337">
        <v>48.75</v>
      </c>
      <c r="C337">
        <v>49</v>
      </c>
      <c r="D337">
        <v>48.75</v>
      </c>
      <c r="E337">
        <v>49</v>
      </c>
      <c r="F337">
        <v>49</v>
      </c>
      <c r="G337">
        <v>49</v>
      </c>
      <c r="H337">
        <v>48.75</v>
      </c>
      <c r="I337">
        <v>49</v>
      </c>
      <c r="J337">
        <v>49</v>
      </c>
      <c r="K337">
        <v>49</v>
      </c>
      <c r="L337" s="7"/>
      <c r="N337" s="124">
        <v>44203</v>
      </c>
      <c r="O337" s="2">
        <v>11.01585</v>
      </c>
      <c r="P337" s="2">
        <v>10.96955</v>
      </c>
      <c r="Q337" s="2">
        <v>11.02</v>
      </c>
      <c r="R337" s="2">
        <v>10.96965</v>
      </c>
      <c r="S337" s="2">
        <v>11.15</v>
      </c>
      <c r="T337" s="2">
        <v>11.15535</v>
      </c>
      <c r="U337" s="2">
        <v>11.016</v>
      </c>
      <c r="V337" s="2">
        <v>10.96965</v>
      </c>
      <c r="W337" s="2">
        <v>11.17</v>
      </c>
      <c r="X337" s="2">
        <v>11.1534</v>
      </c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2"/>
      <c r="AL337" s="1"/>
      <c r="AM337" s="2"/>
      <c r="AO337" s="124">
        <v>44203</v>
      </c>
      <c r="AP337">
        <v>48.75</v>
      </c>
      <c r="AQ337">
        <v>49</v>
      </c>
      <c r="AR337">
        <v>48.75</v>
      </c>
      <c r="AS337">
        <v>49</v>
      </c>
      <c r="AT337">
        <v>49</v>
      </c>
      <c r="AU337">
        <v>49</v>
      </c>
      <c r="AV337">
        <v>48.75</v>
      </c>
      <c r="AW337">
        <v>49</v>
      </c>
      <c r="AX337">
        <v>49</v>
      </c>
      <c r="AY337">
        <v>49</v>
      </c>
      <c r="AZ337" s="7"/>
      <c r="BB337" s="124">
        <v>44203</v>
      </c>
      <c r="BC337" s="2">
        <v>11.02</v>
      </c>
      <c r="BD337" s="2">
        <v>10.97</v>
      </c>
      <c r="BE337" s="2">
        <v>11.02</v>
      </c>
      <c r="BF337" s="2">
        <v>10.97</v>
      </c>
      <c r="BG337" s="2">
        <v>11.15</v>
      </c>
      <c r="BH337" s="2">
        <v>11.15</v>
      </c>
      <c r="BI337" s="2">
        <v>11.02</v>
      </c>
      <c r="BJ337" s="2">
        <v>10.97</v>
      </c>
      <c r="BK337" s="2">
        <v>11.17</v>
      </c>
      <c r="BL337" s="2">
        <v>11.15</v>
      </c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2"/>
      <c r="BZ337" s="1"/>
      <c r="CA337" s="2"/>
    </row>
    <row r="338" spans="1:79" x14ac:dyDescent="0.2">
      <c r="A338" s="124">
        <v>44204</v>
      </c>
      <c r="B338">
        <v>46.75</v>
      </c>
      <c r="C338">
        <v>47</v>
      </c>
      <c r="D338">
        <v>46.75</v>
      </c>
      <c r="E338">
        <v>47</v>
      </c>
      <c r="F338">
        <v>47</v>
      </c>
      <c r="G338">
        <v>47</v>
      </c>
      <c r="H338">
        <v>46.75</v>
      </c>
      <c r="I338">
        <v>47</v>
      </c>
      <c r="J338">
        <v>47</v>
      </c>
      <c r="K338">
        <v>47</v>
      </c>
      <c r="L338" s="7"/>
      <c r="N338" s="124">
        <v>44204</v>
      </c>
      <c r="O338" s="2">
        <v>11.4071</v>
      </c>
      <c r="P338" s="2">
        <v>11.3584</v>
      </c>
      <c r="Q338" s="2">
        <v>11.41</v>
      </c>
      <c r="R338" s="2">
        <v>11.358499999999999</v>
      </c>
      <c r="S338" s="2">
        <v>11.55</v>
      </c>
      <c r="T338" s="2">
        <v>11.5547</v>
      </c>
      <c r="U338" s="2">
        <v>11.407299999999999</v>
      </c>
      <c r="V338" s="2">
        <v>11.358499999999999</v>
      </c>
      <c r="W338" s="2">
        <v>11.57</v>
      </c>
      <c r="X338" s="2">
        <v>11.55255</v>
      </c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2"/>
      <c r="AL338" s="1"/>
      <c r="AM338" s="2"/>
      <c r="AO338" s="124">
        <v>44204</v>
      </c>
      <c r="AP338">
        <v>46.75</v>
      </c>
      <c r="AQ338">
        <v>47</v>
      </c>
      <c r="AR338">
        <v>46.75</v>
      </c>
      <c r="AS338">
        <v>47</v>
      </c>
      <c r="AT338">
        <v>47</v>
      </c>
      <c r="AU338">
        <v>47</v>
      </c>
      <c r="AV338">
        <v>46.75</v>
      </c>
      <c r="AW338">
        <v>47</v>
      </c>
      <c r="AX338">
        <v>47</v>
      </c>
      <c r="AY338">
        <v>47</v>
      </c>
      <c r="AZ338" s="7"/>
      <c r="BB338" s="124">
        <v>44204</v>
      </c>
      <c r="BC338" s="2">
        <v>11.41</v>
      </c>
      <c r="BD338" s="2">
        <v>11.36</v>
      </c>
      <c r="BE338" s="2">
        <v>11.41</v>
      </c>
      <c r="BF338" s="2">
        <v>11.36</v>
      </c>
      <c r="BG338" s="2">
        <v>11.55</v>
      </c>
      <c r="BH338" s="2">
        <v>11.55</v>
      </c>
      <c r="BI338" s="2">
        <v>11.41</v>
      </c>
      <c r="BJ338" s="2">
        <v>11.36</v>
      </c>
      <c r="BK338" s="2">
        <v>11.57</v>
      </c>
      <c r="BL338" s="2">
        <v>11.55</v>
      </c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2"/>
      <c r="BZ338" s="1"/>
      <c r="CA338" s="2"/>
    </row>
    <row r="339" spans="1:79" x14ac:dyDescent="0.2">
      <c r="A339" s="124">
        <v>44207</v>
      </c>
      <c r="B339">
        <v>47.25</v>
      </c>
      <c r="C339">
        <v>47.5</v>
      </c>
      <c r="D339">
        <v>47.25</v>
      </c>
      <c r="E339">
        <v>47.5</v>
      </c>
      <c r="F339">
        <v>47.5</v>
      </c>
      <c r="G339">
        <v>47.5</v>
      </c>
      <c r="H339">
        <v>47.25</v>
      </c>
      <c r="I339">
        <v>47.5</v>
      </c>
      <c r="J339">
        <v>47.5</v>
      </c>
      <c r="K339">
        <v>47.5</v>
      </c>
      <c r="L339" s="7"/>
      <c r="N339" s="124">
        <v>44207</v>
      </c>
      <c r="O339" s="2">
        <v>11.310600000000001</v>
      </c>
      <c r="P339" s="2">
        <v>11.262549999999999</v>
      </c>
      <c r="Q339" s="2">
        <v>11.31</v>
      </c>
      <c r="R339" s="2">
        <v>11.262600000000001</v>
      </c>
      <c r="S339" s="2">
        <v>11.46</v>
      </c>
      <c r="T339" s="2">
        <v>11.4565</v>
      </c>
      <c r="U339" s="2">
        <v>11.3108</v>
      </c>
      <c r="V339" s="2">
        <v>11.262600000000001</v>
      </c>
      <c r="W339" s="2">
        <v>11.48</v>
      </c>
      <c r="X339" s="2">
        <v>11.4544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2"/>
      <c r="AL339" s="1"/>
      <c r="AM339" s="2"/>
      <c r="AO339" s="124">
        <v>44207</v>
      </c>
      <c r="AP339">
        <v>47.25</v>
      </c>
      <c r="AQ339">
        <v>47.5</v>
      </c>
      <c r="AR339">
        <v>47.25</v>
      </c>
      <c r="AS339">
        <v>47.5</v>
      </c>
      <c r="AT339">
        <v>47.5</v>
      </c>
      <c r="AU339">
        <v>47.5</v>
      </c>
      <c r="AV339">
        <v>47.25</v>
      </c>
      <c r="AW339">
        <v>47.5</v>
      </c>
      <c r="AX339">
        <v>47.5</v>
      </c>
      <c r="AY339">
        <v>47.5</v>
      </c>
      <c r="AZ339" s="7"/>
      <c r="BB339" s="124">
        <v>44207</v>
      </c>
      <c r="BC339" s="2">
        <v>11.31</v>
      </c>
      <c r="BD339" s="2">
        <v>11.26</v>
      </c>
      <c r="BE339" s="2">
        <v>11.31</v>
      </c>
      <c r="BF339" s="2">
        <v>11.26</v>
      </c>
      <c r="BG339" s="2">
        <v>11.46</v>
      </c>
      <c r="BH339" s="2">
        <v>11.45</v>
      </c>
      <c r="BI339" s="2">
        <v>11.31</v>
      </c>
      <c r="BJ339" s="2">
        <v>11.26</v>
      </c>
      <c r="BK339" s="2">
        <v>11.48</v>
      </c>
      <c r="BL339" s="2">
        <v>11.45</v>
      </c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2"/>
      <c r="BZ339" s="1"/>
      <c r="CA339" s="2"/>
    </row>
    <row r="340" spans="1:79" x14ac:dyDescent="0.2">
      <c r="A340" s="124">
        <v>44208</v>
      </c>
      <c r="B340">
        <v>47</v>
      </c>
      <c r="C340">
        <v>47.25</v>
      </c>
      <c r="D340">
        <v>47</v>
      </c>
      <c r="E340">
        <v>47.25</v>
      </c>
      <c r="F340">
        <v>47.25</v>
      </c>
      <c r="G340">
        <v>47.25</v>
      </c>
      <c r="H340">
        <v>47</v>
      </c>
      <c r="I340">
        <v>47.25</v>
      </c>
      <c r="J340">
        <v>47.25</v>
      </c>
      <c r="K340">
        <v>47.25</v>
      </c>
      <c r="L340" s="7"/>
      <c r="N340" s="124">
        <v>44208</v>
      </c>
      <c r="O340" s="2">
        <v>11.3627</v>
      </c>
      <c r="P340" s="2">
        <v>11.314249999999999</v>
      </c>
      <c r="Q340" s="2">
        <v>11.36</v>
      </c>
      <c r="R340" s="2">
        <v>11.314299999999999</v>
      </c>
      <c r="S340" s="2">
        <v>11.51</v>
      </c>
      <c r="T340" s="2">
        <v>11.50985</v>
      </c>
      <c r="U340" s="2">
        <v>11.36285</v>
      </c>
      <c r="V340" s="2">
        <v>11.314299999999999</v>
      </c>
      <c r="W340" s="2">
        <v>11.53</v>
      </c>
      <c r="X340" s="2">
        <v>11.5078</v>
      </c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2"/>
      <c r="AL340" s="1"/>
      <c r="AM340" s="2"/>
      <c r="AO340" s="124">
        <v>44208</v>
      </c>
      <c r="AP340">
        <v>47</v>
      </c>
      <c r="AQ340">
        <v>47.25</v>
      </c>
      <c r="AR340">
        <v>47</v>
      </c>
      <c r="AS340">
        <v>47.25</v>
      </c>
      <c r="AT340">
        <v>47.25</v>
      </c>
      <c r="AU340">
        <v>47.25</v>
      </c>
      <c r="AV340">
        <v>47</v>
      </c>
      <c r="AW340">
        <v>47.25</v>
      </c>
      <c r="AX340">
        <v>47.25</v>
      </c>
      <c r="AY340">
        <v>47.25</v>
      </c>
      <c r="AZ340" s="7"/>
      <c r="BB340" s="124">
        <v>44208</v>
      </c>
      <c r="BC340" s="2">
        <v>11.36</v>
      </c>
      <c r="BD340" s="2">
        <v>11.31</v>
      </c>
      <c r="BE340" s="2">
        <v>11.36</v>
      </c>
      <c r="BF340" s="2">
        <v>11.31</v>
      </c>
      <c r="BG340" s="2">
        <v>11.51</v>
      </c>
      <c r="BH340" s="2">
        <v>11.51</v>
      </c>
      <c r="BI340" s="2">
        <v>11.36</v>
      </c>
      <c r="BJ340" s="2">
        <v>11.31</v>
      </c>
      <c r="BK340" s="2">
        <v>11.53</v>
      </c>
      <c r="BL340" s="2">
        <v>11.51</v>
      </c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2"/>
      <c r="BZ340" s="1"/>
      <c r="CA340" s="2"/>
    </row>
    <row r="341" spans="1:79" x14ac:dyDescent="0.2">
      <c r="A341" s="124">
        <v>44209</v>
      </c>
      <c r="B341">
        <v>47</v>
      </c>
      <c r="C341">
        <v>47.25</v>
      </c>
      <c r="D341">
        <v>47</v>
      </c>
      <c r="E341">
        <v>47.25</v>
      </c>
      <c r="F341">
        <v>47.25</v>
      </c>
      <c r="G341">
        <v>47.25</v>
      </c>
      <c r="H341">
        <v>47</v>
      </c>
      <c r="I341">
        <v>47.25</v>
      </c>
      <c r="J341">
        <v>47.25</v>
      </c>
      <c r="K341">
        <v>47.25</v>
      </c>
      <c r="L341" s="7"/>
      <c r="N341" s="124">
        <v>44209</v>
      </c>
      <c r="O341" s="2">
        <v>11.365349999999999</v>
      </c>
      <c r="P341" s="2">
        <v>11.3169</v>
      </c>
      <c r="Q341" s="2">
        <v>11.36</v>
      </c>
      <c r="R341" s="2">
        <v>11.31695</v>
      </c>
      <c r="S341" s="2">
        <v>11.51</v>
      </c>
      <c r="T341" s="2">
        <v>11.51285</v>
      </c>
      <c r="U341" s="2">
        <v>11.365500000000001</v>
      </c>
      <c r="V341" s="2">
        <v>11.31695</v>
      </c>
      <c r="W341" s="2">
        <v>11.53</v>
      </c>
      <c r="X341" s="2">
        <v>11.51075</v>
      </c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2"/>
      <c r="AL341" s="1"/>
      <c r="AM341" s="2"/>
      <c r="AO341" s="124">
        <v>44209</v>
      </c>
      <c r="AP341">
        <v>47</v>
      </c>
      <c r="AQ341">
        <v>47.25</v>
      </c>
      <c r="AR341">
        <v>47</v>
      </c>
      <c r="AS341">
        <v>47.25</v>
      </c>
      <c r="AT341">
        <v>47.25</v>
      </c>
      <c r="AU341">
        <v>47.25</v>
      </c>
      <c r="AV341">
        <v>47</v>
      </c>
      <c r="AW341">
        <v>47.25</v>
      </c>
      <c r="AX341">
        <v>47.25</v>
      </c>
      <c r="AY341">
        <v>47.25</v>
      </c>
      <c r="AZ341" s="7"/>
      <c r="BB341" s="124">
        <v>44209</v>
      </c>
      <c r="BC341" s="2">
        <v>11.36</v>
      </c>
      <c r="BD341" s="2">
        <v>11.32</v>
      </c>
      <c r="BE341" s="2">
        <v>11.36</v>
      </c>
      <c r="BF341" s="2">
        <v>11.32</v>
      </c>
      <c r="BG341" s="2">
        <v>11.51</v>
      </c>
      <c r="BH341" s="2">
        <v>11.51</v>
      </c>
      <c r="BI341" s="2">
        <v>11.36</v>
      </c>
      <c r="BJ341" s="2">
        <v>11.32</v>
      </c>
      <c r="BK341" s="2">
        <v>11.53</v>
      </c>
      <c r="BL341" s="2">
        <v>11.51</v>
      </c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2"/>
      <c r="BZ341" s="1"/>
      <c r="CA341" s="2"/>
    </row>
    <row r="342" spans="1:79" x14ac:dyDescent="0.2">
      <c r="A342" s="124">
        <v>44210</v>
      </c>
      <c r="B342">
        <v>46.5</v>
      </c>
      <c r="C342">
        <v>46.75</v>
      </c>
      <c r="D342">
        <v>46.5</v>
      </c>
      <c r="E342">
        <v>46.75</v>
      </c>
      <c r="F342">
        <v>46.75</v>
      </c>
      <c r="G342">
        <v>46.75</v>
      </c>
      <c r="H342">
        <v>46.5</v>
      </c>
      <c r="I342">
        <v>46.75</v>
      </c>
      <c r="J342">
        <v>46.75</v>
      </c>
      <c r="K342">
        <v>46.75</v>
      </c>
      <c r="L342" s="7"/>
      <c r="N342" s="124">
        <v>44210</v>
      </c>
      <c r="O342" s="2">
        <v>11.476000000000001</v>
      </c>
      <c r="P342" s="2">
        <v>11.4268</v>
      </c>
      <c r="Q342" s="2">
        <v>11.48</v>
      </c>
      <c r="R342" s="2">
        <v>11.4268</v>
      </c>
      <c r="S342" s="2">
        <v>11.63</v>
      </c>
      <c r="T342" s="2">
        <v>11.626799999999999</v>
      </c>
      <c r="U342" s="2">
        <v>11.476100000000001</v>
      </c>
      <c r="V342" s="2">
        <v>11.4268</v>
      </c>
      <c r="W342" s="2">
        <v>11.65</v>
      </c>
      <c r="X342" s="2">
        <v>11.624700000000001</v>
      </c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2"/>
      <c r="AL342" s="1"/>
      <c r="AM342" s="2"/>
      <c r="AO342" s="124">
        <v>44210</v>
      </c>
      <c r="AP342">
        <v>46.5</v>
      </c>
      <c r="AQ342">
        <v>46.75</v>
      </c>
      <c r="AR342">
        <v>46.5</v>
      </c>
      <c r="AS342">
        <v>46.75</v>
      </c>
      <c r="AT342">
        <v>46.75</v>
      </c>
      <c r="AU342">
        <v>46.75</v>
      </c>
      <c r="AV342">
        <v>46.5</v>
      </c>
      <c r="AW342">
        <v>46.75</v>
      </c>
      <c r="AX342">
        <v>46.75</v>
      </c>
      <c r="AY342">
        <v>46.75</v>
      </c>
      <c r="AZ342" s="7"/>
      <c r="BB342" s="124">
        <v>44210</v>
      </c>
      <c r="BC342" s="2">
        <v>11.48</v>
      </c>
      <c r="BD342" s="2">
        <v>11.43</v>
      </c>
      <c r="BE342" s="2">
        <v>11.48</v>
      </c>
      <c r="BF342" s="2">
        <v>11.43</v>
      </c>
      <c r="BG342" s="2">
        <v>11.63</v>
      </c>
      <c r="BH342" s="2">
        <v>11.63</v>
      </c>
      <c r="BI342" s="2">
        <v>11.48</v>
      </c>
      <c r="BJ342" s="2">
        <v>11.43</v>
      </c>
      <c r="BK342" s="2">
        <v>11.65</v>
      </c>
      <c r="BL342" s="2">
        <v>11.62</v>
      </c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2"/>
      <c r="BZ342" s="1"/>
      <c r="CA342" s="2"/>
    </row>
    <row r="343" spans="1:79" x14ac:dyDescent="0.2">
      <c r="A343" s="124">
        <v>44211</v>
      </c>
      <c r="B343">
        <v>46</v>
      </c>
      <c r="C343">
        <v>46.25</v>
      </c>
      <c r="D343">
        <v>46</v>
      </c>
      <c r="E343">
        <v>46.25</v>
      </c>
      <c r="F343">
        <v>46.25</v>
      </c>
      <c r="G343">
        <v>46.25</v>
      </c>
      <c r="H343">
        <v>46</v>
      </c>
      <c r="I343">
        <v>46.25</v>
      </c>
      <c r="J343">
        <v>46.25</v>
      </c>
      <c r="K343">
        <v>46.25</v>
      </c>
      <c r="L343" s="7"/>
      <c r="N343" s="124">
        <v>44211</v>
      </c>
      <c r="O343" s="2">
        <v>11.5801</v>
      </c>
      <c r="P343" s="2">
        <v>11.530200000000001</v>
      </c>
      <c r="Q343" s="2">
        <v>11.58</v>
      </c>
      <c r="R343" s="2">
        <v>11.530200000000001</v>
      </c>
      <c r="S343" s="2">
        <v>11.73</v>
      </c>
      <c r="T343" s="2">
        <v>11.73335</v>
      </c>
      <c r="U343" s="2">
        <v>11.5802</v>
      </c>
      <c r="V343" s="2">
        <v>11.530200000000001</v>
      </c>
      <c r="W343" s="2">
        <v>11.75</v>
      </c>
      <c r="X343" s="2">
        <v>11.731199999999999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2"/>
      <c r="AL343" s="1"/>
      <c r="AM343" s="2"/>
      <c r="AO343" s="124">
        <v>44211</v>
      </c>
      <c r="AP343">
        <v>46</v>
      </c>
      <c r="AQ343">
        <v>46.25</v>
      </c>
      <c r="AR343">
        <v>46</v>
      </c>
      <c r="AS343">
        <v>46.25</v>
      </c>
      <c r="AT343">
        <v>46.25</v>
      </c>
      <c r="AU343">
        <v>46.25</v>
      </c>
      <c r="AV343">
        <v>46</v>
      </c>
      <c r="AW343">
        <v>46.25</v>
      </c>
      <c r="AX343">
        <v>46.25</v>
      </c>
      <c r="AY343">
        <v>46.25</v>
      </c>
      <c r="AZ343" s="7"/>
      <c r="BB343" s="124">
        <v>44211</v>
      </c>
      <c r="BC343" s="2">
        <v>11.58</v>
      </c>
      <c r="BD343" s="2">
        <v>11.53</v>
      </c>
      <c r="BE343" s="2">
        <v>11.58</v>
      </c>
      <c r="BF343" s="2">
        <v>11.53</v>
      </c>
      <c r="BG343" s="2">
        <v>11.73</v>
      </c>
      <c r="BH343" s="2">
        <v>11.73</v>
      </c>
      <c r="BI343" s="2">
        <v>11.58</v>
      </c>
      <c r="BJ343" s="2">
        <v>11.53</v>
      </c>
      <c r="BK343" s="2">
        <v>11.75</v>
      </c>
      <c r="BL343" s="2">
        <v>11.73</v>
      </c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2"/>
      <c r="BZ343" s="1"/>
      <c r="CA343" s="2"/>
    </row>
    <row r="344" spans="1:79" x14ac:dyDescent="0.2">
      <c r="A344" s="124">
        <v>44214</v>
      </c>
      <c r="B344">
        <v>46</v>
      </c>
      <c r="C344">
        <v>46.25</v>
      </c>
      <c r="D344">
        <v>46</v>
      </c>
      <c r="E344">
        <v>46.25</v>
      </c>
      <c r="F344">
        <v>46.25</v>
      </c>
      <c r="G344">
        <v>46.25</v>
      </c>
      <c r="H344">
        <v>46</v>
      </c>
      <c r="I344">
        <v>46.25</v>
      </c>
      <c r="J344">
        <v>46.25</v>
      </c>
      <c r="K344">
        <v>46.25</v>
      </c>
      <c r="L344" s="7"/>
      <c r="N344" s="124">
        <v>44214</v>
      </c>
      <c r="O344" s="2">
        <v>11.5801</v>
      </c>
      <c r="P344" s="2">
        <v>11.530200000000001</v>
      </c>
      <c r="Q344" s="2">
        <v>11.58</v>
      </c>
      <c r="R344" s="2">
        <v>11.530200000000001</v>
      </c>
      <c r="S344" s="2">
        <v>11.73</v>
      </c>
      <c r="T344" s="2">
        <v>11.73335</v>
      </c>
      <c r="U344" s="2">
        <v>11.5802</v>
      </c>
      <c r="V344" s="2">
        <v>11.530200000000001</v>
      </c>
      <c r="W344" s="2">
        <v>11.75</v>
      </c>
      <c r="X344" s="2">
        <v>11.731199999999999</v>
      </c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2"/>
      <c r="AL344" s="1"/>
      <c r="AM344" s="2"/>
      <c r="AO344" s="124">
        <v>44214</v>
      </c>
      <c r="AP344">
        <v>46</v>
      </c>
      <c r="AQ344">
        <v>46.25</v>
      </c>
      <c r="AR344">
        <v>46</v>
      </c>
      <c r="AS344">
        <v>46.25</v>
      </c>
      <c r="AT344">
        <v>46.25</v>
      </c>
      <c r="AU344">
        <v>46.25</v>
      </c>
      <c r="AV344">
        <v>46</v>
      </c>
      <c r="AW344">
        <v>46.25</v>
      </c>
      <c r="AX344">
        <v>46.25</v>
      </c>
      <c r="AY344">
        <v>46.25</v>
      </c>
      <c r="AZ344" s="7"/>
      <c r="BB344" s="124">
        <v>44214</v>
      </c>
      <c r="BC344" s="2">
        <v>11.58</v>
      </c>
      <c r="BD344" s="2">
        <v>11.53</v>
      </c>
      <c r="BE344" s="2">
        <v>11.58</v>
      </c>
      <c r="BF344" s="2">
        <v>11.53</v>
      </c>
      <c r="BG344" s="2">
        <v>11.73</v>
      </c>
      <c r="BH344" s="2">
        <v>11.73</v>
      </c>
      <c r="BI344" s="2">
        <v>11.58</v>
      </c>
      <c r="BJ344" s="2">
        <v>11.53</v>
      </c>
      <c r="BK344" s="2">
        <v>11.75</v>
      </c>
      <c r="BL344" s="2">
        <v>11.73</v>
      </c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2"/>
      <c r="BZ344" s="1"/>
      <c r="CA344" s="2"/>
    </row>
    <row r="345" spans="1:79" x14ac:dyDescent="0.2">
      <c r="A345" s="124">
        <v>44215</v>
      </c>
      <c r="B345">
        <v>46</v>
      </c>
      <c r="C345">
        <v>46.25</v>
      </c>
      <c r="D345">
        <v>46</v>
      </c>
      <c r="E345">
        <v>46.25</v>
      </c>
      <c r="F345">
        <v>46.25</v>
      </c>
      <c r="G345">
        <v>46.25</v>
      </c>
      <c r="H345">
        <v>46</v>
      </c>
      <c r="I345">
        <v>46.25</v>
      </c>
      <c r="J345">
        <v>46.25</v>
      </c>
      <c r="K345">
        <v>46.25</v>
      </c>
      <c r="L345" s="7"/>
      <c r="N345" s="124">
        <v>44215</v>
      </c>
      <c r="O345" s="2">
        <v>11.582800000000001</v>
      </c>
      <c r="P345" s="2">
        <v>11.53285</v>
      </c>
      <c r="Q345" s="2">
        <v>11.58</v>
      </c>
      <c r="R345" s="2">
        <v>11.53295</v>
      </c>
      <c r="S345" s="2">
        <v>11.74</v>
      </c>
      <c r="T345" s="2">
        <v>11.7364</v>
      </c>
      <c r="U345" s="2">
        <v>11.5829</v>
      </c>
      <c r="V345" s="2">
        <v>11.53295</v>
      </c>
      <c r="W345" s="2">
        <v>11.76</v>
      </c>
      <c r="X345" s="2">
        <v>11.734249999999999</v>
      </c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2"/>
      <c r="AL345" s="1"/>
      <c r="AM345" s="2"/>
      <c r="AO345" s="124">
        <v>44215</v>
      </c>
      <c r="AP345">
        <v>46</v>
      </c>
      <c r="AQ345">
        <v>46.25</v>
      </c>
      <c r="AR345">
        <v>46</v>
      </c>
      <c r="AS345">
        <v>46.25</v>
      </c>
      <c r="AT345">
        <v>46.25</v>
      </c>
      <c r="AU345">
        <v>46.25</v>
      </c>
      <c r="AV345">
        <v>46</v>
      </c>
      <c r="AW345">
        <v>46.25</v>
      </c>
      <c r="AX345">
        <v>46.25</v>
      </c>
      <c r="AY345">
        <v>46.25</v>
      </c>
      <c r="AZ345" s="7"/>
      <c r="BB345" s="124">
        <v>44215</v>
      </c>
      <c r="BC345" s="2">
        <v>11.58</v>
      </c>
      <c r="BD345" s="2">
        <v>11.53</v>
      </c>
      <c r="BE345" s="2">
        <v>11.58</v>
      </c>
      <c r="BF345" s="2">
        <v>11.53</v>
      </c>
      <c r="BG345" s="2">
        <v>11.74</v>
      </c>
      <c r="BH345" s="2">
        <v>11.73</v>
      </c>
      <c r="BI345" s="2">
        <v>11.58</v>
      </c>
      <c r="BJ345" s="2">
        <v>11.53</v>
      </c>
      <c r="BK345" s="2">
        <v>11.76</v>
      </c>
      <c r="BL345" s="2">
        <v>11.73</v>
      </c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2"/>
      <c r="BZ345" s="1"/>
      <c r="CA345" s="2"/>
    </row>
    <row r="346" spans="1:79" x14ac:dyDescent="0.2">
      <c r="A346" s="124">
        <v>44216</v>
      </c>
      <c r="B346">
        <v>43.375</v>
      </c>
      <c r="C346">
        <v>43.625</v>
      </c>
      <c r="D346">
        <v>43.375</v>
      </c>
      <c r="E346">
        <v>43.625</v>
      </c>
      <c r="F346">
        <v>43.625</v>
      </c>
      <c r="G346">
        <v>43.625</v>
      </c>
      <c r="H346">
        <v>43.375</v>
      </c>
      <c r="I346">
        <v>43.625</v>
      </c>
      <c r="J346">
        <v>43.625</v>
      </c>
      <c r="K346">
        <v>43.625</v>
      </c>
      <c r="L346" s="7"/>
      <c r="N346" s="124">
        <v>44216</v>
      </c>
      <c r="O346" s="2">
        <v>12.142200000000001</v>
      </c>
      <c r="P346" s="2">
        <v>12.08845</v>
      </c>
      <c r="Q346" s="2">
        <v>12.14</v>
      </c>
      <c r="R346" s="2">
        <v>12.0885</v>
      </c>
      <c r="S346" s="2">
        <v>12.31</v>
      </c>
      <c r="T346" s="2">
        <v>12.308249999999999</v>
      </c>
      <c r="U346" s="2">
        <v>12.142300000000001</v>
      </c>
      <c r="V346" s="2">
        <v>12.0885</v>
      </c>
      <c r="W346" s="2">
        <v>12.33</v>
      </c>
      <c r="X346" s="2">
        <v>12.305899999999999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2"/>
      <c r="AL346" s="1"/>
      <c r="AM346" s="2"/>
      <c r="AO346" s="124">
        <v>44216</v>
      </c>
      <c r="AP346">
        <v>43.375</v>
      </c>
      <c r="AQ346">
        <v>43.625</v>
      </c>
      <c r="AR346">
        <v>43.375</v>
      </c>
      <c r="AS346">
        <v>43.625</v>
      </c>
      <c r="AT346">
        <v>43.625</v>
      </c>
      <c r="AU346">
        <v>43.625</v>
      </c>
      <c r="AV346">
        <v>43.375</v>
      </c>
      <c r="AW346">
        <v>43.625</v>
      </c>
      <c r="AX346">
        <v>43.625</v>
      </c>
      <c r="AY346">
        <v>43.625</v>
      </c>
      <c r="AZ346" s="7"/>
      <c r="BB346" s="124">
        <v>44216</v>
      </c>
      <c r="BC346" s="2">
        <v>12.14</v>
      </c>
      <c r="BD346" s="2">
        <v>12.09</v>
      </c>
      <c r="BE346" s="2">
        <v>12.14</v>
      </c>
      <c r="BF346" s="2">
        <v>12.09</v>
      </c>
      <c r="BG346" s="2">
        <v>12.31</v>
      </c>
      <c r="BH346" s="2">
        <v>12.31</v>
      </c>
      <c r="BI346" s="2">
        <v>12.14</v>
      </c>
      <c r="BJ346" s="2">
        <v>12.09</v>
      </c>
      <c r="BK346" s="2">
        <v>12.33</v>
      </c>
      <c r="BL346" s="2">
        <v>12.3</v>
      </c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2"/>
      <c r="BZ346" s="1"/>
      <c r="CA346" s="2"/>
    </row>
    <row r="347" spans="1:79" x14ac:dyDescent="0.2">
      <c r="A347" s="124">
        <v>44217</v>
      </c>
      <c r="B347">
        <v>43.625</v>
      </c>
      <c r="C347">
        <v>43.875</v>
      </c>
      <c r="D347">
        <v>43.625</v>
      </c>
      <c r="E347">
        <v>43.875</v>
      </c>
      <c r="F347">
        <v>43.875</v>
      </c>
      <c r="G347">
        <v>43.875</v>
      </c>
      <c r="H347">
        <v>43.625</v>
      </c>
      <c r="I347">
        <v>43.875</v>
      </c>
      <c r="J347">
        <v>43.875</v>
      </c>
      <c r="K347">
        <v>43.875</v>
      </c>
      <c r="L347" s="7"/>
      <c r="N347" s="124">
        <v>44217</v>
      </c>
      <c r="O347" s="2">
        <v>12.096</v>
      </c>
      <c r="P347" s="2">
        <v>12.04255</v>
      </c>
      <c r="Q347" s="2">
        <v>12.1</v>
      </c>
      <c r="R347" s="2">
        <v>12.0426</v>
      </c>
      <c r="S347" s="2">
        <v>12.26</v>
      </c>
      <c r="T347" s="2">
        <v>12.261900000000001</v>
      </c>
      <c r="U347" s="2">
        <v>12.09605</v>
      </c>
      <c r="V347" s="2">
        <v>12.0426</v>
      </c>
      <c r="W347" s="2">
        <v>12.28</v>
      </c>
      <c r="X347" s="2">
        <v>12.259550000000001</v>
      </c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2"/>
      <c r="AL347" s="1"/>
      <c r="AM347" s="2"/>
      <c r="AO347" s="124">
        <v>44217</v>
      </c>
      <c r="AP347">
        <v>43.625</v>
      </c>
      <c r="AQ347">
        <v>43.875</v>
      </c>
      <c r="AR347">
        <v>43.625</v>
      </c>
      <c r="AS347">
        <v>43.875</v>
      </c>
      <c r="AT347">
        <v>43.875</v>
      </c>
      <c r="AU347">
        <v>43.875</v>
      </c>
      <c r="AV347">
        <v>43.625</v>
      </c>
      <c r="AW347">
        <v>43.875</v>
      </c>
      <c r="AX347">
        <v>43.875</v>
      </c>
      <c r="AY347">
        <v>43.875</v>
      </c>
      <c r="AZ347" s="7"/>
      <c r="BB347" s="124">
        <v>44217</v>
      </c>
      <c r="BC347" s="2">
        <v>12.1</v>
      </c>
      <c r="BD347" s="2">
        <v>12.04</v>
      </c>
      <c r="BE347" s="2">
        <v>12.1</v>
      </c>
      <c r="BF347" s="2">
        <v>12.04</v>
      </c>
      <c r="BG347" s="2">
        <v>12.26</v>
      </c>
      <c r="BH347" s="2">
        <v>12.26</v>
      </c>
      <c r="BI347" s="2">
        <v>12.1</v>
      </c>
      <c r="BJ347" s="2">
        <v>12.04</v>
      </c>
      <c r="BK347" s="2">
        <v>12.28</v>
      </c>
      <c r="BL347" s="2">
        <v>12.26</v>
      </c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2"/>
      <c r="BZ347" s="1"/>
      <c r="CA347" s="2"/>
    </row>
    <row r="348" spans="1:79" x14ac:dyDescent="0.2">
      <c r="A348" s="124">
        <v>44218</v>
      </c>
      <c r="B348">
        <v>44.375</v>
      </c>
      <c r="C348">
        <v>44.625</v>
      </c>
      <c r="D348">
        <v>44.375</v>
      </c>
      <c r="E348">
        <v>44.625</v>
      </c>
      <c r="F348">
        <v>44.625</v>
      </c>
      <c r="G348">
        <v>44.625</v>
      </c>
      <c r="H348">
        <v>44.375</v>
      </c>
      <c r="I348">
        <v>44.625</v>
      </c>
      <c r="J348">
        <v>44.625</v>
      </c>
      <c r="K348">
        <v>44.625</v>
      </c>
      <c r="L348" s="7"/>
      <c r="N348" s="124">
        <v>44218</v>
      </c>
      <c r="O348" s="2">
        <v>11.93655</v>
      </c>
      <c r="P348" s="2">
        <v>11.88425</v>
      </c>
      <c r="Q348" s="2">
        <v>11.94</v>
      </c>
      <c r="R348" s="2">
        <v>11.88425</v>
      </c>
      <c r="S348" s="2">
        <v>12.1</v>
      </c>
      <c r="T348" s="2">
        <v>12.0992</v>
      </c>
      <c r="U348" s="2">
        <v>11.9366</v>
      </c>
      <c r="V348" s="2">
        <v>11.88425</v>
      </c>
      <c r="W348" s="2">
        <v>12.12</v>
      </c>
      <c r="X348" s="2">
        <v>12.09685</v>
      </c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2"/>
      <c r="AL348" s="1"/>
      <c r="AM348" s="2"/>
      <c r="AO348" s="124">
        <v>44218</v>
      </c>
      <c r="AP348">
        <v>44.375</v>
      </c>
      <c r="AQ348">
        <v>44.625</v>
      </c>
      <c r="AR348">
        <v>44.375</v>
      </c>
      <c r="AS348">
        <v>44.625</v>
      </c>
      <c r="AT348">
        <v>44.625</v>
      </c>
      <c r="AU348">
        <v>44.625</v>
      </c>
      <c r="AV348">
        <v>44.375</v>
      </c>
      <c r="AW348">
        <v>44.625</v>
      </c>
      <c r="AX348">
        <v>44.625</v>
      </c>
      <c r="AY348">
        <v>44.625</v>
      </c>
      <c r="AZ348" s="7"/>
      <c r="BB348" s="124">
        <v>44218</v>
      </c>
      <c r="BC348" s="2">
        <v>11.94</v>
      </c>
      <c r="BD348" s="2">
        <v>11.88</v>
      </c>
      <c r="BE348" s="2">
        <v>11.94</v>
      </c>
      <c r="BF348" s="2">
        <v>11.88</v>
      </c>
      <c r="BG348" s="2">
        <v>12.1</v>
      </c>
      <c r="BH348" s="2">
        <v>12.1</v>
      </c>
      <c r="BI348" s="2">
        <v>11.94</v>
      </c>
      <c r="BJ348" s="2">
        <v>11.88</v>
      </c>
      <c r="BK348" s="2">
        <v>12.12</v>
      </c>
      <c r="BL348" s="2">
        <v>12.1</v>
      </c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2"/>
      <c r="BZ348" s="1"/>
      <c r="CA348" s="2"/>
    </row>
    <row r="349" spans="1:79" x14ac:dyDescent="0.2">
      <c r="A349" s="124">
        <v>44221</v>
      </c>
      <c r="B349">
        <v>44.875</v>
      </c>
      <c r="C349">
        <v>45.125</v>
      </c>
      <c r="D349">
        <v>44.875</v>
      </c>
      <c r="E349">
        <v>45.125</v>
      </c>
      <c r="F349">
        <v>45.125</v>
      </c>
      <c r="G349">
        <v>45.125</v>
      </c>
      <c r="H349">
        <v>44.875</v>
      </c>
      <c r="I349">
        <v>45.125</v>
      </c>
      <c r="J349">
        <v>45.125</v>
      </c>
      <c r="K349">
        <v>45.125</v>
      </c>
      <c r="L349" s="7"/>
      <c r="N349" s="124">
        <v>44221</v>
      </c>
      <c r="O349" s="2">
        <v>11.83305</v>
      </c>
      <c r="P349" s="2">
        <v>11.7814</v>
      </c>
      <c r="Q349" s="2">
        <v>11.83</v>
      </c>
      <c r="R349" s="2">
        <v>11.78145</v>
      </c>
      <c r="S349" s="2">
        <v>11.99</v>
      </c>
      <c r="T349" s="2">
        <v>11.9937</v>
      </c>
      <c r="U349" s="2">
        <v>11.8331</v>
      </c>
      <c r="V349" s="2">
        <v>11.78145</v>
      </c>
      <c r="W349" s="2">
        <v>12.01</v>
      </c>
      <c r="X349" s="2">
        <v>11.99145</v>
      </c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2"/>
      <c r="AL349" s="1"/>
      <c r="AM349" s="2"/>
      <c r="AO349" s="124">
        <v>44221</v>
      </c>
      <c r="AP349">
        <v>44.875</v>
      </c>
      <c r="AQ349">
        <v>45.125</v>
      </c>
      <c r="AR349">
        <v>44.875</v>
      </c>
      <c r="AS349">
        <v>45.125</v>
      </c>
      <c r="AT349">
        <v>45.125</v>
      </c>
      <c r="AU349">
        <v>45.125</v>
      </c>
      <c r="AV349">
        <v>44.875</v>
      </c>
      <c r="AW349">
        <v>45.125</v>
      </c>
      <c r="AX349">
        <v>45.125</v>
      </c>
      <c r="AY349">
        <v>45.125</v>
      </c>
      <c r="AZ349" s="7"/>
      <c r="BB349" s="124">
        <v>44221</v>
      </c>
      <c r="BC349" s="2">
        <v>11.83</v>
      </c>
      <c r="BD349" s="2">
        <v>11.78</v>
      </c>
      <c r="BE349" s="2">
        <v>11.83</v>
      </c>
      <c r="BF349" s="2">
        <v>11.78</v>
      </c>
      <c r="BG349" s="2">
        <v>11.99</v>
      </c>
      <c r="BH349" s="2">
        <v>11.99</v>
      </c>
      <c r="BI349" s="2">
        <v>11.83</v>
      </c>
      <c r="BJ349" s="2">
        <v>11.78</v>
      </c>
      <c r="BK349" s="2">
        <v>12.01</v>
      </c>
      <c r="BL349" s="2">
        <v>11.99</v>
      </c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2"/>
      <c r="BZ349" s="1"/>
      <c r="CA349" s="2"/>
    </row>
    <row r="350" spans="1:79" x14ac:dyDescent="0.2">
      <c r="A350" s="124">
        <v>44222</v>
      </c>
      <c r="B350">
        <v>43.738</v>
      </c>
      <c r="C350">
        <v>43.988</v>
      </c>
      <c r="D350">
        <v>47.496000000000002</v>
      </c>
      <c r="E350">
        <v>43.988</v>
      </c>
      <c r="F350">
        <v>44.99</v>
      </c>
      <c r="G350">
        <v>44.987000000000002</v>
      </c>
      <c r="H350">
        <v>45.125</v>
      </c>
      <c r="I350">
        <v>43.988</v>
      </c>
      <c r="J350">
        <v>45.088999999999999</v>
      </c>
      <c r="K350">
        <v>44.976999999999997</v>
      </c>
      <c r="L350" s="7"/>
      <c r="N350" s="124">
        <v>44222</v>
      </c>
      <c r="O350" s="2">
        <v>12.08</v>
      </c>
      <c r="P350" s="2">
        <v>12.0266</v>
      </c>
      <c r="Q350" s="2">
        <v>11.3</v>
      </c>
      <c r="R350" s="2">
        <v>12.0266</v>
      </c>
      <c r="S350" s="2">
        <v>12.02</v>
      </c>
      <c r="T350" s="2">
        <v>12.0267</v>
      </c>
      <c r="U350" s="2">
        <v>11.783250000000001</v>
      </c>
      <c r="V350" s="2">
        <v>12.0266</v>
      </c>
      <c r="W350" s="2">
        <v>12.02</v>
      </c>
      <c r="X350" s="2">
        <v>12.0266</v>
      </c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2"/>
      <c r="AL350" s="1"/>
      <c r="AM350" s="2"/>
      <c r="AO350" s="124">
        <v>44222</v>
      </c>
      <c r="AP350">
        <v>43.738</v>
      </c>
      <c r="AQ350">
        <v>45.375</v>
      </c>
      <c r="AR350">
        <v>47.496000000000002</v>
      </c>
      <c r="AS350">
        <v>45.375</v>
      </c>
      <c r="AT350">
        <v>48.75</v>
      </c>
      <c r="AU350">
        <v>44.987000000000002</v>
      </c>
      <c r="AV350">
        <v>43.738</v>
      </c>
      <c r="AW350">
        <v>43.988</v>
      </c>
      <c r="AX350">
        <v>45.088999999999999</v>
      </c>
      <c r="AY350">
        <v>44.976999999999997</v>
      </c>
      <c r="AZ350" s="7"/>
      <c r="BB350" s="124">
        <v>44222</v>
      </c>
      <c r="BC350" s="2">
        <v>12.08</v>
      </c>
      <c r="BD350" s="2">
        <v>11.73</v>
      </c>
      <c r="BE350" s="2">
        <v>11.3</v>
      </c>
      <c r="BF350" s="2">
        <v>11.73</v>
      </c>
      <c r="BG350" s="2">
        <v>11.25</v>
      </c>
      <c r="BH350" s="2">
        <v>12.02</v>
      </c>
      <c r="BI350" s="2">
        <v>12.08</v>
      </c>
      <c r="BJ350" s="2">
        <v>12.02</v>
      </c>
      <c r="BK350" s="2">
        <v>12.02</v>
      </c>
      <c r="BL350" s="2">
        <v>12.02</v>
      </c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2"/>
      <c r="BZ350" s="1"/>
      <c r="CA350" s="2"/>
    </row>
    <row r="351" spans="1:79" x14ac:dyDescent="0.2">
      <c r="A351" s="124">
        <v>44223</v>
      </c>
      <c r="B351">
        <v>44.75</v>
      </c>
      <c r="C351">
        <v>45</v>
      </c>
      <c r="D351">
        <v>47.496000000000002</v>
      </c>
      <c r="E351">
        <v>45</v>
      </c>
      <c r="F351">
        <v>45</v>
      </c>
      <c r="G351">
        <v>45</v>
      </c>
      <c r="H351">
        <v>44.75</v>
      </c>
      <c r="I351">
        <v>45</v>
      </c>
      <c r="J351">
        <v>45</v>
      </c>
      <c r="K351">
        <v>45</v>
      </c>
      <c r="L351" s="7"/>
      <c r="N351" s="124">
        <v>44223</v>
      </c>
      <c r="O351" s="2">
        <v>11.8651</v>
      </c>
      <c r="P351" s="2">
        <v>11.81325</v>
      </c>
      <c r="Q351" s="2">
        <v>11.3</v>
      </c>
      <c r="R351" s="2">
        <v>11.81325</v>
      </c>
      <c r="S351" s="2">
        <v>12.03</v>
      </c>
      <c r="T351" s="2">
        <v>12.026999999999999</v>
      </c>
      <c r="U351" s="2">
        <v>11.86515</v>
      </c>
      <c r="V351" s="2">
        <v>11.81325</v>
      </c>
      <c r="W351" s="2">
        <v>12.05</v>
      </c>
      <c r="X351" s="2">
        <v>12.024749999999999</v>
      </c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2"/>
      <c r="AL351" s="1"/>
      <c r="AM351" s="2"/>
      <c r="AO351" s="124">
        <v>44223</v>
      </c>
      <c r="AP351">
        <v>44.75</v>
      </c>
      <c r="AQ351">
        <v>45</v>
      </c>
      <c r="AR351">
        <v>47.496000000000002</v>
      </c>
      <c r="AS351">
        <v>45</v>
      </c>
      <c r="AT351">
        <v>45</v>
      </c>
      <c r="AU351">
        <v>44.987000000000002</v>
      </c>
      <c r="AV351">
        <v>44.75</v>
      </c>
      <c r="AW351">
        <v>45</v>
      </c>
      <c r="AX351">
        <v>45</v>
      </c>
      <c r="AY351">
        <v>44.976999999999997</v>
      </c>
      <c r="AZ351" s="7"/>
      <c r="BB351" s="124">
        <v>44223</v>
      </c>
      <c r="BC351" s="2">
        <v>11.86</v>
      </c>
      <c r="BD351" s="2">
        <v>11.81</v>
      </c>
      <c r="BE351" s="2">
        <v>11.3</v>
      </c>
      <c r="BF351" s="2">
        <v>11.81</v>
      </c>
      <c r="BG351" s="2">
        <v>12.03</v>
      </c>
      <c r="BH351" s="2">
        <v>12.02</v>
      </c>
      <c r="BI351" s="2">
        <v>11.86</v>
      </c>
      <c r="BJ351" s="2">
        <v>11.81</v>
      </c>
      <c r="BK351" s="2">
        <v>12.05</v>
      </c>
      <c r="BL351" s="2">
        <v>12.03</v>
      </c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2"/>
      <c r="BZ351" s="1"/>
      <c r="CA351" s="2"/>
    </row>
    <row r="352" spans="1:79" x14ac:dyDescent="0.2">
      <c r="A352" s="124">
        <v>44224</v>
      </c>
      <c r="B352">
        <v>44.75</v>
      </c>
      <c r="C352">
        <v>45</v>
      </c>
      <c r="D352">
        <v>44.75</v>
      </c>
      <c r="E352">
        <v>45</v>
      </c>
      <c r="F352">
        <v>43.75</v>
      </c>
      <c r="G352">
        <v>43.75</v>
      </c>
      <c r="H352">
        <v>44.75</v>
      </c>
      <c r="I352">
        <v>45</v>
      </c>
      <c r="J352">
        <v>43.75</v>
      </c>
      <c r="K352">
        <v>43.75</v>
      </c>
      <c r="L352" s="7"/>
      <c r="N352" s="124">
        <v>44224</v>
      </c>
      <c r="O352" s="2">
        <v>11.873799999999999</v>
      </c>
      <c r="P352" s="2">
        <v>11.82185</v>
      </c>
      <c r="Q352" s="2">
        <v>11.87</v>
      </c>
      <c r="R352" s="2">
        <v>11.82185</v>
      </c>
      <c r="S352" s="2">
        <v>12.09</v>
      </c>
      <c r="T352" s="2">
        <v>12.090450000000001</v>
      </c>
      <c r="U352" s="2">
        <v>11.873799999999999</v>
      </c>
      <c r="V352" s="2">
        <v>11.82185</v>
      </c>
      <c r="W352" s="2">
        <v>12.09</v>
      </c>
      <c r="X352" s="2">
        <v>12.090450000000001</v>
      </c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2"/>
      <c r="AL352" s="1"/>
      <c r="AM352" s="2"/>
      <c r="AO352" s="124">
        <v>44224</v>
      </c>
      <c r="AP352">
        <v>44.75</v>
      </c>
      <c r="AQ352">
        <v>45</v>
      </c>
      <c r="AR352">
        <v>44.75</v>
      </c>
      <c r="AS352">
        <v>45</v>
      </c>
      <c r="AT352">
        <v>43.75</v>
      </c>
      <c r="AU352">
        <v>43.75</v>
      </c>
      <c r="AV352">
        <v>44.75</v>
      </c>
      <c r="AW352">
        <v>45</v>
      </c>
      <c r="AX352">
        <v>43.75</v>
      </c>
      <c r="AY352">
        <v>43.75</v>
      </c>
      <c r="AZ352" s="7"/>
      <c r="BB352" s="124">
        <v>44224</v>
      </c>
      <c r="BC352" s="2">
        <v>11.87</v>
      </c>
      <c r="BD352" s="2">
        <v>11.82</v>
      </c>
      <c r="BE352" s="2">
        <v>11.87</v>
      </c>
      <c r="BF352" s="2">
        <v>11.82</v>
      </c>
      <c r="BG352" s="2">
        <v>12.09</v>
      </c>
      <c r="BH352" s="2">
        <v>12.09</v>
      </c>
      <c r="BI352" s="2">
        <v>11.87</v>
      </c>
      <c r="BJ352" s="2">
        <v>11.82</v>
      </c>
      <c r="BK352" s="2">
        <v>12.09</v>
      </c>
      <c r="BL352" s="2">
        <v>12.09</v>
      </c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2"/>
      <c r="BZ352" s="1"/>
      <c r="CA352" s="2"/>
    </row>
    <row r="353" spans="1:79" x14ac:dyDescent="0.2">
      <c r="A353" s="124">
        <v>44225</v>
      </c>
      <c r="B353">
        <v>43.609000000000002</v>
      </c>
      <c r="C353">
        <v>43.859000000000002</v>
      </c>
      <c r="D353">
        <v>44.999000000000002</v>
      </c>
      <c r="E353">
        <v>43.859000000000002</v>
      </c>
      <c r="F353">
        <v>43.862000000000002</v>
      </c>
      <c r="G353">
        <v>43.862000000000002</v>
      </c>
      <c r="H353">
        <v>43.609000000000002</v>
      </c>
      <c r="I353">
        <v>43.859000000000002</v>
      </c>
      <c r="J353">
        <v>43.860999999999997</v>
      </c>
      <c r="K353">
        <v>43.862000000000002</v>
      </c>
      <c r="L353" s="7"/>
      <c r="N353" s="124">
        <v>44225</v>
      </c>
      <c r="O353" s="2">
        <v>12.11965</v>
      </c>
      <c r="P353" s="2">
        <v>12.066000000000001</v>
      </c>
      <c r="Q353" s="2">
        <v>11.82</v>
      </c>
      <c r="R353" s="2">
        <v>12.066000000000001</v>
      </c>
      <c r="S353" s="2">
        <v>12.06</v>
      </c>
      <c r="T353" s="2">
        <v>12.066000000000001</v>
      </c>
      <c r="U353" s="2">
        <v>12.11965</v>
      </c>
      <c r="V353" s="2">
        <v>12.066000000000001</v>
      </c>
      <c r="W353" s="2">
        <v>12.06</v>
      </c>
      <c r="X353" s="2">
        <v>12.066000000000001</v>
      </c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2"/>
      <c r="AL353" s="1"/>
      <c r="AM353" s="2"/>
      <c r="AO353" s="124">
        <v>44225</v>
      </c>
      <c r="AP353">
        <v>43.609000000000002</v>
      </c>
      <c r="AQ353">
        <v>43.859000000000002</v>
      </c>
      <c r="AR353">
        <v>44.999000000000002</v>
      </c>
      <c r="AS353">
        <v>43.859000000000002</v>
      </c>
      <c r="AT353">
        <v>43.860999999999997</v>
      </c>
      <c r="AU353">
        <v>43.860999999999997</v>
      </c>
      <c r="AV353">
        <v>43.609000000000002</v>
      </c>
      <c r="AW353">
        <v>43.859000000000002</v>
      </c>
      <c r="AX353">
        <v>43.862000000000002</v>
      </c>
      <c r="AY353">
        <v>43.862000000000002</v>
      </c>
      <c r="AZ353" s="7"/>
      <c r="BB353" s="124">
        <v>44225</v>
      </c>
      <c r="BC353" s="2">
        <v>12.12</v>
      </c>
      <c r="BD353" s="2">
        <v>12.06</v>
      </c>
      <c r="BE353" s="2">
        <v>11.82</v>
      </c>
      <c r="BF353" s="2">
        <v>12.06</v>
      </c>
      <c r="BG353" s="2">
        <v>12.06</v>
      </c>
      <c r="BH353" s="2">
        <v>12.06</v>
      </c>
      <c r="BI353" s="2">
        <v>12.12</v>
      </c>
      <c r="BJ353" s="2">
        <v>12.06</v>
      </c>
      <c r="BK353" s="2">
        <v>12.06</v>
      </c>
      <c r="BL353" s="2">
        <v>12.06</v>
      </c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2"/>
      <c r="BZ353" s="1"/>
      <c r="CA353" s="2"/>
    </row>
    <row r="354" spans="1:79" x14ac:dyDescent="0.2">
      <c r="A354" s="124">
        <v>44228</v>
      </c>
      <c r="B354">
        <v>44.5</v>
      </c>
      <c r="C354">
        <v>44.75</v>
      </c>
      <c r="D354">
        <v>44.5</v>
      </c>
      <c r="E354">
        <v>44.75</v>
      </c>
      <c r="F354">
        <v>44.75</v>
      </c>
      <c r="G354">
        <v>44.75</v>
      </c>
      <c r="H354">
        <v>44.5</v>
      </c>
      <c r="I354">
        <v>44.75</v>
      </c>
      <c r="J354">
        <v>44.75</v>
      </c>
      <c r="K354">
        <v>44.75</v>
      </c>
      <c r="L354" s="7"/>
      <c r="N354" s="124">
        <v>44228</v>
      </c>
      <c r="O354" s="2">
        <v>11.929500000000001</v>
      </c>
      <c r="P354" s="2">
        <v>11.8772</v>
      </c>
      <c r="Q354" s="2">
        <v>11.93</v>
      </c>
      <c r="R354" s="2">
        <v>11.8772</v>
      </c>
      <c r="S354" s="2">
        <v>11.88</v>
      </c>
      <c r="T354" s="2">
        <v>11.87805</v>
      </c>
      <c r="U354" s="2">
        <v>11.929500000000001</v>
      </c>
      <c r="V354" s="2">
        <v>11.8772</v>
      </c>
      <c r="W354" s="2">
        <v>11.88</v>
      </c>
      <c r="X354" s="2">
        <v>11.87805</v>
      </c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2"/>
      <c r="AL354" s="1"/>
      <c r="AM354" s="2"/>
      <c r="AO354" s="124">
        <v>44228</v>
      </c>
      <c r="AP354">
        <v>44.5</v>
      </c>
      <c r="AQ354">
        <v>44.75</v>
      </c>
      <c r="AR354">
        <v>44.5</v>
      </c>
      <c r="AS354">
        <v>44.75</v>
      </c>
      <c r="AT354">
        <v>44.75</v>
      </c>
      <c r="AU354">
        <v>44.75</v>
      </c>
      <c r="AV354">
        <v>44.5</v>
      </c>
      <c r="AW354">
        <v>44.75</v>
      </c>
      <c r="AX354">
        <v>44.75</v>
      </c>
      <c r="AY354">
        <v>44.75</v>
      </c>
      <c r="AZ354" s="7"/>
      <c r="BB354" s="124">
        <v>44228</v>
      </c>
      <c r="BC354" s="2">
        <v>11.93</v>
      </c>
      <c r="BD354" s="2">
        <v>11.88</v>
      </c>
      <c r="BE354" s="2">
        <v>11.93</v>
      </c>
      <c r="BF354" s="2">
        <v>11.88</v>
      </c>
      <c r="BG354" s="2">
        <v>11.88</v>
      </c>
      <c r="BH354" s="2">
        <v>11.88</v>
      </c>
      <c r="BI354" s="2">
        <v>11.93</v>
      </c>
      <c r="BJ354" s="2">
        <v>11.88</v>
      </c>
      <c r="BK354" s="2">
        <v>11.88</v>
      </c>
      <c r="BL354" s="2">
        <v>11.88</v>
      </c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2"/>
      <c r="BZ354" s="1"/>
      <c r="CA354" s="2"/>
    </row>
    <row r="355" spans="1:79" x14ac:dyDescent="0.2">
      <c r="A355" s="124">
        <v>44229</v>
      </c>
      <c r="B355">
        <v>46.625</v>
      </c>
      <c r="C355">
        <v>46.875</v>
      </c>
      <c r="D355">
        <v>44.5</v>
      </c>
      <c r="E355">
        <v>46.875</v>
      </c>
      <c r="F355">
        <v>46.875</v>
      </c>
      <c r="G355">
        <v>46.875</v>
      </c>
      <c r="H355">
        <v>46.625</v>
      </c>
      <c r="I355">
        <v>46.875</v>
      </c>
      <c r="J355">
        <v>44.75</v>
      </c>
      <c r="K355">
        <v>46.875</v>
      </c>
      <c r="L355" s="7"/>
      <c r="N355" s="124">
        <v>44229</v>
      </c>
      <c r="O355" s="2">
        <v>11.49105</v>
      </c>
      <c r="P355" s="2">
        <v>11.441649999999999</v>
      </c>
      <c r="Q355" s="2">
        <v>11.93</v>
      </c>
      <c r="R355" s="2">
        <v>11.441649999999999</v>
      </c>
      <c r="S355" s="2">
        <v>11.44</v>
      </c>
      <c r="T355" s="2">
        <v>11.4428</v>
      </c>
      <c r="U355" s="2">
        <v>11.49105</v>
      </c>
      <c r="V355" s="2">
        <v>11.441649999999999</v>
      </c>
      <c r="W355" s="2">
        <v>11.88</v>
      </c>
      <c r="X355" s="2">
        <v>11.4428</v>
      </c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2"/>
      <c r="AL355" s="1"/>
      <c r="AM355" s="2"/>
      <c r="AO355" s="124">
        <v>44229</v>
      </c>
      <c r="AP355">
        <v>46.625</v>
      </c>
      <c r="AQ355">
        <v>44.75</v>
      </c>
      <c r="AR355">
        <v>44.5</v>
      </c>
      <c r="AS355">
        <v>44.75</v>
      </c>
      <c r="AT355">
        <v>46.875</v>
      </c>
      <c r="AU355">
        <v>44.75</v>
      </c>
      <c r="AV355">
        <v>44.5</v>
      </c>
      <c r="AW355">
        <v>46.875</v>
      </c>
      <c r="AX355">
        <v>46.875</v>
      </c>
      <c r="AY355">
        <v>44.75</v>
      </c>
      <c r="AZ355" s="7"/>
      <c r="BB355" s="124">
        <v>44229</v>
      </c>
      <c r="BC355" s="2">
        <v>11.49</v>
      </c>
      <c r="BD355" s="2">
        <v>11.88</v>
      </c>
      <c r="BE355" s="2">
        <v>11.93</v>
      </c>
      <c r="BF355" s="2">
        <v>11.88</v>
      </c>
      <c r="BG355" s="2">
        <v>11.44</v>
      </c>
      <c r="BH355" s="2">
        <v>11.88</v>
      </c>
      <c r="BI355" s="2">
        <v>11.93</v>
      </c>
      <c r="BJ355" s="2">
        <v>11.44</v>
      </c>
      <c r="BK355" s="2">
        <v>11.44</v>
      </c>
      <c r="BL355" s="2">
        <v>11.88</v>
      </c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2"/>
      <c r="BZ355" s="1"/>
      <c r="CA355" s="2"/>
    </row>
    <row r="356" spans="1:79" x14ac:dyDescent="0.2">
      <c r="A356" s="124">
        <v>44230</v>
      </c>
      <c r="B356">
        <v>44.5</v>
      </c>
      <c r="C356">
        <v>44.75</v>
      </c>
      <c r="D356">
        <v>44.5</v>
      </c>
      <c r="E356">
        <v>44.75</v>
      </c>
      <c r="F356">
        <v>44.75</v>
      </c>
      <c r="G356">
        <v>44.75</v>
      </c>
      <c r="H356">
        <v>44.5</v>
      </c>
      <c r="I356">
        <v>44.75</v>
      </c>
      <c r="J356">
        <v>44.75</v>
      </c>
      <c r="K356">
        <v>44.75</v>
      </c>
      <c r="L356" s="7"/>
      <c r="N356" s="124">
        <v>44230</v>
      </c>
      <c r="O356" s="2">
        <v>11.93505</v>
      </c>
      <c r="P356" s="2">
        <v>11.8827</v>
      </c>
      <c r="Q356" s="2">
        <v>11.93</v>
      </c>
      <c r="R356" s="2">
        <v>11.8827</v>
      </c>
      <c r="S356" s="2">
        <v>11.88</v>
      </c>
      <c r="T356" s="2">
        <v>11.88415</v>
      </c>
      <c r="U356" s="2">
        <v>11.93505</v>
      </c>
      <c r="V356" s="2">
        <v>11.8827</v>
      </c>
      <c r="W356" s="2">
        <v>11.88</v>
      </c>
      <c r="X356" s="2">
        <v>11.88415</v>
      </c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2"/>
      <c r="AL356" s="1"/>
      <c r="AM356" s="2"/>
      <c r="AO356" s="124">
        <v>44230</v>
      </c>
      <c r="AP356">
        <v>44.5</v>
      </c>
      <c r="AQ356">
        <v>44.75</v>
      </c>
      <c r="AR356">
        <v>44.5</v>
      </c>
      <c r="AS356">
        <v>44.75</v>
      </c>
      <c r="AT356">
        <v>44.75</v>
      </c>
      <c r="AU356">
        <v>44.75</v>
      </c>
      <c r="AV356">
        <v>44.5</v>
      </c>
      <c r="AW356">
        <v>44.75</v>
      </c>
      <c r="AX356">
        <v>44.75</v>
      </c>
      <c r="AY356">
        <v>44.75</v>
      </c>
      <c r="AZ356" s="7"/>
      <c r="BB356" s="124">
        <v>44230</v>
      </c>
      <c r="BC356" s="2">
        <v>11.93</v>
      </c>
      <c r="BD356" s="2">
        <v>11.88</v>
      </c>
      <c r="BE356" s="2">
        <v>11.93</v>
      </c>
      <c r="BF356" s="2">
        <v>11.88</v>
      </c>
      <c r="BG356" s="2">
        <v>11.88</v>
      </c>
      <c r="BH356" s="2">
        <v>11.88</v>
      </c>
      <c r="BI356" s="2">
        <v>11.93</v>
      </c>
      <c r="BJ356" s="2">
        <v>11.88</v>
      </c>
      <c r="BK356" s="2">
        <v>11.88</v>
      </c>
      <c r="BL356" s="2">
        <v>11.88</v>
      </c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2"/>
      <c r="BZ356" s="1"/>
      <c r="CA356" s="2"/>
    </row>
    <row r="357" spans="1:79" x14ac:dyDescent="0.2">
      <c r="A357" s="124">
        <v>44231</v>
      </c>
      <c r="B357">
        <v>47.5</v>
      </c>
      <c r="C357">
        <v>47.75</v>
      </c>
      <c r="D357">
        <v>47.5</v>
      </c>
      <c r="E357">
        <v>47.75</v>
      </c>
      <c r="F357">
        <v>47.75</v>
      </c>
      <c r="G357">
        <v>47.75</v>
      </c>
      <c r="H357">
        <v>47.5</v>
      </c>
      <c r="I357">
        <v>47.75</v>
      </c>
      <c r="J357">
        <v>47.75</v>
      </c>
      <c r="K357">
        <v>47.75</v>
      </c>
      <c r="L357" s="7"/>
      <c r="N357" s="124">
        <v>44231</v>
      </c>
      <c r="O357" s="2">
        <v>11.32705</v>
      </c>
      <c r="P357" s="2">
        <v>11.27875</v>
      </c>
      <c r="Q357" s="2">
        <v>11.33</v>
      </c>
      <c r="R357" s="2">
        <v>11.27875</v>
      </c>
      <c r="S357" s="2">
        <v>11.28</v>
      </c>
      <c r="T357" s="2">
        <v>11.280950000000001</v>
      </c>
      <c r="U357" s="2">
        <v>11.32705</v>
      </c>
      <c r="V357" s="2">
        <v>11.27875</v>
      </c>
      <c r="W357" s="2">
        <v>11.28</v>
      </c>
      <c r="X357" s="2">
        <v>11.280950000000001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2"/>
      <c r="AL357" s="1"/>
      <c r="AM357" s="2"/>
      <c r="AO357" s="124">
        <v>44231</v>
      </c>
      <c r="AP357">
        <v>47.5</v>
      </c>
      <c r="AQ357">
        <v>47.75</v>
      </c>
      <c r="AR357">
        <v>47.5</v>
      </c>
      <c r="AS357">
        <v>47.75</v>
      </c>
      <c r="AT357">
        <v>47.75</v>
      </c>
      <c r="AU357">
        <v>47.75</v>
      </c>
      <c r="AV357">
        <v>47.5</v>
      </c>
      <c r="AW357">
        <v>47.75</v>
      </c>
      <c r="AX357">
        <v>47.75</v>
      </c>
      <c r="AY357">
        <v>47.75</v>
      </c>
      <c r="AZ357" s="7"/>
      <c r="BB357" s="124">
        <v>44231</v>
      </c>
      <c r="BC357" s="2">
        <v>11.33</v>
      </c>
      <c r="BD357" s="2">
        <v>11.28</v>
      </c>
      <c r="BE357" s="2">
        <v>11.33</v>
      </c>
      <c r="BF357" s="2">
        <v>11.28</v>
      </c>
      <c r="BG357" s="2">
        <v>11.28</v>
      </c>
      <c r="BH357" s="2">
        <v>11.28</v>
      </c>
      <c r="BI357" s="2">
        <v>11.33</v>
      </c>
      <c r="BJ357" s="2">
        <v>11.28</v>
      </c>
      <c r="BK357" s="2">
        <v>11.28</v>
      </c>
      <c r="BL357" s="2">
        <v>11.28</v>
      </c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2"/>
      <c r="BZ357" s="1"/>
      <c r="CA357" s="2"/>
    </row>
    <row r="358" spans="1:79" x14ac:dyDescent="0.2">
      <c r="A358" s="124">
        <v>44232</v>
      </c>
      <c r="B358">
        <v>48.375</v>
      </c>
      <c r="C358">
        <v>48.625</v>
      </c>
      <c r="D358">
        <v>48.375</v>
      </c>
      <c r="E358">
        <v>48.625</v>
      </c>
      <c r="F358">
        <v>48.625</v>
      </c>
      <c r="G358">
        <v>48.625</v>
      </c>
      <c r="H358">
        <v>48.375</v>
      </c>
      <c r="I358">
        <v>48.625</v>
      </c>
      <c r="J358">
        <v>48.625</v>
      </c>
      <c r="K358">
        <v>48.625</v>
      </c>
      <c r="L358" s="7"/>
      <c r="N358" s="124">
        <v>44232</v>
      </c>
      <c r="O358" s="2">
        <v>11.159050000000001</v>
      </c>
      <c r="P358" s="2">
        <v>11.11185</v>
      </c>
      <c r="Q358" s="2">
        <v>11.16</v>
      </c>
      <c r="R358" s="2">
        <v>11.11185</v>
      </c>
      <c r="S358" s="2">
        <v>11.11</v>
      </c>
      <c r="T358" s="2">
        <v>11.11425</v>
      </c>
      <c r="U358" s="2">
        <v>11.159050000000001</v>
      </c>
      <c r="V358" s="2">
        <v>11.11185</v>
      </c>
      <c r="W358" s="2">
        <v>11.11</v>
      </c>
      <c r="X358" s="2">
        <v>11.11425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2"/>
      <c r="AL358" s="1"/>
      <c r="AM358" s="2"/>
      <c r="AO358" s="124">
        <v>44232</v>
      </c>
      <c r="AP358">
        <v>48.375</v>
      </c>
      <c r="AQ358">
        <v>48.625</v>
      </c>
      <c r="AR358">
        <v>48.375</v>
      </c>
      <c r="AS358">
        <v>48.625</v>
      </c>
      <c r="AT358">
        <v>48.625</v>
      </c>
      <c r="AU358">
        <v>48.625</v>
      </c>
      <c r="AV358">
        <v>48.375</v>
      </c>
      <c r="AW358">
        <v>48.625</v>
      </c>
      <c r="AX358">
        <v>48.625</v>
      </c>
      <c r="AY358">
        <v>48.625</v>
      </c>
      <c r="AZ358" s="7"/>
      <c r="BB358" s="124">
        <v>44232</v>
      </c>
      <c r="BC358" s="2">
        <v>11.16</v>
      </c>
      <c r="BD358" s="2">
        <v>11.11</v>
      </c>
      <c r="BE358" s="2">
        <v>11.16</v>
      </c>
      <c r="BF358" s="2">
        <v>11.11</v>
      </c>
      <c r="BG358" s="2">
        <v>11.11</v>
      </c>
      <c r="BH358" s="2">
        <v>11.11</v>
      </c>
      <c r="BI358" s="2">
        <v>11.16</v>
      </c>
      <c r="BJ358" s="2">
        <v>11.11</v>
      </c>
      <c r="BK358" s="2">
        <v>11.11</v>
      </c>
      <c r="BL358" s="2">
        <v>11.11</v>
      </c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2"/>
      <c r="BZ358" s="1"/>
      <c r="CA358" s="2"/>
    </row>
    <row r="359" spans="1:79" x14ac:dyDescent="0.2">
      <c r="A359" s="124">
        <v>44235</v>
      </c>
      <c r="B359">
        <v>46.375</v>
      </c>
      <c r="C359">
        <v>46.625</v>
      </c>
      <c r="D359">
        <v>46.375</v>
      </c>
      <c r="E359">
        <v>46.625</v>
      </c>
      <c r="F359">
        <v>46.625</v>
      </c>
      <c r="G359">
        <v>46.625</v>
      </c>
      <c r="H359">
        <v>46.375</v>
      </c>
      <c r="I359">
        <v>46.625</v>
      </c>
      <c r="J359">
        <v>46.625</v>
      </c>
      <c r="K359">
        <v>46.625</v>
      </c>
      <c r="L359" s="7"/>
      <c r="N359" s="124">
        <v>44235</v>
      </c>
      <c r="O359" s="2">
        <v>11.557550000000001</v>
      </c>
      <c r="P359" s="2">
        <v>11.50775</v>
      </c>
      <c r="Q359" s="2">
        <v>11.56</v>
      </c>
      <c r="R359" s="2">
        <v>11.50775</v>
      </c>
      <c r="S359" s="2">
        <v>11.51</v>
      </c>
      <c r="T359" s="2">
        <v>11.5106</v>
      </c>
      <c r="U359" s="2">
        <v>11.557550000000001</v>
      </c>
      <c r="V359" s="2">
        <v>11.50775</v>
      </c>
      <c r="W359" s="2">
        <v>11.51</v>
      </c>
      <c r="X359" s="2">
        <v>11.5106</v>
      </c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2"/>
      <c r="AL359" s="1"/>
      <c r="AM359" s="2"/>
      <c r="AO359" s="124">
        <v>44235</v>
      </c>
      <c r="AP359">
        <v>46.375</v>
      </c>
      <c r="AQ359">
        <v>46.625</v>
      </c>
      <c r="AR359">
        <v>46.375</v>
      </c>
      <c r="AS359">
        <v>46.625</v>
      </c>
      <c r="AT359">
        <v>46.625</v>
      </c>
      <c r="AU359">
        <v>46.625</v>
      </c>
      <c r="AV359">
        <v>46.375</v>
      </c>
      <c r="AW359">
        <v>46.625</v>
      </c>
      <c r="AX359">
        <v>46.625</v>
      </c>
      <c r="AY359">
        <v>46.625</v>
      </c>
      <c r="AZ359" s="7"/>
      <c r="BB359" s="124">
        <v>44235</v>
      </c>
      <c r="BC359" s="2">
        <v>11.56</v>
      </c>
      <c r="BD359" s="2">
        <v>11.51</v>
      </c>
      <c r="BE359" s="2">
        <v>11.56</v>
      </c>
      <c r="BF359" s="2">
        <v>11.51</v>
      </c>
      <c r="BG359" s="2">
        <v>11.51</v>
      </c>
      <c r="BH359" s="2">
        <v>11.51</v>
      </c>
      <c r="BI359" s="2">
        <v>11.56</v>
      </c>
      <c r="BJ359" s="2">
        <v>11.51</v>
      </c>
      <c r="BK359" s="2">
        <v>11.51</v>
      </c>
      <c r="BL359" s="2">
        <v>11.51</v>
      </c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2"/>
      <c r="BZ359" s="1"/>
      <c r="CA359" s="2"/>
    </row>
    <row r="360" spans="1:79" x14ac:dyDescent="0.2">
      <c r="A360" s="124">
        <v>44236</v>
      </c>
      <c r="B360">
        <v>45.298000000000002</v>
      </c>
      <c r="C360">
        <v>45.548000000000002</v>
      </c>
      <c r="D360">
        <v>48.609000000000002</v>
      </c>
      <c r="E360">
        <v>45.548000000000002</v>
      </c>
      <c r="F360">
        <v>44.877000000000002</v>
      </c>
      <c r="G360">
        <v>45.563000000000002</v>
      </c>
      <c r="H360">
        <v>44.612000000000002</v>
      </c>
      <c r="I360">
        <v>45.548000000000002</v>
      </c>
      <c r="J360">
        <v>45.563000000000002</v>
      </c>
      <c r="K360">
        <v>45.563000000000002</v>
      </c>
      <c r="L360" s="7"/>
      <c r="N360" s="124">
        <v>44236</v>
      </c>
      <c r="O360" s="2">
        <v>11.782550000000001</v>
      </c>
      <c r="P360" s="2">
        <v>11.731249999999999</v>
      </c>
      <c r="Q360" s="2">
        <v>11.12</v>
      </c>
      <c r="R360" s="2">
        <v>11.731249999999999</v>
      </c>
      <c r="S360" s="2">
        <v>11.87</v>
      </c>
      <c r="T360" s="2">
        <v>11.731350000000001</v>
      </c>
      <c r="U360" s="2">
        <v>11.9277</v>
      </c>
      <c r="V360" s="2">
        <v>11.731249999999999</v>
      </c>
      <c r="W360" s="2">
        <v>11.73</v>
      </c>
      <c r="X360" s="2">
        <v>11.731350000000001</v>
      </c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2"/>
      <c r="AL360" s="1"/>
      <c r="AM360" s="2"/>
      <c r="AO360" s="124">
        <v>44236</v>
      </c>
      <c r="AP360">
        <v>45.296999999999997</v>
      </c>
      <c r="AQ360">
        <v>47.585999999999999</v>
      </c>
      <c r="AR360">
        <v>48.609000000000002</v>
      </c>
      <c r="AS360">
        <v>47.585999999999999</v>
      </c>
      <c r="AT360">
        <v>48.875</v>
      </c>
      <c r="AU360">
        <v>47.600999999999999</v>
      </c>
      <c r="AV360">
        <v>45.296999999999997</v>
      </c>
      <c r="AW360">
        <v>45.546999999999997</v>
      </c>
      <c r="AX360">
        <v>45.563000000000002</v>
      </c>
      <c r="AY360">
        <v>45.563000000000002</v>
      </c>
      <c r="AZ360" s="7"/>
      <c r="BB360" s="124">
        <v>44236</v>
      </c>
      <c r="BC360" s="2">
        <v>11.78</v>
      </c>
      <c r="BD360" s="2">
        <v>11.32</v>
      </c>
      <c r="BE360" s="2">
        <v>11.12</v>
      </c>
      <c r="BF360" s="2">
        <v>11.32</v>
      </c>
      <c r="BG360" s="2">
        <v>11.07</v>
      </c>
      <c r="BH360" s="2">
        <v>11.32</v>
      </c>
      <c r="BI360" s="2">
        <v>11.78</v>
      </c>
      <c r="BJ360" s="2">
        <v>11.73</v>
      </c>
      <c r="BK360" s="2">
        <v>11.73</v>
      </c>
      <c r="BL360" s="2">
        <v>11.73</v>
      </c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2"/>
      <c r="BZ360" s="1"/>
      <c r="CA360" s="2"/>
    </row>
    <row r="361" spans="1:79" x14ac:dyDescent="0.2">
      <c r="A361" s="124">
        <v>44237</v>
      </c>
      <c r="B361">
        <v>42.808</v>
      </c>
      <c r="C361">
        <v>43.058</v>
      </c>
      <c r="D361">
        <v>48.482999999999997</v>
      </c>
      <c r="E361">
        <v>43.058</v>
      </c>
      <c r="F361">
        <v>43.621000000000002</v>
      </c>
      <c r="G361">
        <v>43.073999999999998</v>
      </c>
      <c r="H361">
        <v>43.353999999999999</v>
      </c>
      <c r="I361">
        <v>43.058</v>
      </c>
      <c r="J361">
        <v>43.073999999999998</v>
      </c>
      <c r="K361">
        <v>43.073999999999998</v>
      </c>
      <c r="L361" s="7"/>
      <c r="N361" s="124">
        <v>44237</v>
      </c>
      <c r="O361" s="2">
        <v>12.3263</v>
      </c>
      <c r="P361" s="2">
        <v>12.2712</v>
      </c>
      <c r="Q361" s="2">
        <v>11.15</v>
      </c>
      <c r="R361" s="2">
        <v>12.2712</v>
      </c>
      <c r="S361" s="2">
        <v>12.15</v>
      </c>
      <c r="T361" s="2">
        <v>12.2714</v>
      </c>
      <c r="U361" s="2">
        <v>12.2043</v>
      </c>
      <c r="V361" s="2">
        <v>12.2712</v>
      </c>
      <c r="W361" s="2">
        <v>12.27</v>
      </c>
      <c r="X361" s="2">
        <v>12.2714</v>
      </c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2"/>
      <c r="AL361" s="1"/>
      <c r="AM361" s="2"/>
      <c r="AO361" s="124">
        <v>44237</v>
      </c>
      <c r="AP361">
        <v>42.807000000000002</v>
      </c>
      <c r="AQ361">
        <v>42.591999999999999</v>
      </c>
      <c r="AR361">
        <v>48.482999999999997</v>
      </c>
      <c r="AS361">
        <v>42.593000000000004</v>
      </c>
      <c r="AT361">
        <v>48.75</v>
      </c>
      <c r="AU361">
        <v>42.609000000000002</v>
      </c>
      <c r="AV361">
        <v>42.807000000000002</v>
      </c>
      <c r="AW361">
        <v>43.057000000000002</v>
      </c>
      <c r="AX361">
        <v>43.073999999999998</v>
      </c>
      <c r="AY361">
        <v>43.073999999999998</v>
      </c>
      <c r="AZ361" s="7"/>
      <c r="BB361" s="124">
        <v>44237</v>
      </c>
      <c r="BC361" s="2">
        <v>12.33</v>
      </c>
      <c r="BD361" s="2">
        <v>12.37</v>
      </c>
      <c r="BE361" s="2">
        <v>11.15</v>
      </c>
      <c r="BF361" s="2">
        <v>12.37</v>
      </c>
      <c r="BG361" s="2">
        <v>11.1</v>
      </c>
      <c r="BH361" s="2">
        <v>12.37</v>
      </c>
      <c r="BI361" s="2">
        <v>12.33</v>
      </c>
      <c r="BJ361" s="2">
        <v>12.27</v>
      </c>
      <c r="BK361" s="2">
        <v>12.27</v>
      </c>
      <c r="BL361" s="2">
        <v>12.27</v>
      </c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2"/>
      <c r="BZ361" s="1"/>
      <c r="CA361" s="2"/>
    </row>
    <row r="362" spans="1:79" x14ac:dyDescent="0.2">
      <c r="A362" s="124">
        <v>44238</v>
      </c>
      <c r="B362">
        <v>45.360999999999997</v>
      </c>
      <c r="C362">
        <v>45.610999999999997</v>
      </c>
      <c r="D362">
        <v>46.741999999999997</v>
      </c>
      <c r="E362">
        <v>45.610999999999997</v>
      </c>
      <c r="F362">
        <v>45.634</v>
      </c>
      <c r="G362">
        <v>45.634</v>
      </c>
      <c r="H362">
        <v>45.360999999999997</v>
      </c>
      <c r="I362">
        <v>45.610999999999997</v>
      </c>
      <c r="J362">
        <v>45.633000000000003</v>
      </c>
      <c r="K362">
        <v>45.634</v>
      </c>
      <c r="L362" s="7"/>
      <c r="N362" s="124">
        <v>44238</v>
      </c>
      <c r="O362" s="2">
        <v>11.783049999999999</v>
      </c>
      <c r="P362" s="2">
        <v>11.73175</v>
      </c>
      <c r="Q362" s="2">
        <v>11.5</v>
      </c>
      <c r="R362" s="2">
        <v>11.73175</v>
      </c>
      <c r="S362" s="2">
        <v>11.73</v>
      </c>
      <c r="T362" s="2">
        <v>11.7316</v>
      </c>
      <c r="U362" s="2">
        <v>11.783049999999999</v>
      </c>
      <c r="V362" s="2">
        <v>11.73175</v>
      </c>
      <c r="W362" s="2">
        <v>11.73</v>
      </c>
      <c r="X362" s="2">
        <v>11.7316</v>
      </c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2"/>
      <c r="AL362" s="1"/>
      <c r="AM362" s="2"/>
      <c r="AO362" s="124">
        <v>44238</v>
      </c>
      <c r="AP362">
        <v>45.360999999999997</v>
      </c>
      <c r="AQ362">
        <v>45.610999999999997</v>
      </c>
      <c r="AR362">
        <v>46.741999999999997</v>
      </c>
      <c r="AS362">
        <v>45.610999999999997</v>
      </c>
      <c r="AT362">
        <v>45.633000000000003</v>
      </c>
      <c r="AU362">
        <v>45.633000000000003</v>
      </c>
      <c r="AV362">
        <v>45.360999999999997</v>
      </c>
      <c r="AW362">
        <v>45.610999999999997</v>
      </c>
      <c r="AX362">
        <v>45.634</v>
      </c>
      <c r="AY362">
        <v>45.634</v>
      </c>
      <c r="AZ362" s="7"/>
      <c r="BB362" s="124">
        <v>44238</v>
      </c>
      <c r="BC362" s="2">
        <v>11.78</v>
      </c>
      <c r="BD362" s="2">
        <v>11.73</v>
      </c>
      <c r="BE362" s="2">
        <v>11.5</v>
      </c>
      <c r="BF362" s="2">
        <v>11.73</v>
      </c>
      <c r="BG362" s="2">
        <v>11.73</v>
      </c>
      <c r="BH362" s="2">
        <v>11.73</v>
      </c>
      <c r="BI362" s="2">
        <v>11.78</v>
      </c>
      <c r="BJ362" s="2">
        <v>11.73</v>
      </c>
      <c r="BK362" s="2">
        <v>11.73</v>
      </c>
      <c r="BL362" s="2">
        <v>11.73</v>
      </c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2"/>
      <c r="BZ362" s="1"/>
      <c r="CA362" s="2"/>
    </row>
    <row r="363" spans="1:79" x14ac:dyDescent="0.2">
      <c r="A363" s="124">
        <v>44239</v>
      </c>
      <c r="B363">
        <v>43.448999999999998</v>
      </c>
      <c r="C363">
        <v>43.698999999999998</v>
      </c>
      <c r="D363">
        <v>44.848999999999997</v>
      </c>
      <c r="E363">
        <v>43.698999999999998</v>
      </c>
      <c r="F363">
        <v>43.722999999999999</v>
      </c>
      <c r="G363">
        <v>43.722999999999999</v>
      </c>
      <c r="H363">
        <v>43.448999999999998</v>
      </c>
      <c r="I363">
        <v>43.698999999999998</v>
      </c>
      <c r="J363">
        <v>43.722000000000001</v>
      </c>
      <c r="K363">
        <v>43.722999999999999</v>
      </c>
      <c r="L363" s="7"/>
      <c r="N363" s="124">
        <v>44239</v>
      </c>
      <c r="O363" s="2">
        <v>12.19755</v>
      </c>
      <c r="P363" s="2">
        <v>12.1434</v>
      </c>
      <c r="Q363" s="2">
        <v>11.89</v>
      </c>
      <c r="R363" s="2">
        <v>12.1434</v>
      </c>
      <c r="S363" s="2">
        <v>12.14</v>
      </c>
      <c r="T363" s="2">
        <v>12.1433</v>
      </c>
      <c r="U363" s="2">
        <v>12.19755</v>
      </c>
      <c r="V363" s="2">
        <v>12.1434</v>
      </c>
      <c r="W363" s="2">
        <v>12.14</v>
      </c>
      <c r="X363" s="2">
        <v>12.1433</v>
      </c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2"/>
      <c r="AL363" s="1"/>
      <c r="AM363" s="2"/>
      <c r="AO363" s="124">
        <v>44239</v>
      </c>
      <c r="AP363">
        <v>43.448999999999998</v>
      </c>
      <c r="AQ363">
        <v>43.698999999999998</v>
      </c>
      <c r="AR363">
        <v>44.848999999999997</v>
      </c>
      <c r="AS363">
        <v>43.698999999999998</v>
      </c>
      <c r="AT363">
        <v>43.722000000000001</v>
      </c>
      <c r="AU363">
        <v>43.722000000000001</v>
      </c>
      <c r="AV363">
        <v>43.448999999999998</v>
      </c>
      <c r="AW363">
        <v>43.698999999999998</v>
      </c>
      <c r="AX363">
        <v>43.722999999999999</v>
      </c>
      <c r="AY363">
        <v>43.722999999999999</v>
      </c>
      <c r="AZ363" s="7"/>
      <c r="BB363" s="124">
        <v>44239</v>
      </c>
      <c r="BC363" s="2">
        <v>12.2</v>
      </c>
      <c r="BD363" s="2">
        <v>12.14</v>
      </c>
      <c r="BE363" s="2">
        <v>11.89</v>
      </c>
      <c r="BF363" s="2">
        <v>12.14</v>
      </c>
      <c r="BG363" s="2">
        <v>12.14</v>
      </c>
      <c r="BH363" s="2">
        <v>12.14</v>
      </c>
      <c r="BI363" s="2">
        <v>12.2</v>
      </c>
      <c r="BJ363" s="2">
        <v>12.14</v>
      </c>
      <c r="BK363" s="2">
        <v>12.14</v>
      </c>
      <c r="BL363" s="2">
        <v>12.14</v>
      </c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2"/>
      <c r="BZ363" s="1"/>
      <c r="CA363" s="2"/>
    </row>
    <row r="364" spans="1:79" x14ac:dyDescent="0.2">
      <c r="A364" s="124">
        <v>44242</v>
      </c>
      <c r="B364">
        <v>43.448999999999998</v>
      </c>
      <c r="C364">
        <v>43.698999999999998</v>
      </c>
      <c r="D364">
        <v>44.848999999999997</v>
      </c>
      <c r="E364">
        <v>43.698999999999998</v>
      </c>
      <c r="F364">
        <v>43.722999999999999</v>
      </c>
      <c r="G364">
        <v>43.722999999999999</v>
      </c>
      <c r="H364">
        <v>43.448999999999998</v>
      </c>
      <c r="I364">
        <v>43.698999999999998</v>
      </c>
      <c r="J364">
        <v>43.722000000000001</v>
      </c>
      <c r="K364">
        <v>43.722999999999999</v>
      </c>
      <c r="L364" s="7"/>
      <c r="N364" s="124">
        <v>44242</v>
      </c>
      <c r="O364" s="2">
        <v>12.19755</v>
      </c>
      <c r="P364" s="2">
        <v>12.1434</v>
      </c>
      <c r="Q364" s="2">
        <v>11.89</v>
      </c>
      <c r="R364" s="2">
        <v>12.1434</v>
      </c>
      <c r="S364" s="2">
        <v>12.14</v>
      </c>
      <c r="T364" s="2">
        <v>12.1433</v>
      </c>
      <c r="U364" s="2">
        <v>12.19755</v>
      </c>
      <c r="V364" s="2">
        <v>12.1434</v>
      </c>
      <c r="W364" s="2">
        <v>12.14</v>
      </c>
      <c r="X364" s="2">
        <v>12.1433</v>
      </c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2"/>
      <c r="AL364" s="1"/>
      <c r="AM364" s="2"/>
      <c r="AO364" s="124">
        <v>44242</v>
      </c>
      <c r="AP364">
        <v>43.448999999999998</v>
      </c>
      <c r="AQ364">
        <v>43.698999999999998</v>
      </c>
      <c r="AR364">
        <v>44.848999999999997</v>
      </c>
      <c r="AS364">
        <v>43.698999999999998</v>
      </c>
      <c r="AT364">
        <v>43.722000000000001</v>
      </c>
      <c r="AU364">
        <v>43.722000000000001</v>
      </c>
      <c r="AV364">
        <v>43.448999999999998</v>
      </c>
      <c r="AW364">
        <v>43.698999999999998</v>
      </c>
      <c r="AX364">
        <v>43.722999999999999</v>
      </c>
      <c r="AY364">
        <v>43.722999999999999</v>
      </c>
      <c r="AZ364" s="7"/>
      <c r="BB364" s="124">
        <v>44242</v>
      </c>
      <c r="BC364" s="2">
        <v>12.2</v>
      </c>
      <c r="BD364" s="2">
        <v>12.14</v>
      </c>
      <c r="BE364" s="2">
        <v>11.89</v>
      </c>
      <c r="BF364" s="2">
        <v>12.14</v>
      </c>
      <c r="BG364" s="2">
        <v>12.14</v>
      </c>
      <c r="BH364" s="2">
        <v>12.14</v>
      </c>
      <c r="BI364" s="2">
        <v>12.2</v>
      </c>
      <c r="BJ364" s="2">
        <v>12.14</v>
      </c>
      <c r="BK364" s="2">
        <v>12.14</v>
      </c>
      <c r="BL364" s="2">
        <v>12.14</v>
      </c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2"/>
      <c r="BZ364" s="1"/>
      <c r="CA364" s="2"/>
    </row>
    <row r="365" spans="1:79" x14ac:dyDescent="0.2">
      <c r="A365" s="124">
        <v>44243</v>
      </c>
      <c r="B365">
        <v>44.25</v>
      </c>
      <c r="C365">
        <v>44.5</v>
      </c>
      <c r="D365">
        <v>44.25</v>
      </c>
      <c r="E365">
        <v>44.5</v>
      </c>
      <c r="F365">
        <v>44.5</v>
      </c>
      <c r="G365">
        <v>44.5</v>
      </c>
      <c r="H365">
        <v>44.25</v>
      </c>
      <c r="I365">
        <v>44.5</v>
      </c>
      <c r="J365">
        <v>44.5</v>
      </c>
      <c r="K365">
        <v>44.5</v>
      </c>
      <c r="L365" s="7"/>
      <c r="N365" s="124">
        <v>44243</v>
      </c>
      <c r="O365" s="2">
        <v>12.02505</v>
      </c>
      <c r="P365" s="2">
        <v>11.972149999999999</v>
      </c>
      <c r="Q365" s="2">
        <v>12.02</v>
      </c>
      <c r="R365" s="2">
        <v>11.972149999999999</v>
      </c>
      <c r="S365" s="2">
        <v>11.98</v>
      </c>
      <c r="T365" s="2">
        <v>11.977499999999999</v>
      </c>
      <c r="U365" s="2">
        <v>12.02505</v>
      </c>
      <c r="V365" s="2">
        <v>11.972149999999999</v>
      </c>
      <c r="W365" s="2">
        <v>11.98</v>
      </c>
      <c r="X365" s="2">
        <v>11.977499999999999</v>
      </c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2"/>
      <c r="AL365" s="1"/>
      <c r="AM365" s="2"/>
      <c r="AO365" s="124">
        <v>44243</v>
      </c>
      <c r="AP365">
        <v>44.25</v>
      </c>
      <c r="AQ365">
        <v>44.5</v>
      </c>
      <c r="AR365">
        <v>44.25</v>
      </c>
      <c r="AS365">
        <v>44.5</v>
      </c>
      <c r="AT365">
        <v>44.5</v>
      </c>
      <c r="AU365">
        <v>44.5</v>
      </c>
      <c r="AV365">
        <v>44.25</v>
      </c>
      <c r="AW365">
        <v>44.5</v>
      </c>
      <c r="AX365">
        <v>44.5</v>
      </c>
      <c r="AY365">
        <v>44.5</v>
      </c>
      <c r="AZ365" s="7"/>
      <c r="BB365" s="124">
        <v>44243</v>
      </c>
      <c r="BC365" s="2">
        <v>12.02</v>
      </c>
      <c r="BD365" s="2">
        <v>11.97</v>
      </c>
      <c r="BE365" s="2">
        <v>12.02</v>
      </c>
      <c r="BF365" s="2">
        <v>11.97</v>
      </c>
      <c r="BG365" s="2">
        <v>11.98</v>
      </c>
      <c r="BH365" s="2">
        <v>11.98</v>
      </c>
      <c r="BI365" s="2">
        <v>12.02</v>
      </c>
      <c r="BJ365" s="2">
        <v>11.97</v>
      </c>
      <c r="BK365" s="2">
        <v>11.98</v>
      </c>
      <c r="BL365" s="2">
        <v>11.98</v>
      </c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2"/>
      <c r="BZ365" s="1"/>
      <c r="CA365" s="2"/>
    </row>
    <row r="366" spans="1:79" x14ac:dyDescent="0.2">
      <c r="A366" s="124">
        <v>44244</v>
      </c>
      <c r="B366">
        <v>43.497999999999998</v>
      </c>
      <c r="C366">
        <v>43.747999999999998</v>
      </c>
      <c r="D366">
        <v>43.497</v>
      </c>
      <c r="E366">
        <v>43.747999999999998</v>
      </c>
      <c r="F366">
        <v>43.774000000000001</v>
      </c>
      <c r="G366">
        <v>43.774000000000001</v>
      </c>
      <c r="H366">
        <v>43.497999999999998</v>
      </c>
      <c r="I366">
        <v>43.747999999999998</v>
      </c>
      <c r="J366">
        <v>43.774000000000001</v>
      </c>
      <c r="K366">
        <v>43.774000000000001</v>
      </c>
      <c r="L366" s="7"/>
      <c r="N366" s="124">
        <v>44244</v>
      </c>
      <c r="O366" s="2">
        <v>12.192399999999999</v>
      </c>
      <c r="P366" s="2">
        <v>12.138299999999999</v>
      </c>
      <c r="Q366" s="2">
        <v>12.19</v>
      </c>
      <c r="R366" s="2">
        <v>12.138299999999999</v>
      </c>
      <c r="S366" s="2">
        <v>12.14</v>
      </c>
      <c r="T366" s="2">
        <v>12.138400000000001</v>
      </c>
      <c r="U366" s="2">
        <v>12.192399999999999</v>
      </c>
      <c r="V366" s="2">
        <v>12.138299999999999</v>
      </c>
      <c r="W366" s="2">
        <v>12.14</v>
      </c>
      <c r="X366" s="2">
        <v>12.138400000000001</v>
      </c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2"/>
      <c r="AL366" s="1"/>
      <c r="AM366" s="2"/>
      <c r="AO366" s="124">
        <v>44244</v>
      </c>
      <c r="AP366">
        <v>43.497</v>
      </c>
      <c r="AQ366">
        <v>43.747</v>
      </c>
      <c r="AR366">
        <v>43.497</v>
      </c>
      <c r="AS366">
        <v>43.747999999999998</v>
      </c>
      <c r="AT366">
        <v>43.774000000000001</v>
      </c>
      <c r="AU366">
        <v>43.774000000000001</v>
      </c>
      <c r="AV366">
        <v>43.497</v>
      </c>
      <c r="AW366">
        <v>43.747</v>
      </c>
      <c r="AX366">
        <v>43.774000000000001</v>
      </c>
      <c r="AY366">
        <v>43.774000000000001</v>
      </c>
      <c r="AZ366" s="7"/>
      <c r="BB366" s="124">
        <v>44244</v>
      </c>
      <c r="BC366" s="2">
        <v>12.19</v>
      </c>
      <c r="BD366" s="2">
        <v>12.14</v>
      </c>
      <c r="BE366" s="2">
        <v>12.19</v>
      </c>
      <c r="BF366" s="2">
        <v>12.14</v>
      </c>
      <c r="BG366" s="2">
        <v>12.14</v>
      </c>
      <c r="BH366" s="2">
        <v>12.14</v>
      </c>
      <c r="BI366" s="2">
        <v>12.19</v>
      </c>
      <c r="BJ366" s="2">
        <v>12.14</v>
      </c>
      <c r="BK366" s="2">
        <v>12.14</v>
      </c>
      <c r="BL366" s="2">
        <v>12.14</v>
      </c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2"/>
      <c r="BZ366" s="1"/>
      <c r="CA366" s="2"/>
    </row>
    <row r="367" spans="1:79" x14ac:dyDescent="0.2">
      <c r="A367" s="124">
        <v>44245</v>
      </c>
      <c r="B367">
        <v>44.247999999999998</v>
      </c>
      <c r="C367">
        <v>44.497999999999998</v>
      </c>
      <c r="D367">
        <v>44.247999999999998</v>
      </c>
      <c r="E367">
        <v>44.497999999999998</v>
      </c>
      <c r="F367">
        <v>44.529000000000003</v>
      </c>
      <c r="G367">
        <v>44.529000000000003</v>
      </c>
      <c r="H367">
        <v>44.247999999999998</v>
      </c>
      <c r="I367">
        <v>44.497999999999998</v>
      </c>
      <c r="J367">
        <v>44.527999999999999</v>
      </c>
      <c r="K367">
        <v>44.529000000000003</v>
      </c>
      <c r="L367" s="7"/>
      <c r="N367" s="124">
        <v>44245</v>
      </c>
      <c r="O367" s="2">
        <v>12.03675</v>
      </c>
      <c r="P367" s="2">
        <v>11.983750000000001</v>
      </c>
      <c r="Q367" s="2">
        <v>12.04</v>
      </c>
      <c r="R367" s="2">
        <v>11.983750000000001</v>
      </c>
      <c r="S367" s="2">
        <v>11.98</v>
      </c>
      <c r="T367" s="2">
        <v>11.983650000000001</v>
      </c>
      <c r="U367" s="2">
        <v>12.03675</v>
      </c>
      <c r="V367" s="2">
        <v>11.983750000000001</v>
      </c>
      <c r="W367" s="2">
        <v>11.98</v>
      </c>
      <c r="X367" s="2">
        <v>11.983650000000001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2"/>
      <c r="AL367" s="1"/>
      <c r="AM367" s="2"/>
      <c r="AO367" s="124">
        <v>44245</v>
      </c>
      <c r="AP367">
        <v>44.247999999999998</v>
      </c>
      <c r="AQ367">
        <v>44.497999999999998</v>
      </c>
      <c r="AR367">
        <v>44.247999999999998</v>
      </c>
      <c r="AS367">
        <v>44.497999999999998</v>
      </c>
      <c r="AT367">
        <v>44.527999999999999</v>
      </c>
      <c r="AU367">
        <v>44.527999999999999</v>
      </c>
      <c r="AV367">
        <v>44.247999999999998</v>
      </c>
      <c r="AW367">
        <v>44.497999999999998</v>
      </c>
      <c r="AX367">
        <v>44.529000000000003</v>
      </c>
      <c r="AY367">
        <v>44.529000000000003</v>
      </c>
      <c r="AZ367" s="7"/>
      <c r="BB367" s="124">
        <v>44245</v>
      </c>
      <c r="BC367" s="2">
        <v>12.04</v>
      </c>
      <c r="BD367" s="2">
        <v>11.98</v>
      </c>
      <c r="BE367" s="2">
        <v>12.04</v>
      </c>
      <c r="BF367" s="2">
        <v>11.98</v>
      </c>
      <c r="BG367" s="2">
        <v>11.98</v>
      </c>
      <c r="BH367" s="2">
        <v>11.98</v>
      </c>
      <c r="BI367" s="2">
        <v>12.04</v>
      </c>
      <c r="BJ367" s="2">
        <v>11.98</v>
      </c>
      <c r="BK367" s="2">
        <v>11.98</v>
      </c>
      <c r="BL367" s="2">
        <v>11.98</v>
      </c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2"/>
      <c r="BZ367" s="1"/>
      <c r="CA367" s="2"/>
    </row>
    <row r="368" spans="1:79" x14ac:dyDescent="0.2">
      <c r="A368" s="124">
        <v>44246</v>
      </c>
      <c r="B368">
        <v>44.499000000000002</v>
      </c>
      <c r="C368">
        <v>44.749000000000002</v>
      </c>
      <c r="D368">
        <v>44.5</v>
      </c>
      <c r="E368">
        <v>44.749000000000002</v>
      </c>
      <c r="F368">
        <v>44.780999999999999</v>
      </c>
      <c r="G368">
        <v>44.780999999999999</v>
      </c>
      <c r="H368">
        <v>44.499000000000002</v>
      </c>
      <c r="I368">
        <v>44.749000000000002</v>
      </c>
      <c r="J368">
        <v>44.78</v>
      </c>
      <c r="K368">
        <v>44.780999999999999</v>
      </c>
      <c r="L368" s="7"/>
      <c r="N368" s="124">
        <v>44246</v>
      </c>
      <c r="O368" s="2">
        <v>11.98535</v>
      </c>
      <c r="P368" s="2">
        <v>11.93275</v>
      </c>
      <c r="Q368" s="2">
        <v>11.98</v>
      </c>
      <c r="R368" s="2">
        <v>11.93275</v>
      </c>
      <c r="S368" s="2">
        <v>11.93</v>
      </c>
      <c r="T368" s="2">
        <v>11.932700000000001</v>
      </c>
      <c r="U368" s="2">
        <v>11.98535</v>
      </c>
      <c r="V368" s="2">
        <v>11.93275</v>
      </c>
      <c r="W368" s="2">
        <v>11.93</v>
      </c>
      <c r="X368" s="2">
        <v>11.932700000000001</v>
      </c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2"/>
      <c r="AL368" s="1"/>
      <c r="AM368" s="2"/>
      <c r="AO368" s="124">
        <v>44246</v>
      </c>
      <c r="AP368">
        <v>44.497999999999998</v>
      </c>
      <c r="AQ368">
        <v>44.747999999999998</v>
      </c>
      <c r="AR368">
        <v>44.5</v>
      </c>
      <c r="AS368">
        <v>44.749000000000002</v>
      </c>
      <c r="AT368">
        <v>44.75</v>
      </c>
      <c r="AU368">
        <v>44.78</v>
      </c>
      <c r="AV368">
        <v>44.497999999999998</v>
      </c>
      <c r="AW368">
        <v>44.747999999999998</v>
      </c>
      <c r="AX368">
        <v>44.780999999999999</v>
      </c>
      <c r="AY368">
        <v>44.780999999999999</v>
      </c>
      <c r="AZ368" s="7"/>
      <c r="BB368" s="124">
        <v>44246</v>
      </c>
      <c r="BC368" s="2">
        <v>11.98</v>
      </c>
      <c r="BD368" s="2">
        <v>11.93</v>
      </c>
      <c r="BE368" s="2">
        <v>11.98</v>
      </c>
      <c r="BF368" s="2">
        <v>11.93</v>
      </c>
      <c r="BG368" s="2">
        <v>11.94</v>
      </c>
      <c r="BH368" s="2">
        <v>11.93</v>
      </c>
      <c r="BI368" s="2">
        <v>11.98</v>
      </c>
      <c r="BJ368" s="2">
        <v>11.93</v>
      </c>
      <c r="BK368" s="2">
        <v>11.93</v>
      </c>
      <c r="BL368" s="2">
        <v>11.93</v>
      </c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2"/>
      <c r="BZ368" s="1"/>
      <c r="CA368" s="2"/>
    </row>
    <row r="369" spans="1:79" x14ac:dyDescent="0.2">
      <c r="A369" s="124">
        <v>44249</v>
      </c>
      <c r="B369">
        <v>43.5</v>
      </c>
      <c r="C369">
        <v>43.75</v>
      </c>
      <c r="D369">
        <v>43.5</v>
      </c>
      <c r="E369">
        <v>43.75</v>
      </c>
      <c r="F369">
        <v>43.783000000000001</v>
      </c>
      <c r="G369">
        <v>43.783000000000001</v>
      </c>
      <c r="H369">
        <v>43.5</v>
      </c>
      <c r="I369">
        <v>43.75</v>
      </c>
      <c r="J369">
        <v>43.783000000000001</v>
      </c>
      <c r="K369">
        <v>43.783000000000001</v>
      </c>
      <c r="L369" s="7"/>
      <c r="N369" s="124">
        <v>44249</v>
      </c>
      <c r="O369" s="2">
        <v>12.206250000000001</v>
      </c>
      <c r="P369" s="2">
        <v>12.152100000000001</v>
      </c>
      <c r="Q369" s="2">
        <v>12.21</v>
      </c>
      <c r="R369" s="2">
        <v>12.152100000000001</v>
      </c>
      <c r="S369" s="2">
        <v>12.15</v>
      </c>
      <c r="T369" s="2">
        <v>12.152200000000001</v>
      </c>
      <c r="U369" s="2">
        <v>12.206250000000001</v>
      </c>
      <c r="V369" s="2">
        <v>12.152100000000001</v>
      </c>
      <c r="W369" s="2">
        <v>12.15</v>
      </c>
      <c r="X369" s="2">
        <v>12.152200000000001</v>
      </c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2"/>
      <c r="AL369" s="1"/>
      <c r="AM369" s="2"/>
      <c r="AO369" s="124">
        <v>44249</v>
      </c>
      <c r="AP369">
        <v>43.5</v>
      </c>
      <c r="AQ369">
        <v>43.75</v>
      </c>
      <c r="AR369">
        <v>43.5</v>
      </c>
      <c r="AS369">
        <v>43.75</v>
      </c>
      <c r="AT369">
        <v>43.783000000000001</v>
      </c>
      <c r="AU369">
        <v>43.783000000000001</v>
      </c>
      <c r="AV369">
        <v>43.5</v>
      </c>
      <c r="AW369">
        <v>43.75</v>
      </c>
      <c r="AX369">
        <v>43.783000000000001</v>
      </c>
      <c r="AY369">
        <v>43.783000000000001</v>
      </c>
      <c r="AZ369" s="7"/>
      <c r="BB369" s="124">
        <v>44249</v>
      </c>
      <c r="BC369" s="2">
        <v>12.21</v>
      </c>
      <c r="BD369" s="2">
        <v>12.15</v>
      </c>
      <c r="BE369" s="2">
        <v>12.21</v>
      </c>
      <c r="BF369" s="2">
        <v>12.15</v>
      </c>
      <c r="BG369" s="2">
        <v>12.15</v>
      </c>
      <c r="BH369" s="2">
        <v>12.15</v>
      </c>
      <c r="BI369" s="2">
        <v>12.21</v>
      </c>
      <c r="BJ369" s="2">
        <v>12.15</v>
      </c>
      <c r="BK369" s="2">
        <v>12.15</v>
      </c>
      <c r="BL369" s="2">
        <v>12.15</v>
      </c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2"/>
      <c r="BZ369" s="1"/>
      <c r="CA369" s="2"/>
    </row>
    <row r="370" spans="1:79" x14ac:dyDescent="0.2">
      <c r="A370" s="124">
        <v>44250</v>
      </c>
      <c r="B370">
        <v>43.75</v>
      </c>
      <c r="C370">
        <v>44</v>
      </c>
      <c r="D370">
        <v>43.749000000000002</v>
      </c>
      <c r="E370">
        <v>44</v>
      </c>
      <c r="F370">
        <v>44.033999999999999</v>
      </c>
      <c r="G370">
        <v>44.033999999999999</v>
      </c>
      <c r="H370">
        <v>43.75</v>
      </c>
      <c r="I370">
        <v>44</v>
      </c>
      <c r="J370">
        <v>44.033999999999999</v>
      </c>
      <c r="K370">
        <v>44.033999999999999</v>
      </c>
      <c r="L370" s="7"/>
      <c r="N370" s="124">
        <v>44250</v>
      </c>
      <c r="O370" s="2">
        <v>12.15395</v>
      </c>
      <c r="P370" s="2">
        <v>12.100149999999999</v>
      </c>
      <c r="Q370" s="2">
        <v>12.15</v>
      </c>
      <c r="R370" s="2">
        <v>12.100149999999999</v>
      </c>
      <c r="S370" s="2">
        <v>12.1</v>
      </c>
      <c r="T370" s="2">
        <v>12.100300000000001</v>
      </c>
      <c r="U370" s="2">
        <v>12.15395</v>
      </c>
      <c r="V370" s="2">
        <v>12.100149999999999</v>
      </c>
      <c r="W370" s="2">
        <v>12.1</v>
      </c>
      <c r="X370" s="2">
        <v>12.100300000000001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2"/>
      <c r="AL370" s="1"/>
      <c r="AM370" s="2"/>
      <c r="AO370" s="124">
        <v>44250</v>
      </c>
      <c r="AP370">
        <v>43.749000000000002</v>
      </c>
      <c r="AQ370">
        <v>43.999000000000002</v>
      </c>
      <c r="AR370">
        <v>43.749000000000002</v>
      </c>
      <c r="AS370">
        <v>44</v>
      </c>
      <c r="AT370">
        <v>44.033999999999999</v>
      </c>
      <c r="AU370">
        <v>44.033999999999999</v>
      </c>
      <c r="AV370">
        <v>43.749000000000002</v>
      </c>
      <c r="AW370">
        <v>43.999000000000002</v>
      </c>
      <c r="AX370">
        <v>44.033999999999999</v>
      </c>
      <c r="AY370">
        <v>44.033999999999999</v>
      </c>
      <c r="AZ370" s="7"/>
      <c r="BB370" s="124">
        <v>44250</v>
      </c>
      <c r="BC370" s="2">
        <v>12.15</v>
      </c>
      <c r="BD370" s="2">
        <v>12.1</v>
      </c>
      <c r="BE370" s="2">
        <v>12.15</v>
      </c>
      <c r="BF370" s="2">
        <v>12.1</v>
      </c>
      <c r="BG370" s="2">
        <v>12.1</v>
      </c>
      <c r="BH370" s="2">
        <v>12.1</v>
      </c>
      <c r="BI370" s="2">
        <v>12.15</v>
      </c>
      <c r="BJ370" s="2">
        <v>12.1</v>
      </c>
      <c r="BK370" s="2">
        <v>12.1</v>
      </c>
      <c r="BL370" s="2">
        <v>12.1</v>
      </c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2"/>
      <c r="BZ370" s="1"/>
      <c r="CA370" s="2"/>
    </row>
    <row r="371" spans="1:79" x14ac:dyDescent="0.2">
      <c r="A371" s="124">
        <v>44251</v>
      </c>
      <c r="B371">
        <v>44.000999999999998</v>
      </c>
      <c r="C371">
        <v>44.250999999999998</v>
      </c>
      <c r="D371">
        <v>44</v>
      </c>
      <c r="E371">
        <v>44.250999999999998</v>
      </c>
      <c r="F371">
        <v>44.286999999999999</v>
      </c>
      <c r="G371">
        <v>44.286999999999999</v>
      </c>
      <c r="H371">
        <v>44.000999999999998</v>
      </c>
      <c r="I371">
        <v>44.250999999999998</v>
      </c>
      <c r="J371">
        <v>44.286000000000001</v>
      </c>
      <c r="K371">
        <v>44.286999999999999</v>
      </c>
      <c r="L371" s="7"/>
      <c r="N371" s="124">
        <v>44251</v>
      </c>
      <c r="O371" s="2">
        <v>12.101800000000001</v>
      </c>
      <c r="P371" s="2">
        <v>12.048349999999999</v>
      </c>
      <c r="Q371" s="2">
        <v>12.1</v>
      </c>
      <c r="R371" s="2">
        <v>12.048349999999999</v>
      </c>
      <c r="S371" s="2">
        <v>12.05</v>
      </c>
      <c r="T371" s="2">
        <v>12.048349999999999</v>
      </c>
      <c r="U371" s="2">
        <v>12.101800000000001</v>
      </c>
      <c r="V371" s="2">
        <v>12.048349999999999</v>
      </c>
      <c r="W371" s="2">
        <v>12.05</v>
      </c>
      <c r="X371" s="2">
        <v>12.048349999999999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2"/>
      <c r="AL371" s="1"/>
      <c r="AM371" s="2"/>
      <c r="AO371" s="124">
        <v>44251</v>
      </c>
      <c r="AP371">
        <v>44</v>
      </c>
      <c r="AQ371">
        <v>44.25</v>
      </c>
      <c r="AR371">
        <v>44</v>
      </c>
      <c r="AS371">
        <v>44.250999999999998</v>
      </c>
      <c r="AT371">
        <v>44.286000000000001</v>
      </c>
      <c r="AU371">
        <v>44.286000000000001</v>
      </c>
      <c r="AV371">
        <v>44</v>
      </c>
      <c r="AW371">
        <v>44.25</v>
      </c>
      <c r="AX371">
        <v>44.286999999999999</v>
      </c>
      <c r="AY371">
        <v>44.286999999999999</v>
      </c>
      <c r="AZ371" s="7"/>
      <c r="BB371" s="124">
        <v>44251</v>
      </c>
      <c r="BC371" s="2">
        <v>12.1</v>
      </c>
      <c r="BD371" s="2">
        <v>12.05</v>
      </c>
      <c r="BE371" s="2">
        <v>12.1</v>
      </c>
      <c r="BF371" s="2">
        <v>12.05</v>
      </c>
      <c r="BG371" s="2">
        <v>12.05</v>
      </c>
      <c r="BH371" s="2">
        <v>12.05</v>
      </c>
      <c r="BI371" s="2">
        <v>12.1</v>
      </c>
      <c r="BJ371" s="2">
        <v>12.05</v>
      </c>
      <c r="BK371" s="2">
        <v>12.05</v>
      </c>
      <c r="BL371" s="2">
        <v>12.05</v>
      </c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2"/>
      <c r="BZ371" s="1"/>
      <c r="CA371" s="2"/>
    </row>
    <row r="372" spans="1:79" x14ac:dyDescent="0.2">
      <c r="A372" s="124">
        <v>44252</v>
      </c>
      <c r="B372">
        <v>43.750999999999998</v>
      </c>
      <c r="C372">
        <v>44.000999999999998</v>
      </c>
      <c r="D372">
        <v>43.750999999999998</v>
      </c>
      <c r="E372">
        <v>44.000999999999998</v>
      </c>
      <c r="F372">
        <v>44.043999999999997</v>
      </c>
      <c r="G372">
        <v>44.043999999999997</v>
      </c>
      <c r="H372">
        <v>43.750999999999998</v>
      </c>
      <c r="I372">
        <v>44.000999999999998</v>
      </c>
      <c r="J372">
        <v>44.043999999999997</v>
      </c>
      <c r="K372">
        <v>44.043999999999997</v>
      </c>
      <c r="L372" s="7"/>
      <c r="N372" s="124">
        <v>44252</v>
      </c>
      <c r="O372" s="2">
        <v>12.17085</v>
      </c>
      <c r="P372" s="2">
        <v>12.116949999999999</v>
      </c>
      <c r="Q372" s="2">
        <v>12.17</v>
      </c>
      <c r="R372" s="2">
        <v>12.116949999999999</v>
      </c>
      <c r="S372" s="2">
        <v>12.12</v>
      </c>
      <c r="T372" s="2">
        <v>12.116949999999999</v>
      </c>
      <c r="U372" s="2">
        <v>12.17085</v>
      </c>
      <c r="V372" s="2">
        <v>12.116949999999999</v>
      </c>
      <c r="W372" s="2">
        <v>12.12</v>
      </c>
      <c r="X372" s="2">
        <v>12.116949999999999</v>
      </c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2"/>
      <c r="AL372" s="1"/>
      <c r="AM372" s="2"/>
      <c r="AO372" s="124">
        <v>44252</v>
      </c>
      <c r="AP372">
        <v>43.750999999999998</v>
      </c>
      <c r="AQ372">
        <v>44.000999999999998</v>
      </c>
      <c r="AR372">
        <v>43.750999999999998</v>
      </c>
      <c r="AS372">
        <v>44.000999999999998</v>
      </c>
      <c r="AT372">
        <v>44.043999999999997</v>
      </c>
      <c r="AU372">
        <v>44.043999999999997</v>
      </c>
      <c r="AV372">
        <v>43.750999999999998</v>
      </c>
      <c r="AW372">
        <v>44.000999999999998</v>
      </c>
      <c r="AX372">
        <v>44.043999999999997</v>
      </c>
      <c r="AY372">
        <v>44.043999999999997</v>
      </c>
      <c r="AZ372" s="7"/>
      <c r="BB372" s="124">
        <v>44252</v>
      </c>
      <c r="BC372" s="2">
        <v>12.17</v>
      </c>
      <c r="BD372" s="2">
        <v>12.12</v>
      </c>
      <c r="BE372" s="2">
        <v>12.17</v>
      </c>
      <c r="BF372" s="2">
        <v>12.12</v>
      </c>
      <c r="BG372" s="2">
        <v>12.12</v>
      </c>
      <c r="BH372" s="2">
        <v>12.12</v>
      </c>
      <c r="BI372" s="2">
        <v>12.17</v>
      </c>
      <c r="BJ372" s="2">
        <v>12.12</v>
      </c>
      <c r="BK372" s="2">
        <v>12.12</v>
      </c>
      <c r="BL372" s="2">
        <v>12.12</v>
      </c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2"/>
      <c r="BZ372" s="1"/>
      <c r="CA372" s="2"/>
    </row>
    <row r="373" spans="1:79" x14ac:dyDescent="0.2">
      <c r="A373" s="124">
        <v>44253</v>
      </c>
      <c r="B373">
        <v>43.500999999999998</v>
      </c>
      <c r="C373">
        <v>43.750999999999998</v>
      </c>
      <c r="D373">
        <v>43.500999999999998</v>
      </c>
      <c r="E373">
        <v>43.750999999999998</v>
      </c>
      <c r="F373">
        <v>43.795999999999999</v>
      </c>
      <c r="G373">
        <v>43.795999999999999</v>
      </c>
      <c r="H373">
        <v>43.500999999999998</v>
      </c>
      <c r="I373">
        <v>43.750999999999998</v>
      </c>
      <c r="J373">
        <v>43.795000000000002</v>
      </c>
      <c r="K373">
        <v>43.795999999999999</v>
      </c>
      <c r="L373" s="7"/>
      <c r="N373" s="124">
        <v>44253</v>
      </c>
      <c r="O373" s="2">
        <v>12.228999999999999</v>
      </c>
      <c r="P373" s="2">
        <v>12.1747</v>
      </c>
      <c r="Q373" s="2">
        <v>12.23</v>
      </c>
      <c r="R373" s="2">
        <v>12.1747</v>
      </c>
      <c r="S373" s="2">
        <v>12.17</v>
      </c>
      <c r="T373" s="2">
        <v>12.1746</v>
      </c>
      <c r="U373" s="2">
        <v>12.228999999999999</v>
      </c>
      <c r="V373" s="2">
        <v>12.1747</v>
      </c>
      <c r="W373" s="2">
        <v>12.17</v>
      </c>
      <c r="X373" s="2">
        <v>12.1746</v>
      </c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2"/>
      <c r="AL373" s="1"/>
      <c r="AM373" s="2"/>
      <c r="AO373" s="124">
        <v>44253</v>
      </c>
      <c r="AP373">
        <v>43.500999999999998</v>
      </c>
      <c r="AQ373">
        <v>43.750999999999998</v>
      </c>
      <c r="AR373">
        <v>43.500999999999998</v>
      </c>
      <c r="AS373">
        <v>43.750999999999998</v>
      </c>
      <c r="AT373">
        <v>43.795000000000002</v>
      </c>
      <c r="AU373">
        <v>43.795000000000002</v>
      </c>
      <c r="AV373">
        <v>43.500999999999998</v>
      </c>
      <c r="AW373">
        <v>43.750999999999998</v>
      </c>
      <c r="AX373">
        <v>43.795999999999999</v>
      </c>
      <c r="AY373">
        <v>43.795999999999999</v>
      </c>
      <c r="AZ373" s="7"/>
      <c r="BB373" s="124">
        <v>44253</v>
      </c>
      <c r="BC373" s="2">
        <v>12.23</v>
      </c>
      <c r="BD373" s="2">
        <v>12.17</v>
      </c>
      <c r="BE373" s="2">
        <v>12.23</v>
      </c>
      <c r="BF373" s="2">
        <v>12.17</v>
      </c>
      <c r="BG373" s="2">
        <v>12.17</v>
      </c>
      <c r="BH373" s="2">
        <v>12.17</v>
      </c>
      <c r="BI373" s="2">
        <v>12.23</v>
      </c>
      <c r="BJ373" s="2">
        <v>12.17</v>
      </c>
      <c r="BK373" s="2">
        <v>12.17</v>
      </c>
      <c r="BL373" s="2">
        <v>12.17</v>
      </c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2"/>
      <c r="BZ373" s="1"/>
      <c r="CA373" s="2"/>
    </row>
    <row r="374" spans="1:79" x14ac:dyDescent="0.2">
      <c r="A374" s="124">
        <v>44256</v>
      </c>
      <c r="B374">
        <v>43.125999999999998</v>
      </c>
      <c r="C374">
        <v>43.375999999999998</v>
      </c>
      <c r="D374">
        <v>43.125</v>
      </c>
      <c r="E374">
        <v>43.375999999999998</v>
      </c>
      <c r="F374">
        <v>43.420999999999999</v>
      </c>
      <c r="G374">
        <v>43.420999999999999</v>
      </c>
      <c r="H374">
        <v>43.125999999999998</v>
      </c>
      <c r="I374">
        <v>43.375999999999998</v>
      </c>
      <c r="J374">
        <v>43.420999999999999</v>
      </c>
      <c r="K374">
        <v>43.420999999999999</v>
      </c>
      <c r="L374" s="7"/>
      <c r="N374" s="124">
        <v>44256</v>
      </c>
      <c r="O374" s="2">
        <v>12.31565</v>
      </c>
      <c r="P374" s="2">
        <v>12.26075</v>
      </c>
      <c r="Q374" s="2">
        <v>12.32</v>
      </c>
      <c r="R374" s="2">
        <v>12.26075</v>
      </c>
      <c r="S374" s="2">
        <v>12.26</v>
      </c>
      <c r="T374" s="2">
        <v>12.260899999999999</v>
      </c>
      <c r="U374" s="2">
        <v>12.31565</v>
      </c>
      <c r="V374" s="2">
        <v>12.26075</v>
      </c>
      <c r="W374" s="2">
        <v>12.26</v>
      </c>
      <c r="X374" s="2">
        <v>12.260899999999999</v>
      </c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2"/>
      <c r="AL374" s="1"/>
      <c r="AM374" s="2"/>
      <c r="AO374" s="124">
        <v>44256</v>
      </c>
      <c r="AP374">
        <v>43.125</v>
      </c>
      <c r="AQ374">
        <v>43.375</v>
      </c>
      <c r="AR374">
        <v>43.125</v>
      </c>
      <c r="AS374">
        <v>43.375999999999998</v>
      </c>
      <c r="AT374">
        <v>43.420999999999999</v>
      </c>
      <c r="AU374">
        <v>43.420999999999999</v>
      </c>
      <c r="AV374">
        <v>43.125</v>
      </c>
      <c r="AW374">
        <v>43.375</v>
      </c>
      <c r="AX374">
        <v>43.420999999999999</v>
      </c>
      <c r="AY374">
        <v>43.420999999999999</v>
      </c>
      <c r="AZ374" s="7"/>
      <c r="BB374" s="124">
        <v>44256</v>
      </c>
      <c r="BC374" s="2">
        <v>12.32</v>
      </c>
      <c r="BD374" s="2">
        <v>12.26</v>
      </c>
      <c r="BE374" s="2">
        <v>12.32</v>
      </c>
      <c r="BF374" s="2">
        <v>12.26</v>
      </c>
      <c r="BG374" s="2">
        <v>12.26</v>
      </c>
      <c r="BH374" s="2">
        <v>12.26</v>
      </c>
      <c r="BI374" s="2">
        <v>12.32</v>
      </c>
      <c r="BJ374" s="2">
        <v>12.26</v>
      </c>
      <c r="BK374" s="2">
        <v>12.26</v>
      </c>
      <c r="BL374" s="2">
        <v>12.26</v>
      </c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2"/>
      <c r="BZ374" s="1"/>
      <c r="CA374" s="2"/>
    </row>
    <row r="375" spans="1:79" x14ac:dyDescent="0.2">
      <c r="A375" s="124">
        <v>44257</v>
      </c>
      <c r="B375">
        <v>42.999000000000002</v>
      </c>
      <c r="C375">
        <v>43.249000000000002</v>
      </c>
      <c r="D375">
        <v>42.997999999999998</v>
      </c>
      <c r="E375">
        <v>43.249000000000002</v>
      </c>
      <c r="F375">
        <v>43.295999999999999</v>
      </c>
      <c r="G375">
        <v>43.295999999999999</v>
      </c>
      <c r="H375">
        <v>42.999000000000002</v>
      </c>
      <c r="I375">
        <v>43.249000000000002</v>
      </c>
      <c r="J375">
        <v>43.295000000000002</v>
      </c>
      <c r="K375">
        <v>43.295999999999999</v>
      </c>
      <c r="L375" s="7"/>
      <c r="N375" s="124">
        <v>44257</v>
      </c>
      <c r="O375" s="2">
        <v>12.347149999999999</v>
      </c>
      <c r="P375" s="2">
        <v>12.29205</v>
      </c>
      <c r="Q375" s="2">
        <v>12.35</v>
      </c>
      <c r="R375" s="2">
        <v>12.29205</v>
      </c>
      <c r="S375" s="2">
        <v>12.29</v>
      </c>
      <c r="T375" s="2">
        <v>12.29205</v>
      </c>
      <c r="U375" s="2">
        <v>12.347149999999999</v>
      </c>
      <c r="V375" s="2">
        <v>12.29205</v>
      </c>
      <c r="W375" s="2">
        <v>12.29</v>
      </c>
      <c r="X375" s="2">
        <v>12.29205</v>
      </c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2"/>
      <c r="AL375" s="1"/>
      <c r="AM375" s="2"/>
      <c r="AO375" s="124">
        <v>44257</v>
      </c>
      <c r="AP375">
        <v>42.997999999999998</v>
      </c>
      <c r="AQ375">
        <v>43.247999999999998</v>
      </c>
      <c r="AR375">
        <v>42.997999999999998</v>
      </c>
      <c r="AS375">
        <v>43.249000000000002</v>
      </c>
      <c r="AT375">
        <v>43.295000000000002</v>
      </c>
      <c r="AU375">
        <v>43.295000000000002</v>
      </c>
      <c r="AV375">
        <v>42.997999999999998</v>
      </c>
      <c r="AW375">
        <v>43.247999999999998</v>
      </c>
      <c r="AX375">
        <v>43.295999999999999</v>
      </c>
      <c r="AY375">
        <v>43.295999999999999</v>
      </c>
      <c r="AZ375" s="7"/>
      <c r="BB375" s="124">
        <v>44257</v>
      </c>
      <c r="BC375" s="2">
        <v>12.35</v>
      </c>
      <c r="BD375" s="2">
        <v>12.29</v>
      </c>
      <c r="BE375" s="2">
        <v>12.35</v>
      </c>
      <c r="BF375" s="2">
        <v>12.29</v>
      </c>
      <c r="BG375" s="2">
        <v>12.29</v>
      </c>
      <c r="BH375" s="2">
        <v>12.29</v>
      </c>
      <c r="BI375" s="2">
        <v>12.35</v>
      </c>
      <c r="BJ375" s="2">
        <v>12.29</v>
      </c>
      <c r="BK375" s="2">
        <v>12.29</v>
      </c>
      <c r="BL375" s="2">
        <v>12.29</v>
      </c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2"/>
      <c r="BZ375" s="1"/>
      <c r="CA375" s="2"/>
    </row>
    <row r="376" spans="1:79" x14ac:dyDescent="0.2">
      <c r="A376" s="124">
        <v>44258</v>
      </c>
      <c r="B376">
        <v>41.625</v>
      </c>
      <c r="C376">
        <v>41.875</v>
      </c>
      <c r="D376">
        <v>41.625</v>
      </c>
      <c r="E376">
        <v>41.875</v>
      </c>
      <c r="F376">
        <v>41.875</v>
      </c>
      <c r="G376">
        <v>41.923999999999999</v>
      </c>
      <c r="H376">
        <v>41.625</v>
      </c>
      <c r="I376">
        <v>41.875</v>
      </c>
      <c r="J376">
        <v>41.923000000000002</v>
      </c>
      <c r="K376">
        <v>41.923999999999999</v>
      </c>
      <c r="L376" s="7"/>
      <c r="N376" s="124">
        <v>44258</v>
      </c>
      <c r="O376" s="2">
        <v>12.666499999999999</v>
      </c>
      <c r="P376" s="2">
        <v>12.60905</v>
      </c>
      <c r="Q376" s="2">
        <v>12.67</v>
      </c>
      <c r="R376" s="2">
        <v>12.60905</v>
      </c>
      <c r="S376" s="2">
        <v>12.62</v>
      </c>
      <c r="T376" s="2">
        <v>12.609</v>
      </c>
      <c r="U376" s="2">
        <v>12.666499999999999</v>
      </c>
      <c r="V376" s="2">
        <v>12.60905</v>
      </c>
      <c r="W376" s="2">
        <v>12.61</v>
      </c>
      <c r="X376" s="2">
        <v>12.609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2"/>
      <c r="AL376" s="1"/>
      <c r="AM376" s="2"/>
      <c r="AO376" s="124">
        <v>44258</v>
      </c>
      <c r="AP376">
        <v>41.625</v>
      </c>
      <c r="AQ376">
        <v>41.875</v>
      </c>
      <c r="AR376">
        <v>41.625</v>
      </c>
      <c r="AS376">
        <v>41.875</v>
      </c>
      <c r="AT376">
        <v>41.923000000000002</v>
      </c>
      <c r="AU376">
        <v>41.923000000000002</v>
      </c>
      <c r="AV376">
        <v>41.625</v>
      </c>
      <c r="AW376">
        <v>41.875</v>
      </c>
      <c r="AX376">
        <v>41.923999999999999</v>
      </c>
      <c r="AY376">
        <v>41.923999999999999</v>
      </c>
      <c r="AZ376" s="7"/>
      <c r="BB376" s="124">
        <v>44258</v>
      </c>
      <c r="BC376" s="2">
        <v>12.67</v>
      </c>
      <c r="BD376" s="2">
        <v>12.61</v>
      </c>
      <c r="BE376" s="2">
        <v>12.67</v>
      </c>
      <c r="BF376" s="2">
        <v>12.61</v>
      </c>
      <c r="BG376" s="2">
        <v>12.61</v>
      </c>
      <c r="BH376" s="2">
        <v>12.61</v>
      </c>
      <c r="BI376" s="2">
        <v>12.67</v>
      </c>
      <c r="BJ376" s="2">
        <v>12.61</v>
      </c>
      <c r="BK376" s="2">
        <v>12.61</v>
      </c>
      <c r="BL376" s="2">
        <v>12.61</v>
      </c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2"/>
      <c r="BZ376" s="1"/>
      <c r="CA376" s="2"/>
    </row>
    <row r="377" spans="1:79" x14ac:dyDescent="0.2">
      <c r="A377" s="124">
        <v>44259</v>
      </c>
      <c r="B377">
        <v>41.250999999999998</v>
      </c>
      <c r="C377">
        <v>41.500999999999998</v>
      </c>
      <c r="D377">
        <v>41.250999999999998</v>
      </c>
      <c r="E377">
        <v>41.500999999999998</v>
      </c>
      <c r="F377">
        <v>41.554000000000002</v>
      </c>
      <c r="G377">
        <v>41.554000000000002</v>
      </c>
      <c r="H377">
        <v>41.250999999999998</v>
      </c>
      <c r="I377">
        <v>41.500999999999998</v>
      </c>
      <c r="J377">
        <v>41.554000000000002</v>
      </c>
      <c r="K377">
        <v>41.554000000000002</v>
      </c>
      <c r="L377" s="7"/>
      <c r="N377" s="124">
        <v>44259</v>
      </c>
      <c r="O377" s="2">
        <v>12.764099999999999</v>
      </c>
      <c r="P377" s="2">
        <v>12.7059</v>
      </c>
      <c r="Q377" s="2">
        <v>12.76</v>
      </c>
      <c r="R377" s="2">
        <v>12.7059</v>
      </c>
      <c r="S377" s="2">
        <v>12.7</v>
      </c>
      <c r="T377" s="2">
        <v>12.7059</v>
      </c>
      <c r="U377" s="2">
        <v>12.764099999999999</v>
      </c>
      <c r="V377" s="2">
        <v>12.7059</v>
      </c>
      <c r="W377" s="2">
        <v>12.7</v>
      </c>
      <c r="X377" s="2">
        <v>12.7059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2"/>
      <c r="AL377" s="1"/>
      <c r="AM377" s="2"/>
      <c r="AO377" s="124">
        <v>44259</v>
      </c>
      <c r="AP377">
        <v>41.250999999999998</v>
      </c>
      <c r="AQ377">
        <v>41.500999999999998</v>
      </c>
      <c r="AR377">
        <v>41.250999999999998</v>
      </c>
      <c r="AS377">
        <v>41.500999999999998</v>
      </c>
      <c r="AT377">
        <v>41.554000000000002</v>
      </c>
      <c r="AU377">
        <v>41.554000000000002</v>
      </c>
      <c r="AV377">
        <v>41.250999999999998</v>
      </c>
      <c r="AW377">
        <v>41.500999999999998</v>
      </c>
      <c r="AX377">
        <v>41.554000000000002</v>
      </c>
      <c r="AY377">
        <v>41.554000000000002</v>
      </c>
      <c r="AZ377" s="7"/>
      <c r="BB377" s="124">
        <v>44259</v>
      </c>
      <c r="BC377" s="2">
        <v>12.76</v>
      </c>
      <c r="BD377" s="2">
        <v>12.7</v>
      </c>
      <c r="BE377" s="2">
        <v>12.76</v>
      </c>
      <c r="BF377" s="2">
        <v>12.7</v>
      </c>
      <c r="BG377" s="2">
        <v>12.7</v>
      </c>
      <c r="BH377" s="2">
        <v>12.7</v>
      </c>
      <c r="BI377" s="2">
        <v>12.76</v>
      </c>
      <c r="BJ377" s="2">
        <v>12.7</v>
      </c>
      <c r="BK377" s="2">
        <v>12.7</v>
      </c>
      <c r="BL377" s="2">
        <v>12.7</v>
      </c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2"/>
      <c r="BZ377" s="1"/>
      <c r="CA377" s="2"/>
    </row>
    <row r="378" spans="1:79" x14ac:dyDescent="0.2">
      <c r="A378" s="124">
        <v>44260</v>
      </c>
      <c r="B378">
        <v>39.250999999999998</v>
      </c>
      <c r="C378">
        <v>39.500999999999998</v>
      </c>
      <c r="D378">
        <v>39.25</v>
      </c>
      <c r="E378">
        <v>39.500999999999998</v>
      </c>
      <c r="F378">
        <v>39.555</v>
      </c>
      <c r="G378">
        <v>39.555</v>
      </c>
      <c r="H378">
        <v>39.250999999999998</v>
      </c>
      <c r="I378">
        <v>39.500999999999998</v>
      </c>
      <c r="J378">
        <v>39.554000000000002</v>
      </c>
      <c r="K378">
        <v>39.555</v>
      </c>
      <c r="L378" s="7"/>
      <c r="N378" s="124">
        <v>44260</v>
      </c>
      <c r="O378" s="2">
        <v>13.25895</v>
      </c>
      <c r="P378" s="2">
        <v>13.196999999999999</v>
      </c>
      <c r="Q378" s="2">
        <v>13.26</v>
      </c>
      <c r="R378" s="2">
        <v>13.196999999999999</v>
      </c>
      <c r="S378" s="2">
        <v>13.19</v>
      </c>
      <c r="T378" s="2">
        <v>13.197100000000001</v>
      </c>
      <c r="U378" s="2">
        <v>13.25895</v>
      </c>
      <c r="V378" s="2">
        <v>13.196999999999999</v>
      </c>
      <c r="W378" s="2">
        <v>13.19</v>
      </c>
      <c r="X378" s="2">
        <v>13.197100000000001</v>
      </c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2"/>
      <c r="AL378" s="1"/>
      <c r="AM378" s="2"/>
      <c r="AO378" s="124">
        <v>44260</v>
      </c>
      <c r="AP378">
        <v>39.25</v>
      </c>
      <c r="AQ378">
        <v>39.5</v>
      </c>
      <c r="AR378">
        <v>39.25</v>
      </c>
      <c r="AS378">
        <v>39.500999999999998</v>
      </c>
      <c r="AT378">
        <v>39.554000000000002</v>
      </c>
      <c r="AU378">
        <v>39.554000000000002</v>
      </c>
      <c r="AV378">
        <v>39.25</v>
      </c>
      <c r="AW378">
        <v>39.5</v>
      </c>
      <c r="AX378">
        <v>39.555</v>
      </c>
      <c r="AY378">
        <v>39.555</v>
      </c>
      <c r="AZ378" s="7"/>
      <c r="BB378" s="124">
        <v>44260</v>
      </c>
      <c r="BC378" s="2">
        <v>13.26</v>
      </c>
      <c r="BD378" s="2">
        <v>13.19</v>
      </c>
      <c r="BE378" s="2">
        <v>13.26</v>
      </c>
      <c r="BF378" s="2">
        <v>13.19</v>
      </c>
      <c r="BG378" s="2">
        <v>13.19</v>
      </c>
      <c r="BH378" s="2">
        <v>13.19</v>
      </c>
      <c r="BI378" s="2">
        <v>13.26</v>
      </c>
      <c r="BJ378" s="2">
        <v>13.19</v>
      </c>
      <c r="BK378" s="2">
        <v>13.19</v>
      </c>
      <c r="BL378" s="2">
        <v>13.19</v>
      </c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2"/>
      <c r="BZ378" s="1"/>
      <c r="CA378" s="2"/>
    </row>
    <row r="379" spans="1:79" x14ac:dyDescent="0.2">
      <c r="A379" s="129">
        <v>44263</v>
      </c>
      <c r="B379" s="9">
        <v>39.000999999999998</v>
      </c>
      <c r="C379" s="9">
        <v>39.250999999999998</v>
      </c>
      <c r="D379" s="9">
        <v>39</v>
      </c>
      <c r="E379" s="9">
        <v>39.250999999999998</v>
      </c>
      <c r="F379" s="9">
        <v>39.307000000000002</v>
      </c>
      <c r="G379" s="9">
        <v>39.307000000000002</v>
      </c>
      <c r="H379" s="9">
        <v>39.000999999999998</v>
      </c>
      <c r="I379" s="9">
        <v>39.250999999999998</v>
      </c>
      <c r="J379" s="9">
        <v>39.305999999999997</v>
      </c>
      <c r="K379" s="9">
        <v>39.307000000000002</v>
      </c>
      <c r="L379" s="14"/>
      <c r="N379" s="124">
        <v>44263</v>
      </c>
      <c r="O379" s="2">
        <v>13.325950000000001</v>
      </c>
      <c r="P379" s="2">
        <v>13.263500000000001</v>
      </c>
      <c r="Q379" s="2">
        <v>13.33</v>
      </c>
      <c r="R379" s="2">
        <v>13.263500000000001</v>
      </c>
      <c r="S379" s="2">
        <v>13.26</v>
      </c>
      <c r="T379" s="2">
        <v>13.263400000000001</v>
      </c>
      <c r="U379" s="2">
        <v>13.325950000000001</v>
      </c>
      <c r="V379" s="2">
        <v>13.263500000000001</v>
      </c>
      <c r="W379" s="2">
        <v>13.26</v>
      </c>
      <c r="X379" s="2">
        <v>13.263400000000001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2"/>
      <c r="AL379" s="1"/>
      <c r="AM379" s="2"/>
      <c r="AO379" s="129">
        <v>44263</v>
      </c>
      <c r="AP379" s="9">
        <v>39</v>
      </c>
      <c r="AQ379" s="9">
        <v>39.25</v>
      </c>
      <c r="AR379" s="9">
        <v>39</v>
      </c>
      <c r="AS379" s="9">
        <v>39.250999999999998</v>
      </c>
      <c r="AT379" s="9">
        <v>39.305999999999997</v>
      </c>
      <c r="AU379" s="9">
        <v>39.305999999999997</v>
      </c>
      <c r="AV379" s="9">
        <v>39</v>
      </c>
      <c r="AW379" s="9">
        <v>39.25</v>
      </c>
      <c r="AX379" s="9">
        <v>39.307000000000002</v>
      </c>
      <c r="AY379" s="9">
        <v>39.307000000000002</v>
      </c>
      <c r="AZ379" s="14"/>
      <c r="BB379" s="124">
        <v>44263</v>
      </c>
      <c r="BC379" s="2">
        <v>13.33</v>
      </c>
      <c r="BD379" s="2">
        <v>13.26</v>
      </c>
      <c r="BE379" s="2">
        <v>13.33</v>
      </c>
      <c r="BF379" s="2">
        <v>13.26</v>
      </c>
      <c r="BG379" s="2">
        <v>13.26</v>
      </c>
      <c r="BH379" s="2">
        <v>13.26</v>
      </c>
      <c r="BI379" s="2">
        <v>13.33</v>
      </c>
      <c r="BJ379" s="2">
        <v>13.26</v>
      </c>
      <c r="BK379" s="2">
        <v>13.26</v>
      </c>
      <c r="BL379" s="2">
        <v>13.26</v>
      </c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2"/>
      <c r="BZ379" s="1"/>
      <c r="CA379" s="2"/>
    </row>
    <row r="380" spans="1:79" x14ac:dyDescent="0.2">
      <c r="A380" s="129">
        <v>44264</v>
      </c>
      <c r="B380" s="9">
        <v>39.249000000000002</v>
      </c>
      <c r="C380" s="9">
        <v>39.499000000000002</v>
      </c>
      <c r="D380" s="9">
        <v>39.247999999999998</v>
      </c>
      <c r="E380" s="9">
        <v>39.499000000000002</v>
      </c>
      <c r="F380" s="9">
        <v>39.555999999999997</v>
      </c>
      <c r="G380" s="9">
        <v>39.555999999999997</v>
      </c>
      <c r="H380" s="9">
        <v>39.249000000000002</v>
      </c>
      <c r="I380" s="9">
        <v>39.499000000000002</v>
      </c>
      <c r="J380" s="9">
        <v>39.555</v>
      </c>
      <c r="K380" s="9">
        <v>39.555999999999997</v>
      </c>
      <c r="L380" s="14"/>
      <c r="N380" s="124">
        <v>44264</v>
      </c>
      <c r="O380" s="2">
        <v>13.2659</v>
      </c>
      <c r="P380" s="2">
        <v>13.203900000000001</v>
      </c>
      <c r="Q380" s="2">
        <v>13.27</v>
      </c>
      <c r="R380" s="2">
        <v>13.203900000000001</v>
      </c>
      <c r="S380" s="2">
        <v>13.2</v>
      </c>
      <c r="T380" s="2">
        <v>13.203900000000001</v>
      </c>
      <c r="U380" s="2">
        <v>13.2659</v>
      </c>
      <c r="V380" s="2">
        <v>13.203900000000001</v>
      </c>
      <c r="W380" s="2">
        <v>13.2</v>
      </c>
      <c r="X380" s="2">
        <v>13.203900000000001</v>
      </c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2"/>
      <c r="AL380" s="1"/>
      <c r="AM380" s="2"/>
      <c r="AO380" s="129">
        <v>44264</v>
      </c>
      <c r="AP380" s="9">
        <v>39.247999999999998</v>
      </c>
      <c r="AQ380" s="9">
        <v>39.497999999999998</v>
      </c>
      <c r="AR380" s="9">
        <v>39.247999999999998</v>
      </c>
      <c r="AS380" s="9">
        <v>39.499000000000002</v>
      </c>
      <c r="AT380" s="9">
        <v>39.555</v>
      </c>
      <c r="AU380" s="9">
        <v>39.555</v>
      </c>
      <c r="AV380" s="9">
        <v>39.247999999999998</v>
      </c>
      <c r="AW380" s="9">
        <v>39.497999999999998</v>
      </c>
      <c r="AX380" s="9">
        <v>39.555999999999997</v>
      </c>
      <c r="AY380" s="9">
        <v>39.555999999999997</v>
      </c>
      <c r="AZ380" s="14"/>
      <c r="BB380" s="124">
        <v>44264</v>
      </c>
      <c r="BC380" s="2">
        <v>13.27</v>
      </c>
      <c r="BD380" s="2">
        <v>13.2</v>
      </c>
      <c r="BE380" s="2">
        <v>13.27</v>
      </c>
      <c r="BF380" s="2">
        <v>13.2</v>
      </c>
      <c r="BG380" s="2">
        <v>13.2</v>
      </c>
      <c r="BH380" s="2">
        <v>13.2</v>
      </c>
      <c r="BI380" s="2">
        <v>13.27</v>
      </c>
      <c r="BJ380" s="2">
        <v>13.2</v>
      </c>
      <c r="BK380" s="2">
        <v>13.2</v>
      </c>
      <c r="BL380" s="2">
        <v>13.2</v>
      </c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2"/>
      <c r="BZ380" s="1"/>
      <c r="CA380" s="2"/>
    </row>
    <row r="381" spans="1:79" x14ac:dyDescent="0.2">
      <c r="A381" s="124">
        <v>44265</v>
      </c>
      <c r="B381">
        <v>39.997999999999998</v>
      </c>
      <c r="C381">
        <v>40.247999999999998</v>
      </c>
      <c r="D381">
        <v>39.997999999999998</v>
      </c>
      <c r="E381">
        <v>40.247999999999998</v>
      </c>
      <c r="F381">
        <v>40.307000000000002</v>
      </c>
      <c r="G381">
        <v>40.307000000000002</v>
      </c>
      <c r="H381">
        <v>39.997999999999998</v>
      </c>
      <c r="I381">
        <v>40.247999999999998</v>
      </c>
      <c r="J381">
        <v>40.305999999999997</v>
      </c>
      <c r="K381">
        <v>40.307000000000002</v>
      </c>
      <c r="L381" s="7"/>
      <c r="N381" s="124">
        <v>44265</v>
      </c>
      <c r="O381" s="2">
        <v>13.081</v>
      </c>
      <c r="P381" s="2">
        <v>13.02045</v>
      </c>
      <c r="Q381" s="2">
        <v>13.08</v>
      </c>
      <c r="R381" s="2">
        <v>13.02045</v>
      </c>
      <c r="S381" s="2">
        <v>13.02</v>
      </c>
      <c r="T381" s="2">
        <v>13.020350000000001</v>
      </c>
      <c r="U381" s="2">
        <v>13.081</v>
      </c>
      <c r="V381" s="2">
        <v>13.02045</v>
      </c>
      <c r="W381" s="2">
        <v>13.02</v>
      </c>
      <c r="X381" s="2">
        <v>13.020350000000001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2"/>
      <c r="AL381" s="1"/>
      <c r="AM381" s="2"/>
      <c r="AO381" s="124">
        <v>44265</v>
      </c>
      <c r="AP381">
        <v>39.997999999999998</v>
      </c>
      <c r="AQ381">
        <v>40.247999999999998</v>
      </c>
      <c r="AR381">
        <v>39.997999999999998</v>
      </c>
      <c r="AS381">
        <v>40.247999999999998</v>
      </c>
      <c r="AT381">
        <v>40.305999999999997</v>
      </c>
      <c r="AU381">
        <v>40.305999999999997</v>
      </c>
      <c r="AV381">
        <v>39.997999999999998</v>
      </c>
      <c r="AW381">
        <v>40.247999999999998</v>
      </c>
      <c r="AX381">
        <v>40.307000000000002</v>
      </c>
      <c r="AY381">
        <v>40.307000000000002</v>
      </c>
      <c r="AZ381" s="7"/>
      <c r="BB381" s="124">
        <v>44265</v>
      </c>
      <c r="BC381" s="2">
        <v>13.08</v>
      </c>
      <c r="BD381" s="2">
        <v>13.02</v>
      </c>
      <c r="BE381" s="2">
        <v>13.08</v>
      </c>
      <c r="BF381" s="2">
        <v>13.02</v>
      </c>
      <c r="BG381" s="2">
        <v>13.02</v>
      </c>
      <c r="BH381" s="2">
        <v>13.02</v>
      </c>
      <c r="BI381" s="2">
        <v>13.08</v>
      </c>
      <c r="BJ381" s="2">
        <v>13.02</v>
      </c>
      <c r="BK381" s="2">
        <v>13.02</v>
      </c>
      <c r="BL381" s="2">
        <v>13.02</v>
      </c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2"/>
      <c r="BZ381" s="1"/>
      <c r="CA381" s="2"/>
    </row>
    <row r="382" spans="1:79" x14ac:dyDescent="0.2">
      <c r="A382" s="124">
        <v>44266</v>
      </c>
      <c r="B382">
        <v>40.5</v>
      </c>
      <c r="C382">
        <v>40.75</v>
      </c>
      <c r="D382">
        <v>40.499000000000002</v>
      </c>
      <c r="E382">
        <v>40.75</v>
      </c>
      <c r="F382">
        <v>40.811999999999998</v>
      </c>
      <c r="G382">
        <v>40.811999999999998</v>
      </c>
      <c r="H382">
        <v>40.5</v>
      </c>
      <c r="I382">
        <v>40.75</v>
      </c>
      <c r="J382">
        <v>40.811999999999998</v>
      </c>
      <c r="K382">
        <v>40.811999999999998</v>
      </c>
      <c r="L382" s="7"/>
      <c r="N382" s="124">
        <v>44266</v>
      </c>
      <c r="O382" s="2">
        <v>12.966850000000001</v>
      </c>
      <c r="P382" s="2">
        <v>12.9072</v>
      </c>
      <c r="Q382" s="2">
        <v>12.97</v>
      </c>
      <c r="R382" s="2">
        <v>12.9072</v>
      </c>
      <c r="S382" s="2">
        <v>12.91</v>
      </c>
      <c r="T382" s="2">
        <v>12.907299999999999</v>
      </c>
      <c r="U382" s="2">
        <v>12.966850000000001</v>
      </c>
      <c r="V382" s="2">
        <v>12.9072</v>
      </c>
      <c r="W382" s="2">
        <v>12.91</v>
      </c>
      <c r="X382" s="2">
        <v>12.907299999999999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2"/>
      <c r="AL382" s="1"/>
      <c r="AM382" s="2"/>
      <c r="AO382" s="124">
        <v>44266</v>
      </c>
      <c r="AP382">
        <v>40.499000000000002</v>
      </c>
      <c r="AQ382">
        <v>40.749000000000002</v>
      </c>
      <c r="AR382">
        <v>40.499000000000002</v>
      </c>
      <c r="AS382">
        <v>40.75</v>
      </c>
      <c r="AT382">
        <v>40.811999999999998</v>
      </c>
      <c r="AU382">
        <v>40.811999999999998</v>
      </c>
      <c r="AV382">
        <v>40.499000000000002</v>
      </c>
      <c r="AW382">
        <v>40.749000000000002</v>
      </c>
      <c r="AX382">
        <v>40.811999999999998</v>
      </c>
      <c r="AY382">
        <v>40.811999999999998</v>
      </c>
      <c r="AZ382" s="7"/>
      <c r="BB382" s="124">
        <v>44266</v>
      </c>
      <c r="BC382" s="2">
        <v>12.97</v>
      </c>
      <c r="BD382" s="2">
        <v>12.91</v>
      </c>
      <c r="BE382" s="2">
        <v>12.97</v>
      </c>
      <c r="BF382" s="2">
        <v>12.9</v>
      </c>
      <c r="BG382" s="2">
        <v>12.91</v>
      </c>
      <c r="BH382" s="2">
        <v>12.91</v>
      </c>
      <c r="BI382" s="2">
        <v>12.97</v>
      </c>
      <c r="BJ382" s="2">
        <v>12.91</v>
      </c>
      <c r="BK382" s="2">
        <v>12.91</v>
      </c>
      <c r="BL382" s="2">
        <v>12.91</v>
      </c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2"/>
      <c r="BZ382" s="1"/>
      <c r="CA382" s="2"/>
    </row>
    <row r="383" spans="1:79" x14ac:dyDescent="0.2">
      <c r="A383" s="124">
        <v>44267</v>
      </c>
      <c r="B383">
        <v>40.500999999999998</v>
      </c>
      <c r="C383">
        <v>40.750999999999998</v>
      </c>
      <c r="D383">
        <v>40.5</v>
      </c>
      <c r="E383">
        <v>40.750999999999998</v>
      </c>
      <c r="F383">
        <v>40.814</v>
      </c>
      <c r="G383">
        <v>40.814</v>
      </c>
      <c r="H383">
        <v>40.500999999999998</v>
      </c>
      <c r="I383">
        <v>40.750999999999998</v>
      </c>
      <c r="J383">
        <v>40.814</v>
      </c>
      <c r="K383">
        <v>40.814</v>
      </c>
      <c r="L383" s="7"/>
      <c r="N383" s="124">
        <v>44267</v>
      </c>
      <c r="O383" s="2">
        <v>12.9697</v>
      </c>
      <c r="P383" s="2">
        <v>12.91005</v>
      </c>
      <c r="Q383" s="2">
        <v>12.97</v>
      </c>
      <c r="R383" s="2">
        <v>12.91005</v>
      </c>
      <c r="S383" s="2">
        <v>12.91</v>
      </c>
      <c r="T383" s="2">
        <v>12.91025</v>
      </c>
      <c r="U383" s="2">
        <v>12.9697</v>
      </c>
      <c r="V383" s="2">
        <v>12.91005</v>
      </c>
      <c r="W383" s="2">
        <v>12.91</v>
      </c>
      <c r="X383" s="2">
        <v>12.91025</v>
      </c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2"/>
      <c r="AL383" s="1"/>
      <c r="AM383" s="2"/>
      <c r="AO383" s="124">
        <v>44267</v>
      </c>
      <c r="AP383">
        <v>40.5</v>
      </c>
      <c r="AQ383">
        <v>40.75</v>
      </c>
      <c r="AR383">
        <v>40.5</v>
      </c>
      <c r="AS383">
        <v>40.750999999999998</v>
      </c>
      <c r="AT383">
        <v>40.814</v>
      </c>
      <c r="AU383">
        <v>40.814</v>
      </c>
      <c r="AV383">
        <v>40.5</v>
      </c>
      <c r="AW383">
        <v>40.75</v>
      </c>
      <c r="AX383">
        <v>40.814</v>
      </c>
      <c r="AY383">
        <v>40.814</v>
      </c>
      <c r="AZ383" s="7"/>
      <c r="BB383" s="124">
        <v>44267</v>
      </c>
      <c r="BC383" s="2">
        <v>12.97</v>
      </c>
      <c r="BD383" s="2">
        <v>12.91</v>
      </c>
      <c r="BE383" s="2">
        <v>12.97</v>
      </c>
      <c r="BF383" s="2">
        <v>12.91</v>
      </c>
      <c r="BG383" s="2">
        <v>12.91</v>
      </c>
      <c r="BH383" s="2">
        <v>12.91</v>
      </c>
      <c r="BI383" s="2">
        <v>12.97</v>
      </c>
      <c r="BJ383" s="2">
        <v>12.91</v>
      </c>
      <c r="BK383" s="2">
        <v>12.91</v>
      </c>
      <c r="BL383" s="2">
        <v>12.91</v>
      </c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2"/>
      <c r="BZ383" s="1"/>
      <c r="CA383" s="2"/>
    </row>
    <row r="384" spans="1:79" x14ac:dyDescent="0.2">
      <c r="A384" s="124">
        <v>44270</v>
      </c>
      <c r="B384">
        <v>40.500999999999998</v>
      </c>
      <c r="C384">
        <v>40.750999999999998</v>
      </c>
      <c r="D384">
        <v>40.500999999999998</v>
      </c>
      <c r="E384">
        <v>40.750999999999998</v>
      </c>
      <c r="F384">
        <v>40.817</v>
      </c>
      <c r="G384">
        <v>40.817</v>
      </c>
      <c r="H384">
        <v>40.500999999999998</v>
      </c>
      <c r="I384">
        <v>40.750999999999998</v>
      </c>
      <c r="J384">
        <v>40.816000000000003</v>
      </c>
      <c r="K384">
        <v>40.817</v>
      </c>
      <c r="L384" s="7"/>
      <c r="N384" s="124">
        <v>44270</v>
      </c>
      <c r="O384" s="2">
        <v>12.972849999999999</v>
      </c>
      <c r="P384" s="2">
        <v>12.91315</v>
      </c>
      <c r="Q384" s="2">
        <v>12.97</v>
      </c>
      <c r="R384" s="2">
        <v>12.91315</v>
      </c>
      <c r="S384" s="2">
        <v>12.91</v>
      </c>
      <c r="T384" s="2">
        <v>12.913</v>
      </c>
      <c r="U384" s="2">
        <v>12.972849999999999</v>
      </c>
      <c r="V384" s="2">
        <v>12.91315</v>
      </c>
      <c r="W384" s="2">
        <v>12.91</v>
      </c>
      <c r="X384" s="2">
        <v>12.913</v>
      </c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2"/>
      <c r="AL384" s="1"/>
      <c r="AM384" s="2"/>
      <c r="AO384" s="124">
        <v>44270</v>
      </c>
      <c r="AP384">
        <v>40.500999999999998</v>
      </c>
      <c r="AQ384">
        <v>40.750999999999998</v>
      </c>
      <c r="AR384">
        <v>40.500999999999998</v>
      </c>
      <c r="AS384">
        <v>40.750999999999998</v>
      </c>
      <c r="AT384">
        <v>40.816000000000003</v>
      </c>
      <c r="AU384">
        <v>40.816000000000003</v>
      </c>
      <c r="AV384">
        <v>40.500999999999998</v>
      </c>
      <c r="AW384">
        <v>40.750999999999998</v>
      </c>
      <c r="AX384">
        <v>40.817</v>
      </c>
      <c r="AY384">
        <v>40.817</v>
      </c>
      <c r="AZ384" s="7"/>
      <c r="BB384" s="124">
        <v>44270</v>
      </c>
      <c r="BC384" s="2">
        <v>12.97</v>
      </c>
      <c r="BD384" s="2">
        <v>12.91</v>
      </c>
      <c r="BE384" s="2">
        <v>12.97</v>
      </c>
      <c r="BF384" s="2">
        <v>12.91</v>
      </c>
      <c r="BG384" s="2">
        <v>12.91</v>
      </c>
      <c r="BH384" s="2">
        <v>12.91</v>
      </c>
      <c r="BI384" s="2">
        <v>12.97</v>
      </c>
      <c r="BJ384" s="2">
        <v>12.91</v>
      </c>
      <c r="BK384" s="2">
        <v>12.91</v>
      </c>
      <c r="BL384" s="2">
        <v>12.91</v>
      </c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2"/>
      <c r="BZ384" s="1"/>
      <c r="CA384" s="2"/>
    </row>
    <row r="385" spans="1:79" x14ac:dyDescent="0.2">
      <c r="A385" s="124">
        <v>44271</v>
      </c>
      <c r="B385">
        <v>42.875</v>
      </c>
      <c r="C385">
        <v>43.125</v>
      </c>
      <c r="D385">
        <v>42.875</v>
      </c>
      <c r="E385">
        <v>43.125</v>
      </c>
      <c r="F385">
        <v>43.125</v>
      </c>
      <c r="G385">
        <v>43.125</v>
      </c>
      <c r="H385">
        <v>42.875</v>
      </c>
      <c r="I385">
        <v>43.125</v>
      </c>
      <c r="J385">
        <v>43.125</v>
      </c>
      <c r="K385">
        <v>43.125</v>
      </c>
      <c r="L385" s="7"/>
      <c r="N385" s="124">
        <v>44271</v>
      </c>
      <c r="O385" s="2">
        <v>12.4163</v>
      </c>
      <c r="P385" s="2">
        <v>12.3607</v>
      </c>
      <c r="Q385" s="2">
        <v>12.42</v>
      </c>
      <c r="R385" s="2">
        <v>12.3607</v>
      </c>
      <c r="S385" s="2">
        <v>12.37</v>
      </c>
      <c r="T385" s="2">
        <v>12.37575</v>
      </c>
      <c r="U385" s="2">
        <v>12.4163</v>
      </c>
      <c r="V385" s="2">
        <v>12.3607</v>
      </c>
      <c r="W385" s="2">
        <v>12.37</v>
      </c>
      <c r="X385" s="2">
        <v>12.37575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2"/>
      <c r="AL385" s="1"/>
      <c r="AM385" s="2"/>
      <c r="AO385" s="124">
        <v>44271</v>
      </c>
      <c r="AP385">
        <v>42.875</v>
      </c>
      <c r="AQ385">
        <v>43.125</v>
      </c>
      <c r="AR385">
        <v>42.875</v>
      </c>
      <c r="AS385">
        <v>43.125</v>
      </c>
      <c r="AT385">
        <v>43.125</v>
      </c>
      <c r="AU385">
        <v>43.125</v>
      </c>
      <c r="AV385">
        <v>42.875</v>
      </c>
      <c r="AW385">
        <v>43.125</v>
      </c>
      <c r="AX385">
        <v>43.125</v>
      </c>
      <c r="AY385">
        <v>43.125</v>
      </c>
      <c r="AZ385" s="7"/>
      <c r="BB385" s="124">
        <v>44271</v>
      </c>
      <c r="BC385" s="2">
        <v>12.42</v>
      </c>
      <c r="BD385" s="2">
        <v>12.36</v>
      </c>
      <c r="BE385" s="2">
        <v>12.42</v>
      </c>
      <c r="BF385" s="2">
        <v>12.36</v>
      </c>
      <c r="BG385" s="2">
        <v>12.37</v>
      </c>
      <c r="BH385" s="2">
        <v>12.37</v>
      </c>
      <c r="BI385" s="2">
        <v>12.42</v>
      </c>
      <c r="BJ385" s="2">
        <v>12.36</v>
      </c>
      <c r="BK385" s="2">
        <v>12.37</v>
      </c>
      <c r="BL385" s="2">
        <v>12.37</v>
      </c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2"/>
      <c r="BZ385" s="1"/>
      <c r="CA385" s="2"/>
    </row>
    <row r="386" spans="1:79" x14ac:dyDescent="0.2">
      <c r="A386" s="124">
        <v>44272</v>
      </c>
      <c r="B386">
        <v>42.875</v>
      </c>
      <c r="C386">
        <v>43.125</v>
      </c>
      <c r="D386">
        <v>42.875</v>
      </c>
      <c r="E386">
        <v>43.125</v>
      </c>
      <c r="F386">
        <v>43.125</v>
      </c>
      <c r="G386">
        <v>43.125</v>
      </c>
      <c r="H386">
        <v>42.875</v>
      </c>
      <c r="I386">
        <v>43.125</v>
      </c>
      <c r="J386">
        <v>43.125</v>
      </c>
      <c r="K386">
        <v>43.125</v>
      </c>
      <c r="L386" s="7"/>
      <c r="N386" s="124">
        <v>44272</v>
      </c>
      <c r="O386" s="2">
        <v>12.41925</v>
      </c>
      <c r="P386" s="2">
        <v>12.36365</v>
      </c>
      <c r="Q386" s="2">
        <v>12.42</v>
      </c>
      <c r="R386" s="2">
        <v>12.36365</v>
      </c>
      <c r="S386" s="2">
        <v>12.38</v>
      </c>
      <c r="T386" s="2">
        <v>12.379</v>
      </c>
      <c r="U386" s="2">
        <v>12.41925</v>
      </c>
      <c r="V386" s="2">
        <v>12.36365</v>
      </c>
      <c r="W386" s="2">
        <v>12.38</v>
      </c>
      <c r="X386" s="2">
        <v>12.379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2"/>
      <c r="AL386" s="1"/>
      <c r="AM386" s="2"/>
      <c r="AO386" s="124">
        <v>44272</v>
      </c>
      <c r="AP386">
        <v>42.875</v>
      </c>
      <c r="AQ386">
        <v>43.125</v>
      </c>
      <c r="AR386">
        <v>42.875</v>
      </c>
      <c r="AS386">
        <v>43.125</v>
      </c>
      <c r="AT386">
        <v>43.125</v>
      </c>
      <c r="AU386">
        <v>43.125</v>
      </c>
      <c r="AV386">
        <v>42.875</v>
      </c>
      <c r="AW386">
        <v>43.125</v>
      </c>
      <c r="AX386">
        <v>43.125</v>
      </c>
      <c r="AY386">
        <v>43.125</v>
      </c>
      <c r="AZ386" s="7"/>
      <c r="BB386" s="124">
        <v>44272</v>
      </c>
      <c r="BC386" s="2">
        <v>12.42</v>
      </c>
      <c r="BD386" s="2">
        <v>12.36</v>
      </c>
      <c r="BE386" s="2">
        <v>12.42</v>
      </c>
      <c r="BF386" s="2">
        <v>12.36</v>
      </c>
      <c r="BG386" s="2">
        <v>12.38</v>
      </c>
      <c r="BH386" s="2">
        <v>12.38</v>
      </c>
      <c r="BI386" s="2">
        <v>12.42</v>
      </c>
      <c r="BJ386" s="2">
        <v>12.36</v>
      </c>
      <c r="BK386" s="2">
        <v>12.38</v>
      </c>
      <c r="BL386" s="2">
        <v>12.38</v>
      </c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2"/>
      <c r="BZ386" s="1"/>
      <c r="CA386" s="2"/>
    </row>
    <row r="387" spans="1:79" x14ac:dyDescent="0.2">
      <c r="A387" s="124">
        <v>44273</v>
      </c>
      <c r="B387">
        <v>43.499000000000002</v>
      </c>
      <c r="C387">
        <v>43.749000000000002</v>
      </c>
      <c r="D387">
        <v>43.499000000000002</v>
      </c>
      <c r="E387">
        <v>43.749000000000002</v>
      </c>
      <c r="F387">
        <v>43.822000000000003</v>
      </c>
      <c r="G387">
        <v>43.822000000000003</v>
      </c>
      <c r="H387">
        <v>43.499000000000002</v>
      </c>
      <c r="I387">
        <v>43.749000000000002</v>
      </c>
      <c r="J387">
        <v>43.820999999999998</v>
      </c>
      <c r="K387">
        <v>43.822000000000003</v>
      </c>
      <c r="L387" s="7"/>
      <c r="N387" s="124">
        <v>44273</v>
      </c>
      <c r="O387" s="2">
        <v>12.2874</v>
      </c>
      <c r="P387" s="2">
        <v>12.232749999999999</v>
      </c>
      <c r="Q387" s="2">
        <v>12.29</v>
      </c>
      <c r="R387" s="2">
        <v>12.232749999999999</v>
      </c>
      <c r="S387" s="2">
        <v>12.23</v>
      </c>
      <c r="T387" s="2">
        <v>12.2326</v>
      </c>
      <c r="U387" s="2">
        <v>12.2874</v>
      </c>
      <c r="V387" s="2">
        <v>12.232749999999999</v>
      </c>
      <c r="W387" s="2">
        <v>12.23</v>
      </c>
      <c r="X387" s="2">
        <v>12.2326</v>
      </c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2"/>
      <c r="AL387" s="1"/>
      <c r="AM387" s="2"/>
      <c r="AO387" s="124">
        <v>44273</v>
      </c>
      <c r="AP387">
        <v>43.499000000000002</v>
      </c>
      <c r="AQ387">
        <v>43.749000000000002</v>
      </c>
      <c r="AR387">
        <v>43.499000000000002</v>
      </c>
      <c r="AS387">
        <v>43.749000000000002</v>
      </c>
      <c r="AT387">
        <v>43.820999999999998</v>
      </c>
      <c r="AU387">
        <v>43.820999999999998</v>
      </c>
      <c r="AV387">
        <v>43.499000000000002</v>
      </c>
      <c r="AW387">
        <v>43.749000000000002</v>
      </c>
      <c r="AX387">
        <v>43.822000000000003</v>
      </c>
      <c r="AY387">
        <v>43.822000000000003</v>
      </c>
      <c r="AZ387" s="7"/>
      <c r="BB387" s="124">
        <v>44273</v>
      </c>
      <c r="BC387" s="2">
        <v>12.29</v>
      </c>
      <c r="BD387" s="2">
        <v>12.23</v>
      </c>
      <c r="BE387" s="2">
        <v>12.29</v>
      </c>
      <c r="BF387" s="2">
        <v>12.23</v>
      </c>
      <c r="BG387" s="2">
        <v>12.23</v>
      </c>
      <c r="BH387" s="2">
        <v>12.23</v>
      </c>
      <c r="BI387" s="2">
        <v>12.29</v>
      </c>
      <c r="BJ387" s="2">
        <v>12.23</v>
      </c>
      <c r="BK387" s="2">
        <v>12.23</v>
      </c>
      <c r="BL387" s="2">
        <v>12.23</v>
      </c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2"/>
      <c r="BZ387" s="1"/>
      <c r="CA387" s="2"/>
    </row>
    <row r="388" spans="1:79" x14ac:dyDescent="0.2">
      <c r="A388" s="124">
        <v>44274</v>
      </c>
      <c r="B388">
        <v>43.752000000000002</v>
      </c>
      <c r="C388">
        <v>44.002000000000002</v>
      </c>
      <c r="D388">
        <v>43.750999999999998</v>
      </c>
      <c r="E388">
        <v>44.002000000000002</v>
      </c>
      <c r="F388">
        <v>44.075000000000003</v>
      </c>
      <c r="G388">
        <v>44.075000000000003</v>
      </c>
      <c r="H388">
        <v>43.752000000000002</v>
      </c>
      <c r="I388">
        <v>44.002000000000002</v>
      </c>
      <c r="J388">
        <v>44.075000000000003</v>
      </c>
      <c r="K388">
        <v>44.075000000000003</v>
      </c>
      <c r="L388" s="7"/>
      <c r="N388" s="124">
        <v>44274</v>
      </c>
      <c r="O388" s="2">
        <v>12.234</v>
      </c>
      <c r="P388" s="2">
        <v>12.17975</v>
      </c>
      <c r="Q388" s="2">
        <v>12.23</v>
      </c>
      <c r="R388" s="2">
        <v>12.17975</v>
      </c>
      <c r="S388" s="2">
        <v>12.18</v>
      </c>
      <c r="T388" s="2">
        <v>12.17985</v>
      </c>
      <c r="U388" s="2">
        <v>12.234</v>
      </c>
      <c r="V388" s="2">
        <v>12.17975</v>
      </c>
      <c r="W388" s="2">
        <v>12.18</v>
      </c>
      <c r="X388" s="2">
        <v>12.17985</v>
      </c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2"/>
      <c r="AL388" s="1"/>
      <c r="AM388" s="2"/>
      <c r="AO388" s="124">
        <v>44274</v>
      </c>
      <c r="AP388">
        <v>43.750999999999998</v>
      </c>
      <c r="AQ388">
        <v>44.000999999999998</v>
      </c>
      <c r="AR388">
        <v>43.750999999999998</v>
      </c>
      <c r="AS388">
        <v>44.002000000000002</v>
      </c>
      <c r="AT388">
        <v>44.075000000000003</v>
      </c>
      <c r="AU388">
        <v>44.075000000000003</v>
      </c>
      <c r="AV388">
        <v>43.750999999999998</v>
      </c>
      <c r="AW388">
        <v>44.000999999999998</v>
      </c>
      <c r="AX388">
        <v>44.075000000000003</v>
      </c>
      <c r="AY388">
        <v>44.075000000000003</v>
      </c>
      <c r="AZ388" s="7"/>
      <c r="BB388" s="124">
        <v>44274</v>
      </c>
      <c r="BC388" s="2">
        <v>12.23</v>
      </c>
      <c r="BD388" s="2">
        <v>12.18</v>
      </c>
      <c r="BE388" s="2">
        <v>12.23</v>
      </c>
      <c r="BF388" s="2">
        <v>12.18</v>
      </c>
      <c r="BG388" s="2">
        <v>12.18</v>
      </c>
      <c r="BH388" s="2">
        <v>12.18</v>
      </c>
      <c r="BI388" s="2">
        <v>12.23</v>
      </c>
      <c r="BJ388" s="2">
        <v>12.18</v>
      </c>
      <c r="BK388" s="2">
        <v>12.18</v>
      </c>
      <c r="BL388" s="2">
        <v>12.18</v>
      </c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2"/>
      <c r="BZ388" s="1"/>
      <c r="CA388" s="2"/>
    </row>
    <row r="389" spans="1:79" x14ac:dyDescent="0.2">
      <c r="A389" s="124">
        <v>44277</v>
      </c>
      <c r="B389">
        <v>43.75</v>
      </c>
      <c r="C389">
        <v>44</v>
      </c>
      <c r="D389">
        <v>43.75</v>
      </c>
      <c r="E389">
        <v>44</v>
      </c>
      <c r="F389">
        <v>44</v>
      </c>
      <c r="G389">
        <v>44</v>
      </c>
      <c r="H389">
        <v>43.75</v>
      </c>
      <c r="I389">
        <v>44</v>
      </c>
      <c r="J389">
        <v>44</v>
      </c>
      <c r="K389">
        <v>44</v>
      </c>
      <c r="L389" s="7"/>
      <c r="N389" s="124">
        <v>44277</v>
      </c>
      <c r="O389" s="2">
        <v>12.237349999999999</v>
      </c>
      <c r="P389" s="2">
        <v>12.18305</v>
      </c>
      <c r="Q389" s="2">
        <v>12.24</v>
      </c>
      <c r="R389" s="2">
        <v>12.18305</v>
      </c>
      <c r="S389" s="2">
        <v>12.2</v>
      </c>
      <c r="T389" s="2">
        <v>12.1996</v>
      </c>
      <c r="U389" s="2">
        <v>12.237349999999999</v>
      </c>
      <c r="V389" s="2">
        <v>12.18305</v>
      </c>
      <c r="W389" s="2">
        <v>12.2</v>
      </c>
      <c r="X389" s="2">
        <v>12.1996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2"/>
      <c r="AL389" s="1"/>
      <c r="AM389" s="2"/>
      <c r="AO389" s="124">
        <v>44277</v>
      </c>
      <c r="AP389">
        <v>43.75</v>
      </c>
      <c r="AQ389">
        <v>44</v>
      </c>
      <c r="AR389">
        <v>43.75</v>
      </c>
      <c r="AS389">
        <v>44</v>
      </c>
      <c r="AT389">
        <v>44</v>
      </c>
      <c r="AU389">
        <v>44</v>
      </c>
      <c r="AV389">
        <v>43.75</v>
      </c>
      <c r="AW389">
        <v>44</v>
      </c>
      <c r="AX389">
        <v>44</v>
      </c>
      <c r="AY389">
        <v>44</v>
      </c>
      <c r="AZ389" s="7"/>
      <c r="BB389" s="124">
        <v>44277</v>
      </c>
      <c r="BC389" s="2">
        <v>12.24</v>
      </c>
      <c r="BD389" s="2">
        <v>12.18</v>
      </c>
      <c r="BE389" s="2">
        <v>12.24</v>
      </c>
      <c r="BF389" s="2">
        <v>12.18</v>
      </c>
      <c r="BG389" s="2">
        <v>12.2</v>
      </c>
      <c r="BH389" s="2">
        <v>12.2</v>
      </c>
      <c r="BI389" s="2">
        <v>12.24</v>
      </c>
      <c r="BJ389" s="2">
        <v>12.18</v>
      </c>
      <c r="BK389" s="2">
        <v>12.2</v>
      </c>
      <c r="BL389" s="2">
        <v>12.2</v>
      </c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2"/>
      <c r="BZ389" s="1"/>
      <c r="CA389" s="2"/>
    </row>
    <row r="390" spans="1:79" x14ac:dyDescent="0.2">
      <c r="A390" s="124">
        <v>44278</v>
      </c>
      <c r="B390">
        <v>44</v>
      </c>
      <c r="C390">
        <v>44.25</v>
      </c>
      <c r="D390">
        <v>44</v>
      </c>
      <c r="E390">
        <v>44.25</v>
      </c>
      <c r="F390">
        <v>44.25</v>
      </c>
      <c r="G390">
        <v>44.25</v>
      </c>
      <c r="H390">
        <v>44</v>
      </c>
      <c r="I390">
        <v>44.25</v>
      </c>
      <c r="J390">
        <v>44.25</v>
      </c>
      <c r="K390">
        <v>44.25</v>
      </c>
      <c r="L390" s="7"/>
      <c r="N390" s="124">
        <v>44278</v>
      </c>
      <c r="O390" s="2">
        <v>12.184950000000001</v>
      </c>
      <c r="P390" s="2">
        <v>12.13105</v>
      </c>
      <c r="Q390" s="2">
        <v>12.18</v>
      </c>
      <c r="R390" s="2">
        <v>12.13105</v>
      </c>
      <c r="S390" s="2">
        <v>12.15</v>
      </c>
      <c r="T390" s="2">
        <v>12.14775</v>
      </c>
      <c r="U390" s="2">
        <v>12.184950000000001</v>
      </c>
      <c r="V390" s="2">
        <v>12.13105</v>
      </c>
      <c r="W390" s="2">
        <v>12.15</v>
      </c>
      <c r="X390" s="2">
        <v>12.14775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2"/>
      <c r="AL390" s="1"/>
      <c r="AM390" s="2"/>
      <c r="AO390" s="124">
        <v>44278</v>
      </c>
      <c r="AP390">
        <v>44</v>
      </c>
      <c r="AQ390">
        <v>44.25</v>
      </c>
      <c r="AR390">
        <v>44</v>
      </c>
      <c r="AS390">
        <v>44.25</v>
      </c>
      <c r="AT390">
        <v>44.25</v>
      </c>
      <c r="AU390">
        <v>44.25</v>
      </c>
      <c r="AV390">
        <v>44</v>
      </c>
      <c r="AW390">
        <v>44.25</v>
      </c>
      <c r="AX390">
        <v>44.25</v>
      </c>
      <c r="AY390">
        <v>44.25</v>
      </c>
      <c r="AZ390" s="7"/>
      <c r="BB390" s="124">
        <v>44278</v>
      </c>
      <c r="BC390" s="2">
        <v>12.18</v>
      </c>
      <c r="BD390" s="2">
        <v>12.13</v>
      </c>
      <c r="BE390" s="2">
        <v>12.18</v>
      </c>
      <c r="BF390" s="2">
        <v>12.13</v>
      </c>
      <c r="BG390" s="2">
        <v>12.15</v>
      </c>
      <c r="BH390" s="2">
        <v>12.15</v>
      </c>
      <c r="BI390" s="2">
        <v>12.18</v>
      </c>
      <c r="BJ390" s="2">
        <v>12.13</v>
      </c>
      <c r="BK390" s="2">
        <v>12.15</v>
      </c>
      <c r="BL390" s="2">
        <v>12.15</v>
      </c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2"/>
      <c r="BZ390" s="1"/>
      <c r="CA390" s="2"/>
    </row>
    <row r="391" spans="1:79" x14ac:dyDescent="0.2">
      <c r="A391" s="124">
        <v>44279</v>
      </c>
      <c r="B391">
        <v>43.750999999999998</v>
      </c>
      <c r="C391">
        <v>44.000999999999998</v>
      </c>
      <c r="D391">
        <v>43.75</v>
      </c>
      <c r="E391">
        <v>44.000999999999998</v>
      </c>
      <c r="F391">
        <v>44.078000000000003</v>
      </c>
      <c r="G391">
        <v>44.078000000000003</v>
      </c>
      <c r="H391">
        <v>43.750999999999998</v>
      </c>
      <c r="I391">
        <v>44.000999999999998</v>
      </c>
      <c r="J391">
        <v>44.078000000000003</v>
      </c>
      <c r="K391">
        <v>44.078000000000003</v>
      </c>
      <c r="L391" s="7"/>
      <c r="N391" s="124">
        <v>44279</v>
      </c>
      <c r="O391" s="2">
        <v>12.242900000000001</v>
      </c>
      <c r="P391" s="2">
        <v>12.188599999999999</v>
      </c>
      <c r="Q391" s="2">
        <v>12.24</v>
      </c>
      <c r="R391" s="2">
        <v>12.188599999999999</v>
      </c>
      <c r="S391" s="2">
        <v>12.19</v>
      </c>
      <c r="T391" s="2">
        <v>12.188800000000001</v>
      </c>
      <c r="U391" s="2">
        <v>12.242900000000001</v>
      </c>
      <c r="V391" s="2">
        <v>12.188599999999999</v>
      </c>
      <c r="W391" s="2">
        <v>12.19</v>
      </c>
      <c r="X391" s="2">
        <v>12.188800000000001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2"/>
      <c r="AL391" s="1"/>
      <c r="AM391" s="2"/>
      <c r="AO391" s="124">
        <v>44279</v>
      </c>
      <c r="AP391">
        <v>43.75</v>
      </c>
      <c r="AQ391">
        <v>44</v>
      </c>
      <c r="AR391">
        <v>43.75</v>
      </c>
      <c r="AS391">
        <v>44.000999999999998</v>
      </c>
      <c r="AT391">
        <v>44.078000000000003</v>
      </c>
      <c r="AU391">
        <v>44.078000000000003</v>
      </c>
      <c r="AV391">
        <v>43.75</v>
      </c>
      <c r="AW391">
        <v>44</v>
      </c>
      <c r="AX391">
        <v>44.078000000000003</v>
      </c>
      <c r="AY391">
        <v>44.078000000000003</v>
      </c>
      <c r="AZ391" s="7"/>
      <c r="BB391" s="124">
        <v>44279</v>
      </c>
      <c r="BC391" s="2">
        <v>12.24</v>
      </c>
      <c r="BD391" s="2">
        <v>12.19</v>
      </c>
      <c r="BE391" s="2">
        <v>12.24</v>
      </c>
      <c r="BF391" s="2">
        <v>12.19</v>
      </c>
      <c r="BG391" s="2">
        <v>12.19</v>
      </c>
      <c r="BH391" s="2">
        <v>12.19</v>
      </c>
      <c r="BI391" s="2">
        <v>12.24</v>
      </c>
      <c r="BJ391" s="2">
        <v>12.19</v>
      </c>
      <c r="BK391" s="2">
        <v>12.19</v>
      </c>
      <c r="BL391" s="2">
        <v>12.19</v>
      </c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2"/>
      <c r="BZ391" s="1"/>
      <c r="CA391" s="2"/>
    </row>
    <row r="392" spans="1:79" x14ac:dyDescent="0.2">
      <c r="A392" s="124">
        <v>44280</v>
      </c>
      <c r="B392">
        <v>43.497999999999998</v>
      </c>
      <c r="C392">
        <v>43.747999999999998</v>
      </c>
      <c r="D392">
        <v>43.497</v>
      </c>
      <c r="E392">
        <v>43.747999999999998</v>
      </c>
      <c r="F392">
        <v>43.83</v>
      </c>
      <c r="G392">
        <v>43.83</v>
      </c>
      <c r="H392">
        <v>43.497999999999998</v>
      </c>
      <c r="I392">
        <v>43.747999999999998</v>
      </c>
      <c r="J392">
        <v>43.829000000000001</v>
      </c>
      <c r="K392">
        <v>43.83</v>
      </c>
      <c r="L392" s="7"/>
      <c r="N392" s="124">
        <v>44280</v>
      </c>
      <c r="O392" s="2">
        <v>12.30805</v>
      </c>
      <c r="P392" s="2">
        <v>12.253299999999999</v>
      </c>
      <c r="Q392" s="2">
        <v>12.31</v>
      </c>
      <c r="R392" s="2">
        <v>12.253299999999999</v>
      </c>
      <c r="S392" s="2">
        <v>12.25</v>
      </c>
      <c r="T392" s="2">
        <v>12.253299999999999</v>
      </c>
      <c r="U392" s="2">
        <v>12.30805</v>
      </c>
      <c r="V392" s="2">
        <v>12.253299999999999</v>
      </c>
      <c r="W392" s="2">
        <v>12.25</v>
      </c>
      <c r="X392" s="2">
        <v>12.253299999999999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2"/>
      <c r="AL392" s="1"/>
      <c r="AM392" s="2"/>
      <c r="AO392" s="124">
        <v>44280</v>
      </c>
      <c r="AP392">
        <v>43.497</v>
      </c>
      <c r="AQ392">
        <v>43.747</v>
      </c>
      <c r="AR392">
        <v>43.497</v>
      </c>
      <c r="AS392">
        <v>43.747999999999998</v>
      </c>
      <c r="AT392">
        <v>43.829000000000001</v>
      </c>
      <c r="AU392">
        <v>43.829000000000001</v>
      </c>
      <c r="AV392">
        <v>43.497</v>
      </c>
      <c r="AW392">
        <v>43.747</v>
      </c>
      <c r="AX392">
        <v>43.83</v>
      </c>
      <c r="AY392">
        <v>43.83</v>
      </c>
      <c r="AZ392" s="7"/>
      <c r="BB392" s="124">
        <v>44280</v>
      </c>
      <c r="BC392" s="2">
        <v>12.31</v>
      </c>
      <c r="BD392" s="2">
        <v>12.25</v>
      </c>
      <c r="BE392" s="2">
        <v>12.31</v>
      </c>
      <c r="BF392" s="2">
        <v>12.25</v>
      </c>
      <c r="BG392" s="2">
        <v>12.25</v>
      </c>
      <c r="BH392" s="2">
        <v>12.25</v>
      </c>
      <c r="BI392" s="2">
        <v>12.31</v>
      </c>
      <c r="BJ392" s="2">
        <v>12.25</v>
      </c>
      <c r="BK392" s="2">
        <v>12.25</v>
      </c>
      <c r="BL392" s="2">
        <v>12.25</v>
      </c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2"/>
      <c r="BZ392" s="1"/>
      <c r="CA392" s="2"/>
    </row>
    <row r="393" spans="1:79" x14ac:dyDescent="0.2">
      <c r="A393" s="124">
        <v>44281</v>
      </c>
      <c r="B393">
        <v>43.000999999999998</v>
      </c>
      <c r="C393">
        <v>43.250999999999998</v>
      </c>
      <c r="D393">
        <v>43.000999999999998</v>
      </c>
      <c r="E393">
        <v>43.250999999999998</v>
      </c>
      <c r="F393">
        <v>43.335000000000001</v>
      </c>
      <c r="G393">
        <v>43.335000000000001</v>
      </c>
      <c r="H393">
        <v>43.000999999999998</v>
      </c>
      <c r="I393">
        <v>43.250999999999998</v>
      </c>
      <c r="J393">
        <v>43.334000000000003</v>
      </c>
      <c r="K393">
        <v>43.335000000000001</v>
      </c>
      <c r="L393" s="7"/>
      <c r="N393" s="124">
        <v>44281</v>
      </c>
      <c r="O393" s="2">
        <v>12.426399999999999</v>
      </c>
      <c r="P393" s="2">
        <v>12.370850000000001</v>
      </c>
      <c r="Q393" s="2">
        <v>12.43</v>
      </c>
      <c r="R393" s="2">
        <v>12.370850000000001</v>
      </c>
      <c r="S393" s="2">
        <v>12.37</v>
      </c>
      <c r="T393" s="2">
        <v>12.370649999999999</v>
      </c>
      <c r="U393" s="2">
        <v>12.426399999999999</v>
      </c>
      <c r="V393" s="2">
        <v>12.370850000000001</v>
      </c>
      <c r="W393" s="2">
        <v>12.37</v>
      </c>
      <c r="X393" s="2">
        <v>12.370649999999999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2"/>
      <c r="AL393" s="1"/>
      <c r="AM393" s="2"/>
      <c r="AO393" s="124">
        <v>44281</v>
      </c>
      <c r="AP393">
        <v>43.000999999999998</v>
      </c>
      <c r="AQ393">
        <v>43.250999999999998</v>
      </c>
      <c r="AR393">
        <v>43.000999999999998</v>
      </c>
      <c r="AS393">
        <v>43.250999999999998</v>
      </c>
      <c r="AT393">
        <v>43.334000000000003</v>
      </c>
      <c r="AU393">
        <v>43.334000000000003</v>
      </c>
      <c r="AV393">
        <v>43.000999999999998</v>
      </c>
      <c r="AW393">
        <v>43.250999999999998</v>
      </c>
      <c r="AX393">
        <v>43.335000000000001</v>
      </c>
      <c r="AY393">
        <v>43.335000000000001</v>
      </c>
      <c r="AZ393" s="7"/>
      <c r="BB393" s="124">
        <v>44281</v>
      </c>
      <c r="BC393" s="2">
        <v>12.43</v>
      </c>
      <c r="BD393" s="2">
        <v>12.37</v>
      </c>
      <c r="BE393" s="2">
        <v>12.43</v>
      </c>
      <c r="BF393" s="2">
        <v>12.37</v>
      </c>
      <c r="BG393" s="2">
        <v>12.37</v>
      </c>
      <c r="BH393" s="2">
        <v>12.37</v>
      </c>
      <c r="BI393" s="2">
        <v>12.43</v>
      </c>
      <c r="BJ393" s="2">
        <v>12.37</v>
      </c>
      <c r="BK393" s="2">
        <v>12.37</v>
      </c>
      <c r="BL393" s="2">
        <v>12.37</v>
      </c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2"/>
      <c r="BZ393" s="1"/>
      <c r="CA393" s="2"/>
    </row>
    <row r="394" spans="1:79" x14ac:dyDescent="0.2">
      <c r="A394" s="124">
        <v>44284</v>
      </c>
      <c r="B394">
        <v>43.000999999999998</v>
      </c>
      <c r="C394">
        <v>43.250999999999998</v>
      </c>
      <c r="D394">
        <v>43.000999999999998</v>
      </c>
      <c r="E394">
        <v>43.250999999999998</v>
      </c>
      <c r="F394">
        <v>43.335000000000001</v>
      </c>
      <c r="G394">
        <v>43.335000000000001</v>
      </c>
      <c r="H394">
        <v>43.000999999999998</v>
      </c>
      <c r="I394">
        <v>43.250999999999998</v>
      </c>
      <c r="J394">
        <v>43.334000000000003</v>
      </c>
      <c r="K394">
        <v>43.335000000000001</v>
      </c>
      <c r="L394" s="7"/>
      <c r="N394" s="124">
        <v>44284</v>
      </c>
      <c r="O394" s="2">
        <v>12.426399999999999</v>
      </c>
      <c r="P394" s="2">
        <v>12.370850000000001</v>
      </c>
      <c r="Q394" s="2">
        <v>12.43</v>
      </c>
      <c r="R394" s="2">
        <v>12.370850000000001</v>
      </c>
      <c r="S394" s="2">
        <v>12.37</v>
      </c>
      <c r="T394" s="2">
        <v>12.370649999999999</v>
      </c>
      <c r="U394" s="2">
        <v>12.426399999999999</v>
      </c>
      <c r="V394" s="2">
        <v>12.370850000000001</v>
      </c>
      <c r="W394" s="2">
        <v>12.37</v>
      </c>
      <c r="X394" s="2">
        <v>12.370649999999999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2"/>
      <c r="AL394" s="1"/>
      <c r="AM394" s="2"/>
      <c r="AO394" s="124">
        <v>44284</v>
      </c>
      <c r="AP394">
        <v>43.000999999999998</v>
      </c>
      <c r="AQ394">
        <v>43.250999999999998</v>
      </c>
      <c r="AR394">
        <v>43.000999999999998</v>
      </c>
      <c r="AS394">
        <v>43.250999999999998</v>
      </c>
      <c r="AT394">
        <v>43.334000000000003</v>
      </c>
      <c r="AU394">
        <v>43.334000000000003</v>
      </c>
      <c r="AV394">
        <v>43.000999999999998</v>
      </c>
      <c r="AW394">
        <v>43.250999999999998</v>
      </c>
      <c r="AX394">
        <v>43.335000000000001</v>
      </c>
      <c r="AY394">
        <v>43.335000000000001</v>
      </c>
      <c r="AZ394" s="7"/>
      <c r="BB394" s="124">
        <v>44284</v>
      </c>
      <c r="BC394" s="2">
        <v>12.43</v>
      </c>
      <c r="BD394" s="2">
        <v>12.37</v>
      </c>
      <c r="BE394" s="2">
        <v>12.43</v>
      </c>
      <c r="BF394" s="2">
        <v>12.37</v>
      </c>
      <c r="BG394" s="2">
        <v>12.37</v>
      </c>
      <c r="BH394" s="2">
        <v>12.37</v>
      </c>
      <c r="BI394" s="2">
        <v>12.43</v>
      </c>
      <c r="BJ394" s="2">
        <v>12.37</v>
      </c>
      <c r="BK394" s="2">
        <v>12.37</v>
      </c>
      <c r="BL394" s="2">
        <v>12.37</v>
      </c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2"/>
      <c r="BZ394" s="1"/>
      <c r="CA394" s="2"/>
    </row>
    <row r="395" spans="1:79" x14ac:dyDescent="0.2">
      <c r="A395" s="124">
        <v>44285</v>
      </c>
      <c r="B395">
        <v>43.997999999999998</v>
      </c>
      <c r="C395">
        <v>44.247999999999998</v>
      </c>
      <c r="D395">
        <v>43.997999999999998</v>
      </c>
      <c r="E395">
        <v>44.247999999999998</v>
      </c>
      <c r="F395">
        <v>44.332999999999998</v>
      </c>
      <c r="G395">
        <v>44.332999999999998</v>
      </c>
      <c r="H395">
        <v>43.997999999999998</v>
      </c>
      <c r="I395">
        <v>44.247999999999998</v>
      </c>
      <c r="J395">
        <v>44.332999999999998</v>
      </c>
      <c r="K395">
        <v>44.332999999999998</v>
      </c>
      <c r="L395" s="7"/>
      <c r="N395" s="124">
        <v>44285</v>
      </c>
      <c r="O395" s="2">
        <v>12.2027</v>
      </c>
      <c r="P395" s="2">
        <v>12.1487</v>
      </c>
      <c r="Q395" s="2">
        <v>12.2</v>
      </c>
      <c r="R395" s="2">
        <v>12.1487</v>
      </c>
      <c r="S395" s="2">
        <v>12.15</v>
      </c>
      <c r="T395" s="2">
        <v>12.14865</v>
      </c>
      <c r="U395" s="2">
        <v>12.2027</v>
      </c>
      <c r="V395" s="2">
        <v>12.1487</v>
      </c>
      <c r="W395" s="2">
        <v>12.15</v>
      </c>
      <c r="X395" s="2">
        <v>12.14865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2"/>
      <c r="AL395" s="1"/>
      <c r="AM395" s="2"/>
      <c r="AO395" s="124">
        <v>44285</v>
      </c>
      <c r="AP395">
        <v>43.997999999999998</v>
      </c>
      <c r="AQ395">
        <v>44.247999999999998</v>
      </c>
      <c r="AR395">
        <v>43.997999999999998</v>
      </c>
      <c r="AS395">
        <v>44.247999999999998</v>
      </c>
      <c r="AT395">
        <v>44.125</v>
      </c>
      <c r="AU395">
        <v>44.332999999999998</v>
      </c>
      <c r="AV395">
        <v>43.997999999999998</v>
      </c>
      <c r="AW395">
        <v>44.122999999999998</v>
      </c>
      <c r="AX395">
        <v>44.332999999999998</v>
      </c>
      <c r="AY395">
        <v>44.332999999999998</v>
      </c>
      <c r="AZ395" s="7"/>
      <c r="BB395" s="124">
        <v>44285</v>
      </c>
      <c r="BC395" s="2">
        <v>12.2</v>
      </c>
      <c r="BD395" s="2">
        <v>12.15</v>
      </c>
      <c r="BE395" s="2">
        <v>12.2</v>
      </c>
      <c r="BF395" s="2">
        <v>12.15</v>
      </c>
      <c r="BG395" s="2">
        <v>12.19</v>
      </c>
      <c r="BH395" s="2">
        <v>12.15</v>
      </c>
      <c r="BI395" s="2">
        <v>12.2</v>
      </c>
      <c r="BJ395" s="2">
        <v>12.17</v>
      </c>
      <c r="BK395" s="2">
        <v>12.15</v>
      </c>
      <c r="BL395" s="2">
        <v>12.15</v>
      </c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2"/>
      <c r="BZ395" s="1"/>
      <c r="CA395" s="2"/>
    </row>
    <row r="396" spans="1:79" x14ac:dyDescent="0.2">
      <c r="A396" s="124">
        <v>44286</v>
      </c>
      <c r="B396">
        <v>44.238999999999997</v>
      </c>
      <c r="C396">
        <v>44.488999999999997</v>
      </c>
      <c r="D396">
        <v>44.238</v>
      </c>
      <c r="E396">
        <v>44.488999999999997</v>
      </c>
      <c r="F396">
        <v>44.579000000000001</v>
      </c>
      <c r="G396">
        <v>44.579000000000001</v>
      </c>
      <c r="H396">
        <v>44.238999999999997</v>
      </c>
      <c r="I396">
        <v>44.488999999999997</v>
      </c>
      <c r="J396">
        <v>44.579000000000001</v>
      </c>
      <c r="K396">
        <v>44.579000000000001</v>
      </c>
      <c r="L396" s="7"/>
      <c r="N396" s="124">
        <v>44286</v>
      </c>
      <c r="O396" s="2">
        <v>12.161250000000001</v>
      </c>
      <c r="P396" s="2">
        <v>12.10755</v>
      </c>
      <c r="Q396" s="2">
        <v>12.16</v>
      </c>
      <c r="R396" s="2">
        <v>12.10755</v>
      </c>
      <c r="S396" s="2">
        <v>12.11</v>
      </c>
      <c r="T396" s="2">
        <v>12.10755</v>
      </c>
      <c r="U396" s="2">
        <v>12.161250000000001</v>
      </c>
      <c r="V396" s="2">
        <v>12.10755</v>
      </c>
      <c r="W396" s="2">
        <v>12.11</v>
      </c>
      <c r="X396" s="2">
        <v>12.10755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2"/>
      <c r="AL396" s="1"/>
      <c r="AM396" s="2"/>
      <c r="AO396" s="124">
        <v>44286</v>
      </c>
      <c r="AP396">
        <v>44.250999999999998</v>
      </c>
      <c r="AQ396">
        <v>44.500999999999998</v>
      </c>
      <c r="AR396">
        <v>44.250999999999998</v>
      </c>
      <c r="AS396">
        <v>44.502000000000002</v>
      </c>
      <c r="AT396">
        <v>44.593000000000004</v>
      </c>
      <c r="AU396">
        <v>44.593000000000004</v>
      </c>
      <c r="AV396">
        <v>44.250999999999998</v>
      </c>
      <c r="AW396">
        <v>44.500999999999998</v>
      </c>
      <c r="AX396">
        <v>44.594000000000001</v>
      </c>
      <c r="AY396">
        <v>44.594000000000001</v>
      </c>
      <c r="AZ396" s="7"/>
      <c r="BB396" s="124">
        <v>44286</v>
      </c>
      <c r="BC396" s="2">
        <v>12.16</v>
      </c>
      <c r="BD396" s="2">
        <v>12.11</v>
      </c>
      <c r="BE396" s="2">
        <v>12.16</v>
      </c>
      <c r="BF396" s="2">
        <v>12.11</v>
      </c>
      <c r="BG396" s="2">
        <v>12.11</v>
      </c>
      <c r="BH396" s="2">
        <v>12.11</v>
      </c>
      <c r="BI396" s="2">
        <v>12.16</v>
      </c>
      <c r="BJ396" s="2">
        <v>12.11</v>
      </c>
      <c r="BK396" s="2">
        <v>12.11</v>
      </c>
      <c r="BL396" s="2">
        <v>12.11</v>
      </c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2"/>
      <c r="BZ396" s="1"/>
      <c r="CA396" s="2"/>
    </row>
    <row r="397" spans="1:79" x14ac:dyDescent="0.2">
      <c r="A397" s="124">
        <v>44287</v>
      </c>
      <c r="B397">
        <v>44.252000000000002</v>
      </c>
      <c r="C397">
        <v>44.502000000000002</v>
      </c>
      <c r="D397">
        <v>44.250999999999998</v>
      </c>
      <c r="E397">
        <v>44.502000000000002</v>
      </c>
      <c r="F397">
        <v>44.594000000000001</v>
      </c>
      <c r="G397">
        <v>44.594000000000001</v>
      </c>
      <c r="H397">
        <v>44.252000000000002</v>
      </c>
      <c r="I397">
        <v>44.502000000000002</v>
      </c>
      <c r="J397">
        <v>44.593000000000004</v>
      </c>
      <c r="K397">
        <v>44.594000000000001</v>
      </c>
      <c r="L397" s="7"/>
      <c r="N397" s="124">
        <v>44287</v>
      </c>
      <c r="O397" s="2">
        <v>12.161250000000001</v>
      </c>
      <c r="P397" s="2">
        <v>12.10755</v>
      </c>
      <c r="Q397" s="2">
        <v>12.16</v>
      </c>
      <c r="R397" s="2">
        <v>12.10755</v>
      </c>
      <c r="S397" s="2">
        <v>12.11</v>
      </c>
      <c r="T397" s="2">
        <v>12.1075</v>
      </c>
      <c r="U397" s="2">
        <v>12.161250000000001</v>
      </c>
      <c r="V397" s="2">
        <v>12.10755</v>
      </c>
      <c r="W397" s="2">
        <v>12.11</v>
      </c>
      <c r="X397" s="2">
        <v>12.1075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2"/>
      <c r="AL397" s="1"/>
      <c r="AM397" s="2"/>
      <c r="AO397" s="124">
        <v>44287</v>
      </c>
      <c r="AP397">
        <v>44.265000000000001</v>
      </c>
      <c r="AQ397">
        <v>44.515000000000001</v>
      </c>
      <c r="AR397">
        <v>44.265000000000001</v>
      </c>
      <c r="AS397">
        <v>44.515000000000001</v>
      </c>
      <c r="AT397">
        <v>44.607999999999997</v>
      </c>
      <c r="AU397">
        <v>44.607999999999997</v>
      </c>
      <c r="AV397">
        <v>44.265000000000001</v>
      </c>
      <c r="AW397">
        <v>44.515000000000001</v>
      </c>
      <c r="AX397">
        <v>44.607999999999997</v>
      </c>
      <c r="AY397">
        <v>44.607999999999997</v>
      </c>
      <c r="AZ397" s="7"/>
      <c r="BB397" s="124">
        <v>44287</v>
      </c>
      <c r="BC397" s="2">
        <v>12.16</v>
      </c>
      <c r="BD397" s="2">
        <v>12.11</v>
      </c>
      <c r="BE397" s="2">
        <v>12.16</v>
      </c>
      <c r="BF397" s="2">
        <v>12.11</v>
      </c>
      <c r="BG397" s="2">
        <v>12.11</v>
      </c>
      <c r="BH397" s="2">
        <v>12.11</v>
      </c>
      <c r="BI397" s="2">
        <v>12.16</v>
      </c>
      <c r="BJ397" s="2">
        <v>12.11</v>
      </c>
      <c r="BK397" s="2">
        <v>12.11</v>
      </c>
      <c r="BL397" s="2">
        <v>12.11</v>
      </c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2"/>
      <c r="BZ397" s="1"/>
      <c r="CA397" s="2"/>
    </row>
    <row r="398" spans="1:79" x14ac:dyDescent="0.2">
      <c r="A398" s="124">
        <v>44288</v>
      </c>
      <c r="B398">
        <v>44.252000000000002</v>
      </c>
      <c r="C398">
        <v>44.502000000000002</v>
      </c>
      <c r="D398">
        <v>44.250999999999998</v>
      </c>
      <c r="E398">
        <v>44.502000000000002</v>
      </c>
      <c r="F398">
        <v>44.594000000000001</v>
      </c>
      <c r="G398">
        <v>44.594000000000001</v>
      </c>
      <c r="H398">
        <v>44.252000000000002</v>
      </c>
      <c r="I398">
        <v>44.502000000000002</v>
      </c>
      <c r="J398">
        <v>44.593000000000004</v>
      </c>
      <c r="K398">
        <v>44.594000000000001</v>
      </c>
      <c r="L398" s="7"/>
      <c r="N398" s="124">
        <v>44288</v>
      </c>
      <c r="O398" s="2">
        <v>12.161250000000001</v>
      </c>
      <c r="P398" s="2">
        <v>12.10755</v>
      </c>
      <c r="Q398" s="2">
        <v>12.16</v>
      </c>
      <c r="R398" s="2">
        <v>12.10755</v>
      </c>
      <c r="S398" s="2">
        <v>12.11</v>
      </c>
      <c r="T398" s="2">
        <v>12.1075</v>
      </c>
      <c r="U398" s="2">
        <v>12.161250000000001</v>
      </c>
      <c r="V398" s="2">
        <v>12.10755</v>
      </c>
      <c r="W398" s="2">
        <v>12.11</v>
      </c>
      <c r="X398" s="2">
        <v>12.1075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2"/>
      <c r="AL398" s="1"/>
      <c r="AM398" s="2"/>
      <c r="AO398" s="124">
        <v>44288</v>
      </c>
      <c r="AP398">
        <v>44.265000000000001</v>
      </c>
      <c r="AQ398">
        <v>44.515000000000001</v>
      </c>
      <c r="AR398">
        <v>44.265000000000001</v>
      </c>
      <c r="AS398">
        <v>44.515000000000001</v>
      </c>
      <c r="AT398">
        <v>44.607999999999997</v>
      </c>
      <c r="AU398">
        <v>44.607999999999997</v>
      </c>
      <c r="AV398">
        <v>44.265000000000001</v>
      </c>
      <c r="AW398">
        <v>44.515000000000001</v>
      </c>
      <c r="AX398">
        <v>44.607999999999997</v>
      </c>
      <c r="AY398">
        <v>44.607999999999997</v>
      </c>
      <c r="AZ398" s="7"/>
      <c r="BB398" s="124">
        <v>44288</v>
      </c>
      <c r="BC398" s="2">
        <v>12.16</v>
      </c>
      <c r="BD398" s="2">
        <v>12.11</v>
      </c>
      <c r="BE398" s="2">
        <v>12.16</v>
      </c>
      <c r="BF398" s="2">
        <v>12.11</v>
      </c>
      <c r="BG398" s="2">
        <v>12.11</v>
      </c>
      <c r="BH398" s="2">
        <v>12.11</v>
      </c>
      <c r="BI398" s="2">
        <v>12.16</v>
      </c>
      <c r="BJ398" s="2">
        <v>12.11</v>
      </c>
      <c r="BK398" s="2">
        <v>12.11</v>
      </c>
      <c r="BL398" s="2">
        <v>12.11</v>
      </c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2"/>
      <c r="BZ398" s="1"/>
      <c r="CA398" s="2"/>
    </row>
    <row r="399" spans="1:79" x14ac:dyDescent="0.2">
      <c r="A399" s="124">
        <v>44291</v>
      </c>
      <c r="B399">
        <v>45.5</v>
      </c>
      <c r="C399">
        <v>45.75</v>
      </c>
      <c r="D399">
        <v>45.499000000000002</v>
      </c>
      <c r="E399">
        <v>45.75</v>
      </c>
      <c r="F399">
        <v>45.843000000000004</v>
      </c>
      <c r="G399">
        <v>45.843000000000004</v>
      </c>
      <c r="H399">
        <v>45.5</v>
      </c>
      <c r="I399">
        <v>45.75</v>
      </c>
      <c r="J399">
        <v>45.841999999999999</v>
      </c>
      <c r="K399">
        <v>45.843000000000004</v>
      </c>
      <c r="L399" s="7"/>
      <c r="N399" s="124">
        <v>44291</v>
      </c>
      <c r="O399" s="2">
        <v>11.89495</v>
      </c>
      <c r="P399" s="2">
        <v>11.8431</v>
      </c>
      <c r="Q399" s="2">
        <v>11.89</v>
      </c>
      <c r="R399" s="2">
        <v>11.8431</v>
      </c>
      <c r="S399" s="2">
        <v>11.84</v>
      </c>
      <c r="T399" s="2">
        <v>11.8431</v>
      </c>
      <c r="U399" s="2">
        <v>11.89495</v>
      </c>
      <c r="V399" s="2">
        <v>11.8431</v>
      </c>
      <c r="W399" s="2">
        <v>11.84</v>
      </c>
      <c r="X399" s="2">
        <v>11.8431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2"/>
      <c r="AL399" s="1"/>
      <c r="AM399" s="2"/>
      <c r="AO399" s="124">
        <v>44291</v>
      </c>
      <c r="AP399">
        <v>45.499000000000002</v>
      </c>
      <c r="AQ399">
        <v>45.749000000000002</v>
      </c>
      <c r="AR399">
        <v>45.499000000000002</v>
      </c>
      <c r="AS399">
        <v>45.75</v>
      </c>
      <c r="AT399">
        <v>45.841999999999999</v>
      </c>
      <c r="AU399">
        <v>45.841999999999999</v>
      </c>
      <c r="AV399">
        <v>45.499000000000002</v>
      </c>
      <c r="AW399">
        <v>45.749000000000002</v>
      </c>
      <c r="AX399">
        <v>45.843000000000004</v>
      </c>
      <c r="AY399">
        <v>45.843000000000004</v>
      </c>
      <c r="AZ399" s="7"/>
      <c r="BB399" s="124">
        <v>44291</v>
      </c>
      <c r="BC399" s="2">
        <v>11.89</v>
      </c>
      <c r="BD399" s="2">
        <v>11.84</v>
      </c>
      <c r="BE399" s="2">
        <v>11.89</v>
      </c>
      <c r="BF399" s="2">
        <v>11.84</v>
      </c>
      <c r="BG399" s="2">
        <v>11.84</v>
      </c>
      <c r="BH399" s="2">
        <v>11.84</v>
      </c>
      <c r="BI399" s="2">
        <v>11.89</v>
      </c>
      <c r="BJ399" s="2">
        <v>11.84</v>
      </c>
      <c r="BK399" s="2">
        <v>11.84</v>
      </c>
      <c r="BL399" s="2">
        <v>11.84</v>
      </c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2"/>
      <c r="BZ399" s="1"/>
      <c r="CA399" s="2"/>
    </row>
    <row r="400" spans="1:79" x14ac:dyDescent="0.2">
      <c r="A400" s="124">
        <v>44292</v>
      </c>
      <c r="B400">
        <v>45.872999999999998</v>
      </c>
      <c r="C400">
        <v>46.122999999999998</v>
      </c>
      <c r="D400">
        <v>45.872</v>
      </c>
      <c r="E400">
        <v>46.122999999999998</v>
      </c>
      <c r="F400">
        <v>46.216999999999999</v>
      </c>
      <c r="G400">
        <v>46.216999999999999</v>
      </c>
      <c r="H400">
        <v>45.872999999999998</v>
      </c>
      <c r="I400">
        <v>46.122999999999998</v>
      </c>
      <c r="J400">
        <v>46.216999999999999</v>
      </c>
      <c r="K400">
        <v>46.216999999999999</v>
      </c>
      <c r="L400" s="7"/>
      <c r="N400" s="124">
        <v>44292</v>
      </c>
      <c r="O400" s="2">
        <v>11.819100000000001</v>
      </c>
      <c r="P400" s="2">
        <v>11.767749999999999</v>
      </c>
      <c r="Q400" s="2">
        <v>11.82</v>
      </c>
      <c r="R400" s="2">
        <v>11.767749999999999</v>
      </c>
      <c r="S400" s="2">
        <v>11.77</v>
      </c>
      <c r="T400" s="2">
        <v>11.767849999999999</v>
      </c>
      <c r="U400" s="2">
        <v>11.819100000000001</v>
      </c>
      <c r="V400" s="2">
        <v>11.767749999999999</v>
      </c>
      <c r="W400" s="2">
        <v>11.77</v>
      </c>
      <c r="X400" s="2">
        <v>11.767849999999999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2"/>
      <c r="AL400" s="1"/>
      <c r="AM400" s="2"/>
      <c r="AO400" s="124">
        <v>44292</v>
      </c>
      <c r="AP400">
        <v>45.872</v>
      </c>
      <c r="AQ400">
        <v>46.122</v>
      </c>
      <c r="AR400">
        <v>45.872</v>
      </c>
      <c r="AS400">
        <v>46.122999999999998</v>
      </c>
      <c r="AT400">
        <v>46.216999999999999</v>
      </c>
      <c r="AU400">
        <v>46.216999999999999</v>
      </c>
      <c r="AV400">
        <v>45.872</v>
      </c>
      <c r="AW400">
        <v>46.122</v>
      </c>
      <c r="AX400">
        <v>46.216999999999999</v>
      </c>
      <c r="AY400">
        <v>46.216999999999999</v>
      </c>
      <c r="AZ400" s="7"/>
      <c r="BB400" s="124">
        <v>44292</v>
      </c>
      <c r="BC400" s="2">
        <v>11.82</v>
      </c>
      <c r="BD400" s="2">
        <v>11.77</v>
      </c>
      <c r="BE400" s="2">
        <v>11.82</v>
      </c>
      <c r="BF400" s="2">
        <v>11.77</v>
      </c>
      <c r="BG400" s="2">
        <v>11.77</v>
      </c>
      <c r="BH400" s="2">
        <v>11.77</v>
      </c>
      <c r="BI400" s="2">
        <v>11.82</v>
      </c>
      <c r="BJ400" s="2">
        <v>11.77</v>
      </c>
      <c r="BK400" s="2">
        <v>11.77</v>
      </c>
      <c r="BL400" s="2">
        <v>11.77</v>
      </c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2"/>
      <c r="BZ400" s="1"/>
      <c r="CA400" s="2"/>
    </row>
    <row r="401" spans="1:79" x14ac:dyDescent="0.2">
      <c r="A401" s="124">
        <v>44293</v>
      </c>
      <c r="B401">
        <v>45.999000000000002</v>
      </c>
      <c r="C401">
        <v>46.249000000000002</v>
      </c>
      <c r="D401">
        <v>45.999000000000002</v>
      </c>
      <c r="E401">
        <v>46.249000000000002</v>
      </c>
      <c r="F401">
        <v>46.344999999999999</v>
      </c>
      <c r="G401">
        <v>46.344999999999999</v>
      </c>
      <c r="H401">
        <v>45.999000000000002</v>
      </c>
      <c r="I401">
        <v>46.249000000000002</v>
      </c>
      <c r="J401">
        <v>46.344999999999999</v>
      </c>
      <c r="K401">
        <v>46.344999999999999</v>
      </c>
      <c r="L401" s="7"/>
      <c r="N401" s="124">
        <v>44293</v>
      </c>
      <c r="O401" s="2">
        <v>11.795500000000001</v>
      </c>
      <c r="P401" s="2">
        <v>11.744300000000001</v>
      </c>
      <c r="Q401" s="2">
        <v>11.79</v>
      </c>
      <c r="R401" s="2">
        <v>11.744300000000001</v>
      </c>
      <c r="S401" s="2">
        <v>11.74</v>
      </c>
      <c r="T401" s="2">
        <v>11.744249999999999</v>
      </c>
      <c r="U401" s="2">
        <v>11.795500000000001</v>
      </c>
      <c r="V401" s="2">
        <v>11.744300000000001</v>
      </c>
      <c r="W401" s="2">
        <v>11.74</v>
      </c>
      <c r="X401" s="2">
        <v>11.744249999999999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2"/>
      <c r="AL401" s="1"/>
      <c r="AM401" s="2"/>
      <c r="AO401" s="124">
        <v>44293</v>
      </c>
      <c r="AP401">
        <v>45.999000000000002</v>
      </c>
      <c r="AQ401">
        <v>46.249000000000002</v>
      </c>
      <c r="AR401">
        <v>45.999000000000002</v>
      </c>
      <c r="AS401">
        <v>46.249000000000002</v>
      </c>
      <c r="AT401">
        <v>46.344999999999999</v>
      </c>
      <c r="AU401">
        <v>46.344999999999999</v>
      </c>
      <c r="AV401">
        <v>45.999000000000002</v>
      </c>
      <c r="AW401">
        <v>46.249000000000002</v>
      </c>
      <c r="AX401">
        <v>46.344999999999999</v>
      </c>
      <c r="AY401">
        <v>46.344999999999999</v>
      </c>
      <c r="AZ401" s="7"/>
      <c r="BB401" s="124">
        <v>44293</v>
      </c>
      <c r="BC401" s="2">
        <v>11.79</v>
      </c>
      <c r="BD401" s="2">
        <v>11.74</v>
      </c>
      <c r="BE401" s="2">
        <v>11.79</v>
      </c>
      <c r="BF401" s="2">
        <v>11.74</v>
      </c>
      <c r="BG401" s="2">
        <v>11.74</v>
      </c>
      <c r="BH401" s="2">
        <v>11.74</v>
      </c>
      <c r="BI401" s="2">
        <v>11.79</v>
      </c>
      <c r="BJ401" s="2">
        <v>11.74</v>
      </c>
      <c r="BK401" s="2">
        <v>11.74</v>
      </c>
      <c r="BL401" s="2">
        <v>11.74</v>
      </c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2"/>
      <c r="BZ401" s="1"/>
      <c r="CA401" s="2"/>
    </row>
    <row r="402" spans="1:79" x14ac:dyDescent="0.2">
      <c r="A402" s="124">
        <v>44294</v>
      </c>
      <c r="B402">
        <v>46.000999999999998</v>
      </c>
      <c r="C402">
        <v>46.250999999999998</v>
      </c>
      <c r="D402">
        <v>46.000999999999998</v>
      </c>
      <c r="E402">
        <v>46.250999999999998</v>
      </c>
      <c r="F402">
        <v>46.350999999999999</v>
      </c>
      <c r="G402">
        <v>46.350999999999999</v>
      </c>
      <c r="H402">
        <v>46.000999999999998</v>
      </c>
      <c r="I402">
        <v>46.250999999999998</v>
      </c>
      <c r="J402">
        <v>46.350999999999999</v>
      </c>
      <c r="K402">
        <v>46.350999999999999</v>
      </c>
      <c r="L402" s="7"/>
      <c r="N402" s="124">
        <v>44294</v>
      </c>
      <c r="O402" s="2">
        <v>11.80345</v>
      </c>
      <c r="P402" s="2">
        <v>11.7522</v>
      </c>
      <c r="Q402" s="2">
        <v>11.8</v>
      </c>
      <c r="R402" s="2">
        <v>11.7522</v>
      </c>
      <c r="S402" s="2">
        <v>11.75</v>
      </c>
      <c r="T402" s="2">
        <v>11.7522</v>
      </c>
      <c r="U402" s="2">
        <v>11.80345</v>
      </c>
      <c r="V402" s="2">
        <v>11.7522</v>
      </c>
      <c r="W402" s="2">
        <v>11.75</v>
      </c>
      <c r="X402" s="2">
        <v>11.7522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2"/>
      <c r="AL402" s="1"/>
      <c r="AM402" s="2"/>
      <c r="AO402" s="124">
        <v>44294</v>
      </c>
      <c r="AP402">
        <v>46.000999999999998</v>
      </c>
      <c r="AQ402">
        <v>46.250999999999998</v>
      </c>
      <c r="AR402">
        <v>46.000999999999998</v>
      </c>
      <c r="AS402">
        <v>46.250999999999998</v>
      </c>
      <c r="AT402">
        <v>46.350999999999999</v>
      </c>
      <c r="AU402">
        <v>46.350999999999999</v>
      </c>
      <c r="AV402">
        <v>46.000999999999998</v>
      </c>
      <c r="AW402">
        <v>46.250999999999998</v>
      </c>
      <c r="AX402">
        <v>46.350999999999999</v>
      </c>
      <c r="AY402">
        <v>46.350999999999999</v>
      </c>
      <c r="AZ402" s="7"/>
      <c r="BB402" s="124">
        <v>44294</v>
      </c>
      <c r="BC402" s="2">
        <v>11.8</v>
      </c>
      <c r="BD402" s="2">
        <v>11.75</v>
      </c>
      <c r="BE402" s="2">
        <v>11.8</v>
      </c>
      <c r="BF402" s="2">
        <v>11.75</v>
      </c>
      <c r="BG402" s="2">
        <v>11.75</v>
      </c>
      <c r="BH402" s="2">
        <v>11.75</v>
      </c>
      <c r="BI402" s="2">
        <v>11.8</v>
      </c>
      <c r="BJ402" s="2">
        <v>11.75</v>
      </c>
      <c r="BK402" s="2">
        <v>11.75</v>
      </c>
      <c r="BL402" s="2">
        <v>11.75</v>
      </c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2"/>
      <c r="BZ402" s="1"/>
      <c r="CA402" s="2"/>
    </row>
    <row r="403" spans="1:79" x14ac:dyDescent="0.2">
      <c r="A403" s="124">
        <v>44295</v>
      </c>
      <c r="B403">
        <v>46</v>
      </c>
      <c r="C403">
        <v>46.25</v>
      </c>
      <c r="D403">
        <v>46</v>
      </c>
      <c r="E403">
        <v>46.25</v>
      </c>
      <c r="F403">
        <v>46.351999999999997</v>
      </c>
      <c r="G403">
        <v>46.351999999999997</v>
      </c>
      <c r="H403">
        <v>46</v>
      </c>
      <c r="I403">
        <v>46.25</v>
      </c>
      <c r="J403">
        <v>46.350999999999999</v>
      </c>
      <c r="K403">
        <v>46.351999999999997</v>
      </c>
      <c r="L403" s="7"/>
      <c r="N403" s="124">
        <v>44295</v>
      </c>
      <c r="O403" s="2">
        <v>11.80645</v>
      </c>
      <c r="P403" s="2">
        <v>11.75515</v>
      </c>
      <c r="Q403" s="2">
        <v>11.81</v>
      </c>
      <c r="R403" s="2">
        <v>11.75515</v>
      </c>
      <c r="S403" s="2">
        <v>11.75</v>
      </c>
      <c r="T403" s="2">
        <v>11.755050000000001</v>
      </c>
      <c r="U403" s="2">
        <v>11.80645</v>
      </c>
      <c r="V403" s="2">
        <v>11.75515</v>
      </c>
      <c r="W403" s="2">
        <v>11.75</v>
      </c>
      <c r="X403" s="2">
        <v>11.755050000000001</v>
      </c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2"/>
      <c r="AL403" s="1"/>
      <c r="AM403" s="2"/>
      <c r="AO403" s="124">
        <v>44295</v>
      </c>
      <c r="AP403">
        <v>46</v>
      </c>
      <c r="AQ403">
        <v>46.25</v>
      </c>
      <c r="AR403">
        <v>46</v>
      </c>
      <c r="AS403">
        <v>46.25</v>
      </c>
      <c r="AT403">
        <v>46.350999999999999</v>
      </c>
      <c r="AU403">
        <v>46.350999999999999</v>
      </c>
      <c r="AV403">
        <v>46</v>
      </c>
      <c r="AW403">
        <v>46.25</v>
      </c>
      <c r="AX403">
        <v>46.351999999999997</v>
      </c>
      <c r="AY403">
        <v>46.351999999999997</v>
      </c>
      <c r="AZ403" s="7"/>
      <c r="BB403" s="124">
        <v>44295</v>
      </c>
      <c r="BC403" s="2">
        <v>11.81</v>
      </c>
      <c r="BD403" s="2">
        <v>11.75</v>
      </c>
      <c r="BE403" s="2">
        <v>11.81</v>
      </c>
      <c r="BF403" s="2">
        <v>11.75</v>
      </c>
      <c r="BG403" s="2">
        <v>11.75</v>
      </c>
      <c r="BH403" s="2">
        <v>11.75</v>
      </c>
      <c r="BI403" s="2">
        <v>11.81</v>
      </c>
      <c r="BJ403" s="2">
        <v>11.75</v>
      </c>
      <c r="BK403" s="2">
        <v>11.75</v>
      </c>
      <c r="BL403" s="2">
        <v>11.75</v>
      </c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2"/>
      <c r="BZ403" s="1"/>
      <c r="CA403" s="2"/>
    </row>
    <row r="404" spans="1:79" x14ac:dyDescent="0.2">
      <c r="A404" s="124">
        <v>44298</v>
      </c>
      <c r="B404">
        <v>46.25</v>
      </c>
      <c r="C404">
        <v>46.5</v>
      </c>
      <c r="D404">
        <v>46.25</v>
      </c>
      <c r="E404">
        <v>46.5</v>
      </c>
      <c r="F404">
        <v>46.603000000000002</v>
      </c>
      <c r="G404">
        <v>46.603000000000002</v>
      </c>
      <c r="H404">
        <v>46.25</v>
      </c>
      <c r="I404">
        <v>46.5</v>
      </c>
      <c r="J404">
        <v>46.601999999999997</v>
      </c>
      <c r="K404">
        <v>46.603000000000002</v>
      </c>
      <c r="L404" s="7"/>
      <c r="N404" s="124">
        <v>44298</v>
      </c>
      <c r="O404" s="2">
        <v>11.75705</v>
      </c>
      <c r="P404" s="2">
        <v>11.706099999999999</v>
      </c>
      <c r="Q404" s="2">
        <v>11.76</v>
      </c>
      <c r="R404" s="2">
        <v>11.706099999999999</v>
      </c>
      <c r="S404" s="2">
        <v>11.7</v>
      </c>
      <c r="T404" s="2">
        <v>11.706099999999999</v>
      </c>
      <c r="U404" s="2">
        <v>11.75705</v>
      </c>
      <c r="V404" s="2">
        <v>11.706099999999999</v>
      </c>
      <c r="W404" s="2">
        <v>11.7</v>
      </c>
      <c r="X404" s="2">
        <v>11.706099999999999</v>
      </c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2"/>
      <c r="AL404" s="1"/>
      <c r="AM404" s="2"/>
      <c r="AO404" s="124">
        <v>44298</v>
      </c>
      <c r="AP404">
        <v>46.25</v>
      </c>
      <c r="AQ404">
        <v>46.5</v>
      </c>
      <c r="AR404">
        <v>46.25</v>
      </c>
      <c r="AS404">
        <v>46.5</v>
      </c>
      <c r="AT404">
        <v>46.601999999999997</v>
      </c>
      <c r="AU404">
        <v>46.601999999999997</v>
      </c>
      <c r="AV404">
        <v>46.25</v>
      </c>
      <c r="AW404">
        <v>46.5</v>
      </c>
      <c r="AX404">
        <v>46.603000000000002</v>
      </c>
      <c r="AY404">
        <v>46.603000000000002</v>
      </c>
      <c r="AZ404" s="7"/>
      <c r="BB404" s="124">
        <v>44298</v>
      </c>
      <c r="BC404" s="2">
        <v>11.76</v>
      </c>
      <c r="BD404" s="2">
        <v>11.7</v>
      </c>
      <c r="BE404" s="2">
        <v>11.76</v>
      </c>
      <c r="BF404" s="2">
        <v>11.7</v>
      </c>
      <c r="BG404" s="2">
        <v>11.7</v>
      </c>
      <c r="BH404" s="2">
        <v>11.7</v>
      </c>
      <c r="BI404" s="2">
        <v>11.76</v>
      </c>
      <c r="BJ404" s="2">
        <v>11.7</v>
      </c>
      <c r="BK404" s="2">
        <v>11.7</v>
      </c>
      <c r="BL404" s="2">
        <v>11.7</v>
      </c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2"/>
      <c r="BZ404" s="1"/>
      <c r="CA404" s="2"/>
    </row>
    <row r="405" spans="1:79" x14ac:dyDescent="0.2">
      <c r="A405" s="124">
        <v>44299</v>
      </c>
      <c r="B405">
        <v>58.000999999999998</v>
      </c>
      <c r="C405">
        <v>58.250999999999998</v>
      </c>
      <c r="D405">
        <v>58</v>
      </c>
      <c r="E405">
        <v>58.250999999999998</v>
      </c>
      <c r="F405">
        <v>58.354999999999997</v>
      </c>
      <c r="G405">
        <v>58.354999999999997</v>
      </c>
      <c r="H405">
        <v>58.000999999999998</v>
      </c>
      <c r="I405">
        <v>58.250999999999998</v>
      </c>
      <c r="J405">
        <v>58.354999999999997</v>
      </c>
      <c r="K405">
        <v>58.354999999999997</v>
      </c>
      <c r="L405" s="7"/>
      <c r="N405" s="124">
        <v>44299</v>
      </c>
      <c r="O405" s="2">
        <v>9.6458499999999994</v>
      </c>
      <c r="P405" s="2">
        <v>9.6073500000000003</v>
      </c>
      <c r="Q405" s="2">
        <v>9.65</v>
      </c>
      <c r="R405" s="2">
        <v>9.6073500000000003</v>
      </c>
      <c r="S405" s="2">
        <v>9.61</v>
      </c>
      <c r="T405" s="2">
        <v>9.6074000000000002</v>
      </c>
      <c r="U405" s="2">
        <v>9.6458499999999994</v>
      </c>
      <c r="V405" s="2">
        <v>9.6073500000000003</v>
      </c>
      <c r="W405" s="2">
        <v>9.61</v>
      </c>
      <c r="X405" s="2">
        <v>9.6074000000000002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2"/>
      <c r="AL405" s="1"/>
      <c r="AM405" s="2"/>
      <c r="AO405" s="124">
        <v>44299</v>
      </c>
      <c r="AP405">
        <v>58</v>
      </c>
      <c r="AQ405">
        <v>58.25</v>
      </c>
      <c r="AR405">
        <v>58</v>
      </c>
      <c r="AS405">
        <v>58.250999999999998</v>
      </c>
      <c r="AT405">
        <v>58.354999999999997</v>
      </c>
      <c r="AU405">
        <v>58.354999999999997</v>
      </c>
      <c r="AV405">
        <v>58</v>
      </c>
      <c r="AW405">
        <v>58.25</v>
      </c>
      <c r="AX405">
        <v>58.354999999999997</v>
      </c>
      <c r="AY405">
        <v>58.354999999999997</v>
      </c>
      <c r="AZ405" s="7"/>
      <c r="BB405" s="124">
        <v>44299</v>
      </c>
      <c r="BC405" s="2">
        <v>9.65</v>
      </c>
      <c r="BD405" s="2">
        <v>9.61</v>
      </c>
      <c r="BE405" s="2">
        <v>9.65</v>
      </c>
      <c r="BF405" s="2">
        <v>9.61</v>
      </c>
      <c r="BG405" s="2">
        <v>9.61</v>
      </c>
      <c r="BH405" s="2">
        <v>9.61</v>
      </c>
      <c r="BI405" s="2">
        <v>9.65</v>
      </c>
      <c r="BJ405" s="2">
        <v>9.61</v>
      </c>
      <c r="BK405" s="2">
        <v>9.61</v>
      </c>
      <c r="BL405" s="2">
        <v>9.61</v>
      </c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2"/>
      <c r="BZ405" s="1"/>
      <c r="CA405" s="2"/>
    </row>
    <row r="406" spans="1:79" x14ac:dyDescent="0.2">
      <c r="A406" s="124">
        <v>44300</v>
      </c>
      <c r="B406">
        <v>57.125</v>
      </c>
      <c r="C406">
        <v>57.375</v>
      </c>
      <c r="D406">
        <v>57.124000000000002</v>
      </c>
      <c r="E406">
        <v>57.375</v>
      </c>
      <c r="F406">
        <v>57.48</v>
      </c>
      <c r="G406">
        <v>57.48</v>
      </c>
      <c r="H406">
        <v>57.125</v>
      </c>
      <c r="I406">
        <v>57.375</v>
      </c>
      <c r="J406">
        <v>57.48</v>
      </c>
      <c r="K406">
        <v>57.48</v>
      </c>
      <c r="L406" s="7"/>
      <c r="N406" s="124">
        <v>44300</v>
      </c>
      <c r="O406" s="2">
        <v>9.7863000000000007</v>
      </c>
      <c r="P406" s="2">
        <v>9.7470999999999997</v>
      </c>
      <c r="Q406" s="2">
        <v>9.7899999999999991</v>
      </c>
      <c r="R406" s="2">
        <v>9.7470999999999997</v>
      </c>
      <c r="S406" s="2">
        <v>9.75</v>
      </c>
      <c r="T406" s="2">
        <v>9.7471999999999994</v>
      </c>
      <c r="U406" s="2">
        <v>9.7863000000000007</v>
      </c>
      <c r="V406" s="2">
        <v>9.7470999999999997</v>
      </c>
      <c r="W406" s="2">
        <v>9.75</v>
      </c>
      <c r="X406" s="2">
        <v>9.7471999999999994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2"/>
      <c r="AL406" s="1"/>
      <c r="AM406" s="2"/>
      <c r="AO406" s="124">
        <v>44300</v>
      </c>
      <c r="AP406">
        <v>57.124000000000002</v>
      </c>
      <c r="AQ406">
        <v>57.374000000000002</v>
      </c>
      <c r="AR406">
        <v>57.124000000000002</v>
      </c>
      <c r="AS406">
        <v>57.375</v>
      </c>
      <c r="AT406">
        <v>57.48</v>
      </c>
      <c r="AU406">
        <v>57.48</v>
      </c>
      <c r="AV406">
        <v>57.124000000000002</v>
      </c>
      <c r="AW406">
        <v>57.374000000000002</v>
      </c>
      <c r="AX406">
        <v>57.48</v>
      </c>
      <c r="AY406">
        <v>57.48</v>
      </c>
      <c r="AZ406" s="7"/>
      <c r="BB406" s="124">
        <v>44300</v>
      </c>
      <c r="BC406" s="2">
        <v>9.7899999999999991</v>
      </c>
      <c r="BD406" s="2">
        <v>9.75</v>
      </c>
      <c r="BE406" s="2">
        <v>9.7899999999999991</v>
      </c>
      <c r="BF406" s="2">
        <v>9.75</v>
      </c>
      <c r="BG406" s="2">
        <v>9.75</v>
      </c>
      <c r="BH406" s="2">
        <v>9.75</v>
      </c>
      <c r="BI406" s="2">
        <v>9.7899999999999991</v>
      </c>
      <c r="BJ406" s="2">
        <v>9.75</v>
      </c>
      <c r="BK406" s="2">
        <v>9.75</v>
      </c>
      <c r="BL406" s="2">
        <v>9.75</v>
      </c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2"/>
      <c r="BZ406" s="1"/>
      <c r="CA406" s="2"/>
    </row>
    <row r="407" spans="1:79" x14ac:dyDescent="0.2">
      <c r="A407" s="124">
        <v>44301</v>
      </c>
      <c r="B407">
        <v>56.999000000000002</v>
      </c>
      <c r="C407">
        <v>57.249000000000002</v>
      </c>
      <c r="D407">
        <v>56.999000000000002</v>
      </c>
      <c r="E407">
        <v>57.249000000000002</v>
      </c>
      <c r="F407">
        <v>57.359000000000002</v>
      </c>
      <c r="G407">
        <v>57.359000000000002</v>
      </c>
      <c r="H407">
        <v>56.999000000000002</v>
      </c>
      <c r="I407">
        <v>57.249000000000002</v>
      </c>
      <c r="J407">
        <v>57.357999999999997</v>
      </c>
      <c r="K407">
        <v>57.359000000000002</v>
      </c>
      <c r="L407" s="7"/>
      <c r="N407" s="124">
        <v>44301</v>
      </c>
      <c r="O407" s="2">
        <v>9.8130000000000006</v>
      </c>
      <c r="P407" s="2">
        <v>9.7736999999999998</v>
      </c>
      <c r="Q407" s="2">
        <v>9.81</v>
      </c>
      <c r="R407" s="2">
        <v>9.7736999999999998</v>
      </c>
      <c r="S407" s="2">
        <v>9.77</v>
      </c>
      <c r="T407" s="2">
        <v>9.7736499999999999</v>
      </c>
      <c r="U407" s="2">
        <v>9.8130000000000006</v>
      </c>
      <c r="V407" s="2">
        <v>9.7736999999999998</v>
      </c>
      <c r="W407" s="2">
        <v>9.77</v>
      </c>
      <c r="X407" s="2">
        <v>9.7736499999999999</v>
      </c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2"/>
      <c r="AL407" s="1"/>
      <c r="AM407" s="2"/>
      <c r="AO407" s="124">
        <v>44301</v>
      </c>
      <c r="AP407">
        <v>56.999000000000002</v>
      </c>
      <c r="AQ407">
        <v>57.249000000000002</v>
      </c>
      <c r="AR407">
        <v>56.999000000000002</v>
      </c>
      <c r="AS407">
        <v>57.249000000000002</v>
      </c>
      <c r="AT407">
        <v>57.357999999999997</v>
      </c>
      <c r="AU407">
        <v>57.357999999999997</v>
      </c>
      <c r="AV407">
        <v>56.999000000000002</v>
      </c>
      <c r="AW407">
        <v>57.249000000000002</v>
      </c>
      <c r="AX407">
        <v>57.359000000000002</v>
      </c>
      <c r="AY407">
        <v>57.359000000000002</v>
      </c>
      <c r="AZ407" s="7"/>
      <c r="BB407" s="124">
        <v>44301</v>
      </c>
      <c r="BC407" s="2">
        <v>9.81</v>
      </c>
      <c r="BD407" s="2">
        <v>9.77</v>
      </c>
      <c r="BE407" s="2">
        <v>9.81</v>
      </c>
      <c r="BF407" s="2">
        <v>9.77</v>
      </c>
      <c r="BG407" s="2">
        <v>9.77</v>
      </c>
      <c r="BH407" s="2">
        <v>9.77</v>
      </c>
      <c r="BI407" s="2">
        <v>9.81</v>
      </c>
      <c r="BJ407" s="2">
        <v>9.77</v>
      </c>
      <c r="BK407" s="2">
        <v>9.77</v>
      </c>
      <c r="BL407" s="2">
        <v>9.77</v>
      </c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2"/>
      <c r="BZ407" s="1"/>
      <c r="CA407" s="2"/>
    </row>
    <row r="408" spans="1:79" x14ac:dyDescent="0.2">
      <c r="A408" s="124">
        <v>44302</v>
      </c>
      <c r="B408">
        <v>57.497999999999998</v>
      </c>
      <c r="C408">
        <v>57.747999999999998</v>
      </c>
      <c r="D408">
        <v>57.497</v>
      </c>
      <c r="E408">
        <v>57.747999999999998</v>
      </c>
      <c r="F408">
        <v>57.859000000000002</v>
      </c>
      <c r="G408">
        <v>57.859000000000002</v>
      </c>
      <c r="H408">
        <v>57.497999999999998</v>
      </c>
      <c r="I408">
        <v>57.747999999999998</v>
      </c>
      <c r="J408">
        <v>57.857999999999997</v>
      </c>
      <c r="K408">
        <v>57.859000000000002</v>
      </c>
      <c r="L408" s="7"/>
      <c r="N408" s="124">
        <v>44302</v>
      </c>
      <c r="O408" s="2">
        <v>9.7358499999999992</v>
      </c>
      <c r="P408" s="2">
        <v>9.6968999999999994</v>
      </c>
      <c r="Q408" s="2">
        <v>9.74</v>
      </c>
      <c r="R408" s="2">
        <v>9.6968999999999994</v>
      </c>
      <c r="S408" s="2">
        <v>9.6999999999999993</v>
      </c>
      <c r="T408" s="2">
        <v>9.6968999999999994</v>
      </c>
      <c r="U408" s="2">
        <v>9.7358499999999992</v>
      </c>
      <c r="V408" s="2">
        <v>9.6968999999999994</v>
      </c>
      <c r="W408" s="2">
        <v>9.6999999999999993</v>
      </c>
      <c r="X408" s="2">
        <v>9.6968999999999994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2"/>
      <c r="AL408" s="1"/>
      <c r="AM408" s="2"/>
      <c r="AO408" s="124">
        <v>44302</v>
      </c>
      <c r="AP408">
        <v>57.497</v>
      </c>
      <c r="AQ408">
        <v>57.747</v>
      </c>
      <c r="AR408">
        <v>57.497</v>
      </c>
      <c r="AS408">
        <v>57.747999999999998</v>
      </c>
      <c r="AT408">
        <v>57.857999999999997</v>
      </c>
      <c r="AU408">
        <v>57.857999999999997</v>
      </c>
      <c r="AV408">
        <v>57.497</v>
      </c>
      <c r="AW408">
        <v>57.747</v>
      </c>
      <c r="AX408">
        <v>57.859000000000002</v>
      </c>
      <c r="AY408">
        <v>57.859000000000002</v>
      </c>
      <c r="AZ408" s="7"/>
      <c r="BB408" s="124">
        <v>44302</v>
      </c>
      <c r="BC408" s="2">
        <v>9.74</v>
      </c>
      <c r="BD408" s="2">
        <v>9.6999999999999993</v>
      </c>
      <c r="BE408" s="2">
        <v>9.74</v>
      </c>
      <c r="BF408" s="2">
        <v>9.6999999999999993</v>
      </c>
      <c r="BG408" s="2">
        <v>9.6999999999999993</v>
      </c>
      <c r="BH408" s="2">
        <v>9.6999999999999993</v>
      </c>
      <c r="BI408" s="2">
        <v>9.74</v>
      </c>
      <c r="BJ408" s="2">
        <v>9.6999999999999993</v>
      </c>
      <c r="BK408" s="2">
        <v>9.6999999999999993</v>
      </c>
      <c r="BL408" s="2">
        <v>9.6999999999999993</v>
      </c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2"/>
      <c r="BZ408" s="1"/>
      <c r="CA408" s="2"/>
    </row>
    <row r="409" spans="1:79" x14ac:dyDescent="0.2">
      <c r="A409" s="124">
        <v>44305</v>
      </c>
      <c r="B409">
        <v>58.319000000000003</v>
      </c>
      <c r="C409">
        <v>58.569000000000003</v>
      </c>
      <c r="D409">
        <v>58.317999999999998</v>
      </c>
      <c r="E409">
        <v>58.569000000000003</v>
      </c>
      <c r="F409">
        <v>58.680999999999997</v>
      </c>
      <c r="G409">
        <v>58.680999999999997</v>
      </c>
      <c r="H409">
        <v>58.319000000000003</v>
      </c>
      <c r="I409">
        <v>58.569000000000003</v>
      </c>
      <c r="J409">
        <v>58.680999999999997</v>
      </c>
      <c r="K409">
        <v>58.680999999999997</v>
      </c>
      <c r="L409" s="7"/>
      <c r="N409" s="124">
        <v>44305</v>
      </c>
      <c r="O409" s="2">
        <v>9.6091499999999996</v>
      </c>
      <c r="P409" s="2">
        <v>9.5709</v>
      </c>
      <c r="Q409" s="2">
        <v>9.61</v>
      </c>
      <c r="R409" s="2">
        <v>9.5709</v>
      </c>
      <c r="S409" s="2">
        <v>9.57</v>
      </c>
      <c r="T409" s="2">
        <v>9.5709499999999998</v>
      </c>
      <c r="U409" s="2">
        <v>9.6091499999999996</v>
      </c>
      <c r="V409" s="2">
        <v>9.5709</v>
      </c>
      <c r="W409" s="2">
        <v>9.57</v>
      </c>
      <c r="X409" s="2">
        <v>9.5709499999999998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2"/>
      <c r="AL409" s="1"/>
      <c r="AM409" s="2"/>
      <c r="AO409" s="124">
        <v>44305</v>
      </c>
      <c r="AP409">
        <v>58.317999999999998</v>
      </c>
      <c r="AQ409">
        <v>58.567999999999998</v>
      </c>
      <c r="AR409">
        <v>58.317999999999998</v>
      </c>
      <c r="AS409">
        <v>58.569000000000003</v>
      </c>
      <c r="AT409">
        <v>58.680999999999997</v>
      </c>
      <c r="AU409">
        <v>58.680999999999997</v>
      </c>
      <c r="AV409">
        <v>58.317999999999998</v>
      </c>
      <c r="AW409">
        <v>58.567999999999998</v>
      </c>
      <c r="AX409">
        <v>58.680999999999997</v>
      </c>
      <c r="AY409">
        <v>58.680999999999997</v>
      </c>
      <c r="AZ409" s="7"/>
      <c r="BB409" s="124">
        <v>44305</v>
      </c>
      <c r="BC409" s="2">
        <v>9.61</v>
      </c>
      <c r="BD409" s="2">
        <v>9.57</v>
      </c>
      <c r="BE409" s="2">
        <v>9.61</v>
      </c>
      <c r="BF409" s="2">
        <v>9.57</v>
      </c>
      <c r="BG409" s="2">
        <v>9.57</v>
      </c>
      <c r="BH409" s="2">
        <v>9.57</v>
      </c>
      <c r="BI409" s="2">
        <v>9.61</v>
      </c>
      <c r="BJ409" s="2">
        <v>9.57</v>
      </c>
      <c r="BK409" s="2">
        <v>9.57</v>
      </c>
      <c r="BL409" s="2">
        <v>9.57</v>
      </c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2"/>
      <c r="BZ409" s="1"/>
      <c r="CA409" s="2"/>
    </row>
    <row r="410" spans="1:79" x14ac:dyDescent="0.2">
      <c r="A410" s="124">
        <v>44306</v>
      </c>
      <c r="B410">
        <v>58.999000000000002</v>
      </c>
      <c r="C410">
        <v>59.249000000000002</v>
      </c>
      <c r="D410">
        <v>58.997999999999998</v>
      </c>
      <c r="E410">
        <v>59.249000000000002</v>
      </c>
      <c r="F410">
        <v>59.363</v>
      </c>
      <c r="G410">
        <v>59.363</v>
      </c>
      <c r="H410">
        <v>58.999000000000002</v>
      </c>
      <c r="I410">
        <v>59.249000000000002</v>
      </c>
      <c r="J410">
        <v>59.362000000000002</v>
      </c>
      <c r="K410">
        <v>59.363</v>
      </c>
      <c r="L410" s="7"/>
      <c r="N410" s="124">
        <v>44306</v>
      </c>
      <c r="O410" s="2">
        <v>9.5062999999999995</v>
      </c>
      <c r="P410" s="2">
        <v>9.4685500000000005</v>
      </c>
      <c r="Q410" s="2">
        <v>9.51</v>
      </c>
      <c r="R410" s="2">
        <v>9.4685500000000005</v>
      </c>
      <c r="S410" s="2">
        <v>9.4700000000000006</v>
      </c>
      <c r="T410" s="2">
        <v>9.4685000000000006</v>
      </c>
      <c r="U410" s="2">
        <v>9.5062999999999995</v>
      </c>
      <c r="V410" s="2">
        <v>9.4685500000000005</v>
      </c>
      <c r="W410" s="2">
        <v>9.4700000000000006</v>
      </c>
      <c r="X410" s="2">
        <v>9.4685000000000006</v>
      </c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2"/>
      <c r="AL410" s="1"/>
      <c r="AM410" s="2"/>
      <c r="AO410" s="124">
        <v>44306</v>
      </c>
      <c r="AP410">
        <v>58.997999999999998</v>
      </c>
      <c r="AQ410">
        <v>59.247999999999998</v>
      </c>
      <c r="AR410">
        <v>58.997999999999998</v>
      </c>
      <c r="AS410">
        <v>59.249000000000002</v>
      </c>
      <c r="AT410">
        <v>59.362000000000002</v>
      </c>
      <c r="AU410">
        <v>59.362000000000002</v>
      </c>
      <c r="AV410">
        <v>58.997999999999998</v>
      </c>
      <c r="AW410">
        <v>59.247999999999998</v>
      </c>
      <c r="AX410">
        <v>59.363</v>
      </c>
      <c r="AY410">
        <v>59.363</v>
      </c>
      <c r="AZ410" s="7"/>
      <c r="BB410" s="124">
        <v>44306</v>
      </c>
      <c r="BC410" s="2">
        <v>9.51</v>
      </c>
      <c r="BD410" s="2">
        <v>9.4700000000000006</v>
      </c>
      <c r="BE410" s="2">
        <v>9.51</v>
      </c>
      <c r="BF410" s="2">
        <v>9.4700000000000006</v>
      </c>
      <c r="BG410" s="2">
        <v>9.4700000000000006</v>
      </c>
      <c r="BH410" s="2">
        <v>9.4700000000000006</v>
      </c>
      <c r="BI410" s="2">
        <v>9.51</v>
      </c>
      <c r="BJ410" s="2">
        <v>9.4700000000000006</v>
      </c>
      <c r="BK410" s="2">
        <v>9.4700000000000006</v>
      </c>
      <c r="BL410" s="2">
        <v>9.4700000000000006</v>
      </c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2"/>
      <c r="BZ410" s="1"/>
      <c r="CA410" s="2"/>
    </row>
    <row r="411" spans="1:79" x14ac:dyDescent="0.2">
      <c r="A411" s="124">
        <v>44307</v>
      </c>
      <c r="B411">
        <v>58.877000000000002</v>
      </c>
      <c r="C411">
        <v>59.127000000000002</v>
      </c>
      <c r="D411">
        <v>58.877000000000002</v>
      </c>
      <c r="E411">
        <v>59.127000000000002</v>
      </c>
      <c r="F411">
        <v>59.243000000000002</v>
      </c>
      <c r="G411">
        <v>59.243000000000002</v>
      </c>
      <c r="H411">
        <v>58.877000000000002</v>
      </c>
      <c r="I411">
        <v>59.127000000000002</v>
      </c>
      <c r="J411">
        <v>59.241999999999997</v>
      </c>
      <c r="K411">
        <v>59.243000000000002</v>
      </c>
      <c r="L411" s="7"/>
      <c r="N411" s="124">
        <v>44307</v>
      </c>
      <c r="O411" s="2">
        <v>9.5271500000000007</v>
      </c>
      <c r="P411" s="2">
        <v>9.4893000000000001</v>
      </c>
      <c r="Q411" s="2">
        <v>9.5299999999999994</v>
      </c>
      <c r="R411" s="2">
        <v>9.4893000000000001</v>
      </c>
      <c r="S411" s="2">
        <v>9.49</v>
      </c>
      <c r="T411" s="2">
        <v>9.4892000000000003</v>
      </c>
      <c r="U411" s="2">
        <v>9.5271500000000007</v>
      </c>
      <c r="V411" s="2">
        <v>9.4893000000000001</v>
      </c>
      <c r="W411" s="2">
        <v>9.49</v>
      </c>
      <c r="X411" s="2">
        <v>9.4892000000000003</v>
      </c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2"/>
      <c r="AL411" s="1"/>
      <c r="AM411" s="2"/>
      <c r="AO411" s="124">
        <v>44307</v>
      </c>
      <c r="AP411">
        <v>58.877000000000002</v>
      </c>
      <c r="AQ411">
        <v>59.127000000000002</v>
      </c>
      <c r="AR411">
        <v>58.877000000000002</v>
      </c>
      <c r="AS411">
        <v>59.127000000000002</v>
      </c>
      <c r="AT411">
        <v>59.241999999999997</v>
      </c>
      <c r="AU411">
        <v>59.241999999999997</v>
      </c>
      <c r="AV411">
        <v>58.877000000000002</v>
      </c>
      <c r="AW411">
        <v>59.127000000000002</v>
      </c>
      <c r="AX411">
        <v>59.243000000000002</v>
      </c>
      <c r="AY411">
        <v>59.243000000000002</v>
      </c>
      <c r="AZ411" s="7"/>
      <c r="BB411" s="124">
        <v>44307</v>
      </c>
      <c r="BC411" s="2">
        <v>9.5299999999999994</v>
      </c>
      <c r="BD411" s="2">
        <v>9.49</v>
      </c>
      <c r="BE411" s="2">
        <v>9.5299999999999994</v>
      </c>
      <c r="BF411" s="2">
        <v>9.49</v>
      </c>
      <c r="BG411" s="2">
        <v>9.49</v>
      </c>
      <c r="BH411" s="2">
        <v>9.49</v>
      </c>
      <c r="BI411" s="2">
        <v>9.5299999999999994</v>
      </c>
      <c r="BJ411" s="2">
        <v>9.49</v>
      </c>
      <c r="BK411" s="2">
        <v>9.49</v>
      </c>
      <c r="BL411" s="2">
        <v>9.49</v>
      </c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2"/>
      <c r="BZ411" s="1"/>
      <c r="CA411" s="2"/>
    </row>
    <row r="412" spans="1:79" x14ac:dyDescent="0.2">
      <c r="A412" s="124">
        <v>44308</v>
      </c>
      <c r="B412">
        <v>59.247999999999998</v>
      </c>
      <c r="C412">
        <v>59.497999999999998</v>
      </c>
      <c r="D412">
        <v>59.247999999999998</v>
      </c>
      <c r="E412">
        <v>59.497999999999998</v>
      </c>
      <c r="F412">
        <v>59.618000000000002</v>
      </c>
      <c r="G412">
        <v>59.618000000000002</v>
      </c>
      <c r="H412">
        <v>59.247999999999998</v>
      </c>
      <c r="I412">
        <v>59.497999999999998</v>
      </c>
      <c r="J412">
        <v>59.616999999999997</v>
      </c>
      <c r="K412">
        <v>59.618000000000002</v>
      </c>
      <c r="L412" s="7"/>
      <c r="N412" s="124">
        <v>44308</v>
      </c>
      <c r="O412" s="2">
        <v>9.4766499999999994</v>
      </c>
      <c r="P412" s="2">
        <v>9.4390499999999999</v>
      </c>
      <c r="Q412" s="2">
        <v>9.48</v>
      </c>
      <c r="R412" s="2">
        <v>9.4390499999999999</v>
      </c>
      <c r="S412" s="2">
        <v>9.44</v>
      </c>
      <c r="T412" s="2">
        <v>9.4390000000000001</v>
      </c>
      <c r="U412" s="2">
        <v>9.4766499999999994</v>
      </c>
      <c r="V412" s="2">
        <v>9.4390499999999999</v>
      </c>
      <c r="W412" s="2">
        <v>9.44</v>
      </c>
      <c r="X412" s="2">
        <v>9.4390000000000001</v>
      </c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2"/>
      <c r="AL412" s="1"/>
      <c r="AM412" s="2"/>
      <c r="AO412" s="124">
        <v>44308</v>
      </c>
      <c r="AP412">
        <v>59.247999999999998</v>
      </c>
      <c r="AQ412">
        <v>59.497999999999998</v>
      </c>
      <c r="AR412">
        <v>59.247999999999998</v>
      </c>
      <c r="AS412">
        <v>59.497999999999998</v>
      </c>
      <c r="AT412">
        <v>59.616999999999997</v>
      </c>
      <c r="AU412">
        <v>59.616999999999997</v>
      </c>
      <c r="AV412">
        <v>59.247999999999998</v>
      </c>
      <c r="AW412">
        <v>59.497999999999998</v>
      </c>
      <c r="AX412">
        <v>59.618000000000002</v>
      </c>
      <c r="AY412">
        <v>59.618000000000002</v>
      </c>
      <c r="AZ412" s="7"/>
      <c r="BB412" s="124">
        <v>44308</v>
      </c>
      <c r="BC412" s="2">
        <v>9.48</v>
      </c>
      <c r="BD412" s="2">
        <v>9.44</v>
      </c>
      <c r="BE412" s="2">
        <v>9.48</v>
      </c>
      <c r="BF412" s="2">
        <v>9.44</v>
      </c>
      <c r="BG412" s="2">
        <v>9.44</v>
      </c>
      <c r="BH412" s="2">
        <v>9.44</v>
      </c>
      <c r="BI412" s="2">
        <v>9.48</v>
      </c>
      <c r="BJ412" s="2">
        <v>9.44</v>
      </c>
      <c r="BK412" s="2">
        <v>9.44</v>
      </c>
      <c r="BL412" s="2">
        <v>9.44</v>
      </c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2"/>
      <c r="BZ412" s="1"/>
      <c r="CA412" s="2"/>
    </row>
    <row r="413" spans="1:79" x14ac:dyDescent="0.2">
      <c r="A413" s="124">
        <v>44309</v>
      </c>
      <c r="B413">
        <v>60.503</v>
      </c>
      <c r="C413">
        <v>60.753</v>
      </c>
      <c r="D413">
        <v>60.502000000000002</v>
      </c>
      <c r="E413">
        <v>60.753</v>
      </c>
      <c r="F413">
        <v>60.874000000000002</v>
      </c>
      <c r="G413">
        <v>60.874000000000002</v>
      </c>
      <c r="H413">
        <v>60.503</v>
      </c>
      <c r="I413">
        <v>60.753</v>
      </c>
      <c r="J413">
        <v>60.872999999999998</v>
      </c>
      <c r="K413">
        <v>60.874000000000002</v>
      </c>
      <c r="L413" s="7"/>
      <c r="N413" s="124">
        <v>44309</v>
      </c>
      <c r="O413" s="2">
        <v>9.2895500000000002</v>
      </c>
      <c r="P413" s="2">
        <v>9.2529500000000002</v>
      </c>
      <c r="Q413" s="2">
        <v>9.2899999999999991</v>
      </c>
      <c r="R413" s="2">
        <v>9.2529500000000002</v>
      </c>
      <c r="S413" s="2">
        <v>9.25</v>
      </c>
      <c r="T413" s="2">
        <v>9.2528500000000005</v>
      </c>
      <c r="U413" s="2">
        <v>9.2895500000000002</v>
      </c>
      <c r="V413" s="2">
        <v>9.2529500000000002</v>
      </c>
      <c r="W413" s="2">
        <v>9.25</v>
      </c>
      <c r="X413" s="2">
        <v>9.2528500000000005</v>
      </c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2"/>
      <c r="AL413" s="1"/>
      <c r="AM413" s="2"/>
      <c r="AO413" s="124">
        <v>44309</v>
      </c>
      <c r="AP413">
        <v>60.502000000000002</v>
      </c>
      <c r="AQ413">
        <v>60.752000000000002</v>
      </c>
      <c r="AR413">
        <v>60.502000000000002</v>
      </c>
      <c r="AS413">
        <v>60.753</v>
      </c>
      <c r="AT413">
        <v>60.872999999999998</v>
      </c>
      <c r="AU413">
        <v>60.872999999999998</v>
      </c>
      <c r="AV413">
        <v>60.502000000000002</v>
      </c>
      <c r="AW413">
        <v>60.752000000000002</v>
      </c>
      <c r="AX413">
        <v>60.874000000000002</v>
      </c>
      <c r="AY413">
        <v>60.874000000000002</v>
      </c>
      <c r="AZ413" s="7"/>
      <c r="BB413" s="124">
        <v>44309</v>
      </c>
      <c r="BC413" s="2">
        <v>9.2899999999999991</v>
      </c>
      <c r="BD413" s="2">
        <v>9.25</v>
      </c>
      <c r="BE413" s="2">
        <v>9.2899999999999991</v>
      </c>
      <c r="BF413" s="2">
        <v>9.25</v>
      </c>
      <c r="BG413" s="2">
        <v>9.25</v>
      </c>
      <c r="BH413" s="2">
        <v>9.25</v>
      </c>
      <c r="BI413" s="2">
        <v>9.2899999999999991</v>
      </c>
      <c r="BJ413" s="2">
        <v>9.25</v>
      </c>
      <c r="BK413" s="2">
        <v>9.25</v>
      </c>
      <c r="BL413" s="2">
        <v>9.25</v>
      </c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2"/>
      <c r="BZ413" s="1"/>
      <c r="CA413" s="2"/>
    </row>
    <row r="414" spans="1:79" x14ac:dyDescent="0.2">
      <c r="A414" s="124">
        <v>44312</v>
      </c>
      <c r="B414">
        <v>59.627000000000002</v>
      </c>
      <c r="C414">
        <v>59.877000000000002</v>
      </c>
      <c r="D414">
        <v>59.627000000000002</v>
      </c>
      <c r="E414">
        <v>59.877000000000002</v>
      </c>
      <c r="F414">
        <v>59.999000000000002</v>
      </c>
      <c r="G414">
        <v>59.999000000000002</v>
      </c>
      <c r="H414">
        <v>59.627000000000002</v>
      </c>
      <c r="I414">
        <v>59.877000000000002</v>
      </c>
      <c r="J414">
        <v>59.999000000000002</v>
      </c>
      <c r="K414">
        <v>59.999000000000002</v>
      </c>
      <c r="L414" s="7"/>
      <c r="N414" s="124">
        <v>44312</v>
      </c>
      <c r="O414" s="2">
        <v>9.4231999999999996</v>
      </c>
      <c r="P414" s="2">
        <v>9.3858999999999995</v>
      </c>
      <c r="Q414" s="2">
        <v>9.42</v>
      </c>
      <c r="R414" s="2">
        <v>9.3858999999999995</v>
      </c>
      <c r="S414" s="2">
        <v>9.39</v>
      </c>
      <c r="T414" s="2">
        <v>9.3859499999999993</v>
      </c>
      <c r="U414" s="2">
        <v>9.4231999999999996</v>
      </c>
      <c r="V414" s="2">
        <v>9.3858999999999995</v>
      </c>
      <c r="W414" s="2">
        <v>9.39</v>
      </c>
      <c r="X414" s="2">
        <v>9.3859499999999993</v>
      </c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2"/>
      <c r="AL414" s="1"/>
      <c r="AM414" s="2"/>
      <c r="AO414" s="124">
        <v>44312</v>
      </c>
      <c r="AP414">
        <v>59.627000000000002</v>
      </c>
      <c r="AQ414">
        <v>59.877000000000002</v>
      </c>
      <c r="AR414">
        <v>59.627000000000002</v>
      </c>
      <c r="AS414">
        <v>59.877000000000002</v>
      </c>
      <c r="AT414">
        <v>59.999000000000002</v>
      </c>
      <c r="AU414">
        <v>59.999000000000002</v>
      </c>
      <c r="AV414">
        <v>59.627000000000002</v>
      </c>
      <c r="AW414">
        <v>59.877000000000002</v>
      </c>
      <c r="AX414">
        <v>59.999000000000002</v>
      </c>
      <c r="AY414">
        <v>59.999000000000002</v>
      </c>
      <c r="AZ414" s="7"/>
      <c r="BB414" s="124">
        <v>44312</v>
      </c>
      <c r="BC414" s="2">
        <v>9.42</v>
      </c>
      <c r="BD414" s="2">
        <v>9.39</v>
      </c>
      <c r="BE414" s="2">
        <v>9.42</v>
      </c>
      <c r="BF414" s="2">
        <v>9.39</v>
      </c>
      <c r="BG414" s="2">
        <v>9.39</v>
      </c>
      <c r="BH414" s="2">
        <v>9.39</v>
      </c>
      <c r="BI414" s="2">
        <v>9.42</v>
      </c>
      <c r="BJ414" s="2">
        <v>9.39</v>
      </c>
      <c r="BK414" s="2">
        <v>9.39</v>
      </c>
      <c r="BL414" s="2">
        <v>9.39</v>
      </c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2"/>
      <c r="BZ414" s="1"/>
      <c r="CA414" s="2"/>
    </row>
    <row r="415" spans="1:79" x14ac:dyDescent="0.2">
      <c r="A415" s="124">
        <v>44313</v>
      </c>
      <c r="B415">
        <v>59.628</v>
      </c>
      <c r="C415">
        <v>59.878</v>
      </c>
      <c r="D415">
        <v>59.627000000000002</v>
      </c>
      <c r="E415">
        <v>59.878</v>
      </c>
      <c r="F415">
        <v>60.002000000000002</v>
      </c>
      <c r="G415">
        <v>60.002000000000002</v>
      </c>
      <c r="H415">
        <v>59.628</v>
      </c>
      <c r="I415">
        <v>59.878</v>
      </c>
      <c r="J415">
        <v>60.000999999999998</v>
      </c>
      <c r="K415">
        <v>60.002000000000002</v>
      </c>
      <c r="L415" s="7"/>
      <c r="N415" s="124">
        <v>44313</v>
      </c>
      <c r="O415" s="2">
        <v>9.4252000000000002</v>
      </c>
      <c r="P415" s="2">
        <v>9.3878500000000003</v>
      </c>
      <c r="Q415" s="2">
        <v>9.42</v>
      </c>
      <c r="R415" s="2">
        <v>9.3878500000000003</v>
      </c>
      <c r="S415" s="2">
        <v>9.39</v>
      </c>
      <c r="T415" s="2">
        <v>9.3878000000000004</v>
      </c>
      <c r="U415" s="2">
        <v>9.4252000000000002</v>
      </c>
      <c r="V415" s="2">
        <v>9.3878500000000003</v>
      </c>
      <c r="W415" s="2">
        <v>9.39</v>
      </c>
      <c r="X415" s="2">
        <v>9.3878000000000004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2"/>
      <c r="AL415" s="1"/>
      <c r="AM415" s="2"/>
      <c r="AO415" s="124">
        <v>44313</v>
      </c>
      <c r="AP415">
        <v>59.627000000000002</v>
      </c>
      <c r="AQ415">
        <v>59.877000000000002</v>
      </c>
      <c r="AR415">
        <v>59.627000000000002</v>
      </c>
      <c r="AS415">
        <v>59.878</v>
      </c>
      <c r="AT415">
        <v>60.000999999999998</v>
      </c>
      <c r="AU415">
        <v>60.000999999999998</v>
      </c>
      <c r="AV415">
        <v>59.627000000000002</v>
      </c>
      <c r="AW415">
        <v>59.877000000000002</v>
      </c>
      <c r="AX415">
        <v>60.002000000000002</v>
      </c>
      <c r="AY415">
        <v>60.002000000000002</v>
      </c>
      <c r="AZ415" s="7"/>
      <c r="BB415" s="124">
        <v>44313</v>
      </c>
      <c r="BC415" s="2">
        <v>9.42</v>
      </c>
      <c r="BD415" s="2">
        <v>9.39</v>
      </c>
      <c r="BE415" s="2">
        <v>9.42</v>
      </c>
      <c r="BF415" s="2">
        <v>9.39</v>
      </c>
      <c r="BG415" s="2">
        <v>9.39</v>
      </c>
      <c r="BH415" s="2">
        <v>9.39</v>
      </c>
      <c r="BI415" s="2">
        <v>9.42</v>
      </c>
      <c r="BJ415" s="2">
        <v>9.39</v>
      </c>
      <c r="BK415" s="2">
        <v>9.39</v>
      </c>
      <c r="BL415" s="2">
        <v>9.39</v>
      </c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2"/>
      <c r="BZ415" s="1"/>
      <c r="CA415" s="2"/>
    </row>
    <row r="416" spans="1:79" x14ac:dyDescent="0.2">
      <c r="A416" s="124">
        <v>44314</v>
      </c>
      <c r="B416">
        <v>58.624000000000002</v>
      </c>
      <c r="C416">
        <v>58.874000000000002</v>
      </c>
      <c r="D416">
        <v>58.624000000000002</v>
      </c>
      <c r="E416">
        <v>58.874000000000002</v>
      </c>
      <c r="F416">
        <v>58.999000000000002</v>
      </c>
      <c r="G416">
        <v>58.999000000000002</v>
      </c>
      <c r="H416">
        <v>58.624000000000002</v>
      </c>
      <c r="I416">
        <v>58.874000000000002</v>
      </c>
      <c r="J416">
        <v>58.999000000000002</v>
      </c>
      <c r="K416">
        <v>58.999000000000002</v>
      </c>
      <c r="L416" s="7"/>
      <c r="N416" s="124">
        <v>44314</v>
      </c>
      <c r="O416" s="2">
        <v>9.5835500000000007</v>
      </c>
      <c r="P416" s="2">
        <v>9.5454000000000008</v>
      </c>
      <c r="Q416" s="2">
        <v>9.58</v>
      </c>
      <c r="R416" s="2">
        <v>9.5454000000000008</v>
      </c>
      <c r="S416" s="2">
        <v>9.5399999999999991</v>
      </c>
      <c r="T416" s="2">
        <v>9.5454000000000008</v>
      </c>
      <c r="U416" s="2">
        <v>9.5835500000000007</v>
      </c>
      <c r="V416" s="2">
        <v>9.5454000000000008</v>
      </c>
      <c r="W416" s="2">
        <v>9.5399999999999991</v>
      </c>
      <c r="X416" s="2">
        <v>9.5454000000000008</v>
      </c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2"/>
      <c r="AL416" s="1"/>
      <c r="AM416" s="2"/>
      <c r="AO416" s="124">
        <v>44314</v>
      </c>
      <c r="AP416">
        <v>58.624000000000002</v>
      </c>
      <c r="AQ416">
        <v>58.874000000000002</v>
      </c>
      <c r="AR416">
        <v>58.624000000000002</v>
      </c>
      <c r="AS416">
        <v>58.874000000000002</v>
      </c>
      <c r="AT416">
        <v>58.999000000000002</v>
      </c>
      <c r="AU416">
        <v>58.999000000000002</v>
      </c>
      <c r="AV416">
        <v>58.624000000000002</v>
      </c>
      <c r="AW416">
        <v>58.874000000000002</v>
      </c>
      <c r="AX416">
        <v>58.999000000000002</v>
      </c>
      <c r="AY416">
        <v>58.999000000000002</v>
      </c>
      <c r="AZ416" s="7"/>
      <c r="BB416" s="124">
        <v>44314</v>
      </c>
      <c r="BC416" s="2">
        <v>9.58</v>
      </c>
      <c r="BD416" s="2">
        <v>9.5399999999999991</v>
      </c>
      <c r="BE416" s="2">
        <v>9.58</v>
      </c>
      <c r="BF416" s="2">
        <v>9.5399999999999991</v>
      </c>
      <c r="BG416" s="2">
        <v>9.5399999999999991</v>
      </c>
      <c r="BH416" s="2">
        <v>9.5399999999999991</v>
      </c>
      <c r="BI416" s="2">
        <v>9.58</v>
      </c>
      <c r="BJ416" s="2">
        <v>9.5399999999999991</v>
      </c>
      <c r="BK416" s="2">
        <v>9.5399999999999991</v>
      </c>
      <c r="BL416" s="2">
        <v>9.5399999999999991</v>
      </c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2"/>
      <c r="BZ416" s="1"/>
      <c r="CA416" s="2"/>
    </row>
    <row r="417" spans="1:79" x14ac:dyDescent="0.2">
      <c r="A417" s="124">
        <v>44315</v>
      </c>
      <c r="B417">
        <v>59.003</v>
      </c>
      <c r="C417">
        <v>59.253</v>
      </c>
      <c r="D417">
        <v>59.003</v>
      </c>
      <c r="E417">
        <v>59.253</v>
      </c>
      <c r="F417">
        <v>59.381999999999998</v>
      </c>
      <c r="G417">
        <v>59.381999999999998</v>
      </c>
      <c r="H417">
        <v>59.003</v>
      </c>
      <c r="I417">
        <v>59.253</v>
      </c>
      <c r="J417">
        <v>59.381999999999998</v>
      </c>
      <c r="K417">
        <v>59.381999999999998</v>
      </c>
      <c r="L417" s="7"/>
      <c r="N417" s="124">
        <v>44315</v>
      </c>
      <c r="O417" s="2">
        <v>9.5290999999999997</v>
      </c>
      <c r="P417" s="2">
        <v>9.4912500000000009</v>
      </c>
      <c r="Q417" s="2">
        <v>9.5299999999999994</v>
      </c>
      <c r="R417" s="2">
        <v>9.4912500000000009</v>
      </c>
      <c r="S417" s="2">
        <v>9.49</v>
      </c>
      <c r="T417" s="2">
        <v>9.4912500000000009</v>
      </c>
      <c r="U417" s="2">
        <v>9.5290999999999997</v>
      </c>
      <c r="V417" s="2">
        <v>9.4912500000000009</v>
      </c>
      <c r="W417" s="2">
        <v>9.49</v>
      </c>
      <c r="X417" s="2">
        <v>9.4912500000000009</v>
      </c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2"/>
      <c r="AL417" s="1"/>
      <c r="AM417" s="2"/>
      <c r="AO417" s="124">
        <v>44315</v>
      </c>
      <c r="AP417">
        <v>59.003</v>
      </c>
      <c r="AQ417">
        <v>59.253</v>
      </c>
      <c r="AR417">
        <v>59.003</v>
      </c>
      <c r="AS417">
        <v>59.253</v>
      </c>
      <c r="AT417">
        <v>59.381999999999998</v>
      </c>
      <c r="AU417">
        <v>59.381999999999998</v>
      </c>
      <c r="AV417">
        <v>59.003</v>
      </c>
      <c r="AW417">
        <v>59.253</v>
      </c>
      <c r="AX417">
        <v>59.381999999999998</v>
      </c>
      <c r="AY417">
        <v>59.381999999999998</v>
      </c>
      <c r="AZ417" s="7"/>
      <c r="BB417" s="124">
        <v>44315</v>
      </c>
      <c r="BC417" s="2">
        <v>9.5299999999999994</v>
      </c>
      <c r="BD417" s="2">
        <v>9.49</v>
      </c>
      <c r="BE417" s="2">
        <v>9.5299999999999994</v>
      </c>
      <c r="BF417" s="2">
        <v>9.49</v>
      </c>
      <c r="BG417" s="2">
        <v>9.49</v>
      </c>
      <c r="BH417" s="2">
        <v>9.49</v>
      </c>
      <c r="BI417" s="2">
        <v>9.5299999999999994</v>
      </c>
      <c r="BJ417" s="2">
        <v>9.49</v>
      </c>
      <c r="BK417" s="2">
        <v>9.49</v>
      </c>
      <c r="BL417" s="2">
        <v>9.49</v>
      </c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2"/>
      <c r="BZ417" s="1"/>
      <c r="CA417" s="2"/>
    </row>
    <row r="418" spans="1:79" x14ac:dyDescent="0.2">
      <c r="A418" s="124">
        <v>44316</v>
      </c>
      <c r="B418">
        <v>59.249000000000002</v>
      </c>
      <c r="C418">
        <v>59.499000000000002</v>
      </c>
      <c r="D418">
        <v>59.249000000000002</v>
      </c>
      <c r="E418">
        <v>59.499000000000002</v>
      </c>
      <c r="F418">
        <v>59.63</v>
      </c>
      <c r="G418">
        <v>59.63</v>
      </c>
      <c r="H418">
        <v>59.249000000000002</v>
      </c>
      <c r="I418">
        <v>59.499000000000002</v>
      </c>
      <c r="J418">
        <v>59.628999999999998</v>
      </c>
      <c r="K418">
        <v>59.63</v>
      </c>
      <c r="L418" s="7"/>
      <c r="N418" s="124">
        <v>44316</v>
      </c>
      <c r="O418" s="2">
        <v>9.4934999999999992</v>
      </c>
      <c r="P418" s="2">
        <v>9.4558499999999999</v>
      </c>
      <c r="Q418" s="2">
        <v>9.49</v>
      </c>
      <c r="R418" s="2">
        <v>9.4558499999999999</v>
      </c>
      <c r="S418" s="2">
        <v>9.4499999999999993</v>
      </c>
      <c r="T418" s="2">
        <v>9.4558</v>
      </c>
      <c r="U418" s="2">
        <v>9.4934999999999992</v>
      </c>
      <c r="V418" s="2">
        <v>9.4558499999999999</v>
      </c>
      <c r="W418" s="2">
        <v>9.4499999999999993</v>
      </c>
      <c r="X418" s="2">
        <v>9.4558</v>
      </c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2"/>
      <c r="AL418" s="1"/>
      <c r="AM418" s="2"/>
      <c r="AO418" s="124">
        <v>44316</v>
      </c>
      <c r="AP418">
        <v>59.249000000000002</v>
      </c>
      <c r="AQ418">
        <v>59.499000000000002</v>
      </c>
      <c r="AR418">
        <v>59.249000000000002</v>
      </c>
      <c r="AS418">
        <v>59.499000000000002</v>
      </c>
      <c r="AT418">
        <v>59.628999999999998</v>
      </c>
      <c r="AU418">
        <v>59.628999999999998</v>
      </c>
      <c r="AV418">
        <v>59.249000000000002</v>
      </c>
      <c r="AW418">
        <v>59.499000000000002</v>
      </c>
      <c r="AX418">
        <v>59.63</v>
      </c>
      <c r="AY418">
        <v>59.63</v>
      </c>
      <c r="AZ418" s="7"/>
      <c r="BB418" s="124">
        <v>44316</v>
      </c>
      <c r="BC418" s="2">
        <v>9.49</v>
      </c>
      <c r="BD418" s="2">
        <v>9.4499999999999993</v>
      </c>
      <c r="BE418" s="2">
        <v>9.49</v>
      </c>
      <c r="BF418" s="2">
        <v>9.4499999999999993</v>
      </c>
      <c r="BG418" s="2">
        <v>9.4499999999999993</v>
      </c>
      <c r="BH418" s="2">
        <v>9.4499999999999993</v>
      </c>
      <c r="BI418" s="2">
        <v>9.49</v>
      </c>
      <c r="BJ418" s="2">
        <v>9.4499999999999993</v>
      </c>
      <c r="BK418" s="2">
        <v>9.4499999999999993</v>
      </c>
      <c r="BL418" s="2">
        <v>9.4499999999999993</v>
      </c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2"/>
      <c r="BZ418" s="1"/>
      <c r="CA418" s="2"/>
    </row>
    <row r="419" spans="1:79" x14ac:dyDescent="0.2">
      <c r="A419" s="124">
        <v>44319</v>
      </c>
      <c r="B419">
        <v>59.627000000000002</v>
      </c>
      <c r="C419">
        <v>59.877000000000002</v>
      </c>
      <c r="D419">
        <v>59.625999999999998</v>
      </c>
      <c r="E419">
        <v>59.877000000000002</v>
      </c>
      <c r="F419">
        <v>60.009</v>
      </c>
      <c r="G419">
        <v>60.009</v>
      </c>
      <c r="H419">
        <v>59.627000000000002</v>
      </c>
      <c r="I419">
        <v>59.877000000000002</v>
      </c>
      <c r="J419">
        <v>60.008000000000003</v>
      </c>
      <c r="K419">
        <v>60.009</v>
      </c>
      <c r="L419" s="7"/>
      <c r="N419" s="124">
        <v>44319</v>
      </c>
      <c r="O419" s="2">
        <v>9.4380000000000006</v>
      </c>
      <c r="P419" s="2">
        <v>9.4006000000000007</v>
      </c>
      <c r="Q419" s="2">
        <v>9.44</v>
      </c>
      <c r="R419" s="2">
        <v>9.4006000000000007</v>
      </c>
      <c r="S419" s="2">
        <v>9.4</v>
      </c>
      <c r="T419" s="2">
        <v>9.4006000000000007</v>
      </c>
      <c r="U419" s="2">
        <v>9.4380000000000006</v>
      </c>
      <c r="V419" s="2">
        <v>9.4006000000000007</v>
      </c>
      <c r="W419" s="2">
        <v>9.4</v>
      </c>
      <c r="X419" s="2">
        <v>9.4006000000000007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2"/>
      <c r="AL419" s="1"/>
      <c r="AM419" s="2"/>
      <c r="AO419" s="124">
        <v>44319</v>
      </c>
      <c r="AP419">
        <v>59.625999999999998</v>
      </c>
      <c r="AQ419">
        <v>59.875999999999998</v>
      </c>
      <c r="AR419">
        <v>59.625999999999998</v>
      </c>
      <c r="AS419">
        <v>59.877000000000002</v>
      </c>
      <c r="AT419">
        <v>60.008000000000003</v>
      </c>
      <c r="AU419">
        <v>60.008000000000003</v>
      </c>
      <c r="AV419">
        <v>59.625999999999998</v>
      </c>
      <c r="AW419">
        <v>59.875999999999998</v>
      </c>
      <c r="AX419">
        <v>60.009</v>
      </c>
      <c r="AY419">
        <v>60.009</v>
      </c>
      <c r="AZ419" s="7"/>
      <c r="BB419" s="124">
        <v>44319</v>
      </c>
      <c r="BC419" s="2">
        <v>9.44</v>
      </c>
      <c r="BD419" s="2">
        <v>9.4</v>
      </c>
      <c r="BE419" s="2">
        <v>9.44</v>
      </c>
      <c r="BF419" s="2">
        <v>9.4</v>
      </c>
      <c r="BG419" s="2">
        <v>9.4</v>
      </c>
      <c r="BH419" s="2">
        <v>9.4</v>
      </c>
      <c r="BI419" s="2">
        <v>9.44</v>
      </c>
      <c r="BJ419" s="2">
        <v>9.4</v>
      </c>
      <c r="BK419" s="2">
        <v>9.4</v>
      </c>
      <c r="BL419" s="2">
        <v>9.4</v>
      </c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2"/>
      <c r="BZ419" s="1"/>
      <c r="CA419" s="2"/>
    </row>
    <row r="420" spans="1:79" x14ac:dyDescent="0.2">
      <c r="A420" s="124">
        <v>44320</v>
      </c>
      <c r="B420">
        <v>59.250999999999998</v>
      </c>
      <c r="C420">
        <v>59.500999999999998</v>
      </c>
      <c r="D420">
        <v>59.250999999999998</v>
      </c>
      <c r="E420">
        <v>59.500999999999998</v>
      </c>
      <c r="F420">
        <v>59.634</v>
      </c>
      <c r="G420">
        <v>59.634</v>
      </c>
      <c r="H420">
        <v>59.250999999999998</v>
      </c>
      <c r="I420">
        <v>59.500999999999998</v>
      </c>
      <c r="J420">
        <v>59.634</v>
      </c>
      <c r="K420">
        <v>59.634</v>
      </c>
      <c r="L420" s="7"/>
      <c r="N420" s="124">
        <v>44320</v>
      </c>
      <c r="O420" s="2">
        <v>9.4974500000000006</v>
      </c>
      <c r="P420" s="2">
        <v>9.4597499999999997</v>
      </c>
      <c r="Q420" s="2">
        <v>9.5</v>
      </c>
      <c r="R420" s="2">
        <v>9.4597499999999997</v>
      </c>
      <c r="S420" s="2">
        <v>9.4600000000000009</v>
      </c>
      <c r="T420" s="2">
        <v>9.4598499999999994</v>
      </c>
      <c r="U420" s="2">
        <v>9.4974500000000006</v>
      </c>
      <c r="V420" s="2">
        <v>9.4597499999999997</v>
      </c>
      <c r="W420" s="2">
        <v>9.4600000000000009</v>
      </c>
      <c r="X420" s="2">
        <v>9.4598499999999994</v>
      </c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2"/>
      <c r="AL420" s="1"/>
      <c r="AM420" s="2"/>
      <c r="AO420" s="124">
        <v>44320</v>
      </c>
      <c r="AP420">
        <v>59.250999999999998</v>
      </c>
      <c r="AQ420">
        <v>59.500999999999998</v>
      </c>
      <c r="AR420">
        <v>59.250999999999998</v>
      </c>
      <c r="AS420">
        <v>59.500999999999998</v>
      </c>
      <c r="AT420">
        <v>59.634</v>
      </c>
      <c r="AU420">
        <v>59.634</v>
      </c>
      <c r="AV420">
        <v>59.250999999999998</v>
      </c>
      <c r="AW420">
        <v>59.500999999999998</v>
      </c>
      <c r="AX420">
        <v>59.634</v>
      </c>
      <c r="AY420">
        <v>59.634</v>
      </c>
      <c r="AZ420" s="7"/>
      <c r="BB420" s="124">
        <v>44320</v>
      </c>
      <c r="BC420" s="2">
        <v>9.5</v>
      </c>
      <c r="BD420" s="2">
        <v>9.4600000000000009</v>
      </c>
      <c r="BE420" s="2">
        <v>9.5</v>
      </c>
      <c r="BF420" s="2">
        <v>9.4600000000000009</v>
      </c>
      <c r="BG420" s="2">
        <v>9.4600000000000009</v>
      </c>
      <c r="BH420" s="2">
        <v>9.4600000000000009</v>
      </c>
      <c r="BI420" s="2">
        <v>9.5</v>
      </c>
      <c r="BJ420" s="2">
        <v>9.4600000000000009</v>
      </c>
      <c r="BK420" s="2">
        <v>9.4600000000000009</v>
      </c>
      <c r="BL420" s="2">
        <v>9.4600000000000009</v>
      </c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2"/>
      <c r="BZ420" s="1"/>
      <c r="CA420" s="2"/>
    </row>
    <row r="421" spans="1:79" x14ac:dyDescent="0.2">
      <c r="A421" s="124">
        <v>44321</v>
      </c>
      <c r="B421">
        <v>59.622</v>
      </c>
      <c r="C421">
        <v>59.872</v>
      </c>
      <c r="D421">
        <v>59.621000000000002</v>
      </c>
      <c r="E421">
        <v>59.872</v>
      </c>
      <c r="F421">
        <v>60.006999999999998</v>
      </c>
      <c r="G421">
        <v>60.006999999999998</v>
      </c>
      <c r="H421">
        <v>59.622</v>
      </c>
      <c r="I421">
        <v>59.872</v>
      </c>
      <c r="J421">
        <v>60.006</v>
      </c>
      <c r="K421">
        <v>60.006999999999998</v>
      </c>
      <c r="L421" s="7"/>
      <c r="N421" s="124">
        <v>44321</v>
      </c>
      <c r="O421" s="2">
        <v>9.4429999999999996</v>
      </c>
      <c r="P421" s="2">
        <v>9.4055999999999997</v>
      </c>
      <c r="Q421" s="2">
        <v>9.44</v>
      </c>
      <c r="R421" s="2">
        <v>9.4055999999999997</v>
      </c>
      <c r="S421" s="2">
        <v>9.4</v>
      </c>
      <c r="T421" s="2">
        <v>9.4055</v>
      </c>
      <c r="U421" s="2">
        <v>9.4429999999999996</v>
      </c>
      <c r="V421" s="2">
        <v>9.4055999999999997</v>
      </c>
      <c r="W421" s="2">
        <v>9.4</v>
      </c>
      <c r="X421" s="2">
        <v>9.4055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2"/>
      <c r="AL421" s="1"/>
      <c r="AM421" s="2"/>
      <c r="AO421" s="124">
        <v>44321</v>
      </c>
      <c r="AP421">
        <v>59.621000000000002</v>
      </c>
      <c r="AQ421">
        <v>59.871000000000002</v>
      </c>
      <c r="AR421">
        <v>59.621000000000002</v>
      </c>
      <c r="AS421">
        <v>59.872</v>
      </c>
      <c r="AT421">
        <v>60.006</v>
      </c>
      <c r="AU421">
        <v>60.006</v>
      </c>
      <c r="AV421">
        <v>59.621000000000002</v>
      </c>
      <c r="AW421">
        <v>59.871000000000002</v>
      </c>
      <c r="AX421">
        <v>60.006999999999998</v>
      </c>
      <c r="AY421">
        <v>60.006999999999998</v>
      </c>
      <c r="AZ421" s="7"/>
      <c r="BB421" s="124">
        <v>44321</v>
      </c>
      <c r="BC421" s="2">
        <v>9.44</v>
      </c>
      <c r="BD421" s="2">
        <v>9.4</v>
      </c>
      <c r="BE421" s="2">
        <v>9.44</v>
      </c>
      <c r="BF421" s="2">
        <v>9.4</v>
      </c>
      <c r="BG421" s="2">
        <v>9.4</v>
      </c>
      <c r="BH421" s="2">
        <v>9.4</v>
      </c>
      <c r="BI421" s="2">
        <v>9.44</v>
      </c>
      <c r="BJ421" s="2">
        <v>9.4</v>
      </c>
      <c r="BK421" s="2">
        <v>9.4</v>
      </c>
      <c r="BL421" s="2">
        <v>9.4</v>
      </c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2"/>
      <c r="BZ421" s="1"/>
      <c r="CA421" s="2"/>
    </row>
    <row r="422" spans="1:79" x14ac:dyDescent="0.2">
      <c r="A422" s="124">
        <v>44322</v>
      </c>
      <c r="B422">
        <v>61.502000000000002</v>
      </c>
      <c r="C422">
        <v>61.752000000000002</v>
      </c>
      <c r="D422">
        <v>61.502000000000002</v>
      </c>
      <c r="E422">
        <v>61.752000000000002</v>
      </c>
      <c r="F422">
        <v>61.890999999999998</v>
      </c>
      <c r="G422">
        <v>61.890999999999998</v>
      </c>
      <c r="H422">
        <v>61.502000000000002</v>
      </c>
      <c r="I422">
        <v>61.752000000000002</v>
      </c>
      <c r="J422">
        <v>61.890999999999998</v>
      </c>
      <c r="K422">
        <v>61.890999999999998</v>
      </c>
      <c r="L422" s="7"/>
      <c r="N422" s="124">
        <v>44322</v>
      </c>
      <c r="O422" s="2">
        <v>9.1688500000000008</v>
      </c>
      <c r="P422" s="2">
        <v>9.1327999999999996</v>
      </c>
      <c r="Q422" s="2">
        <v>9.17</v>
      </c>
      <c r="R422" s="2">
        <v>9.1327999999999996</v>
      </c>
      <c r="S422" s="2">
        <v>9.1300000000000008</v>
      </c>
      <c r="T422" s="2">
        <v>9.1327999999999996</v>
      </c>
      <c r="U422" s="2">
        <v>9.1688500000000008</v>
      </c>
      <c r="V422" s="2">
        <v>9.1327999999999996</v>
      </c>
      <c r="W422" s="2">
        <v>9.1300000000000008</v>
      </c>
      <c r="X422" s="2">
        <v>9.1327999999999996</v>
      </c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2"/>
      <c r="AL422" s="1"/>
      <c r="AM422" s="2"/>
      <c r="AO422" s="124">
        <v>44322</v>
      </c>
      <c r="AP422">
        <v>61.502000000000002</v>
      </c>
      <c r="AQ422">
        <v>61.752000000000002</v>
      </c>
      <c r="AR422">
        <v>61.502000000000002</v>
      </c>
      <c r="AS422">
        <v>61.752000000000002</v>
      </c>
      <c r="AT422">
        <v>61.890999999999998</v>
      </c>
      <c r="AU422">
        <v>61.890999999999998</v>
      </c>
      <c r="AV422">
        <v>61.502000000000002</v>
      </c>
      <c r="AW422">
        <v>61.752000000000002</v>
      </c>
      <c r="AX422">
        <v>61.890999999999998</v>
      </c>
      <c r="AY422">
        <v>61.890999999999998</v>
      </c>
      <c r="AZ422" s="7"/>
      <c r="BB422" s="124">
        <v>44322</v>
      </c>
      <c r="BC422" s="2">
        <v>9.17</v>
      </c>
      <c r="BD422" s="2">
        <v>9.1300000000000008</v>
      </c>
      <c r="BE422" s="2">
        <v>9.17</v>
      </c>
      <c r="BF422" s="2">
        <v>9.1300000000000008</v>
      </c>
      <c r="BG422" s="2">
        <v>9.1300000000000008</v>
      </c>
      <c r="BH422" s="2">
        <v>9.1300000000000008</v>
      </c>
      <c r="BI422" s="2">
        <v>9.17</v>
      </c>
      <c r="BJ422" s="2">
        <v>9.1300000000000008</v>
      </c>
      <c r="BK422" s="2">
        <v>9.1300000000000008</v>
      </c>
      <c r="BL422" s="2">
        <v>9.1300000000000008</v>
      </c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2"/>
      <c r="BZ422" s="1"/>
      <c r="CA422" s="2"/>
    </row>
    <row r="423" spans="1:79" x14ac:dyDescent="0.2">
      <c r="A423" s="124">
        <v>44323</v>
      </c>
      <c r="B423">
        <v>62.5</v>
      </c>
      <c r="C423">
        <v>62.75</v>
      </c>
      <c r="D423">
        <v>62.5</v>
      </c>
      <c r="E423">
        <v>62.75</v>
      </c>
      <c r="F423">
        <v>62.89</v>
      </c>
      <c r="G423">
        <v>62.89</v>
      </c>
      <c r="H423">
        <v>62.5</v>
      </c>
      <c r="I423">
        <v>62.75</v>
      </c>
      <c r="J423">
        <v>62.89</v>
      </c>
      <c r="K423">
        <v>62.89</v>
      </c>
      <c r="L423" s="7"/>
      <c r="N423" s="124">
        <v>44323</v>
      </c>
      <c r="O423" s="2">
        <v>9.0262499999999992</v>
      </c>
      <c r="P423" s="2">
        <v>8.9908999999999999</v>
      </c>
      <c r="Q423" s="2">
        <v>9.0299999999999994</v>
      </c>
      <c r="R423" s="2">
        <v>8.9908999999999999</v>
      </c>
      <c r="S423" s="2">
        <v>8.99</v>
      </c>
      <c r="T423" s="2">
        <v>8.9909499999999998</v>
      </c>
      <c r="U423" s="2">
        <v>9.0262499999999992</v>
      </c>
      <c r="V423" s="2">
        <v>8.9908999999999999</v>
      </c>
      <c r="W423" s="2">
        <v>8.99</v>
      </c>
      <c r="X423" s="2">
        <v>8.9909499999999998</v>
      </c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2"/>
      <c r="AL423" s="1"/>
      <c r="AM423" s="2"/>
      <c r="AO423" s="124">
        <v>44323</v>
      </c>
      <c r="AP423">
        <v>62.499000000000002</v>
      </c>
      <c r="AQ423">
        <v>62.749000000000002</v>
      </c>
      <c r="AR423">
        <v>62.5</v>
      </c>
      <c r="AS423">
        <v>62.75</v>
      </c>
      <c r="AT423">
        <v>62.75</v>
      </c>
      <c r="AU423">
        <v>62.89</v>
      </c>
      <c r="AV423">
        <v>62.499000000000002</v>
      </c>
      <c r="AW423">
        <v>62.749000000000002</v>
      </c>
      <c r="AX423">
        <v>62.89</v>
      </c>
      <c r="AY423">
        <v>62.89</v>
      </c>
      <c r="AZ423" s="7"/>
      <c r="BB423" s="124">
        <v>44323</v>
      </c>
      <c r="BC423" s="2">
        <v>9.0299999999999994</v>
      </c>
      <c r="BD423" s="2">
        <v>8.99</v>
      </c>
      <c r="BE423" s="2">
        <v>9.0299999999999994</v>
      </c>
      <c r="BF423" s="2">
        <v>8.99</v>
      </c>
      <c r="BG423" s="2">
        <v>9.01</v>
      </c>
      <c r="BH423" s="2">
        <v>8.99</v>
      </c>
      <c r="BI423" s="2">
        <v>9.0299999999999994</v>
      </c>
      <c r="BJ423" s="2">
        <v>8.99</v>
      </c>
      <c r="BK423" s="2">
        <v>8.99</v>
      </c>
      <c r="BL423" s="2">
        <v>8.99</v>
      </c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2"/>
      <c r="BZ423" s="1"/>
      <c r="CA423" s="2"/>
    </row>
    <row r="424" spans="1:79" x14ac:dyDescent="0.2">
      <c r="A424" s="124">
        <v>44326</v>
      </c>
      <c r="B424">
        <v>62.252000000000002</v>
      </c>
      <c r="C424">
        <v>62.502000000000002</v>
      </c>
      <c r="D424">
        <v>62.252000000000002</v>
      </c>
      <c r="E424">
        <v>62.502000000000002</v>
      </c>
      <c r="F424">
        <v>62.643999999999998</v>
      </c>
      <c r="G424">
        <v>62.643999999999998</v>
      </c>
      <c r="H424">
        <v>62.252000000000002</v>
      </c>
      <c r="I424">
        <v>62.502000000000002</v>
      </c>
      <c r="J424">
        <v>62.643999999999998</v>
      </c>
      <c r="K424">
        <v>62.643999999999998</v>
      </c>
      <c r="L424" s="7"/>
      <c r="N424" s="124">
        <v>44326</v>
      </c>
      <c r="O424" s="2">
        <v>9.0639500000000002</v>
      </c>
      <c r="P424" s="2">
        <v>9.0284499999999994</v>
      </c>
      <c r="Q424" s="2">
        <v>9.06</v>
      </c>
      <c r="R424" s="2">
        <v>9.0284499999999994</v>
      </c>
      <c r="S424" s="2">
        <v>9.0299999999999994</v>
      </c>
      <c r="T424" s="2">
        <v>9.0283499999999997</v>
      </c>
      <c r="U424" s="2">
        <v>9.0639500000000002</v>
      </c>
      <c r="V424" s="2">
        <v>9.0284499999999994</v>
      </c>
      <c r="W424" s="2">
        <v>9.0299999999999994</v>
      </c>
      <c r="X424" s="2">
        <v>9.0283499999999997</v>
      </c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2"/>
      <c r="AL424" s="1"/>
      <c r="AM424" s="2"/>
      <c r="AO424" s="124">
        <v>44326</v>
      </c>
      <c r="AP424">
        <v>62.252000000000002</v>
      </c>
      <c r="AQ424">
        <v>62.502000000000002</v>
      </c>
      <c r="AR424">
        <v>62.252000000000002</v>
      </c>
      <c r="AS424">
        <v>62.502000000000002</v>
      </c>
      <c r="AT424">
        <v>62.643999999999998</v>
      </c>
      <c r="AU424">
        <v>62.643999999999998</v>
      </c>
      <c r="AV424">
        <v>62.252000000000002</v>
      </c>
      <c r="AW424">
        <v>62.502000000000002</v>
      </c>
      <c r="AX424">
        <v>62.643999999999998</v>
      </c>
      <c r="AY424">
        <v>62.643999999999998</v>
      </c>
      <c r="AZ424" s="7"/>
      <c r="BB424" s="124">
        <v>44326</v>
      </c>
      <c r="BC424" s="2">
        <v>9.06</v>
      </c>
      <c r="BD424" s="2">
        <v>9.0299999999999994</v>
      </c>
      <c r="BE424" s="2">
        <v>9.06</v>
      </c>
      <c r="BF424" s="2">
        <v>9.0299999999999994</v>
      </c>
      <c r="BG424" s="2">
        <v>9.0299999999999994</v>
      </c>
      <c r="BH424" s="2">
        <v>9.0299999999999994</v>
      </c>
      <c r="BI424" s="2">
        <v>9.06</v>
      </c>
      <c r="BJ424" s="2">
        <v>9.0299999999999994</v>
      </c>
      <c r="BK424" s="2">
        <v>9.0299999999999994</v>
      </c>
      <c r="BL424" s="2">
        <v>9.0299999999999994</v>
      </c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2"/>
      <c r="BZ424" s="1"/>
      <c r="CA424" s="2"/>
    </row>
    <row r="425" spans="1:79" x14ac:dyDescent="0.2">
      <c r="A425" s="124">
        <v>44327</v>
      </c>
      <c r="B425">
        <v>60.999000000000002</v>
      </c>
      <c r="C425">
        <v>61.249000000000002</v>
      </c>
      <c r="D425">
        <v>60.999000000000002</v>
      </c>
      <c r="E425">
        <v>61.249000000000002</v>
      </c>
      <c r="F425">
        <v>61.392000000000003</v>
      </c>
      <c r="G425">
        <v>61.392000000000003</v>
      </c>
      <c r="H425">
        <v>60.999000000000002</v>
      </c>
      <c r="I425">
        <v>61.249000000000002</v>
      </c>
      <c r="J425">
        <v>61.392000000000003</v>
      </c>
      <c r="K425">
        <v>61.392000000000003</v>
      </c>
      <c r="L425" s="7"/>
      <c r="N425" s="124">
        <v>44327</v>
      </c>
      <c r="O425" s="2">
        <v>9.2490500000000004</v>
      </c>
      <c r="P425" s="2">
        <v>9.2126000000000001</v>
      </c>
      <c r="Q425" s="2">
        <v>9.25</v>
      </c>
      <c r="R425" s="2">
        <v>9.2126000000000001</v>
      </c>
      <c r="S425" s="2">
        <v>9.2100000000000009</v>
      </c>
      <c r="T425" s="2">
        <v>9.2126000000000001</v>
      </c>
      <c r="U425" s="2">
        <v>9.2490500000000004</v>
      </c>
      <c r="V425" s="2">
        <v>9.2126000000000001</v>
      </c>
      <c r="W425" s="2">
        <v>9.2100000000000009</v>
      </c>
      <c r="X425" s="2">
        <v>9.2126000000000001</v>
      </c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2"/>
      <c r="AL425" s="1"/>
      <c r="AM425" s="2"/>
      <c r="AO425" s="124">
        <v>44327</v>
      </c>
      <c r="AP425">
        <v>60.999000000000002</v>
      </c>
      <c r="AQ425">
        <v>61.249000000000002</v>
      </c>
      <c r="AR425">
        <v>60.999000000000002</v>
      </c>
      <c r="AS425">
        <v>61.249000000000002</v>
      </c>
      <c r="AT425">
        <v>61.392000000000003</v>
      </c>
      <c r="AU425">
        <v>61.392000000000003</v>
      </c>
      <c r="AV425">
        <v>60.999000000000002</v>
      </c>
      <c r="AW425">
        <v>61.249000000000002</v>
      </c>
      <c r="AX425">
        <v>61.392000000000003</v>
      </c>
      <c r="AY425">
        <v>61.392000000000003</v>
      </c>
      <c r="AZ425" s="7"/>
      <c r="BB425" s="124">
        <v>44327</v>
      </c>
      <c r="BC425" s="2">
        <v>9.25</v>
      </c>
      <c r="BD425" s="2">
        <v>9.2100000000000009</v>
      </c>
      <c r="BE425" s="2">
        <v>9.25</v>
      </c>
      <c r="BF425" s="2">
        <v>9.2100000000000009</v>
      </c>
      <c r="BG425" s="2">
        <v>9.2100000000000009</v>
      </c>
      <c r="BH425" s="2">
        <v>9.2100000000000009</v>
      </c>
      <c r="BI425" s="2">
        <v>9.25</v>
      </c>
      <c r="BJ425" s="2">
        <v>9.2100000000000009</v>
      </c>
      <c r="BK425" s="2">
        <v>9.2100000000000009</v>
      </c>
      <c r="BL425" s="2">
        <v>9.2100000000000009</v>
      </c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2"/>
      <c r="BZ425" s="1"/>
      <c r="CA425" s="2"/>
    </row>
    <row r="426" spans="1:79" x14ac:dyDescent="0.2">
      <c r="A426" s="124">
        <v>44328</v>
      </c>
      <c r="B426">
        <v>60.875</v>
      </c>
      <c r="C426">
        <v>61.125</v>
      </c>
      <c r="D426">
        <v>60.875</v>
      </c>
      <c r="E426">
        <v>61.125</v>
      </c>
      <c r="F426">
        <v>61.125</v>
      </c>
      <c r="G426">
        <v>61.125</v>
      </c>
      <c r="H426">
        <v>60.875</v>
      </c>
      <c r="I426">
        <v>61.125</v>
      </c>
      <c r="J426">
        <v>61.125</v>
      </c>
      <c r="K426">
        <v>61.125</v>
      </c>
      <c r="L426" s="7"/>
      <c r="N426" s="124">
        <v>44328</v>
      </c>
      <c r="O426" s="2">
        <v>9.2695000000000007</v>
      </c>
      <c r="P426" s="2">
        <v>9.2329500000000007</v>
      </c>
      <c r="Q426" s="2">
        <v>9.27</v>
      </c>
      <c r="R426" s="2">
        <v>9.2329500000000007</v>
      </c>
      <c r="S426" s="2">
        <v>9.25</v>
      </c>
      <c r="T426" s="2">
        <v>9.2543500000000005</v>
      </c>
      <c r="U426" s="2">
        <v>9.2695000000000007</v>
      </c>
      <c r="V426" s="2">
        <v>9.2329500000000007</v>
      </c>
      <c r="W426" s="2">
        <v>9.25</v>
      </c>
      <c r="X426" s="2">
        <v>9.2543500000000005</v>
      </c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2"/>
      <c r="AL426" s="1"/>
      <c r="AM426" s="2"/>
      <c r="AO426" s="124">
        <v>44328</v>
      </c>
      <c r="AP426">
        <v>60.875</v>
      </c>
      <c r="AQ426">
        <v>61.125</v>
      </c>
      <c r="AR426">
        <v>60.875</v>
      </c>
      <c r="AS426">
        <v>61.125</v>
      </c>
      <c r="AT426">
        <v>61.125</v>
      </c>
      <c r="AU426">
        <v>61.125</v>
      </c>
      <c r="AV426">
        <v>60.875</v>
      </c>
      <c r="AW426">
        <v>61.125</v>
      </c>
      <c r="AX426">
        <v>61.125</v>
      </c>
      <c r="AY426">
        <v>61.125</v>
      </c>
      <c r="AZ426" s="7"/>
      <c r="BB426" s="124">
        <v>44328</v>
      </c>
      <c r="BC426" s="2">
        <v>9.27</v>
      </c>
      <c r="BD426" s="2">
        <v>9.23</v>
      </c>
      <c r="BE426" s="2">
        <v>9.27</v>
      </c>
      <c r="BF426" s="2">
        <v>9.23</v>
      </c>
      <c r="BG426" s="2">
        <v>9.25</v>
      </c>
      <c r="BH426" s="2">
        <v>9.25</v>
      </c>
      <c r="BI426" s="2">
        <v>9.27</v>
      </c>
      <c r="BJ426" s="2">
        <v>9.23</v>
      </c>
      <c r="BK426" s="2">
        <v>9.25</v>
      </c>
      <c r="BL426" s="2">
        <v>9.25</v>
      </c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2"/>
      <c r="BZ426" s="1"/>
      <c r="CA426" s="2"/>
    </row>
    <row r="427" spans="1:79" x14ac:dyDescent="0.2">
      <c r="A427" s="124">
        <v>44329</v>
      </c>
      <c r="B427">
        <v>61.499000000000002</v>
      </c>
      <c r="C427">
        <v>61.749000000000002</v>
      </c>
      <c r="D427">
        <v>61.497999999999998</v>
      </c>
      <c r="E427">
        <v>61.749000000000002</v>
      </c>
      <c r="F427">
        <v>61.896999999999998</v>
      </c>
      <c r="G427">
        <v>61.896999999999998</v>
      </c>
      <c r="H427">
        <v>61.499000000000002</v>
      </c>
      <c r="I427">
        <v>61.749000000000002</v>
      </c>
      <c r="J427">
        <v>61.896999999999998</v>
      </c>
      <c r="K427">
        <v>61.896999999999998</v>
      </c>
      <c r="L427" s="7"/>
      <c r="N427" s="124">
        <v>44329</v>
      </c>
      <c r="O427" s="2">
        <v>9.1836000000000002</v>
      </c>
      <c r="P427" s="2">
        <v>9.1475000000000009</v>
      </c>
      <c r="Q427" s="2">
        <v>9.18</v>
      </c>
      <c r="R427" s="2">
        <v>9.1475000000000009</v>
      </c>
      <c r="S427" s="2">
        <v>9.15</v>
      </c>
      <c r="T427" s="2">
        <v>9.1476000000000006</v>
      </c>
      <c r="U427" s="2">
        <v>9.1836000000000002</v>
      </c>
      <c r="V427" s="2">
        <v>9.1475000000000009</v>
      </c>
      <c r="W427" s="2">
        <v>9.15</v>
      </c>
      <c r="X427" s="2">
        <v>9.1476000000000006</v>
      </c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2"/>
      <c r="AL427" s="1"/>
      <c r="AM427" s="2"/>
      <c r="AO427" s="124">
        <v>44329</v>
      </c>
      <c r="AP427">
        <v>61.497999999999998</v>
      </c>
      <c r="AQ427">
        <v>61.747999999999998</v>
      </c>
      <c r="AR427">
        <v>61.497999999999998</v>
      </c>
      <c r="AS427">
        <v>61.749000000000002</v>
      </c>
      <c r="AT427">
        <v>61.896999999999998</v>
      </c>
      <c r="AU427">
        <v>61.896999999999998</v>
      </c>
      <c r="AV427">
        <v>61.497999999999998</v>
      </c>
      <c r="AW427">
        <v>61.747999999999998</v>
      </c>
      <c r="AX427">
        <v>61.896999999999998</v>
      </c>
      <c r="AY427">
        <v>61.896999999999998</v>
      </c>
      <c r="AZ427" s="7"/>
      <c r="BB427" s="124">
        <v>44329</v>
      </c>
      <c r="BC427" s="2">
        <v>9.18</v>
      </c>
      <c r="BD427" s="2">
        <v>9.15</v>
      </c>
      <c r="BE427" s="2">
        <v>9.18</v>
      </c>
      <c r="BF427" s="2">
        <v>9.15</v>
      </c>
      <c r="BG427" s="2">
        <v>9.15</v>
      </c>
      <c r="BH427" s="2">
        <v>9.15</v>
      </c>
      <c r="BI427" s="2">
        <v>9.18</v>
      </c>
      <c r="BJ427" s="2">
        <v>9.15</v>
      </c>
      <c r="BK427" s="2">
        <v>9.15</v>
      </c>
      <c r="BL427" s="2">
        <v>9.15</v>
      </c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2"/>
      <c r="BZ427" s="1"/>
      <c r="CA427" s="2"/>
    </row>
    <row r="428" spans="1:79" x14ac:dyDescent="0.2">
      <c r="A428" s="124">
        <v>44330</v>
      </c>
      <c r="B428">
        <v>62.75</v>
      </c>
      <c r="C428">
        <v>63</v>
      </c>
      <c r="D428">
        <v>62.749000000000002</v>
      </c>
      <c r="E428">
        <v>63</v>
      </c>
      <c r="F428">
        <v>63.15</v>
      </c>
      <c r="G428">
        <v>63.15</v>
      </c>
      <c r="H428">
        <v>62.75</v>
      </c>
      <c r="I428">
        <v>63</v>
      </c>
      <c r="J428">
        <v>63.149000000000001</v>
      </c>
      <c r="K428">
        <v>63.15</v>
      </c>
      <c r="L428" s="7"/>
      <c r="N428" s="124">
        <v>44330</v>
      </c>
      <c r="O428" s="2">
        <v>9.0044500000000003</v>
      </c>
      <c r="P428" s="2">
        <v>8.9692500000000006</v>
      </c>
      <c r="Q428" s="2">
        <v>9</v>
      </c>
      <c r="R428" s="2">
        <v>8.9692500000000006</v>
      </c>
      <c r="S428" s="2">
        <v>8.9700000000000006</v>
      </c>
      <c r="T428" s="2">
        <v>8.9692500000000006</v>
      </c>
      <c r="U428" s="2">
        <v>9.0044500000000003</v>
      </c>
      <c r="V428" s="2">
        <v>8.9692500000000006</v>
      </c>
      <c r="W428" s="2">
        <v>8.9700000000000006</v>
      </c>
      <c r="X428" s="2">
        <v>8.9692500000000006</v>
      </c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2"/>
      <c r="AL428" s="1"/>
      <c r="AM428" s="2"/>
      <c r="AO428" s="124">
        <v>44330</v>
      </c>
      <c r="AP428">
        <v>62.749000000000002</v>
      </c>
      <c r="AQ428">
        <v>62.999000000000002</v>
      </c>
      <c r="AR428">
        <v>62.749000000000002</v>
      </c>
      <c r="AS428">
        <v>63</v>
      </c>
      <c r="AT428">
        <v>63.149000000000001</v>
      </c>
      <c r="AU428">
        <v>63.149000000000001</v>
      </c>
      <c r="AV428">
        <v>62.749000000000002</v>
      </c>
      <c r="AW428">
        <v>62.999000000000002</v>
      </c>
      <c r="AX428">
        <v>63.15</v>
      </c>
      <c r="AY428">
        <v>63.15</v>
      </c>
      <c r="AZ428" s="7"/>
      <c r="BB428" s="124">
        <v>44330</v>
      </c>
      <c r="BC428" s="2">
        <v>9</v>
      </c>
      <c r="BD428" s="2">
        <v>8.9700000000000006</v>
      </c>
      <c r="BE428" s="2">
        <v>9</v>
      </c>
      <c r="BF428" s="2">
        <v>8.9700000000000006</v>
      </c>
      <c r="BG428" s="2">
        <v>8.9700000000000006</v>
      </c>
      <c r="BH428" s="2">
        <v>8.9700000000000006</v>
      </c>
      <c r="BI428" s="2">
        <v>9</v>
      </c>
      <c r="BJ428" s="2">
        <v>8.9700000000000006</v>
      </c>
      <c r="BK428" s="2">
        <v>8.9700000000000006</v>
      </c>
      <c r="BL428" s="2">
        <v>8.9700000000000006</v>
      </c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2"/>
      <c r="BZ428" s="1"/>
      <c r="CA428" s="2"/>
    </row>
    <row r="429" spans="1:79" x14ac:dyDescent="0.2">
      <c r="A429" s="124">
        <v>44333</v>
      </c>
      <c r="B429">
        <v>63.377000000000002</v>
      </c>
      <c r="C429">
        <v>63.627000000000002</v>
      </c>
      <c r="D429">
        <v>63.375999999999998</v>
      </c>
      <c r="E429">
        <v>63.627000000000002</v>
      </c>
      <c r="F429">
        <v>63.777999999999999</v>
      </c>
      <c r="G429">
        <v>63.777999999999999</v>
      </c>
      <c r="H429">
        <v>63.377000000000002</v>
      </c>
      <c r="I429">
        <v>63.627000000000002</v>
      </c>
      <c r="J429">
        <v>63.904000000000003</v>
      </c>
      <c r="K429">
        <v>63.777999999999999</v>
      </c>
      <c r="L429" s="7"/>
      <c r="N429" s="124">
        <v>44333</v>
      </c>
      <c r="O429" s="2">
        <v>8.9172999999999991</v>
      </c>
      <c r="P429" s="2">
        <v>8.8825000000000003</v>
      </c>
      <c r="Q429" s="2">
        <v>8.92</v>
      </c>
      <c r="R429" s="2">
        <v>8.8825000000000003</v>
      </c>
      <c r="S429" s="2">
        <v>8.8800000000000008</v>
      </c>
      <c r="T429" s="2">
        <v>8.8825500000000002</v>
      </c>
      <c r="U429" s="2">
        <v>8.9172999999999991</v>
      </c>
      <c r="V429" s="2">
        <v>8.8825000000000003</v>
      </c>
      <c r="W429" s="2">
        <v>8.86</v>
      </c>
      <c r="X429" s="2">
        <v>8.8825500000000002</v>
      </c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2"/>
      <c r="AL429" s="1"/>
      <c r="AM429" s="2"/>
      <c r="AO429" s="124">
        <v>44333</v>
      </c>
      <c r="AP429">
        <v>63.375999999999998</v>
      </c>
      <c r="AQ429">
        <v>63.625999999999998</v>
      </c>
      <c r="AR429">
        <v>63.375999999999998</v>
      </c>
      <c r="AS429">
        <v>63.627000000000002</v>
      </c>
      <c r="AT429">
        <v>63.777999999999999</v>
      </c>
      <c r="AU429">
        <v>63.777999999999999</v>
      </c>
      <c r="AV429">
        <v>63.375999999999998</v>
      </c>
      <c r="AW429">
        <v>63.625999999999998</v>
      </c>
      <c r="AX429">
        <v>63.777999999999999</v>
      </c>
      <c r="AY429">
        <v>63.777999999999999</v>
      </c>
      <c r="AZ429" s="7"/>
      <c r="BB429" s="124">
        <v>44333</v>
      </c>
      <c r="BC429" s="2">
        <v>8.92</v>
      </c>
      <c r="BD429" s="2">
        <v>8.8800000000000008</v>
      </c>
      <c r="BE429" s="2">
        <v>8.92</v>
      </c>
      <c r="BF429" s="2">
        <v>8.8800000000000008</v>
      </c>
      <c r="BG429" s="2">
        <v>8.8800000000000008</v>
      </c>
      <c r="BH429" s="2">
        <v>8.8800000000000008</v>
      </c>
      <c r="BI429" s="2">
        <v>8.92</v>
      </c>
      <c r="BJ429" s="2">
        <v>8.8800000000000008</v>
      </c>
      <c r="BK429" s="2">
        <v>8.8800000000000008</v>
      </c>
      <c r="BL429" s="2">
        <v>8.8800000000000008</v>
      </c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2"/>
      <c r="BZ429" s="1"/>
      <c r="CA429" s="2"/>
    </row>
    <row r="430" spans="1:79" x14ac:dyDescent="0.2">
      <c r="A430" s="124">
        <v>44334</v>
      </c>
      <c r="B430">
        <v>63.749000000000002</v>
      </c>
      <c r="C430">
        <v>63.999000000000002</v>
      </c>
      <c r="D430">
        <v>63.749000000000002</v>
      </c>
      <c r="E430">
        <v>63.999000000000002</v>
      </c>
      <c r="F430">
        <v>64.152000000000001</v>
      </c>
      <c r="G430">
        <v>64.152000000000001</v>
      </c>
      <c r="H430">
        <v>63.749000000000002</v>
      </c>
      <c r="I430">
        <v>63.999000000000002</v>
      </c>
      <c r="J430">
        <v>64.152000000000001</v>
      </c>
      <c r="K430">
        <v>64.152000000000001</v>
      </c>
      <c r="L430" s="7"/>
      <c r="N430" s="124">
        <v>44334</v>
      </c>
      <c r="O430" s="2">
        <v>8.8668999999999993</v>
      </c>
      <c r="P430" s="2">
        <v>8.8323</v>
      </c>
      <c r="Q430" s="2">
        <v>8.8699999999999992</v>
      </c>
      <c r="R430" s="2">
        <v>8.8323</v>
      </c>
      <c r="S430" s="2">
        <v>8.83</v>
      </c>
      <c r="T430" s="2">
        <v>8.8322500000000002</v>
      </c>
      <c r="U430" s="2">
        <v>8.8668999999999993</v>
      </c>
      <c r="V430" s="2">
        <v>8.8323</v>
      </c>
      <c r="W430" s="2">
        <v>8.83</v>
      </c>
      <c r="X430" s="2">
        <v>8.8322500000000002</v>
      </c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2"/>
      <c r="AL430" s="1"/>
      <c r="AM430" s="2"/>
      <c r="AO430" s="124">
        <v>44334</v>
      </c>
      <c r="AP430">
        <v>63.749000000000002</v>
      </c>
      <c r="AQ430">
        <v>63.999000000000002</v>
      </c>
      <c r="AR430">
        <v>63.749000000000002</v>
      </c>
      <c r="AS430">
        <v>63.999000000000002</v>
      </c>
      <c r="AT430">
        <v>64.152000000000001</v>
      </c>
      <c r="AU430">
        <v>64.152000000000001</v>
      </c>
      <c r="AV430">
        <v>63.749000000000002</v>
      </c>
      <c r="AW430">
        <v>63.999000000000002</v>
      </c>
      <c r="AX430">
        <v>64.152000000000001</v>
      </c>
      <c r="AY430">
        <v>64.152000000000001</v>
      </c>
      <c r="AZ430" s="7"/>
      <c r="BB430" s="124">
        <v>44334</v>
      </c>
      <c r="BC430" s="2">
        <v>8.8699999999999992</v>
      </c>
      <c r="BD430" s="2">
        <v>8.83</v>
      </c>
      <c r="BE430" s="2">
        <v>8.8699999999999992</v>
      </c>
      <c r="BF430" s="2">
        <v>8.83</v>
      </c>
      <c r="BG430" s="2">
        <v>8.83</v>
      </c>
      <c r="BH430" s="2">
        <v>8.83</v>
      </c>
      <c r="BI430" s="2">
        <v>8.8699999999999992</v>
      </c>
      <c r="BJ430" s="2">
        <v>8.83</v>
      </c>
      <c r="BK430" s="2">
        <v>8.83</v>
      </c>
      <c r="BL430" s="2">
        <v>8.83</v>
      </c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2"/>
      <c r="BZ430" s="1"/>
      <c r="CA430" s="2"/>
    </row>
    <row r="431" spans="1:79" x14ac:dyDescent="0.2">
      <c r="A431" s="124">
        <v>44335</v>
      </c>
      <c r="B431">
        <v>63.250999999999998</v>
      </c>
      <c r="C431">
        <v>63.500999999999998</v>
      </c>
      <c r="D431">
        <v>63.25</v>
      </c>
      <c r="E431">
        <v>63.500999999999998</v>
      </c>
      <c r="F431">
        <v>63.655000000000001</v>
      </c>
      <c r="G431">
        <v>63.655000000000001</v>
      </c>
      <c r="H431">
        <v>63.250999999999998</v>
      </c>
      <c r="I431">
        <v>63.500999999999998</v>
      </c>
      <c r="J431">
        <v>63.655000000000001</v>
      </c>
      <c r="K431">
        <v>63.655000000000001</v>
      </c>
      <c r="L431" s="7"/>
      <c r="N431" s="124">
        <v>44335</v>
      </c>
      <c r="O431" s="2">
        <v>8.9390999999999998</v>
      </c>
      <c r="P431" s="2">
        <v>8.9041999999999994</v>
      </c>
      <c r="Q431" s="2">
        <v>8.94</v>
      </c>
      <c r="R431" s="2">
        <v>8.9041999999999994</v>
      </c>
      <c r="S431" s="2">
        <v>8.9</v>
      </c>
      <c r="T431" s="2">
        <v>8.9041999999999994</v>
      </c>
      <c r="U431" s="2">
        <v>8.9390999999999998</v>
      </c>
      <c r="V431" s="2">
        <v>8.9041999999999994</v>
      </c>
      <c r="W431" s="2">
        <v>8.9</v>
      </c>
      <c r="X431" s="2">
        <v>8.9041999999999994</v>
      </c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2"/>
      <c r="AL431" s="1"/>
      <c r="AM431" s="2"/>
      <c r="AO431" s="124">
        <v>44335</v>
      </c>
      <c r="AP431">
        <v>63.25</v>
      </c>
      <c r="AQ431">
        <v>63.5</v>
      </c>
      <c r="AR431">
        <v>63.25</v>
      </c>
      <c r="AS431">
        <v>63.500999999999998</v>
      </c>
      <c r="AT431">
        <v>63.655000000000001</v>
      </c>
      <c r="AU431">
        <v>63.655000000000001</v>
      </c>
      <c r="AV431">
        <v>63.25</v>
      </c>
      <c r="AW431">
        <v>63.5</v>
      </c>
      <c r="AX431">
        <v>63.655000000000001</v>
      </c>
      <c r="AY431">
        <v>63.655000000000001</v>
      </c>
      <c r="AZ431" s="7"/>
      <c r="BB431" s="124">
        <v>44335</v>
      </c>
      <c r="BC431" s="2">
        <v>8.94</v>
      </c>
      <c r="BD431" s="2">
        <v>8.9</v>
      </c>
      <c r="BE431" s="2">
        <v>8.94</v>
      </c>
      <c r="BF431" s="2">
        <v>8.9</v>
      </c>
      <c r="BG431" s="2">
        <v>8.9</v>
      </c>
      <c r="BH431" s="2">
        <v>8.9</v>
      </c>
      <c r="BI431" s="2">
        <v>8.94</v>
      </c>
      <c r="BJ431" s="2">
        <v>8.9</v>
      </c>
      <c r="BK431" s="2">
        <v>8.9</v>
      </c>
      <c r="BL431" s="2">
        <v>8.9</v>
      </c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2"/>
      <c r="BZ431" s="1"/>
      <c r="CA431" s="2"/>
    </row>
    <row r="432" spans="1:79" x14ac:dyDescent="0.2">
      <c r="A432" s="124">
        <v>44336</v>
      </c>
      <c r="B432">
        <v>63.749000000000002</v>
      </c>
      <c r="C432">
        <v>63.999000000000002</v>
      </c>
      <c r="D432">
        <v>63.747999999999998</v>
      </c>
      <c r="E432">
        <v>63.999000000000002</v>
      </c>
      <c r="F432">
        <v>64.156999999999996</v>
      </c>
      <c r="G432">
        <v>64.156999999999996</v>
      </c>
      <c r="H432">
        <v>63.749000000000002</v>
      </c>
      <c r="I432">
        <v>63.999000000000002</v>
      </c>
      <c r="J432">
        <v>64.156999999999996</v>
      </c>
      <c r="K432">
        <v>64.156999999999996</v>
      </c>
      <c r="L432" s="7"/>
      <c r="N432" s="124">
        <v>44336</v>
      </c>
      <c r="O432" s="2">
        <v>8.8747500000000006</v>
      </c>
      <c r="P432" s="2">
        <v>8.8401499999999995</v>
      </c>
      <c r="Q432" s="2">
        <v>8.8699999999999992</v>
      </c>
      <c r="R432" s="2">
        <v>8.8401499999999995</v>
      </c>
      <c r="S432" s="2">
        <v>8.84</v>
      </c>
      <c r="T432" s="2">
        <v>8.8401499999999995</v>
      </c>
      <c r="U432" s="2">
        <v>8.8747500000000006</v>
      </c>
      <c r="V432" s="2">
        <v>8.8401499999999995</v>
      </c>
      <c r="W432" s="2">
        <v>8.84</v>
      </c>
      <c r="X432" s="2">
        <v>8.8401499999999995</v>
      </c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2"/>
      <c r="AL432" s="1"/>
      <c r="AM432" s="2"/>
      <c r="AO432" s="124">
        <v>44336</v>
      </c>
      <c r="AP432">
        <v>63.747999999999998</v>
      </c>
      <c r="AQ432">
        <v>63.997999999999998</v>
      </c>
      <c r="AR432">
        <v>63.747999999999998</v>
      </c>
      <c r="AS432">
        <v>63.999000000000002</v>
      </c>
      <c r="AT432">
        <v>64.156999999999996</v>
      </c>
      <c r="AU432">
        <v>64.156999999999996</v>
      </c>
      <c r="AV432">
        <v>63.747999999999998</v>
      </c>
      <c r="AW432">
        <v>63.997999999999998</v>
      </c>
      <c r="AX432">
        <v>64.156999999999996</v>
      </c>
      <c r="AY432">
        <v>64.156999999999996</v>
      </c>
      <c r="AZ432" s="7"/>
      <c r="BB432" s="124">
        <v>44336</v>
      </c>
      <c r="BC432" s="2">
        <v>8.8699999999999992</v>
      </c>
      <c r="BD432" s="2">
        <v>8.84</v>
      </c>
      <c r="BE432" s="2">
        <v>8.8699999999999992</v>
      </c>
      <c r="BF432" s="2">
        <v>8.84</v>
      </c>
      <c r="BG432" s="2">
        <v>8.84</v>
      </c>
      <c r="BH432" s="2">
        <v>8.84</v>
      </c>
      <c r="BI432" s="2">
        <v>8.8699999999999992</v>
      </c>
      <c r="BJ432" s="2">
        <v>8.84</v>
      </c>
      <c r="BK432" s="2">
        <v>8.84</v>
      </c>
      <c r="BL432" s="2">
        <v>8.84</v>
      </c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2"/>
      <c r="BZ432" s="1"/>
      <c r="CA432" s="2"/>
    </row>
    <row r="433" spans="1:79" x14ac:dyDescent="0.2">
      <c r="A433" s="124">
        <v>44337</v>
      </c>
      <c r="B433">
        <v>64.25</v>
      </c>
      <c r="C433">
        <v>64.5</v>
      </c>
      <c r="D433">
        <v>64.25</v>
      </c>
      <c r="E433">
        <v>64.5</v>
      </c>
      <c r="F433">
        <v>64.5</v>
      </c>
      <c r="G433">
        <v>64.5</v>
      </c>
      <c r="H433">
        <v>64.25</v>
      </c>
      <c r="I433">
        <v>64.5</v>
      </c>
      <c r="J433">
        <v>64.5</v>
      </c>
      <c r="K433">
        <v>64.5</v>
      </c>
      <c r="L433" s="7"/>
      <c r="N433" s="124">
        <v>44337</v>
      </c>
      <c r="O433" s="2">
        <v>8.8066499999999994</v>
      </c>
      <c r="P433" s="2">
        <v>8.7723499999999994</v>
      </c>
      <c r="Q433" s="2">
        <v>8.81</v>
      </c>
      <c r="R433" s="2">
        <v>8.7723499999999994</v>
      </c>
      <c r="S433" s="2">
        <v>8.7899999999999991</v>
      </c>
      <c r="T433" s="2">
        <v>8.7944999999999993</v>
      </c>
      <c r="U433" s="2">
        <v>8.8066499999999994</v>
      </c>
      <c r="V433" s="2">
        <v>8.7723499999999994</v>
      </c>
      <c r="W433" s="2">
        <v>8.7899999999999991</v>
      </c>
      <c r="X433" s="2">
        <v>8.7944999999999993</v>
      </c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2"/>
      <c r="AL433" s="1"/>
      <c r="AM433" s="2"/>
      <c r="AO433" s="124">
        <v>44337</v>
      </c>
      <c r="AP433">
        <v>64.25</v>
      </c>
      <c r="AQ433">
        <v>64.5</v>
      </c>
      <c r="AR433">
        <v>64.25</v>
      </c>
      <c r="AS433">
        <v>64.5</v>
      </c>
      <c r="AT433">
        <v>64.5</v>
      </c>
      <c r="AU433">
        <v>64.5</v>
      </c>
      <c r="AV433">
        <v>64.25</v>
      </c>
      <c r="AW433">
        <v>64.5</v>
      </c>
      <c r="AX433">
        <v>64.5</v>
      </c>
      <c r="AY433">
        <v>64.5</v>
      </c>
      <c r="AZ433" s="7"/>
      <c r="BB433" s="124">
        <v>44337</v>
      </c>
      <c r="BC433" s="2">
        <v>8.81</v>
      </c>
      <c r="BD433" s="2">
        <v>8.77</v>
      </c>
      <c r="BE433" s="2">
        <v>8.81</v>
      </c>
      <c r="BF433" s="2">
        <v>8.77</v>
      </c>
      <c r="BG433" s="2">
        <v>8.7899999999999991</v>
      </c>
      <c r="BH433" s="2">
        <v>8.7899999999999991</v>
      </c>
      <c r="BI433" s="2">
        <v>8.81</v>
      </c>
      <c r="BJ433" s="2">
        <v>8.77</v>
      </c>
      <c r="BK433" s="2">
        <v>8.7899999999999991</v>
      </c>
      <c r="BL433" s="2">
        <v>8.7899999999999991</v>
      </c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2"/>
      <c r="BZ433" s="1"/>
      <c r="CA433" s="2"/>
    </row>
    <row r="434" spans="1:79" x14ac:dyDescent="0.2">
      <c r="A434" s="124">
        <v>44340</v>
      </c>
      <c r="B434">
        <v>64.25</v>
      </c>
      <c r="C434">
        <v>64.5</v>
      </c>
      <c r="D434">
        <v>64.25</v>
      </c>
      <c r="E434">
        <v>64.5</v>
      </c>
      <c r="F434">
        <v>64.5</v>
      </c>
      <c r="G434">
        <v>64.5</v>
      </c>
      <c r="H434">
        <v>64.25</v>
      </c>
      <c r="I434">
        <v>64.5</v>
      </c>
      <c r="J434">
        <v>64.5</v>
      </c>
      <c r="K434">
        <v>64.5</v>
      </c>
      <c r="L434" s="7"/>
      <c r="N434" s="124">
        <v>44340</v>
      </c>
      <c r="O434" s="2">
        <v>8.8086000000000002</v>
      </c>
      <c r="P434" s="2">
        <v>8.7743000000000002</v>
      </c>
      <c r="Q434" s="2">
        <v>8.81</v>
      </c>
      <c r="R434" s="2">
        <v>8.7743000000000002</v>
      </c>
      <c r="S434" s="2">
        <v>8.8000000000000007</v>
      </c>
      <c r="T434" s="2">
        <v>8.7966499999999996</v>
      </c>
      <c r="U434" s="2">
        <v>8.8086000000000002</v>
      </c>
      <c r="V434" s="2">
        <v>8.7743000000000002</v>
      </c>
      <c r="W434" s="2">
        <v>8.8000000000000007</v>
      </c>
      <c r="X434" s="2">
        <v>8.7966499999999996</v>
      </c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2"/>
      <c r="AL434" s="1"/>
      <c r="AM434" s="2"/>
      <c r="AO434" s="124">
        <v>44340</v>
      </c>
      <c r="AP434">
        <v>64.25</v>
      </c>
      <c r="AQ434">
        <v>64.5</v>
      </c>
      <c r="AR434">
        <v>64.25</v>
      </c>
      <c r="AS434">
        <v>64.5</v>
      </c>
      <c r="AT434">
        <v>64.5</v>
      </c>
      <c r="AU434">
        <v>64.5</v>
      </c>
      <c r="AV434">
        <v>64.25</v>
      </c>
      <c r="AW434">
        <v>64.5</v>
      </c>
      <c r="AX434">
        <v>64.5</v>
      </c>
      <c r="AY434">
        <v>64.5</v>
      </c>
      <c r="AZ434" s="7"/>
      <c r="BB434" s="124">
        <v>44340</v>
      </c>
      <c r="BC434" s="2">
        <v>8.81</v>
      </c>
      <c r="BD434" s="2">
        <v>8.77</v>
      </c>
      <c r="BE434" s="2">
        <v>8.81</v>
      </c>
      <c r="BF434" s="2">
        <v>8.77</v>
      </c>
      <c r="BG434" s="2">
        <v>8.8000000000000007</v>
      </c>
      <c r="BH434" s="2">
        <v>8.8000000000000007</v>
      </c>
      <c r="BI434" s="2">
        <v>8.81</v>
      </c>
      <c r="BJ434" s="2">
        <v>8.77</v>
      </c>
      <c r="BK434" s="2">
        <v>8.8000000000000007</v>
      </c>
      <c r="BL434" s="2">
        <v>8.8000000000000007</v>
      </c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2"/>
      <c r="BZ434" s="1"/>
      <c r="CA434" s="2"/>
    </row>
    <row r="435" spans="1:79" x14ac:dyDescent="0.2">
      <c r="A435" s="124">
        <v>44341</v>
      </c>
      <c r="B435">
        <v>64.375</v>
      </c>
      <c r="C435">
        <v>64.625</v>
      </c>
      <c r="D435">
        <v>64.375</v>
      </c>
      <c r="E435">
        <v>64.644000000000005</v>
      </c>
      <c r="F435">
        <v>64.625</v>
      </c>
      <c r="G435">
        <v>64.625</v>
      </c>
      <c r="H435">
        <v>64.375</v>
      </c>
      <c r="I435">
        <v>64.625</v>
      </c>
      <c r="J435">
        <v>64.805999999999997</v>
      </c>
      <c r="K435">
        <v>64.805999999999997</v>
      </c>
      <c r="L435" s="7"/>
      <c r="N435" s="124">
        <v>44341</v>
      </c>
      <c r="O435" s="2">
        <v>8.7931500000000007</v>
      </c>
      <c r="P435" s="2">
        <v>8.7589500000000005</v>
      </c>
      <c r="Q435" s="2">
        <v>8.7899999999999991</v>
      </c>
      <c r="R435" s="2">
        <v>8.7563499999999994</v>
      </c>
      <c r="S435" s="2">
        <v>8.7799999999999994</v>
      </c>
      <c r="T435" s="2">
        <v>8.7814499999999995</v>
      </c>
      <c r="U435" s="2">
        <v>8.7931500000000007</v>
      </c>
      <c r="V435" s="2">
        <v>8.7589500000000005</v>
      </c>
      <c r="W435" s="2">
        <v>8.76</v>
      </c>
      <c r="X435" s="2">
        <v>8.7563499999999994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2"/>
      <c r="AL435" s="1"/>
      <c r="AM435" s="2"/>
      <c r="AO435" s="124">
        <v>44341</v>
      </c>
      <c r="AP435">
        <v>64.393000000000001</v>
      </c>
      <c r="AQ435">
        <v>64.625</v>
      </c>
      <c r="AR435">
        <v>64.375</v>
      </c>
      <c r="AS435">
        <v>64.625</v>
      </c>
      <c r="AT435">
        <v>64.625</v>
      </c>
      <c r="AU435">
        <v>64.625</v>
      </c>
      <c r="AV435">
        <v>64.393000000000001</v>
      </c>
      <c r="AW435">
        <v>64.625</v>
      </c>
      <c r="AX435">
        <v>64.805999999999997</v>
      </c>
      <c r="AY435">
        <v>64.625</v>
      </c>
      <c r="AZ435" s="7"/>
      <c r="BB435" s="124">
        <v>44341</v>
      </c>
      <c r="BC435" s="2">
        <v>8.7899999999999991</v>
      </c>
      <c r="BD435" s="2">
        <v>8.76</v>
      </c>
      <c r="BE435" s="2">
        <v>8.7899999999999991</v>
      </c>
      <c r="BF435" s="2">
        <v>8.76</v>
      </c>
      <c r="BG435" s="2">
        <v>8.7799999999999994</v>
      </c>
      <c r="BH435" s="2">
        <v>8.7799999999999994</v>
      </c>
      <c r="BI435" s="2">
        <v>8.7899999999999991</v>
      </c>
      <c r="BJ435" s="2">
        <v>8.76</v>
      </c>
      <c r="BK435" s="2">
        <v>8.76</v>
      </c>
      <c r="BL435" s="2">
        <v>8.7799999999999994</v>
      </c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2"/>
      <c r="BZ435" s="1"/>
      <c r="CA435" s="2"/>
    </row>
    <row r="436" spans="1:79" x14ac:dyDescent="0.2">
      <c r="A436" s="124">
        <v>44342</v>
      </c>
      <c r="B436">
        <v>64.501000000000005</v>
      </c>
      <c r="C436">
        <v>64.751000000000005</v>
      </c>
      <c r="D436">
        <v>64.5</v>
      </c>
      <c r="E436">
        <v>64.751000000000005</v>
      </c>
      <c r="F436">
        <v>64.75</v>
      </c>
      <c r="G436">
        <v>64.915000000000006</v>
      </c>
      <c r="H436">
        <v>64.501000000000005</v>
      </c>
      <c r="I436">
        <v>64.751000000000005</v>
      </c>
      <c r="J436">
        <v>64.914000000000001</v>
      </c>
      <c r="K436">
        <v>64.915000000000006</v>
      </c>
      <c r="L436" s="7"/>
      <c r="N436" s="124">
        <v>44342</v>
      </c>
      <c r="O436" s="2">
        <v>8.7775999999999996</v>
      </c>
      <c r="P436" s="2">
        <v>8.7434499999999993</v>
      </c>
      <c r="Q436" s="2">
        <v>8.7799999999999994</v>
      </c>
      <c r="R436" s="2">
        <v>8.7434499999999993</v>
      </c>
      <c r="S436" s="2">
        <v>8.77</v>
      </c>
      <c r="T436" s="2">
        <v>8.7434499999999993</v>
      </c>
      <c r="U436" s="2">
        <v>8.7775999999999996</v>
      </c>
      <c r="V436" s="2">
        <v>8.7434499999999993</v>
      </c>
      <c r="W436" s="2">
        <v>8.74</v>
      </c>
      <c r="X436" s="2">
        <v>8.7434499999999993</v>
      </c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2"/>
      <c r="AL436" s="1"/>
      <c r="AM436" s="2"/>
      <c r="AO436" s="124">
        <v>44342</v>
      </c>
      <c r="AP436">
        <v>64.5</v>
      </c>
      <c r="AQ436">
        <v>64.75</v>
      </c>
      <c r="AR436">
        <v>64.5</v>
      </c>
      <c r="AS436">
        <v>64.751000000000005</v>
      </c>
      <c r="AT436">
        <v>64.914000000000001</v>
      </c>
      <c r="AU436">
        <v>64.914000000000001</v>
      </c>
      <c r="AV436">
        <v>64.5</v>
      </c>
      <c r="AW436">
        <v>64.75</v>
      </c>
      <c r="AX436">
        <v>64.915000000000006</v>
      </c>
      <c r="AY436">
        <v>64.915000000000006</v>
      </c>
      <c r="AZ436" s="7"/>
      <c r="BB436" s="124">
        <v>44342</v>
      </c>
      <c r="BC436" s="2">
        <v>8.7799999999999994</v>
      </c>
      <c r="BD436" s="2">
        <v>8.74</v>
      </c>
      <c r="BE436" s="2">
        <v>8.7799999999999994</v>
      </c>
      <c r="BF436" s="2">
        <v>8.74</v>
      </c>
      <c r="BG436" s="2">
        <v>8.74</v>
      </c>
      <c r="BH436" s="2">
        <v>8.74</v>
      </c>
      <c r="BI436" s="2">
        <v>8.7799999999999994</v>
      </c>
      <c r="BJ436" s="2">
        <v>8.74</v>
      </c>
      <c r="BK436" s="2">
        <v>8.74</v>
      </c>
      <c r="BL436" s="2">
        <v>8.74</v>
      </c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2"/>
      <c r="BZ436" s="1"/>
      <c r="CA436" s="2"/>
    </row>
    <row r="437" spans="1:79" x14ac:dyDescent="0.2">
      <c r="A437" s="124">
        <v>44343</v>
      </c>
      <c r="B437">
        <v>64.251000000000005</v>
      </c>
      <c r="C437">
        <v>64.501000000000005</v>
      </c>
      <c r="D437">
        <v>64.25</v>
      </c>
      <c r="E437">
        <v>64.501000000000005</v>
      </c>
      <c r="F437">
        <v>64.668999999999997</v>
      </c>
      <c r="G437">
        <v>64.668999999999997</v>
      </c>
      <c r="H437">
        <v>64.251000000000005</v>
      </c>
      <c r="I437">
        <v>64.501000000000005</v>
      </c>
      <c r="J437">
        <v>64.914000000000001</v>
      </c>
      <c r="K437">
        <v>64.668999999999997</v>
      </c>
      <c r="L437" s="7"/>
      <c r="N437" s="124">
        <v>44343</v>
      </c>
      <c r="O437" s="2">
        <v>8.8182500000000008</v>
      </c>
      <c r="P437" s="2">
        <v>8.7838999999999992</v>
      </c>
      <c r="Q437" s="2">
        <v>8.82</v>
      </c>
      <c r="R437" s="2">
        <v>8.7838999999999992</v>
      </c>
      <c r="S437" s="2">
        <v>8.7799999999999994</v>
      </c>
      <c r="T437" s="2">
        <v>8.7839500000000008</v>
      </c>
      <c r="U437" s="2">
        <v>8.8182500000000008</v>
      </c>
      <c r="V437" s="2">
        <v>8.7838999999999992</v>
      </c>
      <c r="W437" s="2">
        <v>8.75</v>
      </c>
      <c r="X437" s="2">
        <v>8.7839500000000008</v>
      </c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2"/>
      <c r="AL437" s="1"/>
      <c r="AM437" s="2"/>
      <c r="AO437" s="124">
        <v>44343</v>
      </c>
      <c r="AP437">
        <v>64.5</v>
      </c>
      <c r="AQ437">
        <v>64.5</v>
      </c>
      <c r="AR437">
        <v>64.25</v>
      </c>
      <c r="AS437">
        <v>64.501000000000005</v>
      </c>
      <c r="AT437">
        <v>64.668000000000006</v>
      </c>
      <c r="AU437">
        <v>64.668000000000006</v>
      </c>
      <c r="AV437">
        <v>64.5</v>
      </c>
      <c r="AW437">
        <v>64.5</v>
      </c>
      <c r="AX437">
        <v>64.668999999999997</v>
      </c>
      <c r="AY437">
        <v>64.668999999999997</v>
      </c>
      <c r="AZ437" s="7"/>
      <c r="BB437" s="124">
        <v>44343</v>
      </c>
      <c r="BC437" s="2">
        <v>8.7799999999999994</v>
      </c>
      <c r="BD437" s="2">
        <v>8.7799999999999994</v>
      </c>
      <c r="BE437" s="2">
        <v>8.82</v>
      </c>
      <c r="BF437" s="2">
        <v>8.7799999999999994</v>
      </c>
      <c r="BG437" s="2">
        <v>8.7799999999999994</v>
      </c>
      <c r="BH437" s="2">
        <v>8.7799999999999994</v>
      </c>
      <c r="BI437" s="2">
        <v>8.7799999999999994</v>
      </c>
      <c r="BJ437" s="2">
        <v>8.7799999999999994</v>
      </c>
      <c r="BK437" s="2">
        <v>8.7799999999999994</v>
      </c>
      <c r="BL437" s="2">
        <v>8.7799999999999994</v>
      </c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2"/>
      <c r="BZ437" s="1"/>
      <c r="CA437" s="2"/>
    </row>
    <row r="438" spans="1:79" x14ac:dyDescent="0.2">
      <c r="A438" s="124">
        <v>44344</v>
      </c>
      <c r="B438">
        <v>64.378</v>
      </c>
      <c r="C438">
        <v>64.628</v>
      </c>
      <c r="D438">
        <v>64.378</v>
      </c>
      <c r="E438">
        <v>64.628</v>
      </c>
      <c r="F438">
        <v>64.798000000000002</v>
      </c>
      <c r="G438">
        <v>64.798000000000002</v>
      </c>
      <c r="H438">
        <v>64.378</v>
      </c>
      <c r="I438">
        <v>64.628</v>
      </c>
      <c r="J438">
        <v>64.796999999999997</v>
      </c>
      <c r="K438">
        <v>64.798000000000002</v>
      </c>
      <c r="L438" s="7"/>
      <c r="N438" s="124">
        <v>44344</v>
      </c>
      <c r="O438" s="2">
        <v>8.8025500000000001</v>
      </c>
      <c r="P438" s="2">
        <v>8.7682500000000001</v>
      </c>
      <c r="Q438" s="2">
        <v>8.8000000000000007</v>
      </c>
      <c r="R438" s="2">
        <v>8.7682500000000001</v>
      </c>
      <c r="S438" s="2">
        <v>8.77</v>
      </c>
      <c r="T438" s="2">
        <v>8.7681500000000003</v>
      </c>
      <c r="U438" s="2">
        <v>8.8025500000000001</v>
      </c>
      <c r="V438" s="2">
        <v>8.7682500000000001</v>
      </c>
      <c r="W438" s="2">
        <v>8.77</v>
      </c>
      <c r="X438" s="2">
        <v>8.7681500000000003</v>
      </c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2"/>
      <c r="AL438" s="1"/>
      <c r="AM438" s="2"/>
      <c r="AO438" s="124">
        <v>44344</v>
      </c>
      <c r="AP438">
        <v>64.378</v>
      </c>
      <c r="AQ438">
        <v>64.628</v>
      </c>
      <c r="AR438">
        <v>64.378</v>
      </c>
      <c r="AS438">
        <v>64.628</v>
      </c>
      <c r="AT438">
        <v>64.796999999999997</v>
      </c>
      <c r="AU438">
        <v>64.796999999999997</v>
      </c>
      <c r="AV438">
        <v>64.378</v>
      </c>
      <c r="AW438">
        <v>64.628</v>
      </c>
      <c r="AX438">
        <v>64.798000000000002</v>
      </c>
      <c r="AY438">
        <v>64.798000000000002</v>
      </c>
      <c r="AZ438" s="7"/>
      <c r="BB438" s="124">
        <v>44344</v>
      </c>
      <c r="BC438" s="2">
        <v>8.8000000000000007</v>
      </c>
      <c r="BD438" s="2">
        <v>8.77</v>
      </c>
      <c r="BE438" s="2">
        <v>8.8000000000000007</v>
      </c>
      <c r="BF438" s="2">
        <v>8.77</v>
      </c>
      <c r="BG438" s="2">
        <v>8.77</v>
      </c>
      <c r="BH438" s="2">
        <v>8.77</v>
      </c>
      <c r="BI438" s="2">
        <v>8.8000000000000007</v>
      </c>
      <c r="BJ438" s="2">
        <v>8.77</v>
      </c>
      <c r="BK438" s="2">
        <v>8.77</v>
      </c>
      <c r="BL438" s="2">
        <v>8.77</v>
      </c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2"/>
      <c r="BZ438" s="1"/>
      <c r="CA438" s="2"/>
    </row>
    <row r="439" spans="1:79" x14ac:dyDescent="0.2">
      <c r="A439" s="124">
        <v>44347</v>
      </c>
      <c r="B439">
        <v>64.378</v>
      </c>
      <c r="C439">
        <v>64.628</v>
      </c>
      <c r="D439">
        <v>64.378</v>
      </c>
      <c r="E439">
        <v>64.628</v>
      </c>
      <c r="F439">
        <v>64.798000000000002</v>
      </c>
      <c r="G439">
        <v>64.798000000000002</v>
      </c>
      <c r="H439">
        <v>64.378</v>
      </c>
      <c r="I439">
        <v>64.628</v>
      </c>
      <c r="J439">
        <v>64.796999999999997</v>
      </c>
      <c r="K439">
        <v>64.798000000000002</v>
      </c>
      <c r="L439" s="7"/>
      <c r="N439" s="124">
        <v>44347</v>
      </c>
      <c r="O439" s="2">
        <v>8.8025500000000001</v>
      </c>
      <c r="P439" s="2">
        <v>8.7682500000000001</v>
      </c>
      <c r="Q439" s="2">
        <v>8.8000000000000007</v>
      </c>
      <c r="R439" s="2">
        <v>8.7682500000000001</v>
      </c>
      <c r="S439" s="2">
        <v>8.77</v>
      </c>
      <c r="T439" s="2">
        <v>8.7681500000000003</v>
      </c>
      <c r="U439" s="2">
        <v>8.8025500000000001</v>
      </c>
      <c r="V439" s="2">
        <v>8.7682500000000001</v>
      </c>
      <c r="W439" s="2">
        <v>8.77</v>
      </c>
      <c r="X439" s="2">
        <v>8.7681500000000003</v>
      </c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2"/>
      <c r="AL439" s="1"/>
      <c r="AM439" s="2"/>
      <c r="AO439" s="124">
        <v>44347</v>
      </c>
      <c r="AP439">
        <v>64.378</v>
      </c>
      <c r="AQ439">
        <v>64.628</v>
      </c>
      <c r="AR439">
        <v>64.378</v>
      </c>
      <c r="AS439">
        <v>64.628</v>
      </c>
      <c r="AT439">
        <v>64.796999999999997</v>
      </c>
      <c r="AU439">
        <v>64.796999999999997</v>
      </c>
      <c r="AV439">
        <v>64.378</v>
      </c>
      <c r="AW439">
        <v>64.628</v>
      </c>
      <c r="AX439">
        <v>64.798000000000002</v>
      </c>
      <c r="AY439">
        <v>64.798000000000002</v>
      </c>
      <c r="AZ439" s="7"/>
      <c r="BB439" s="124">
        <v>44347</v>
      </c>
      <c r="BC439" s="2">
        <v>8.8000000000000007</v>
      </c>
      <c r="BD439" s="2">
        <v>8.77</v>
      </c>
      <c r="BE439" s="2">
        <v>8.8000000000000007</v>
      </c>
      <c r="BF439" s="2">
        <v>8.77</v>
      </c>
      <c r="BG439" s="2">
        <v>8.77</v>
      </c>
      <c r="BH439" s="2">
        <v>8.77</v>
      </c>
      <c r="BI439" s="2">
        <v>8.8000000000000007</v>
      </c>
      <c r="BJ439" s="2">
        <v>8.77</v>
      </c>
      <c r="BK439" s="2">
        <v>8.77</v>
      </c>
      <c r="BL439" s="2">
        <v>8.77</v>
      </c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2"/>
      <c r="BZ439" s="1"/>
      <c r="CA439" s="2"/>
    </row>
    <row r="440" spans="1:79" x14ac:dyDescent="0.2">
      <c r="A440" s="124">
        <v>44348</v>
      </c>
      <c r="B440">
        <v>63.875</v>
      </c>
      <c r="C440">
        <v>64.125</v>
      </c>
      <c r="D440">
        <v>63.875</v>
      </c>
      <c r="E440">
        <v>64.125</v>
      </c>
      <c r="F440">
        <v>64.296000000000006</v>
      </c>
      <c r="G440">
        <v>64.296000000000006</v>
      </c>
      <c r="H440">
        <v>63.875</v>
      </c>
      <c r="I440">
        <v>64.125</v>
      </c>
      <c r="J440">
        <v>64.125</v>
      </c>
      <c r="K440">
        <v>64.296000000000006</v>
      </c>
      <c r="L440" s="7"/>
      <c r="N440" s="124">
        <v>44348</v>
      </c>
      <c r="O440" s="2">
        <v>8.8748500000000003</v>
      </c>
      <c r="P440" s="2">
        <v>8.8401999999999994</v>
      </c>
      <c r="Q440" s="2">
        <v>8.8699999999999992</v>
      </c>
      <c r="R440" s="2">
        <v>8.8401999999999994</v>
      </c>
      <c r="S440" s="2">
        <v>8.84</v>
      </c>
      <c r="T440" s="2">
        <v>8.8401499999999995</v>
      </c>
      <c r="U440" s="2">
        <v>8.8748500000000003</v>
      </c>
      <c r="V440" s="2">
        <v>8.8401999999999994</v>
      </c>
      <c r="W440" s="2">
        <v>8.86</v>
      </c>
      <c r="X440" s="2">
        <v>8.8401499999999995</v>
      </c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2"/>
      <c r="AL440" s="1"/>
      <c r="AM440" s="2"/>
      <c r="AO440" s="124">
        <v>44348</v>
      </c>
      <c r="AP440">
        <v>63.875</v>
      </c>
      <c r="AQ440">
        <v>64.125</v>
      </c>
      <c r="AR440">
        <v>63.875</v>
      </c>
      <c r="AS440">
        <v>64.125</v>
      </c>
      <c r="AT440">
        <v>64.296000000000006</v>
      </c>
      <c r="AU440">
        <v>64.296000000000006</v>
      </c>
      <c r="AV440">
        <v>63.875</v>
      </c>
      <c r="AW440">
        <v>64.125</v>
      </c>
      <c r="AX440">
        <v>64.296000000000006</v>
      </c>
      <c r="AY440">
        <v>64.296000000000006</v>
      </c>
      <c r="AZ440" s="7"/>
      <c r="BB440" s="124">
        <v>44348</v>
      </c>
      <c r="BC440" s="2">
        <v>8.8699999999999992</v>
      </c>
      <c r="BD440" s="2">
        <v>8.84</v>
      </c>
      <c r="BE440" s="2">
        <v>8.8699999999999992</v>
      </c>
      <c r="BF440" s="2">
        <v>8.84</v>
      </c>
      <c r="BG440" s="2">
        <v>8.84</v>
      </c>
      <c r="BH440" s="2">
        <v>8.84</v>
      </c>
      <c r="BI440" s="2">
        <v>8.8699999999999992</v>
      </c>
      <c r="BJ440" s="2">
        <v>8.84</v>
      </c>
      <c r="BK440" s="2">
        <v>8.84</v>
      </c>
      <c r="BL440" s="2">
        <v>8.84</v>
      </c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2"/>
      <c r="BZ440" s="1"/>
      <c r="CA440" s="2"/>
    </row>
    <row r="441" spans="1:79" x14ac:dyDescent="0.2">
      <c r="A441" s="124">
        <v>44349</v>
      </c>
      <c r="B441">
        <v>64.375</v>
      </c>
      <c r="C441">
        <v>64.625</v>
      </c>
      <c r="D441">
        <v>64.375</v>
      </c>
      <c r="E441">
        <v>64.625</v>
      </c>
      <c r="F441">
        <v>64.625</v>
      </c>
      <c r="G441">
        <v>64.625</v>
      </c>
      <c r="H441">
        <v>64.375</v>
      </c>
      <c r="I441">
        <v>64.625</v>
      </c>
      <c r="J441">
        <v>64.625</v>
      </c>
      <c r="K441">
        <v>64.625</v>
      </c>
      <c r="L441" s="7"/>
      <c r="N441" s="124">
        <v>44349</v>
      </c>
      <c r="O441" s="2">
        <v>8.8068500000000007</v>
      </c>
      <c r="P441" s="2">
        <v>8.7725500000000007</v>
      </c>
      <c r="Q441" s="2">
        <v>8.81</v>
      </c>
      <c r="R441" s="2">
        <v>8.7725500000000007</v>
      </c>
      <c r="S441" s="2">
        <v>8.8000000000000007</v>
      </c>
      <c r="T441" s="2">
        <v>8.7964500000000001</v>
      </c>
      <c r="U441" s="2">
        <v>8.8068500000000007</v>
      </c>
      <c r="V441" s="2">
        <v>8.7725500000000007</v>
      </c>
      <c r="W441" s="2">
        <v>8.8000000000000007</v>
      </c>
      <c r="X441" s="2">
        <v>8.7964500000000001</v>
      </c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2"/>
      <c r="AL441" s="1"/>
      <c r="AM441" s="2"/>
      <c r="AO441" s="124">
        <v>44349</v>
      </c>
      <c r="AP441">
        <v>64.375</v>
      </c>
      <c r="AQ441">
        <v>64.625</v>
      </c>
      <c r="AR441">
        <v>64.375</v>
      </c>
      <c r="AS441">
        <v>64.625</v>
      </c>
      <c r="AT441">
        <v>64.625</v>
      </c>
      <c r="AU441">
        <v>64.625</v>
      </c>
      <c r="AV441">
        <v>64.375</v>
      </c>
      <c r="AW441">
        <v>64.625</v>
      </c>
      <c r="AX441">
        <v>64.625</v>
      </c>
      <c r="AY441">
        <v>64.625</v>
      </c>
      <c r="AZ441" s="7"/>
      <c r="BB441" s="124">
        <v>44349</v>
      </c>
      <c r="BC441" s="2">
        <v>8.81</v>
      </c>
      <c r="BD441" s="2">
        <v>8.77</v>
      </c>
      <c r="BE441" s="2">
        <v>8.81</v>
      </c>
      <c r="BF441" s="2">
        <v>8.77</v>
      </c>
      <c r="BG441" s="2">
        <v>8.8000000000000007</v>
      </c>
      <c r="BH441" s="2">
        <v>8.8000000000000007</v>
      </c>
      <c r="BI441" s="2">
        <v>8.81</v>
      </c>
      <c r="BJ441" s="2">
        <v>8.77</v>
      </c>
      <c r="BK441" s="2">
        <v>8.8000000000000007</v>
      </c>
      <c r="BL441" s="2">
        <v>8.8000000000000007</v>
      </c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2"/>
      <c r="BZ441" s="1"/>
      <c r="CA441" s="2"/>
    </row>
    <row r="442" spans="1:79" x14ac:dyDescent="0.2">
      <c r="A442" s="124">
        <v>44350</v>
      </c>
      <c r="B442">
        <v>64.498999999999995</v>
      </c>
      <c r="C442">
        <v>64.748999999999995</v>
      </c>
      <c r="D442">
        <v>64.498000000000005</v>
      </c>
      <c r="E442">
        <v>64.748999999999995</v>
      </c>
      <c r="F442">
        <v>64.924999999999997</v>
      </c>
      <c r="G442">
        <v>64.924999999999997</v>
      </c>
      <c r="H442">
        <v>64.498999999999995</v>
      </c>
      <c r="I442">
        <v>64.748999999999995</v>
      </c>
      <c r="J442">
        <v>64.924999999999997</v>
      </c>
      <c r="K442">
        <v>64.924999999999997</v>
      </c>
      <c r="L442" s="7"/>
      <c r="N442" s="124">
        <v>44350</v>
      </c>
      <c r="O442" s="2">
        <v>8.7955000000000005</v>
      </c>
      <c r="P442" s="2">
        <v>8.7612500000000004</v>
      </c>
      <c r="Q442" s="2">
        <v>8.8000000000000007</v>
      </c>
      <c r="R442" s="2">
        <v>8.7612500000000004</v>
      </c>
      <c r="S442" s="2">
        <v>8.76</v>
      </c>
      <c r="T442" s="2">
        <v>8.7613000000000003</v>
      </c>
      <c r="U442" s="2">
        <v>8.7955000000000005</v>
      </c>
      <c r="V442" s="2">
        <v>8.7612500000000004</v>
      </c>
      <c r="W442" s="2">
        <v>8.76</v>
      </c>
      <c r="X442" s="2">
        <v>8.7613000000000003</v>
      </c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2"/>
      <c r="AL442" s="1"/>
      <c r="AM442" s="2"/>
      <c r="AO442" s="124">
        <v>44350</v>
      </c>
      <c r="AP442">
        <v>64.498000000000005</v>
      </c>
      <c r="AQ442">
        <v>64.748000000000005</v>
      </c>
      <c r="AR442">
        <v>64.498000000000005</v>
      </c>
      <c r="AS442">
        <v>64.748999999999995</v>
      </c>
      <c r="AT442">
        <v>64.924999999999997</v>
      </c>
      <c r="AU442">
        <v>64.924999999999997</v>
      </c>
      <c r="AV442">
        <v>64.498000000000005</v>
      </c>
      <c r="AW442">
        <v>64.748000000000005</v>
      </c>
      <c r="AX442">
        <v>64.924999999999997</v>
      </c>
      <c r="AY442">
        <v>64.924999999999997</v>
      </c>
      <c r="AZ442" s="7"/>
      <c r="BB442" s="124">
        <v>44350</v>
      </c>
      <c r="BC442" s="2">
        <v>8.8000000000000007</v>
      </c>
      <c r="BD442" s="2">
        <v>8.76</v>
      </c>
      <c r="BE442" s="2">
        <v>8.8000000000000007</v>
      </c>
      <c r="BF442" s="2">
        <v>8.76</v>
      </c>
      <c r="BG442" s="2">
        <v>8.76</v>
      </c>
      <c r="BH442" s="2">
        <v>8.76</v>
      </c>
      <c r="BI442" s="2">
        <v>8.8000000000000007</v>
      </c>
      <c r="BJ442" s="2">
        <v>8.76</v>
      </c>
      <c r="BK442" s="2">
        <v>8.76</v>
      </c>
      <c r="BL442" s="2">
        <v>8.76</v>
      </c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2"/>
      <c r="BZ442" s="1"/>
      <c r="CA442" s="2"/>
    </row>
    <row r="443" spans="1:79" x14ac:dyDescent="0.2">
      <c r="A443" s="124">
        <v>44351</v>
      </c>
      <c r="B443">
        <v>63.622</v>
      </c>
      <c r="C443">
        <v>63.872</v>
      </c>
      <c r="D443">
        <v>63.622</v>
      </c>
      <c r="E443">
        <v>63.872</v>
      </c>
      <c r="F443">
        <v>64.05</v>
      </c>
      <c r="G443">
        <v>64.05</v>
      </c>
      <c r="H443">
        <v>63.622</v>
      </c>
      <c r="I443">
        <v>63.872</v>
      </c>
      <c r="J443">
        <v>64.05</v>
      </c>
      <c r="K443">
        <v>64.05</v>
      </c>
      <c r="L443" s="7"/>
      <c r="N443" s="124">
        <v>44351</v>
      </c>
      <c r="O443" s="2">
        <v>8.9204000000000008</v>
      </c>
      <c r="P443" s="2">
        <v>8.8855500000000003</v>
      </c>
      <c r="Q443" s="2">
        <v>8.92</v>
      </c>
      <c r="R443" s="2">
        <v>8.8855500000000003</v>
      </c>
      <c r="S443" s="2">
        <v>8.8800000000000008</v>
      </c>
      <c r="T443" s="2">
        <v>8.8855000000000004</v>
      </c>
      <c r="U443" s="2">
        <v>8.9204000000000008</v>
      </c>
      <c r="V443" s="2">
        <v>8.8855500000000003</v>
      </c>
      <c r="W443" s="2">
        <v>8.8800000000000008</v>
      </c>
      <c r="X443" s="2">
        <v>8.8855000000000004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2"/>
      <c r="AL443" s="1"/>
      <c r="AM443" s="2"/>
      <c r="AO443" s="124">
        <v>44351</v>
      </c>
      <c r="AP443">
        <v>63.622</v>
      </c>
      <c r="AQ443">
        <v>63.872</v>
      </c>
      <c r="AR443">
        <v>63.622</v>
      </c>
      <c r="AS443">
        <v>63.872</v>
      </c>
      <c r="AT443">
        <v>64.05</v>
      </c>
      <c r="AU443">
        <v>64.05</v>
      </c>
      <c r="AV443">
        <v>63.622</v>
      </c>
      <c r="AW443">
        <v>63.872</v>
      </c>
      <c r="AX443">
        <v>64.05</v>
      </c>
      <c r="AY443">
        <v>64.05</v>
      </c>
      <c r="AZ443" s="7"/>
      <c r="BB443" s="124">
        <v>44351</v>
      </c>
      <c r="BC443" s="2">
        <v>8.92</v>
      </c>
      <c r="BD443" s="2">
        <v>8.8800000000000008</v>
      </c>
      <c r="BE443" s="2">
        <v>8.92</v>
      </c>
      <c r="BF443" s="2">
        <v>8.8800000000000008</v>
      </c>
      <c r="BG443" s="2">
        <v>8.8800000000000008</v>
      </c>
      <c r="BH443" s="2">
        <v>8.8800000000000008</v>
      </c>
      <c r="BI443" s="2">
        <v>8.92</v>
      </c>
      <c r="BJ443" s="2">
        <v>8.8800000000000008</v>
      </c>
      <c r="BK443" s="2">
        <v>8.8800000000000008</v>
      </c>
      <c r="BL443" s="2">
        <v>8.8800000000000008</v>
      </c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2"/>
      <c r="BZ443" s="1"/>
      <c r="CA443" s="2"/>
    </row>
    <row r="444" spans="1:79" x14ac:dyDescent="0.2">
      <c r="A444" s="124">
        <v>44354</v>
      </c>
      <c r="B444">
        <v>63.749000000000002</v>
      </c>
      <c r="C444">
        <v>63.999000000000002</v>
      </c>
      <c r="D444">
        <v>63.747999999999998</v>
      </c>
      <c r="E444">
        <v>63.999000000000002</v>
      </c>
      <c r="F444">
        <v>64</v>
      </c>
      <c r="G444">
        <v>64.177999999999997</v>
      </c>
      <c r="H444">
        <v>63.749000000000002</v>
      </c>
      <c r="I444">
        <v>63.999000000000002</v>
      </c>
      <c r="J444">
        <v>64</v>
      </c>
      <c r="K444">
        <v>64.177999999999997</v>
      </c>
      <c r="L444" s="7"/>
      <c r="N444" s="124">
        <v>44354</v>
      </c>
      <c r="O444" s="2">
        <v>8.9044500000000006</v>
      </c>
      <c r="P444" s="2">
        <v>8.8696999999999999</v>
      </c>
      <c r="Q444" s="2">
        <v>8.9</v>
      </c>
      <c r="R444" s="2">
        <v>8.8696999999999999</v>
      </c>
      <c r="S444" s="2">
        <v>8.89</v>
      </c>
      <c r="T444" s="2">
        <v>8.8696999999999999</v>
      </c>
      <c r="U444" s="2">
        <v>8.9044500000000006</v>
      </c>
      <c r="V444" s="2">
        <v>8.8696999999999999</v>
      </c>
      <c r="W444" s="2">
        <v>8.89</v>
      </c>
      <c r="X444" s="2">
        <v>8.8696999999999999</v>
      </c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2"/>
      <c r="AL444" s="1"/>
      <c r="AM444" s="2"/>
      <c r="AO444" s="124">
        <v>44354</v>
      </c>
      <c r="AP444">
        <v>63.747999999999998</v>
      </c>
      <c r="AQ444">
        <v>63.997999999999998</v>
      </c>
      <c r="AR444">
        <v>63.747999999999998</v>
      </c>
      <c r="AS444">
        <v>63.999000000000002</v>
      </c>
      <c r="AT444">
        <v>64.177000000000007</v>
      </c>
      <c r="AU444">
        <v>64.177000000000007</v>
      </c>
      <c r="AV444">
        <v>63.747999999999998</v>
      </c>
      <c r="AW444">
        <v>63.997999999999998</v>
      </c>
      <c r="AX444">
        <v>64.177999999999997</v>
      </c>
      <c r="AY444">
        <v>64.177999999999997</v>
      </c>
      <c r="AZ444" s="7"/>
      <c r="BB444" s="124">
        <v>44354</v>
      </c>
      <c r="BC444" s="2">
        <v>8.9</v>
      </c>
      <c r="BD444" s="2">
        <v>8.8699999999999992</v>
      </c>
      <c r="BE444" s="2">
        <v>8.9</v>
      </c>
      <c r="BF444" s="2">
        <v>8.8699999999999992</v>
      </c>
      <c r="BG444" s="2">
        <v>8.8699999999999992</v>
      </c>
      <c r="BH444" s="2">
        <v>8.8699999999999992</v>
      </c>
      <c r="BI444" s="2">
        <v>8.9</v>
      </c>
      <c r="BJ444" s="2">
        <v>8.8699999999999992</v>
      </c>
      <c r="BK444" s="2">
        <v>8.8699999999999992</v>
      </c>
      <c r="BL444" s="2">
        <v>8.8699999999999992</v>
      </c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2"/>
      <c r="BZ444" s="1"/>
      <c r="CA444" s="2"/>
    </row>
    <row r="445" spans="1:79" x14ac:dyDescent="0.2">
      <c r="A445" s="124">
        <v>44355</v>
      </c>
      <c r="B445">
        <v>64.150000000000006</v>
      </c>
      <c r="C445">
        <v>64.400000000000006</v>
      </c>
      <c r="D445">
        <v>64.150000000000006</v>
      </c>
      <c r="E445">
        <v>64.400000000000006</v>
      </c>
      <c r="F445">
        <v>64.581000000000003</v>
      </c>
      <c r="G445">
        <v>64.581000000000003</v>
      </c>
      <c r="H445">
        <v>64.150000000000006</v>
      </c>
      <c r="I445">
        <v>64.400000000000006</v>
      </c>
      <c r="J445">
        <v>64.58</v>
      </c>
      <c r="K445">
        <v>64.581000000000003</v>
      </c>
      <c r="L445" s="7"/>
      <c r="N445" s="124">
        <v>44355</v>
      </c>
      <c r="O445" s="2">
        <v>8.8500499999999995</v>
      </c>
      <c r="P445" s="2">
        <v>8.81555</v>
      </c>
      <c r="Q445" s="2">
        <v>8.85</v>
      </c>
      <c r="R445" s="2">
        <v>8.81555</v>
      </c>
      <c r="S445" s="2">
        <v>8.81</v>
      </c>
      <c r="T445" s="2">
        <v>8.8155000000000001</v>
      </c>
      <c r="U445" s="2">
        <v>8.8500499999999995</v>
      </c>
      <c r="V445" s="2">
        <v>8.81555</v>
      </c>
      <c r="W445" s="2">
        <v>8.81</v>
      </c>
      <c r="X445" s="2">
        <v>8.8155000000000001</v>
      </c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2"/>
      <c r="AL445" s="1"/>
      <c r="AM445" s="2"/>
      <c r="AO445" s="124">
        <v>44355</v>
      </c>
      <c r="AP445">
        <v>64.150000000000006</v>
      </c>
      <c r="AQ445">
        <v>64.400000000000006</v>
      </c>
      <c r="AR445">
        <v>64.150000000000006</v>
      </c>
      <c r="AS445">
        <v>64.400000000000006</v>
      </c>
      <c r="AT445">
        <v>64.58</v>
      </c>
      <c r="AU445">
        <v>64.58</v>
      </c>
      <c r="AV445">
        <v>64.150000000000006</v>
      </c>
      <c r="AW445">
        <v>64.400000000000006</v>
      </c>
      <c r="AX445">
        <v>64.581000000000003</v>
      </c>
      <c r="AY445">
        <v>64.581000000000003</v>
      </c>
      <c r="AZ445" s="7"/>
      <c r="BB445" s="124">
        <v>44355</v>
      </c>
      <c r="BC445" s="2">
        <v>8.85</v>
      </c>
      <c r="BD445" s="2">
        <v>8.81</v>
      </c>
      <c r="BE445" s="2">
        <v>8.85</v>
      </c>
      <c r="BF445" s="2">
        <v>8.81</v>
      </c>
      <c r="BG445" s="2">
        <v>8.81</v>
      </c>
      <c r="BH445" s="2">
        <v>8.81</v>
      </c>
      <c r="BI445" s="2">
        <v>8.85</v>
      </c>
      <c r="BJ445" s="2">
        <v>8.81</v>
      </c>
      <c r="BK445" s="2">
        <v>8.81</v>
      </c>
      <c r="BL445" s="2">
        <v>8.81</v>
      </c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2"/>
      <c r="BZ445" s="1"/>
      <c r="CA445" s="2"/>
    </row>
    <row r="446" spans="1:79" x14ac:dyDescent="0.2">
      <c r="A446" s="124">
        <v>44356</v>
      </c>
      <c r="B446">
        <v>64.447999999999993</v>
      </c>
      <c r="C446">
        <v>64.697999999999993</v>
      </c>
      <c r="D446">
        <v>64.447999999999993</v>
      </c>
      <c r="E446">
        <v>64.697999999999993</v>
      </c>
      <c r="F446">
        <v>64.88</v>
      </c>
      <c r="G446">
        <v>64.88</v>
      </c>
      <c r="H446">
        <v>64.447999999999993</v>
      </c>
      <c r="I446">
        <v>64.697999999999993</v>
      </c>
      <c r="J446">
        <v>64.88</v>
      </c>
      <c r="K446">
        <v>64.88</v>
      </c>
      <c r="L446" s="7"/>
      <c r="N446" s="124">
        <v>44356</v>
      </c>
      <c r="O446" s="2">
        <v>8.8103999999999996</v>
      </c>
      <c r="P446" s="2">
        <v>8.7760999999999996</v>
      </c>
      <c r="Q446" s="2">
        <v>8.81</v>
      </c>
      <c r="R446" s="2">
        <v>8.7760999999999996</v>
      </c>
      <c r="S446" s="2">
        <v>8.7799999999999994</v>
      </c>
      <c r="T446" s="2">
        <v>8.7760499999999997</v>
      </c>
      <c r="U446" s="2">
        <v>8.8103999999999996</v>
      </c>
      <c r="V446" s="2">
        <v>8.7760999999999996</v>
      </c>
      <c r="W446" s="2">
        <v>8.7799999999999994</v>
      </c>
      <c r="X446" s="2">
        <v>8.7760499999999997</v>
      </c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2"/>
      <c r="AL446" s="1"/>
      <c r="AM446" s="2"/>
      <c r="AO446" s="124">
        <v>44356</v>
      </c>
      <c r="AP446">
        <v>64.447999999999993</v>
      </c>
      <c r="AQ446">
        <v>64.697999999999993</v>
      </c>
      <c r="AR446">
        <v>64.447999999999993</v>
      </c>
      <c r="AS446">
        <v>64.697999999999993</v>
      </c>
      <c r="AT446">
        <v>64.88</v>
      </c>
      <c r="AU446">
        <v>64.88</v>
      </c>
      <c r="AV446">
        <v>64.447999999999993</v>
      </c>
      <c r="AW446">
        <v>64.697999999999993</v>
      </c>
      <c r="AX446">
        <v>64.88</v>
      </c>
      <c r="AY446">
        <v>64.88</v>
      </c>
      <c r="AZ446" s="7"/>
      <c r="BB446" s="124">
        <v>44356</v>
      </c>
      <c r="BC446" s="2">
        <v>8.81</v>
      </c>
      <c r="BD446" s="2">
        <v>8.7799999999999994</v>
      </c>
      <c r="BE446" s="2">
        <v>8.81</v>
      </c>
      <c r="BF446" s="2">
        <v>8.7799999999999994</v>
      </c>
      <c r="BG446" s="2">
        <v>8.7799999999999994</v>
      </c>
      <c r="BH446" s="2">
        <v>8.7799999999999994</v>
      </c>
      <c r="BI446" s="2">
        <v>8.81</v>
      </c>
      <c r="BJ446" s="2">
        <v>8.7799999999999994</v>
      </c>
      <c r="BK446" s="2">
        <v>8.7799999999999994</v>
      </c>
      <c r="BL446" s="2">
        <v>8.7799999999999994</v>
      </c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2"/>
      <c r="BZ446" s="1"/>
      <c r="CA446" s="2"/>
    </row>
    <row r="447" spans="1:79" x14ac:dyDescent="0.2">
      <c r="A447" s="124">
        <v>44357</v>
      </c>
      <c r="B447">
        <v>63.924999999999997</v>
      </c>
      <c r="C447">
        <v>64.174999999999997</v>
      </c>
      <c r="D447">
        <v>63.923999999999999</v>
      </c>
      <c r="E447">
        <v>64.174999999999997</v>
      </c>
      <c r="F447">
        <v>64.361000000000004</v>
      </c>
      <c r="G447">
        <v>64.361000000000004</v>
      </c>
      <c r="H447">
        <v>63.924999999999997</v>
      </c>
      <c r="I447">
        <v>64.174999999999997</v>
      </c>
      <c r="J447">
        <v>64.36</v>
      </c>
      <c r="K447">
        <v>64.361000000000004</v>
      </c>
      <c r="L447" s="7"/>
      <c r="N447" s="124">
        <v>44357</v>
      </c>
      <c r="O447" s="2">
        <v>8.8895499999999998</v>
      </c>
      <c r="P447" s="2">
        <v>8.8548500000000008</v>
      </c>
      <c r="Q447" s="2">
        <v>8.89</v>
      </c>
      <c r="R447" s="2">
        <v>8.8548500000000008</v>
      </c>
      <c r="S447" s="2">
        <v>8.85</v>
      </c>
      <c r="T447" s="2">
        <v>8.8549000000000007</v>
      </c>
      <c r="U447" s="2">
        <v>8.8895499999999998</v>
      </c>
      <c r="V447" s="2">
        <v>8.8548500000000008</v>
      </c>
      <c r="W447" s="2">
        <v>8.85</v>
      </c>
      <c r="X447" s="2">
        <v>8.8549000000000007</v>
      </c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2"/>
      <c r="AL447" s="1"/>
      <c r="AM447" s="2"/>
      <c r="AO447" s="124">
        <v>44357</v>
      </c>
      <c r="AP447">
        <v>63.923999999999999</v>
      </c>
      <c r="AQ447">
        <v>64.174000000000007</v>
      </c>
      <c r="AR447">
        <v>63.923999999999999</v>
      </c>
      <c r="AS447">
        <v>64.174999999999997</v>
      </c>
      <c r="AT447">
        <v>64.36</v>
      </c>
      <c r="AU447">
        <v>64.36</v>
      </c>
      <c r="AV447">
        <v>63.923999999999999</v>
      </c>
      <c r="AW447">
        <v>64.174000000000007</v>
      </c>
      <c r="AX447">
        <v>64.361000000000004</v>
      </c>
      <c r="AY447">
        <v>64.361000000000004</v>
      </c>
      <c r="AZ447" s="7"/>
      <c r="BB447" s="124">
        <v>44357</v>
      </c>
      <c r="BC447" s="2">
        <v>8.89</v>
      </c>
      <c r="BD447" s="2">
        <v>8.85</v>
      </c>
      <c r="BE447" s="2">
        <v>8.89</v>
      </c>
      <c r="BF447" s="2">
        <v>8.85</v>
      </c>
      <c r="BG447" s="2">
        <v>8.85</v>
      </c>
      <c r="BH447" s="2">
        <v>8.85</v>
      </c>
      <c r="BI447" s="2">
        <v>8.89</v>
      </c>
      <c r="BJ447" s="2">
        <v>8.85</v>
      </c>
      <c r="BK447" s="2">
        <v>8.85</v>
      </c>
      <c r="BL447" s="2">
        <v>8.85</v>
      </c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2"/>
      <c r="BZ447" s="1"/>
      <c r="CA447" s="2"/>
    </row>
    <row r="448" spans="1:79" x14ac:dyDescent="0.2">
      <c r="A448" s="124">
        <v>44358</v>
      </c>
      <c r="B448">
        <v>64.504999999999995</v>
      </c>
      <c r="C448">
        <v>64.754999999999995</v>
      </c>
      <c r="D448">
        <v>64.504000000000005</v>
      </c>
      <c r="E448">
        <v>64.754999999999995</v>
      </c>
      <c r="F448">
        <v>64.941999999999993</v>
      </c>
      <c r="G448">
        <v>64.941999999999993</v>
      </c>
      <c r="H448">
        <v>64.504999999999995</v>
      </c>
      <c r="I448">
        <v>64.754999999999995</v>
      </c>
      <c r="J448">
        <v>64.941999999999993</v>
      </c>
      <c r="K448">
        <v>64.941999999999993</v>
      </c>
      <c r="L448" s="7"/>
      <c r="N448" s="124">
        <v>44358</v>
      </c>
      <c r="O448" s="2">
        <v>8.8102999999999998</v>
      </c>
      <c r="P448" s="2">
        <v>8.7759999999999998</v>
      </c>
      <c r="Q448" s="2">
        <v>8.81</v>
      </c>
      <c r="R448" s="2">
        <v>8.7759999999999998</v>
      </c>
      <c r="S448" s="2">
        <v>8.7799999999999994</v>
      </c>
      <c r="T448" s="2">
        <v>8.7760499999999997</v>
      </c>
      <c r="U448" s="2">
        <v>8.8102999999999998</v>
      </c>
      <c r="V448" s="2">
        <v>8.7759999999999998</v>
      </c>
      <c r="W448" s="2">
        <v>8.7799999999999994</v>
      </c>
      <c r="X448" s="2">
        <v>8.7760499999999997</v>
      </c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2"/>
      <c r="AL448" s="1"/>
      <c r="AM448" s="2"/>
      <c r="AO448" s="124">
        <v>44358</v>
      </c>
      <c r="AP448">
        <v>64.504000000000005</v>
      </c>
      <c r="AQ448">
        <v>64.754000000000005</v>
      </c>
      <c r="AR448">
        <v>64.504000000000005</v>
      </c>
      <c r="AS448">
        <v>64.754999999999995</v>
      </c>
      <c r="AT448">
        <v>64.941999999999993</v>
      </c>
      <c r="AU448">
        <v>64.941999999999993</v>
      </c>
      <c r="AV448">
        <v>64.504000000000005</v>
      </c>
      <c r="AW448">
        <v>64.754000000000005</v>
      </c>
      <c r="AX448">
        <v>64.941999999999993</v>
      </c>
      <c r="AY448">
        <v>64.941999999999993</v>
      </c>
      <c r="AZ448" s="7"/>
      <c r="BB448" s="124">
        <v>44358</v>
      </c>
      <c r="BC448" s="2">
        <v>8.81</v>
      </c>
      <c r="BD448" s="2">
        <v>8.7799999999999994</v>
      </c>
      <c r="BE448" s="2">
        <v>8.81</v>
      </c>
      <c r="BF448" s="2">
        <v>8.7799999999999994</v>
      </c>
      <c r="BG448" s="2">
        <v>8.7799999999999994</v>
      </c>
      <c r="BH448" s="2">
        <v>8.7799999999999994</v>
      </c>
      <c r="BI448" s="2">
        <v>8.81</v>
      </c>
      <c r="BJ448" s="2">
        <v>8.7799999999999994</v>
      </c>
      <c r="BK448" s="2">
        <v>8.7799999999999994</v>
      </c>
      <c r="BL448" s="2">
        <v>8.7799999999999994</v>
      </c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2"/>
      <c r="BZ448" s="1"/>
      <c r="CA448" s="2"/>
    </row>
    <row r="449" spans="1:79" x14ac:dyDescent="0.2">
      <c r="A449" s="124">
        <v>44361</v>
      </c>
      <c r="B449">
        <v>63.463000000000001</v>
      </c>
      <c r="C449">
        <v>63.713000000000001</v>
      </c>
      <c r="D449">
        <v>63.462000000000003</v>
      </c>
      <c r="E449">
        <v>63.713000000000001</v>
      </c>
      <c r="F449">
        <v>63.902000000000001</v>
      </c>
      <c r="G449">
        <v>63.902000000000001</v>
      </c>
      <c r="H449">
        <v>63.463000000000001</v>
      </c>
      <c r="I449">
        <v>63.713000000000001</v>
      </c>
      <c r="J449">
        <v>63.901000000000003</v>
      </c>
      <c r="K449">
        <v>63.902000000000001</v>
      </c>
      <c r="L449" s="7"/>
      <c r="N449" s="124">
        <v>44361</v>
      </c>
      <c r="O449" s="2">
        <v>8.9588999999999999</v>
      </c>
      <c r="P449" s="2">
        <v>8.9238999999999997</v>
      </c>
      <c r="Q449" s="2">
        <v>8.9600000000000009</v>
      </c>
      <c r="R449" s="2">
        <v>8.9238999999999997</v>
      </c>
      <c r="S449" s="2">
        <v>8.92</v>
      </c>
      <c r="T449" s="2">
        <v>8.9238499999999998</v>
      </c>
      <c r="U449" s="2">
        <v>8.9588999999999999</v>
      </c>
      <c r="V449" s="2">
        <v>8.9238999999999997</v>
      </c>
      <c r="W449" s="2">
        <v>8.92</v>
      </c>
      <c r="X449" s="2">
        <v>8.9238499999999998</v>
      </c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2"/>
      <c r="AL449" s="1"/>
      <c r="AM449" s="2"/>
      <c r="AO449" s="124">
        <v>44361</v>
      </c>
      <c r="AP449">
        <v>63.462000000000003</v>
      </c>
      <c r="AQ449">
        <v>63.712000000000003</v>
      </c>
      <c r="AR449">
        <v>63.462000000000003</v>
      </c>
      <c r="AS449">
        <v>63.713000000000001</v>
      </c>
      <c r="AT449">
        <v>63.901000000000003</v>
      </c>
      <c r="AU449">
        <v>63.901000000000003</v>
      </c>
      <c r="AV449">
        <v>63.462000000000003</v>
      </c>
      <c r="AW449">
        <v>63.712000000000003</v>
      </c>
      <c r="AX449">
        <v>63.902000000000001</v>
      </c>
      <c r="AY449">
        <v>63.902000000000001</v>
      </c>
      <c r="AZ449" s="7"/>
      <c r="BB449" s="124">
        <v>44361</v>
      </c>
      <c r="BC449" s="2">
        <v>8.9600000000000009</v>
      </c>
      <c r="BD449" s="2">
        <v>8.92</v>
      </c>
      <c r="BE449" s="2">
        <v>8.9600000000000009</v>
      </c>
      <c r="BF449" s="2">
        <v>8.92</v>
      </c>
      <c r="BG449" s="2">
        <v>8.92</v>
      </c>
      <c r="BH449" s="2">
        <v>8.92</v>
      </c>
      <c r="BI449" s="2">
        <v>8.9600000000000009</v>
      </c>
      <c r="BJ449" s="2">
        <v>8.92</v>
      </c>
      <c r="BK449" s="2">
        <v>8.92</v>
      </c>
      <c r="BL449" s="2">
        <v>8.92</v>
      </c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2"/>
      <c r="BZ449" s="1"/>
      <c r="CA449" s="2"/>
    </row>
    <row r="450" spans="1:79" x14ac:dyDescent="0.2">
      <c r="A450" s="124">
        <v>44362</v>
      </c>
      <c r="B450">
        <v>62.874000000000002</v>
      </c>
      <c r="C450">
        <v>63.124000000000002</v>
      </c>
      <c r="D450">
        <v>62.874000000000002</v>
      </c>
      <c r="E450">
        <v>63.124000000000002</v>
      </c>
      <c r="F450">
        <v>63.314999999999998</v>
      </c>
      <c r="G450">
        <v>63.314999999999998</v>
      </c>
      <c r="H450">
        <v>62.874000000000002</v>
      </c>
      <c r="I450">
        <v>63.124000000000002</v>
      </c>
      <c r="J450">
        <v>63.314</v>
      </c>
      <c r="K450">
        <v>63.314999999999998</v>
      </c>
      <c r="L450" s="7"/>
      <c r="N450" s="124">
        <v>44362</v>
      </c>
      <c r="O450" s="2">
        <v>9.0450999999999997</v>
      </c>
      <c r="P450" s="2">
        <v>9.0097000000000005</v>
      </c>
      <c r="Q450" s="2">
        <v>9.0399999999999991</v>
      </c>
      <c r="R450" s="2">
        <v>9.0097000000000005</v>
      </c>
      <c r="S450" s="2">
        <v>9.01</v>
      </c>
      <c r="T450" s="2">
        <v>9.0096000000000007</v>
      </c>
      <c r="U450" s="2">
        <v>9.0450999999999997</v>
      </c>
      <c r="V450" s="2">
        <v>9.0097000000000005</v>
      </c>
      <c r="W450" s="2">
        <v>9.01</v>
      </c>
      <c r="X450" s="2">
        <v>9.0096000000000007</v>
      </c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2"/>
      <c r="AL450" s="1"/>
      <c r="AM450" s="2"/>
      <c r="AO450" s="124">
        <v>44362</v>
      </c>
      <c r="AP450">
        <v>62.874000000000002</v>
      </c>
      <c r="AQ450">
        <v>63.124000000000002</v>
      </c>
      <c r="AR450">
        <v>62.874000000000002</v>
      </c>
      <c r="AS450">
        <v>63.124000000000002</v>
      </c>
      <c r="AT450">
        <v>63.314</v>
      </c>
      <c r="AU450">
        <v>63.314</v>
      </c>
      <c r="AV450">
        <v>62.874000000000002</v>
      </c>
      <c r="AW450">
        <v>63.124000000000002</v>
      </c>
      <c r="AX450">
        <v>63.314999999999998</v>
      </c>
      <c r="AY450">
        <v>63.314999999999998</v>
      </c>
      <c r="AZ450" s="7"/>
      <c r="BB450" s="124">
        <v>44362</v>
      </c>
      <c r="BC450" s="2">
        <v>9.0399999999999991</v>
      </c>
      <c r="BD450" s="2">
        <v>9.01</v>
      </c>
      <c r="BE450" s="2">
        <v>9.0399999999999991</v>
      </c>
      <c r="BF450" s="2">
        <v>9.01</v>
      </c>
      <c r="BG450" s="2">
        <v>9.01</v>
      </c>
      <c r="BH450" s="2">
        <v>9.01</v>
      </c>
      <c r="BI450" s="2">
        <v>9.0399999999999991</v>
      </c>
      <c r="BJ450" s="2">
        <v>9.01</v>
      </c>
      <c r="BK450" s="2">
        <v>9.01</v>
      </c>
      <c r="BL450" s="2">
        <v>9.01</v>
      </c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2"/>
      <c r="BZ450" s="1"/>
      <c r="CA450" s="2"/>
    </row>
    <row r="451" spans="1:79" x14ac:dyDescent="0.2">
      <c r="A451" s="124">
        <v>44363</v>
      </c>
      <c r="B451">
        <v>62.375</v>
      </c>
      <c r="C451">
        <v>62.625</v>
      </c>
      <c r="D451">
        <v>62.374000000000002</v>
      </c>
      <c r="E451">
        <v>62.625</v>
      </c>
      <c r="F451">
        <v>62.816000000000003</v>
      </c>
      <c r="G451">
        <v>62.816000000000003</v>
      </c>
      <c r="H451">
        <v>62.375</v>
      </c>
      <c r="I451">
        <v>62.625</v>
      </c>
      <c r="J451">
        <v>62.816000000000003</v>
      </c>
      <c r="K451">
        <v>62.816000000000003</v>
      </c>
      <c r="L451" s="7"/>
      <c r="N451" s="124">
        <v>44363</v>
      </c>
      <c r="O451" s="2">
        <v>9.1193500000000007</v>
      </c>
      <c r="P451" s="2">
        <v>9.0835500000000007</v>
      </c>
      <c r="Q451" s="2">
        <v>9.1199999999999992</v>
      </c>
      <c r="R451" s="2">
        <v>9.0835500000000007</v>
      </c>
      <c r="S451" s="2">
        <v>9.08</v>
      </c>
      <c r="T451" s="2">
        <v>9.0836500000000004</v>
      </c>
      <c r="U451" s="2">
        <v>9.1193500000000007</v>
      </c>
      <c r="V451" s="2">
        <v>9.0835500000000007</v>
      </c>
      <c r="W451" s="2">
        <v>9.08</v>
      </c>
      <c r="X451" s="2">
        <v>9.0836500000000004</v>
      </c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2"/>
      <c r="AL451" s="1"/>
      <c r="AM451" s="2"/>
      <c r="AO451" s="124">
        <v>44363</v>
      </c>
      <c r="AP451">
        <v>62.374000000000002</v>
      </c>
      <c r="AQ451">
        <v>62.624000000000002</v>
      </c>
      <c r="AR451">
        <v>62.374000000000002</v>
      </c>
      <c r="AS451">
        <v>62.625</v>
      </c>
      <c r="AT451">
        <v>62.816000000000003</v>
      </c>
      <c r="AU451">
        <v>62.816000000000003</v>
      </c>
      <c r="AV451">
        <v>62.374000000000002</v>
      </c>
      <c r="AW451">
        <v>62.624000000000002</v>
      </c>
      <c r="AX451">
        <v>62.816000000000003</v>
      </c>
      <c r="AY451">
        <v>62.816000000000003</v>
      </c>
      <c r="AZ451" s="7"/>
      <c r="BB451" s="124">
        <v>44363</v>
      </c>
      <c r="BC451" s="2">
        <v>9.1199999999999992</v>
      </c>
      <c r="BD451" s="2">
        <v>9.08</v>
      </c>
      <c r="BE451" s="2">
        <v>9.1199999999999992</v>
      </c>
      <c r="BF451" s="2">
        <v>9.08</v>
      </c>
      <c r="BG451" s="2">
        <v>9.08</v>
      </c>
      <c r="BH451" s="2">
        <v>9.08</v>
      </c>
      <c r="BI451" s="2">
        <v>9.1199999999999992</v>
      </c>
      <c r="BJ451" s="2">
        <v>9.08</v>
      </c>
      <c r="BK451" s="2">
        <v>9.08</v>
      </c>
      <c r="BL451" s="2">
        <v>9.08</v>
      </c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2"/>
      <c r="BZ451" s="1"/>
      <c r="CA451" s="2"/>
    </row>
    <row r="452" spans="1:79" x14ac:dyDescent="0.2">
      <c r="A452" s="124">
        <v>44364</v>
      </c>
      <c r="B452">
        <v>62.375999999999998</v>
      </c>
      <c r="C452">
        <v>62.625999999999998</v>
      </c>
      <c r="D452">
        <v>62.375999999999998</v>
      </c>
      <c r="E452">
        <v>62.625999999999998</v>
      </c>
      <c r="F452">
        <v>62.822000000000003</v>
      </c>
      <c r="G452">
        <v>62.822000000000003</v>
      </c>
      <c r="H452">
        <v>62.375999999999998</v>
      </c>
      <c r="I452">
        <v>62.625999999999998</v>
      </c>
      <c r="J452">
        <v>62.822000000000003</v>
      </c>
      <c r="K452">
        <v>62.822000000000003</v>
      </c>
      <c r="L452" s="7"/>
      <c r="N452" s="124">
        <v>44364</v>
      </c>
      <c r="O452" s="2">
        <v>9.1252999999999993</v>
      </c>
      <c r="P452" s="2">
        <v>9.0894999999999992</v>
      </c>
      <c r="Q452" s="2">
        <v>9.1300000000000008</v>
      </c>
      <c r="R452" s="2">
        <v>9.0894999999999992</v>
      </c>
      <c r="S452" s="2">
        <v>9.09</v>
      </c>
      <c r="T452" s="2">
        <v>9.0894999999999992</v>
      </c>
      <c r="U452" s="2">
        <v>9.1252999999999993</v>
      </c>
      <c r="V452" s="2">
        <v>9.0894999999999992</v>
      </c>
      <c r="W452" s="2">
        <v>9.09</v>
      </c>
      <c r="X452" s="2">
        <v>9.0894999999999992</v>
      </c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2"/>
      <c r="AL452" s="1"/>
      <c r="AM452" s="2"/>
      <c r="AO452" s="124">
        <v>44364</v>
      </c>
      <c r="AP452">
        <v>62.375999999999998</v>
      </c>
      <c r="AQ452">
        <v>62.625999999999998</v>
      </c>
      <c r="AR452">
        <v>62.375999999999998</v>
      </c>
      <c r="AS452">
        <v>62.625999999999998</v>
      </c>
      <c r="AT452">
        <v>62.822000000000003</v>
      </c>
      <c r="AU452">
        <v>62.822000000000003</v>
      </c>
      <c r="AV452">
        <v>62.375999999999998</v>
      </c>
      <c r="AW452">
        <v>62.625999999999998</v>
      </c>
      <c r="AX452">
        <v>62.822000000000003</v>
      </c>
      <c r="AY452">
        <v>62.822000000000003</v>
      </c>
      <c r="AZ452" s="7"/>
      <c r="BB452" s="124">
        <v>44364</v>
      </c>
      <c r="BC452" s="2">
        <v>9.1300000000000008</v>
      </c>
      <c r="BD452" s="2">
        <v>9.09</v>
      </c>
      <c r="BE452" s="2">
        <v>9.1300000000000008</v>
      </c>
      <c r="BF452" s="2">
        <v>9.09</v>
      </c>
      <c r="BG452" s="2">
        <v>9.09</v>
      </c>
      <c r="BH452" s="2">
        <v>9.09</v>
      </c>
      <c r="BI452" s="2">
        <v>9.1300000000000008</v>
      </c>
      <c r="BJ452" s="2">
        <v>9.09</v>
      </c>
      <c r="BK452" s="2">
        <v>9.09</v>
      </c>
      <c r="BL452" s="2">
        <v>9.09</v>
      </c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2"/>
      <c r="BZ452" s="1"/>
      <c r="CA452" s="2"/>
    </row>
    <row r="453" spans="1:79" x14ac:dyDescent="0.2">
      <c r="A453" s="124">
        <v>44365</v>
      </c>
      <c r="B453">
        <v>62.241</v>
      </c>
      <c r="C453">
        <v>62.491</v>
      </c>
      <c r="D453">
        <v>62.24</v>
      </c>
      <c r="E453">
        <v>62.491</v>
      </c>
      <c r="F453">
        <v>62.688000000000002</v>
      </c>
      <c r="G453">
        <v>62.688000000000002</v>
      </c>
      <c r="H453">
        <v>62.241</v>
      </c>
      <c r="I453">
        <v>62.491</v>
      </c>
      <c r="J453">
        <v>62.686999999999998</v>
      </c>
      <c r="K453">
        <v>62.688000000000002</v>
      </c>
      <c r="L453" s="7"/>
      <c r="N453" s="124">
        <v>44365</v>
      </c>
      <c r="O453" s="2">
        <v>9.1470500000000001</v>
      </c>
      <c r="P453" s="2">
        <v>9.1111500000000003</v>
      </c>
      <c r="Q453" s="2">
        <v>9.15</v>
      </c>
      <c r="R453" s="2">
        <v>9.1111500000000003</v>
      </c>
      <c r="S453" s="2">
        <v>9.11</v>
      </c>
      <c r="T453" s="2">
        <v>9.1111500000000003</v>
      </c>
      <c r="U453" s="2">
        <v>9.1470500000000001</v>
      </c>
      <c r="V453" s="2">
        <v>9.1111500000000003</v>
      </c>
      <c r="W453" s="2">
        <v>9.11</v>
      </c>
      <c r="X453" s="2">
        <v>9.1111500000000003</v>
      </c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2"/>
      <c r="AL453" s="1"/>
      <c r="AM453" s="2"/>
      <c r="AO453" s="124">
        <v>44365</v>
      </c>
      <c r="AP453">
        <v>62.24</v>
      </c>
      <c r="AQ453">
        <v>62.49</v>
      </c>
      <c r="AR453">
        <v>62.24</v>
      </c>
      <c r="AS453">
        <v>62.491</v>
      </c>
      <c r="AT453">
        <v>62.686999999999998</v>
      </c>
      <c r="AU453">
        <v>62.686999999999998</v>
      </c>
      <c r="AV453">
        <v>62.24</v>
      </c>
      <c r="AW453">
        <v>62.49</v>
      </c>
      <c r="AX453">
        <v>62.688000000000002</v>
      </c>
      <c r="AY453">
        <v>62.688000000000002</v>
      </c>
      <c r="AZ453" s="7"/>
      <c r="BB453" s="124">
        <v>44365</v>
      </c>
      <c r="BC453" s="2">
        <v>9.15</v>
      </c>
      <c r="BD453" s="2">
        <v>9.11</v>
      </c>
      <c r="BE453" s="2">
        <v>9.15</v>
      </c>
      <c r="BF453" s="2">
        <v>9.11</v>
      </c>
      <c r="BG453" s="2">
        <v>9.11</v>
      </c>
      <c r="BH453" s="2">
        <v>9.11</v>
      </c>
      <c r="BI453" s="2">
        <v>9.15</v>
      </c>
      <c r="BJ453" s="2">
        <v>9.11</v>
      </c>
      <c r="BK453" s="2">
        <v>9.11</v>
      </c>
      <c r="BL453" s="2">
        <v>9.11</v>
      </c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2"/>
      <c r="BZ453" s="1"/>
      <c r="CA453" s="2"/>
    </row>
    <row r="454" spans="1:79" x14ac:dyDescent="0.2">
      <c r="A454" s="124">
        <v>44368</v>
      </c>
      <c r="B454">
        <v>61.247</v>
      </c>
      <c r="C454">
        <v>61.497</v>
      </c>
      <c r="D454">
        <v>61.247</v>
      </c>
      <c r="E454">
        <v>61.497</v>
      </c>
      <c r="F454">
        <v>61.695999999999998</v>
      </c>
      <c r="G454">
        <v>61.695999999999998</v>
      </c>
      <c r="H454">
        <v>61.247</v>
      </c>
      <c r="I454">
        <v>61.497</v>
      </c>
      <c r="J454">
        <v>61.695</v>
      </c>
      <c r="K454">
        <v>61.695999999999998</v>
      </c>
      <c r="L454" s="7"/>
      <c r="N454" s="124">
        <v>44368</v>
      </c>
      <c r="O454" s="2">
        <v>9.2956000000000003</v>
      </c>
      <c r="P454" s="2">
        <v>9.2589500000000005</v>
      </c>
      <c r="Q454" s="2">
        <v>9.3000000000000007</v>
      </c>
      <c r="R454" s="2">
        <v>9.2589500000000005</v>
      </c>
      <c r="S454" s="2">
        <v>9.26</v>
      </c>
      <c r="T454" s="2">
        <v>9.2589000000000006</v>
      </c>
      <c r="U454" s="2">
        <v>9.2956000000000003</v>
      </c>
      <c r="V454" s="2">
        <v>9.2589500000000005</v>
      </c>
      <c r="W454" s="2">
        <v>9.26</v>
      </c>
      <c r="X454" s="2">
        <v>9.2589000000000006</v>
      </c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2"/>
      <c r="AL454" s="1"/>
      <c r="AM454" s="2"/>
      <c r="AO454" s="124">
        <v>44368</v>
      </c>
      <c r="AP454">
        <v>61.247</v>
      </c>
      <c r="AQ454">
        <v>61.497</v>
      </c>
      <c r="AR454">
        <v>61.247</v>
      </c>
      <c r="AS454">
        <v>61.497</v>
      </c>
      <c r="AT454">
        <v>61.695</v>
      </c>
      <c r="AU454">
        <v>61.695</v>
      </c>
      <c r="AV454">
        <v>61.247</v>
      </c>
      <c r="AW454">
        <v>61.497</v>
      </c>
      <c r="AX454">
        <v>61.695999999999998</v>
      </c>
      <c r="AY454">
        <v>61.695999999999998</v>
      </c>
      <c r="AZ454" s="7"/>
      <c r="BB454" s="124">
        <v>44368</v>
      </c>
      <c r="BC454" s="2">
        <v>9.3000000000000007</v>
      </c>
      <c r="BD454" s="2">
        <v>9.26</v>
      </c>
      <c r="BE454" s="2">
        <v>9.3000000000000007</v>
      </c>
      <c r="BF454" s="2">
        <v>9.26</v>
      </c>
      <c r="BG454" s="2">
        <v>9.26</v>
      </c>
      <c r="BH454" s="2">
        <v>9.26</v>
      </c>
      <c r="BI454" s="2">
        <v>9.3000000000000007</v>
      </c>
      <c r="BJ454" s="2">
        <v>9.26</v>
      </c>
      <c r="BK454" s="2">
        <v>9.26</v>
      </c>
      <c r="BL454" s="2">
        <v>9.26</v>
      </c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2"/>
      <c r="BZ454" s="1"/>
      <c r="CA454" s="2"/>
    </row>
    <row r="455" spans="1:79" x14ac:dyDescent="0.2">
      <c r="A455" s="124">
        <v>44369</v>
      </c>
      <c r="B455">
        <v>61.122</v>
      </c>
      <c r="C455">
        <v>61.372</v>
      </c>
      <c r="D455">
        <v>61.121000000000002</v>
      </c>
      <c r="E455">
        <v>61.372</v>
      </c>
      <c r="F455">
        <v>61.572000000000003</v>
      </c>
      <c r="G455">
        <v>61.572000000000003</v>
      </c>
      <c r="H455">
        <v>61.122</v>
      </c>
      <c r="I455">
        <v>61.372</v>
      </c>
      <c r="J455">
        <v>61.570999999999998</v>
      </c>
      <c r="K455">
        <v>61.572000000000003</v>
      </c>
      <c r="L455" s="7"/>
      <c r="N455" s="124">
        <v>44369</v>
      </c>
      <c r="O455" s="2">
        <v>9.3163499999999999</v>
      </c>
      <c r="P455" s="2">
        <v>9.2796000000000003</v>
      </c>
      <c r="Q455" s="2">
        <v>9.32</v>
      </c>
      <c r="R455" s="2">
        <v>9.2796000000000003</v>
      </c>
      <c r="S455" s="2">
        <v>9.2799999999999994</v>
      </c>
      <c r="T455" s="2">
        <v>9.2796000000000003</v>
      </c>
      <c r="U455" s="2">
        <v>9.3163499999999999</v>
      </c>
      <c r="V455" s="2">
        <v>9.2796000000000003</v>
      </c>
      <c r="W455" s="2">
        <v>9.2799999999999994</v>
      </c>
      <c r="X455" s="2">
        <v>9.2796000000000003</v>
      </c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2"/>
      <c r="AL455" s="1"/>
      <c r="AM455" s="2"/>
      <c r="AO455" s="124">
        <v>44369</v>
      </c>
      <c r="AP455">
        <v>61.121000000000002</v>
      </c>
      <c r="AQ455">
        <v>61.371000000000002</v>
      </c>
      <c r="AR455">
        <v>61.121000000000002</v>
      </c>
      <c r="AS455">
        <v>61.372</v>
      </c>
      <c r="AT455">
        <v>61.570999999999998</v>
      </c>
      <c r="AU455">
        <v>61.570999999999998</v>
      </c>
      <c r="AV455">
        <v>61.121000000000002</v>
      </c>
      <c r="AW455">
        <v>61.371000000000002</v>
      </c>
      <c r="AX455">
        <v>61.572000000000003</v>
      </c>
      <c r="AY455">
        <v>61.572000000000003</v>
      </c>
      <c r="AZ455" s="7"/>
      <c r="BB455" s="124">
        <v>44369</v>
      </c>
      <c r="BC455" s="2">
        <v>9.32</v>
      </c>
      <c r="BD455" s="2">
        <v>9.2799999999999994</v>
      </c>
      <c r="BE455" s="2">
        <v>9.32</v>
      </c>
      <c r="BF455" s="2">
        <v>9.2799999999999994</v>
      </c>
      <c r="BG455" s="2">
        <v>9.2799999999999994</v>
      </c>
      <c r="BH455" s="2">
        <v>9.2799999999999994</v>
      </c>
      <c r="BI455" s="2">
        <v>9.32</v>
      </c>
      <c r="BJ455" s="2">
        <v>9.2799999999999994</v>
      </c>
      <c r="BK455" s="2">
        <v>9.2799999999999994</v>
      </c>
      <c r="BL455" s="2">
        <v>9.2799999999999994</v>
      </c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2"/>
      <c r="BZ455" s="1"/>
      <c r="CA455" s="2"/>
    </row>
    <row r="456" spans="1:79" x14ac:dyDescent="0.2">
      <c r="A456" s="124">
        <v>44370</v>
      </c>
      <c r="B456">
        <v>61.05</v>
      </c>
      <c r="C456">
        <v>61.3</v>
      </c>
      <c r="D456">
        <v>61.048999999999999</v>
      </c>
      <c r="E456">
        <v>61.3</v>
      </c>
      <c r="F456">
        <v>61.500999999999998</v>
      </c>
      <c r="G456">
        <v>61.500999999999998</v>
      </c>
      <c r="H456">
        <v>61.05</v>
      </c>
      <c r="I456">
        <v>61.3</v>
      </c>
      <c r="J456">
        <v>61.500999999999998</v>
      </c>
      <c r="K456">
        <v>61.500999999999998</v>
      </c>
      <c r="L456" s="7"/>
      <c r="N456" s="124">
        <v>44370</v>
      </c>
      <c r="O456" s="2">
        <v>9.3292000000000002</v>
      </c>
      <c r="P456" s="2">
        <v>9.2924000000000007</v>
      </c>
      <c r="Q456" s="2">
        <v>9.33</v>
      </c>
      <c r="R456" s="2">
        <v>9.2924000000000007</v>
      </c>
      <c r="S456" s="2">
        <v>9.2899999999999991</v>
      </c>
      <c r="T456" s="2">
        <v>9.2924500000000005</v>
      </c>
      <c r="U456" s="2">
        <v>9.3292000000000002</v>
      </c>
      <c r="V456" s="2">
        <v>9.2924000000000007</v>
      </c>
      <c r="W456" s="2">
        <v>9.2899999999999991</v>
      </c>
      <c r="X456" s="2">
        <v>9.2924500000000005</v>
      </c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2"/>
      <c r="AL456" s="1"/>
      <c r="AM456" s="2"/>
      <c r="AO456" s="124">
        <v>44370</v>
      </c>
      <c r="AP456">
        <v>61.048999999999999</v>
      </c>
      <c r="AQ456">
        <v>61.298999999999999</v>
      </c>
      <c r="AR456">
        <v>61.048999999999999</v>
      </c>
      <c r="AS456">
        <v>61.3</v>
      </c>
      <c r="AT456">
        <v>61.500999999999998</v>
      </c>
      <c r="AU456">
        <v>61.500999999999998</v>
      </c>
      <c r="AV456">
        <v>61.048999999999999</v>
      </c>
      <c r="AW456">
        <v>61.298999999999999</v>
      </c>
      <c r="AX456">
        <v>61.500999999999998</v>
      </c>
      <c r="AY456">
        <v>61.500999999999998</v>
      </c>
      <c r="AZ456" s="7"/>
      <c r="BB456" s="124">
        <v>44370</v>
      </c>
      <c r="BC456" s="2">
        <v>9.33</v>
      </c>
      <c r="BD456" s="2">
        <v>9.2899999999999991</v>
      </c>
      <c r="BE456" s="2">
        <v>9.33</v>
      </c>
      <c r="BF456" s="2">
        <v>9.2899999999999991</v>
      </c>
      <c r="BG456" s="2">
        <v>9.2899999999999991</v>
      </c>
      <c r="BH456" s="2">
        <v>9.2899999999999991</v>
      </c>
      <c r="BI456" s="2">
        <v>9.33</v>
      </c>
      <c r="BJ456" s="2">
        <v>9.2899999999999991</v>
      </c>
      <c r="BK456" s="2">
        <v>9.2899999999999991</v>
      </c>
      <c r="BL456" s="2">
        <v>9.2899999999999991</v>
      </c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2"/>
      <c r="BZ456" s="1"/>
      <c r="CA456" s="2"/>
    </row>
    <row r="457" spans="1:79" x14ac:dyDescent="0.2">
      <c r="A457" s="124">
        <v>44371</v>
      </c>
      <c r="B457">
        <v>63.25</v>
      </c>
      <c r="C457">
        <v>63.5</v>
      </c>
      <c r="D457">
        <v>63.25</v>
      </c>
      <c r="E457">
        <v>63.5</v>
      </c>
      <c r="F457">
        <v>63.706000000000003</v>
      </c>
      <c r="G457">
        <v>63.706000000000003</v>
      </c>
      <c r="H457">
        <v>63.25</v>
      </c>
      <c r="I457">
        <v>63.5</v>
      </c>
      <c r="J457">
        <v>63.706000000000003</v>
      </c>
      <c r="K457">
        <v>63.706000000000003</v>
      </c>
      <c r="L457" s="7"/>
      <c r="N457" s="124">
        <v>44371</v>
      </c>
      <c r="O457" s="2">
        <v>9.0135000000000005</v>
      </c>
      <c r="P457" s="2">
        <v>8.9781999999999993</v>
      </c>
      <c r="Q457" s="2">
        <v>9.01</v>
      </c>
      <c r="R457" s="2">
        <v>8.9781999999999993</v>
      </c>
      <c r="S457" s="2">
        <v>8.98</v>
      </c>
      <c r="T457" s="2">
        <v>8.9781499999999994</v>
      </c>
      <c r="U457" s="2">
        <v>9.0135000000000005</v>
      </c>
      <c r="V457" s="2">
        <v>8.9781999999999993</v>
      </c>
      <c r="W457" s="2">
        <v>8.98</v>
      </c>
      <c r="X457" s="2">
        <v>8.9781499999999994</v>
      </c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2"/>
      <c r="AL457" s="1"/>
      <c r="AM457" s="2"/>
      <c r="AO457" s="124">
        <v>44371</v>
      </c>
      <c r="AP457">
        <v>63.25</v>
      </c>
      <c r="AQ457">
        <v>63.5</v>
      </c>
      <c r="AR457">
        <v>63.25</v>
      </c>
      <c r="AS457">
        <v>63.5</v>
      </c>
      <c r="AT457">
        <v>63.706000000000003</v>
      </c>
      <c r="AU457">
        <v>63.706000000000003</v>
      </c>
      <c r="AV457">
        <v>63.25</v>
      </c>
      <c r="AW457">
        <v>63.5</v>
      </c>
      <c r="AX457">
        <v>63.706000000000003</v>
      </c>
      <c r="AY457">
        <v>63.706000000000003</v>
      </c>
      <c r="AZ457" s="7"/>
      <c r="BB457" s="124">
        <v>44371</v>
      </c>
      <c r="BC457" s="2">
        <v>9.01</v>
      </c>
      <c r="BD457" s="2">
        <v>8.98</v>
      </c>
      <c r="BE457" s="2">
        <v>9.01</v>
      </c>
      <c r="BF457" s="2">
        <v>8.98</v>
      </c>
      <c r="BG457" s="2">
        <v>8.98</v>
      </c>
      <c r="BH457" s="2">
        <v>8.98</v>
      </c>
      <c r="BI457" s="2">
        <v>9.01</v>
      </c>
      <c r="BJ457" s="2">
        <v>8.98</v>
      </c>
      <c r="BK457" s="2">
        <v>8.98</v>
      </c>
      <c r="BL457" s="2">
        <v>8.98</v>
      </c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2"/>
      <c r="BZ457" s="1"/>
      <c r="CA457" s="2"/>
    </row>
    <row r="458" spans="1:79" x14ac:dyDescent="0.2">
      <c r="A458" s="124">
        <v>44372</v>
      </c>
      <c r="B458">
        <v>63.250999999999998</v>
      </c>
      <c r="C458">
        <v>63.500999999999998</v>
      </c>
      <c r="D458">
        <v>63.25</v>
      </c>
      <c r="E458">
        <v>63.500999999999998</v>
      </c>
      <c r="F458">
        <v>63.707999999999998</v>
      </c>
      <c r="G458">
        <v>63.707999999999998</v>
      </c>
      <c r="H458">
        <v>63.250999999999998</v>
      </c>
      <c r="I458">
        <v>63.500999999999998</v>
      </c>
      <c r="J458">
        <v>63.707000000000001</v>
      </c>
      <c r="K458">
        <v>63.707999999999998</v>
      </c>
      <c r="L458" s="7"/>
      <c r="N458" s="124">
        <v>44372</v>
      </c>
      <c r="O458" s="2">
        <v>9.0153499999999998</v>
      </c>
      <c r="P458" s="2">
        <v>8.9801000000000002</v>
      </c>
      <c r="Q458" s="2">
        <v>9.02</v>
      </c>
      <c r="R458" s="2">
        <v>8.9801000000000002</v>
      </c>
      <c r="S458" s="2">
        <v>8.98</v>
      </c>
      <c r="T458" s="2">
        <v>8.9801000000000002</v>
      </c>
      <c r="U458" s="2">
        <v>9.0153499999999998</v>
      </c>
      <c r="V458" s="2">
        <v>8.9801000000000002</v>
      </c>
      <c r="W458" s="2">
        <v>8.98</v>
      </c>
      <c r="X458" s="2">
        <v>8.9801000000000002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2"/>
      <c r="AL458" s="1"/>
      <c r="AM458" s="2"/>
      <c r="AO458" s="124">
        <v>44372</v>
      </c>
      <c r="AP458">
        <v>63.25</v>
      </c>
      <c r="AQ458">
        <v>63.5</v>
      </c>
      <c r="AR458">
        <v>63.25</v>
      </c>
      <c r="AS458">
        <v>63.500999999999998</v>
      </c>
      <c r="AT458">
        <v>63.707000000000001</v>
      </c>
      <c r="AU458">
        <v>63.707000000000001</v>
      </c>
      <c r="AV458">
        <v>63.25</v>
      </c>
      <c r="AW458">
        <v>63.5</v>
      </c>
      <c r="AX458">
        <v>63.707999999999998</v>
      </c>
      <c r="AY458">
        <v>63.707999999999998</v>
      </c>
      <c r="AZ458" s="7"/>
      <c r="BB458" s="124">
        <v>44372</v>
      </c>
      <c r="BC458" s="2">
        <v>9.02</v>
      </c>
      <c r="BD458" s="2">
        <v>8.98</v>
      </c>
      <c r="BE458" s="2">
        <v>9.02</v>
      </c>
      <c r="BF458" s="2">
        <v>8.98</v>
      </c>
      <c r="BG458" s="2">
        <v>8.98</v>
      </c>
      <c r="BH458" s="2">
        <v>8.98</v>
      </c>
      <c r="BI458" s="2">
        <v>9.02</v>
      </c>
      <c r="BJ458" s="2">
        <v>8.98</v>
      </c>
      <c r="BK458" s="2">
        <v>8.98</v>
      </c>
      <c r="BL458" s="2">
        <v>8.98</v>
      </c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2"/>
      <c r="BZ458" s="1"/>
      <c r="CA458" s="2"/>
    </row>
    <row r="459" spans="1:79" x14ac:dyDescent="0.2">
      <c r="A459" s="124">
        <v>44375</v>
      </c>
      <c r="B459">
        <v>61.896000000000001</v>
      </c>
      <c r="C459">
        <v>62.146000000000001</v>
      </c>
      <c r="D459">
        <v>61.896000000000001</v>
      </c>
      <c r="E459">
        <v>62.146000000000001</v>
      </c>
      <c r="F459">
        <v>62.354999999999997</v>
      </c>
      <c r="G459">
        <v>62.354999999999997</v>
      </c>
      <c r="H459">
        <v>61.896000000000001</v>
      </c>
      <c r="I459">
        <v>62.146000000000001</v>
      </c>
      <c r="J459">
        <v>62.353999999999999</v>
      </c>
      <c r="K459">
        <v>62.354999999999997</v>
      </c>
      <c r="L459" s="7"/>
      <c r="N459" s="124">
        <v>44375</v>
      </c>
      <c r="O459" s="2">
        <v>9.21645</v>
      </c>
      <c r="P459" s="2">
        <v>9.1801999999999992</v>
      </c>
      <c r="Q459" s="2">
        <v>9.2200000000000006</v>
      </c>
      <c r="R459" s="2">
        <v>9.1801999999999992</v>
      </c>
      <c r="S459" s="2">
        <v>9.18</v>
      </c>
      <c r="T459" s="2">
        <v>9.1800999999999995</v>
      </c>
      <c r="U459" s="2">
        <v>9.21645</v>
      </c>
      <c r="V459" s="2">
        <v>9.1801999999999992</v>
      </c>
      <c r="W459" s="2">
        <v>9.18</v>
      </c>
      <c r="X459" s="2">
        <v>9.1800999999999995</v>
      </c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2"/>
      <c r="AL459" s="1"/>
      <c r="AM459" s="2"/>
      <c r="AO459" s="124">
        <v>44375</v>
      </c>
      <c r="AP459">
        <v>61.896000000000001</v>
      </c>
      <c r="AQ459">
        <v>62.146000000000001</v>
      </c>
      <c r="AR459">
        <v>61.896000000000001</v>
      </c>
      <c r="AS459">
        <v>62.146000000000001</v>
      </c>
      <c r="AT459">
        <v>62.353999999999999</v>
      </c>
      <c r="AU459">
        <v>62.353999999999999</v>
      </c>
      <c r="AV459">
        <v>61.896000000000001</v>
      </c>
      <c r="AW459">
        <v>62.146000000000001</v>
      </c>
      <c r="AX459">
        <v>62.354999999999997</v>
      </c>
      <c r="AY459">
        <v>62.354999999999997</v>
      </c>
      <c r="AZ459" s="7"/>
      <c r="BB459" s="124">
        <v>44375</v>
      </c>
      <c r="BC459" s="2">
        <v>9.2200000000000006</v>
      </c>
      <c r="BD459" s="2">
        <v>9.18</v>
      </c>
      <c r="BE459" s="2">
        <v>9.2200000000000006</v>
      </c>
      <c r="BF459" s="2">
        <v>9.18</v>
      </c>
      <c r="BG459" s="2">
        <v>9.18</v>
      </c>
      <c r="BH459" s="2">
        <v>9.18</v>
      </c>
      <c r="BI459" s="2">
        <v>9.2200000000000006</v>
      </c>
      <c r="BJ459" s="2">
        <v>9.18</v>
      </c>
      <c r="BK459" s="2">
        <v>9.18</v>
      </c>
      <c r="BL459" s="2">
        <v>9.18</v>
      </c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2"/>
      <c r="BZ459" s="1"/>
      <c r="CA459" s="2"/>
    </row>
    <row r="460" spans="1:79" x14ac:dyDescent="0.2">
      <c r="A460" s="124">
        <v>44376</v>
      </c>
      <c r="B460">
        <v>61.962000000000003</v>
      </c>
      <c r="C460">
        <v>62.212000000000003</v>
      </c>
      <c r="D460">
        <v>61.962000000000003</v>
      </c>
      <c r="E460">
        <v>62.212000000000003</v>
      </c>
      <c r="F460">
        <v>62.421999999999997</v>
      </c>
      <c r="G460">
        <v>62.421999999999997</v>
      </c>
      <c r="H460">
        <v>61.962000000000003</v>
      </c>
      <c r="I460">
        <v>62.212000000000003</v>
      </c>
      <c r="J460">
        <v>62.421999999999997</v>
      </c>
      <c r="K460">
        <v>62.421999999999997</v>
      </c>
      <c r="L460" s="7"/>
      <c r="N460" s="124">
        <v>44376</v>
      </c>
      <c r="O460" s="2">
        <v>9.20655</v>
      </c>
      <c r="P460" s="2">
        <v>9.1703499999999991</v>
      </c>
      <c r="Q460" s="2">
        <v>9.2100000000000009</v>
      </c>
      <c r="R460" s="2">
        <v>9.1703499999999991</v>
      </c>
      <c r="S460" s="2">
        <v>9.17</v>
      </c>
      <c r="T460" s="2">
        <v>9.1702999999999992</v>
      </c>
      <c r="U460" s="2">
        <v>9.20655</v>
      </c>
      <c r="V460" s="2">
        <v>9.1703499999999991</v>
      </c>
      <c r="W460" s="2">
        <v>9.17</v>
      </c>
      <c r="X460" s="2">
        <v>9.1702999999999992</v>
      </c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2"/>
      <c r="AL460" s="1"/>
      <c r="AM460" s="2"/>
      <c r="AO460" s="124">
        <v>44376</v>
      </c>
      <c r="AP460">
        <v>61.962000000000003</v>
      </c>
      <c r="AQ460">
        <v>62.212000000000003</v>
      </c>
      <c r="AR460">
        <v>61.962000000000003</v>
      </c>
      <c r="AS460">
        <v>62.212000000000003</v>
      </c>
      <c r="AT460">
        <v>62.421999999999997</v>
      </c>
      <c r="AU460">
        <v>62.421999999999997</v>
      </c>
      <c r="AV460">
        <v>61.962000000000003</v>
      </c>
      <c r="AW460">
        <v>62.212000000000003</v>
      </c>
      <c r="AX460">
        <v>62.421999999999997</v>
      </c>
      <c r="AY460">
        <v>62.421999999999997</v>
      </c>
      <c r="AZ460" s="7"/>
      <c r="BB460" s="124">
        <v>44376</v>
      </c>
      <c r="BC460" s="2">
        <v>9.2100000000000009</v>
      </c>
      <c r="BD460" s="2">
        <v>9.17</v>
      </c>
      <c r="BE460" s="2">
        <v>9.2100000000000009</v>
      </c>
      <c r="BF460" s="2">
        <v>9.17</v>
      </c>
      <c r="BG460" s="2">
        <v>9.17</v>
      </c>
      <c r="BH460" s="2">
        <v>9.17</v>
      </c>
      <c r="BI460" s="2">
        <v>9.2100000000000009</v>
      </c>
      <c r="BJ460" s="2">
        <v>9.17</v>
      </c>
      <c r="BK460" s="2">
        <v>9.17</v>
      </c>
      <c r="BL460" s="2">
        <v>9.17</v>
      </c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2"/>
      <c r="BZ460" s="1"/>
      <c r="CA460" s="2"/>
    </row>
    <row r="461" spans="1:79" x14ac:dyDescent="0.2">
      <c r="A461" s="124">
        <v>44377</v>
      </c>
      <c r="B461">
        <v>62.179000000000002</v>
      </c>
      <c r="C461">
        <v>62.429000000000002</v>
      </c>
      <c r="D461">
        <v>62.177999999999997</v>
      </c>
      <c r="E461">
        <v>62.429000000000002</v>
      </c>
      <c r="F461">
        <v>62.64</v>
      </c>
      <c r="G461">
        <v>62.64</v>
      </c>
      <c r="H461">
        <v>62.179000000000002</v>
      </c>
      <c r="I461">
        <v>62.429000000000002</v>
      </c>
      <c r="J461">
        <v>62.64</v>
      </c>
      <c r="K461">
        <v>62.64</v>
      </c>
      <c r="L461" s="7"/>
      <c r="N461" s="124">
        <v>44377</v>
      </c>
      <c r="O461" s="2">
        <v>9.1768000000000001</v>
      </c>
      <c r="P461" s="2">
        <v>9.1407000000000007</v>
      </c>
      <c r="Q461" s="2">
        <v>9.18</v>
      </c>
      <c r="R461" s="2">
        <v>9.1407000000000007</v>
      </c>
      <c r="S461" s="2">
        <v>9.14</v>
      </c>
      <c r="T461" s="2">
        <v>9.1407000000000007</v>
      </c>
      <c r="U461" s="2">
        <v>9.1768000000000001</v>
      </c>
      <c r="V461" s="2">
        <v>9.1407000000000007</v>
      </c>
      <c r="W461" s="2">
        <v>9.14</v>
      </c>
      <c r="X461" s="2">
        <v>9.1407000000000007</v>
      </c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2"/>
      <c r="AL461" s="1"/>
      <c r="AM461" s="2"/>
      <c r="AO461" s="124">
        <v>44377</v>
      </c>
      <c r="AP461">
        <v>62.177999999999997</v>
      </c>
      <c r="AQ461">
        <v>62.427999999999997</v>
      </c>
      <c r="AR461">
        <v>62.177999999999997</v>
      </c>
      <c r="AS461">
        <v>62.429000000000002</v>
      </c>
      <c r="AT461">
        <v>62.64</v>
      </c>
      <c r="AU461">
        <v>62.64</v>
      </c>
      <c r="AV461">
        <v>62.177999999999997</v>
      </c>
      <c r="AW461">
        <v>62.427999999999997</v>
      </c>
      <c r="AX461">
        <v>62.64</v>
      </c>
      <c r="AY461">
        <v>62.64</v>
      </c>
      <c r="AZ461" s="7"/>
      <c r="BB461" s="124">
        <v>44377</v>
      </c>
      <c r="BC461" s="2">
        <v>9.18</v>
      </c>
      <c r="BD461" s="2">
        <v>9.14</v>
      </c>
      <c r="BE461" s="2">
        <v>9.18</v>
      </c>
      <c r="BF461" s="2">
        <v>9.14</v>
      </c>
      <c r="BG461" s="2">
        <v>9.14</v>
      </c>
      <c r="BH461" s="2">
        <v>9.14</v>
      </c>
      <c r="BI461" s="2">
        <v>9.18</v>
      </c>
      <c r="BJ461" s="2">
        <v>9.14</v>
      </c>
      <c r="BK461" s="2">
        <v>9.14</v>
      </c>
      <c r="BL461" s="2">
        <v>9.14</v>
      </c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2"/>
      <c r="BZ461" s="1"/>
      <c r="CA461" s="2"/>
    </row>
    <row r="462" spans="1:79" x14ac:dyDescent="0.2">
      <c r="A462" s="124">
        <v>44378</v>
      </c>
      <c r="B462">
        <v>62.249000000000002</v>
      </c>
      <c r="C462">
        <v>62.499000000000002</v>
      </c>
      <c r="D462">
        <v>62.249000000000002</v>
      </c>
      <c r="E462">
        <v>62.499000000000002</v>
      </c>
      <c r="F462">
        <v>62.716000000000001</v>
      </c>
      <c r="G462">
        <v>62.716000000000001</v>
      </c>
      <c r="H462">
        <v>62.249000000000002</v>
      </c>
      <c r="I462">
        <v>62.499000000000002</v>
      </c>
      <c r="J462">
        <v>62.715000000000003</v>
      </c>
      <c r="K462">
        <v>62.716000000000001</v>
      </c>
      <c r="L462" s="7"/>
      <c r="N462" s="124">
        <v>44378</v>
      </c>
      <c r="O462" s="2">
        <v>9.1747999999999994</v>
      </c>
      <c r="P462" s="2">
        <v>9.1387499999999999</v>
      </c>
      <c r="Q462" s="2">
        <v>9.17</v>
      </c>
      <c r="R462" s="2">
        <v>9.1387499999999999</v>
      </c>
      <c r="S462" s="2">
        <v>9.14</v>
      </c>
      <c r="T462" s="2">
        <v>9.1387499999999999</v>
      </c>
      <c r="U462" s="2">
        <v>9.1747999999999994</v>
      </c>
      <c r="V462" s="2">
        <v>9.1387499999999999</v>
      </c>
      <c r="W462" s="2">
        <v>9.14</v>
      </c>
      <c r="X462" s="2">
        <v>9.1387499999999999</v>
      </c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2"/>
      <c r="AL462" s="1"/>
      <c r="AM462" s="2"/>
      <c r="AO462" s="124">
        <v>44378</v>
      </c>
      <c r="AP462">
        <v>62.249000000000002</v>
      </c>
      <c r="AQ462">
        <v>62.499000000000002</v>
      </c>
      <c r="AR462">
        <v>62.249000000000002</v>
      </c>
      <c r="AS462">
        <v>62.499000000000002</v>
      </c>
      <c r="AT462">
        <v>62.715000000000003</v>
      </c>
      <c r="AU462">
        <v>62.715000000000003</v>
      </c>
      <c r="AV462">
        <v>62.249000000000002</v>
      </c>
      <c r="AW462">
        <v>62.499000000000002</v>
      </c>
      <c r="AX462">
        <v>62.716000000000001</v>
      </c>
      <c r="AY462">
        <v>62.716000000000001</v>
      </c>
      <c r="AZ462" s="7"/>
      <c r="BB462" s="124">
        <v>44378</v>
      </c>
      <c r="BC462" s="2">
        <v>9.17</v>
      </c>
      <c r="BD462" s="2">
        <v>9.14</v>
      </c>
      <c r="BE462" s="2">
        <v>9.17</v>
      </c>
      <c r="BF462" s="2">
        <v>9.14</v>
      </c>
      <c r="BG462" s="2">
        <v>9.14</v>
      </c>
      <c r="BH462" s="2">
        <v>9.14</v>
      </c>
      <c r="BI462" s="2">
        <v>9.17</v>
      </c>
      <c r="BJ462" s="2">
        <v>9.14</v>
      </c>
      <c r="BK462" s="2">
        <v>9.14</v>
      </c>
      <c r="BL462" s="2">
        <v>9.14</v>
      </c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2"/>
      <c r="BZ462" s="1"/>
      <c r="CA462" s="2"/>
    </row>
    <row r="463" spans="1:79" x14ac:dyDescent="0.2">
      <c r="A463" s="124">
        <v>44379</v>
      </c>
      <c r="B463">
        <v>63.378</v>
      </c>
      <c r="C463">
        <v>63.628</v>
      </c>
      <c r="D463">
        <v>63.377000000000002</v>
      </c>
      <c r="E463">
        <v>63.628</v>
      </c>
      <c r="F463">
        <v>63.845999999999997</v>
      </c>
      <c r="G463">
        <v>63.845999999999997</v>
      </c>
      <c r="H463">
        <v>63.378</v>
      </c>
      <c r="I463">
        <v>63.628</v>
      </c>
      <c r="J463">
        <v>62.715000000000003</v>
      </c>
      <c r="K463">
        <v>63.845999999999997</v>
      </c>
      <c r="L463" s="7"/>
      <c r="N463" s="124">
        <v>44379</v>
      </c>
      <c r="O463" s="2">
        <v>9.0134000000000007</v>
      </c>
      <c r="P463" s="2">
        <v>8.9781499999999994</v>
      </c>
      <c r="Q463" s="2">
        <v>9.01</v>
      </c>
      <c r="R463" s="2">
        <v>8.9781499999999994</v>
      </c>
      <c r="S463" s="2">
        <v>8.98</v>
      </c>
      <c r="T463" s="2">
        <v>8.9781499999999994</v>
      </c>
      <c r="U463" s="2">
        <v>9.0134000000000007</v>
      </c>
      <c r="V463" s="2">
        <v>8.9781499999999994</v>
      </c>
      <c r="W463" s="2">
        <v>9.14</v>
      </c>
      <c r="X463" s="2">
        <v>8.9781499999999994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2"/>
      <c r="AL463" s="1"/>
      <c r="AM463" s="2"/>
      <c r="AO463" s="124">
        <v>44379</v>
      </c>
      <c r="AP463">
        <v>63.377000000000002</v>
      </c>
      <c r="AQ463">
        <v>63.627000000000002</v>
      </c>
      <c r="AR463">
        <v>63.377000000000002</v>
      </c>
      <c r="AS463">
        <v>63.628</v>
      </c>
      <c r="AT463">
        <v>63.845999999999997</v>
      </c>
      <c r="AU463">
        <v>63.845999999999997</v>
      </c>
      <c r="AV463">
        <v>63.377000000000002</v>
      </c>
      <c r="AW463">
        <v>63.627000000000002</v>
      </c>
      <c r="AX463">
        <v>63.845999999999997</v>
      </c>
      <c r="AY463">
        <v>63.845999999999997</v>
      </c>
      <c r="AZ463" s="7"/>
      <c r="BB463" s="124">
        <v>44379</v>
      </c>
      <c r="BC463" s="2">
        <v>9.01</v>
      </c>
      <c r="BD463" s="2">
        <v>8.98</v>
      </c>
      <c r="BE463" s="2">
        <v>9.01</v>
      </c>
      <c r="BF463" s="2">
        <v>8.98</v>
      </c>
      <c r="BG463" s="2">
        <v>8.98</v>
      </c>
      <c r="BH463" s="2">
        <v>8.98</v>
      </c>
      <c r="BI463" s="2">
        <v>9.01</v>
      </c>
      <c r="BJ463" s="2">
        <v>8.98</v>
      </c>
      <c r="BK463" s="2">
        <v>8.98</v>
      </c>
      <c r="BL463" s="2">
        <v>8.98</v>
      </c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2"/>
      <c r="BZ463" s="1"/>
      <c r="CA463" s="2"/>
    </row>
    <row r="464" spans="1:79" x14ac:dyDescent="0.2">
      <c r="A464" s="124">
        <v>44382</v>
      </c>
      <c r="B464">
        <v>63.247</v>
      </c>
      <c r="C464">
        <v>63.497</v>
      </c>
      <c r="D464">
        <v>63.246000000000002</v>
      </c>
      <c r="E464">
        <v>63.497</v>
      </c>
      <c r="F464">
        <v>63.845999999999997</v>
      </c>
      <c r="G464">
        <v>63.715000000000003</v>
      </c>
      <c r="H464">
        <v>63.247</v>
      </c>
      <c r="I464">
        <v>63.497</v>
      </c>
      <c r="J464">
        <v>63.713999999999999</v>
      </c>
      <c r="K464">
        <v>63.715000000000003</v>
      </c>
      <c r="L464" s="7"/>
      <c r="N464" s="124">
        <v>44382</v>
      </c>
      <c r="O464" s="2">
        <v>9.0321999999999996</v>
      </c>
      <c r="P464" s="2">
        <v>8.9968500000000002</v>
      </c>
      <c r="Q464" s="2">
        <v>9.0299999999999994</v>
      </c>
      <c r="R464" s="2">
        <v>8.9968500000000002</v>
      </c>
      <c r="S464" s="2">
        <v>8.98</v>
      </c>
      <c r="T464" s="2">
        <v>8.9968500000000002</v>
      </c>
      <c r="U464" s="2">
        <v>9.0321999999999996</v>
      </c>
      <c r="V464" s="2">
        <v>8.9968500000000002</v>
      </c>
      <c r="W464" s="2">
        <v>9</v>
      </c>
      <c r="X464" s="2">
        <v>8.9968500000000002</v>
      </c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2"/>
      <c r="AL464" s="1"/>
      <c r="AM464" s="2"/>
      <c r="AO464" s="124">
        <v>44382</v>
      </c>
      <c r="AP464">
        <v>63.246000000000002</v>
      </c>
      <c r="AQ464">
        <v>63.496000000000002</v>
      </c>
      <c r="AR464">
        <v>63.246000000000002</v>
      </c>
      <c r="AS464">
        <v>63.497</v>
      </c>
      <c r="AT464">
        <v>63.713999999999999</v>
      </c>
      <c r="AU464">
        <v>63.713999999999999</v>
      </c>
      <c r="AV464">
        <v>63.246000000000002</v>
      </c>
      <c r="AW464">
        <v>63.496000000000002</v>
      </c>
      <c r="AX464">
        <v>63.715000000000003</v>
      </c>
      <c r="AY464">
        <v>63.715000000000003</v>
      </c>
      <c r="AZ464" s="7"/>
      <c r="BB464" s="124">
        <v>44382</v>
      </c>
      <c r="BC464" s="2">
        <v>9.0299999999999994</v>
      </c>
      <c r="BD464" s="2">
        <v>9</v>
      </c>
      <c r="BE464" s="2">
        <v>9.0299999999999994</v>
      </c>
      <c r="BF464" s="2">
        <v>9</v>
      </c>
      <c r="BG464" s="2">
        <v>9</v>
      </c>
      <c r="BH464" s="2">
        <v>9</v>
      </c>
      <c r="BI464" s="2">
        <v>9.0299999999999994</v>
      </c>
      <c r="BJ464" s="2">
        <v>9</v>
      </c>
      <c r="BK464" s="2">
        <v>9</v>
      </c>
      <c r="BL464" s="2">
        <v>9</v>
      </c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2"/>
      <c r="BZ464" s="1"/>
      <c r="CA464" s="2"/>
    </row>
    <row r="465" spans="1:79" x14ac:dyDescent="0.2">
      <c r="A465" s="124">
        <v>44383</v>
      </c>
      <c r="B465">
        <v>63.634999999999998</v>
      </c>
      <c r="C465">
        <v>63.884999999999998</v>
      </c>
      <c r="D465">
        <v>63.634</v>
      </c>
      <c r="E465">
        <v>63.884999999999998</v>
      </c>
      <c r="F465">
        <v>64.103999999999999</v>
      </c>
      <c r="G465">
        <v>64.103999999999999</v>
      </c>
      <c r="H465">
        <v>63.634999999999998</v>
      </c>
      <c r="I465">
        <v>63.884999999999998</v>
      </c>
      <c r="J465">
        <v>64.103999999999999</v>
      </c>
      <c r="K465">
        <v>64.103999999999999</v>
      </c>
      <c r="L465" s="7"/>
      <c r="N465" s="124">
        <v>44383</v>
      </c>
      <c r="O465" s="2">
        <v>8.9787499999999998</v>
      </c>
      <c r="P465" s="2">
        <v>8.9436</v>
      </c>
      <c r="Q465" s="2">
        <v>8.98</v>
      </c>
      <c r="R465" s="2">
        <v>8.9436</v>
      </c>
      <c r="S465" s="2">
        <v>8.94</v>
      </c>
      <c r="T465" s="2">
        <v>8.9436499999999999</v>
      </c>
      <c r="U465" s="2">
        <v>8.9787499999999998</v>
      </c>
      <c r="V465" s="2">
        <v>8.9436</v>
      </c>
      <c r="W465" s="2">
        <v>8.94</v>
      </c>
      <c r="X465" s="2">
        <v>8.9436499999999999</v>
      </c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2"/>
      <c r="AL465" s="1"/>
      <c r="AM465" s="2"/>
      <c r="AO465" s="124">
        <v>44383</v>
      </c>
      <c r="AP465">
        <v>63.634</v>
      </c>
      <c r="AQ465">
        <v>63.884</v>
      </c>
      <c r="AR465">
        <v>63.634</v>
      </c>
      <c r="AS465">
        <v>63.884999999999998</v>
      </c>
      <c r="AT465">
        <v>64.103999999999999</v>
      </c>
      <c r="AU465">
        <v>64.103999999999999</v>
      </c>
      <c r="AV465">
        <v>63.634</v>
      </c>
      <c r="AW465">
        <v>63.884</v>
      </c>
      <c r="AX465">
        <v>64.103999999999999</v>
      </c>
      <c r="AY465">
        <v>64.103999999999999</v>
      </c>
      <c r="AZ465" s="7"/>
      <c r="BB465" s="124">
        <v>44383</v>
      </c>
      <c r="BC465" s="2">
        <v>8.98</v>
      </c>
      <c r="BD465" s="2">
        <v>8.94</v>
      </c>
      <c r="BE465" s="2">
        <v>8.98</v>
      </c>
      <c r="BF465" s="2">
        <v>8.94</v>
      </c>
      <c r="BG465" s="2">
        <v>8.94</v>
      </c>
      <c r="BH465" s="2">
        <v>8.94</v>
      </c>
      <c r="BI465" s="2">
        <v>8.98</v>
      </c>
      <c r="BJ465" s="2">
        <v>8.94</v>
      </c>
      <c r="BK465" s="2">
        <v>8.94</v>
      </c>
      <c r="BL465" s="2">
        <v>8.94</v>
      </c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2"/>
      <c r="BZ465" s="1"/>
      <c r="CA465" s="2"/>
    </row>
    <row r="466" spans="1:79" x14ac:dyDescent="0.2">
      <c r="A466" s="124">
        <v>44384</v>
      </c>
      <c r="B466">
        <v>63.857999999999997</v>
      </c>
      <c r="C466">
        <v>64.108000000000004</v>
      </c>
      <c r="D466">
        <v>63.856999999999999</v>
      </c>
      <c r="E466">
        <v>64.108000000000004</v>
      </c>
      <c r="F466">
        <v>64.328999999999994</v>
      </c>
      <c r="G466">
        <v>64.328999999999994</v>
      </c>
      <c r="H466">
        <v>63.857999999999997</v>
      </c>
      <c r="I466">
        <v>64.108000000000004</v>
      </c>
      <c r="J466">
        <v>64.328000000000003</v>
      </c>
      <c r="K466">
        <v>64.328999999999994</v>
      </c>
      <c r="L466" s="7"/>
      <c r="N466" s="124">
        <v>44384</v>
      </c>
      <c r="O466" s="2">
        <v>8.9490499999999997</v>
      </c>
      <c r="P466" s="2">
        <v>8.9140499999999996</v>
      </c>
      <c r="Q466" s="2">
        <v>8.9499999999999993</v>
      </c>
      <c r="R466" s="2">
        <v>8.9140499999999996</v>
      </c>
      <c r="S466" s="2">
        <v>8.91</v>
      </c>
      <c r="T466" s="2">
        <v>8.9140499999999996</v>
      </c>
      <c r="U466" s="2">
        <v>8.9490499999999997</v>
      </c>
      <c r="V466" s="2">
        <v>8.9140499999999996</v>
      </c>
      <c r="W466" s="2">
        <v>8.91</v>
      </c>
      <c r="X466" s="2">
        <v>8.9140499999999996</v>
      </c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2"/>
      <c r="AL466" s="1"/>
      <c r="AM466" s="2"/>
      <c r="AO466" s="124">
        <v>44384</v>
      </c>
      <c r="AP466">
        <v>63.856999999999999</v>
      </c>
      <c r="AQ466">
        <v>64.106999999999999</v>
      </c>
      <c r="AR466">
        <v>63.856999999999999</v>
      </c>
      <c r="AS466">
        <v>64.108000000000004</v>
      </c>
      <c r="AT466">
        <v>64.328000000000003</v>
      </c>
      <c r="AU466">
        <v>64.328000000000003</v>
      </c>
      <c r="AV466">
        <v>63.856999999999999</v>
      </c>
      <c r="AW466">
        <v>64.106999999999999</v>
      </c>
      <c r="AX466">
        <v>64.328999999999994</v>
      </c>
      <c r="AY466">
        <v>64.328999999999994</v>
      </c>
      <c r="AZ466" s="7"/>
      <c r="BB466" s="124">
        <v>44384</v>
      </c>
      <c r="BC466" s="2">
        <v>8.9499999999999993</v>
      </c>
      <c r="BD466" s="2">
        <v>8.91</v>
      </c>
      <c r="BE466" s="2">
        <v>8.9499999999999993</v>
      </c>
      <c r="BF466" s="2">
        <v>8.91</v>
      </c>
      <c r="BG466" s="2">
        <v>8.91</v>
      </c>
      <c r="BH466" s="2">
        <v>8.91</v>
      </c>
      <c r="BI466" s="2">
        <v>8.9499999999999993</v>
      </c>
      <c r="BJ466" s="2">
        <v>8.91</v>
      </c>
      <c r="BK466" s="2">
        <v>8.91</v>
      </c>
      <c r="BL466" s="2">
        <v>8.91</v>
      </c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2"/>
      <c r="BZ466" s="1"/>
      <c r="CA466" s="2"/>
    </row>
    <row r="467" spans="1:79" x14ac:dyDescent="0.2">
      <c r="A467" s="124">
        <v>44385</v>
      </c>
      <c r="B467">
        <v>63.497</v>
      </c>
      <c r="C467">
        <v>63.747</v>
      </c>
      <c r="D467">
        <v>63.497</v>
      </c>
      <c r="E467">
        <v>63.747</v>
      </c>
      <c r="F467">
        <v>63.972000000000001</v>
      </c>
      <c r="G467">
        <v>63.972000000000001</v>
      </c>
      <c r="H467">
        <v>63.497</v>
      </c>
      <c r="I467">
        <v>63.747</v>
      </c>
      <c r="J467">
        <v>63.972000000000001</v>
      </c>
      <c r="K467">
        <v>63.972000000000001</v>
      </c>
      <c r="L467" s="7"/>
      <c r="N467" s="124">
        <v>44385</v>
      </c>
      <c r="O467" s="2">
        <v>9.0065500000000007</v>
      </c>
      <c r="P467" s="2">
        <v>8.9712999999999994</v>
      </c>
      <c r="Q467" s="2">
        <v>9.01</v>
      </c>
      <c r="R467" s="2">
        <v>8.9712999999999994</v>
      </c>
      <c r="S467" s="2">
        <v>8.9700000000000006</v>
      </c>
      <c r="T467" s="2">
        <v>8.9712999999999994</v>
      </c>
      <c r="U467" s="2">
        <v>9.0065500000000007</v>
      </c>
      <c r="V467" s="2">
        <v>8.9712999999999994</v>
      </c>
      <c r="W467" s="2">
        <v>8.9700000000000006</v>
      </c>
      <c r="X467" s="2">
        <v>8.9712999999999994</v>
      </c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2"/>
      <c r="AL467" s="1"/>
      <c r="AM467" s="2"/>
      <c r="AO467" s="124">
        <v>44385</v>
      </c>
      <c r="AP467">
        <v>63.497</v>
      </c>
      <c r="AQ467">
        <v>63.747</v>
      </c>
      <c r="AR467">
        <v>63.497</v>
      </c>
      <c r="AS467">
        <v>63.747</v>
      </c>
      <c r="AT467">
        <v>63.972000000000001</v>
      </c>
      <c r="AU467">
        <v>63.972000000000001</v>
      </c>
      <c r="AV467">
        <v>63.497</v>
      </c>
      <c r="AW467">
        <v>63.747</v>
      </c>
      <c r="AX467">
        <v>63.972000000000001</v>
      </c>
      <c r="AY467">
        <v>63.972000000000001</v>
      </c>
      <c r="AZ467" s="7"/>
      <c r="BB467" s="124">
        <v>44385</v>
      </c>
      <c r="BC467" s="2">
        <v>9.01</v>
      </c>
      <c r="BD467" s="2">
        <v>8.9700000000000006</v>
      </c>
      <c r="BE467" s="2">
        <v>9.01</v>
      </c>
      <c r="BF467" s="2">
        <v>8.9700000000000006</v>
      </c>
      <c r="BG467" s="2">
        <v>8.9700000000000006</v>
      </c>
      <c r="BH467" s="2">
        <v>8.9700000000000006</v>
      </c>
      <c r="BI467" s="2">
        <v>9.01</v>
      </c>
      <c r="BJ467" s="2">
        <v>8.9700000000000006</v>
      </c>
      <c r="BK467" s="2">
        <v>8.9700000000000006</v>
      </c>
      <c r="BL467" s="2">
        <v>8.9700000000000006</v>
      </c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2"/>
      <c r="BZ467" s="1"/>
      <c r="CA467" s="2"/>
    </row>
    <row r="468" spans="1:79" x14ac:dyDescent="0.2">
      <c r="A468" s="124">
        <v>44386</v>
      </c>
      <c r="B468">
        <v>63.636000000000003</v>
      </c>
      <c r="C468">
        <v>63.886000000000003</v>
      </c>
      <c r="D468">
        <v>63.636000000000003</v>
      </c>
      <c r="E468">
        <v>63.886000000000003</v>
      </c>
      <c r="F468">
        <v>64.113</v>
      </c>
      <c r="G468">
        <v>64.113</v>
      </c>
      <c r="H468">
        <v>63.636000000000003</v>
      </c>
      <c r="I468">
        <v>63.886000000000003</v>
      </c>
      <c r="J468">
        <v>64.111999999999995</v>
      </c>
      <c r="K468">
        <v>64.113</v>
      </c>
      <c r="L468" s="7"/>
      <c r="N468" s="124">
        <v>44386</v>
      </c>
      <c r="O468" s="2">
        <v>8.9886499999999998</v>
      </c>
      <c r="P468" s="2">
        <v>8.9535</v>
      </c>
      <c r="Q468" s="2">
        <v>8.99</v>
      </c>
      <c r="R468" s="2">
        <v>8.9535</v>
      </c>
      <c r="S468" s="2">
        <v>8.9499999999999993</v>
      </c>
      <c r="T468" s="2">
        <v>8.9534500000000001</v>
      </c>
      <c r="U468" s="2">
        <v>8.9886499999999998</v>
      </c>
      <c r="V468" s="2">
        <v>8.9535</v>
      </c>
      <c r="W468" s="2">
        <v>8.9499999999999993</v>
      </c>
      <c r="X468" s="2">
        <v>8.9534500000000001</v>
      </c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2"/>
      <c r="AL468" s="1"/>
      <c r="AM468" s="2"/>
      <c r="AO468" s="124">
        <v>44386</v>
      </c>
      <c r="AP468">
        <v>63.636000000000003</v>
      </c>
      <c r="AQ468">
        <v>63.886000000000003</v>
      </c>
      <c r="AR468">
        <v>63.636000000000003</v>
      </c>
      <c r="AS468">
        <v>63.886000000000003</v>
      </c>
      <c r="AT468">
        <v>64.111999999999995</v>
      </c>
      <c r="AU468">
        <v>64.111999999999995</v>
      </c>
      <c r="AV468">
        <v>63.636000000000003</v>
      </c>
      <c r="AW468">
        <v>63.886000000000003</v>
      </c>
      <c r="AX468">
        <v>64.113</v>
      </c>
      <c r="AY468">
        <v>64.113</v>
      </c>
      <c r="AZ468" s="7"/>
      <c r="BB468" s="124">
        <v>44386</v>
      </c>
      <c r="BC468" s="2">
        <v>8.99</v>
      </c>
      <c r="BD468" s="2">
        <v>8.9499999999999993</v>
      </c>
      <c r="BE468" s="2">
        <v>8.99</v>
      </c>
      <c r="BF468" s="2">
        <v>8.9499999999999993</v>
      </c>
      <c r="BG468" s="2">
        <v>8.9499999999999993</v>
      </c>
      <c r="BH468" s="2">
        <v>8.9499999999999993</v>
      </c>
      <c r="BI468" s="2">
        <v>8.99</v>
      </c>
      <c r="BJ468" s="2">
        <v>8.9499999999999993</v>
      </c>
      <c r="BK468" s="2">
        <v>8.9499999999999993</v>
      </c>
      <c r="BL468" s="2">
        <v>8.9499999999999993</v>
      </c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2"/>
      <c r="BZ468" s="1"/>
      <c r="CA468" s="2"/>
    </row>
    <row r="469" spans="1:79" x14ac:dyDescent="0.2">
      <c r="A469" s="124">
        <v>44389</v>
      </c>
      <c r="B469">
        <v>63.512</v>
      </c>
      <c r="C469">
        <v>63.762</v>
      </c>
      <c r="D469">
        <v>63.511000000000003</v>
      </c>
      <c r="E469">
        <v>63.762</v>
      </c>
      <c r="F469">
        <v>63.99</v>
      </c>
      <c r="G469">
        <v>63.99</v>
      </c>
      <c r="H469">
        <v>63.762</v>
      </c>
      <c r="I469">
        <v>63.762</v>
      </c>
      <c r="J469">
        <v>64.111999999999995</v>
      </c>
      <c r="K469">
        <v>63.99</v>
      </c>
      <c r="L469" s="7"/>
      <c r="N469" s="124">
        <v>44389</v>
      </c>
      <c r="O469" s="2">
        <v>9.0084499999999998</v>
      </c>
      <c r="P469" s="2">
        <v>8.9732000000000003</v>
      </c>
      <c r="Q469" s="2">
        <v>9.01</v>
      </c>
      <c r="R469" s="2">
        <v>8.9732000000000003</v>
      </c>
      <c r="S469" s="2">
        <v>8.9700000000000006</v>
      </c>
      <c r="T469" s="2">
        <v>8.9732000000000003</v>
      </c>
      <c r="U469" s="2">
        <v>8.9732000000000003</v>
      </c>
      <c r="V469" s="2">
        <v>8.9732000000000003</v>
      </c>
      <c r="W469" s="2">
        <v>8.9499999999999993</v>
      </c>
      <c r="X469" s="2">
        <v>8.9732000000000003</v>
      </c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2"/>
      <c r="AL469" s="1"/>
      <c r="AM469" s="2"/>
      <c r="AO469" s="124">
        <v>44389</v>
      </c>
      <c r="AP469">
        <v>63.511000000000003</v>
      </c>
      <c r="AQ469">
        <v>63.761000000000003</v>
      </c>
      <c r="AR469">
        <v>63.511000000000003</v>
      </c>
      <c r="AS469">
        <v>63.762</v>
      </c>
      <c r="AT469">
        <v>63.988999999999997</v>
      </c>
      <c r="AU469">
        <v>63.988999999999997</v>
      </c>
      <c r="AV469">
        <v>63.761000000000003</v>
      </c>
      <c r="AW469">
        <v>63.761000000000003</v>
      </c>
      <c r="AX469">
        <v>63.99</v>
      </c>
      <c r="AY469">
        <v>63.99</v>
      </c>
      <c r="AZ469" s="7"/>
      <c r="BB469" s="124">
        <v>44389</v>
      </c>
      <c r="BC469" s="2">
        <v>9.01</v>
      </c>
      <c r="BD469" s="2">
        <v>8.9700000000000006</v>
      </c>
      <c r="BE469" s="2">
        <v>9.01</v>
      </c>
      <c r="BF469" s="2">
        <v>8.9700000000000006</v>
      </c>
      <c r="BG469" s="2">
        <v>8.9700000000000006</v>
      </c>
      <c r="BH469" s="2">
        <v>8.9700000000000006</v>
      </c>
      <c r="BI469" s="2">
        <v>8.9700000000000006</v>
      </c>
      <c r="BJ469" s="2">
        <v>8.9700000000000006</v>
      </c>
      <c r="BK469" s="2">
        <v>8.9700000000000006</v>
      </c>
      <c r="BL469" s="2">
        <v>8.9700000000000006</v>
      </c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2"/>
      <c r="BZ469" s="1"/>
      <c r="CA469" s="2"/>
    </row>
    <row r="470" spans="1:79" x14ac:dyDescent="0.2">
      <c r="A470" s="124">
        <v>44390</v>
      </c>
      <c r="B470">
        <v>63.734000000000002</v>
      </c>
      <c r="C470">
        <v>63.984000000000002</v>
      </c>
      <c r="D470">
        <v>63.734000000000002</v>
      </c>
      <c r="E470">
        <v>63.984000000000002</v>
      </c>
      <c r="F470">
        <v>64.212999999999994</v>
      </c>
      <c r="G470">
        <v>64.212999999999994</v>
      </c>
      <c r="H470">
        <v>63.984000000000002</v>
      </c>
      <c r="I470">
        <v>63.984000000000002</v>
      </c>
      <c r="J470">
        <v>64.212999999999994</v>
      </c>
      <c r="K470">
        <v>64.212999999999994</v>
      </c>
      <c r="L470" s="7"/>
      <c r="N470" s="124">
        <v>44390</v>
      </c>
      <c r="O470" s="2">
        <v>8.9787499999999998</v>
      </c>
      <c r="P470" s="2">
        <v>8.9436499999999999</v>
      </c>
      <c r="Q470" s="2">
        <v>8.98</v>
      </c>
      <c r="R470" s="2">
        <v>8.9436499999999999</v>
      </c>
      <c r="S470" s="2">
        <v>8.94</v>
      </c>
      <c r="T470" s="2">
        <v>8.9436999999999998</v>
      </c>
      <c r="U470" s="2">
        <v>8.9436499999999999</v>
      </c>
      <c r="V470" s="2">
        <v>8.9436499999999999</v>
      </c>
      <c r="W470" s="2">
        <v>8.94</v>
      </c>
      <c r="X470" s="2">
        <v>8.9436999999999998</v>
      </c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2"/>
      <c r="AL470" s="1"/>
      <c r="AM470" s="2"/>
      <c r="AO470" s="124">
        <v>44390</v>
      </c>
      <c r="AP470">
        <v>63.734000000000002</v>
      </c>
      <c r="AQ470">
        <v>63.984000000000002</v>
      </c>
      <c r="AR470">
        <v>63.734000000000002</v>
      </c>
      <c r="AS470">
        <v>63.984000000000002</v>
      </c>
      <c r="AT470">
        <v>64.212999999999994</v>
      </c>
      <c r="AU470">
        <v>64.212999999999994</v>
      </c>
      <c r="AV470">
        <v>63.984000000000002</v>
      </c>
      <c r="AW470">
        <v>63.984000000000002</v>
      </c>
      <c r="AX470">
        <v>64.212999999999994</v>
      </c>
      <c r="AY470">
        <v>64.212999999999994</v>
      </c>
      <c r="AZ470" s="7"/>
      <c r="BB470" s="124">
        <v>44390</v>
      </c>
      <c r="BC470" s="2">
        <v>8.98</v>
      </c>
      <c r="BD470" s="2">
        <v>8.94</v>
      </c>
      <c r="BE470" s="2">
        <v>8.98</v>
      </c>
      <c r="BF470" s="2">
        <v>8.94</v>
      </c>
      <c r="BG470" s="2">
        <v>8.94</v>
      </c>
      <c r="BH470" s="2">
        <v>8.94</v>
      </c>
      <c r="BI470" s="2">
        <v>8.94</v>
      </c>
      <c r="BJ470" s="2">
        <v>8.94</v>
      </c>
      <c r="BK470" s="2">
        <v>8.94</v>
      </c>
      <c r="BL470" s="2">
        <v>8.94</v>
      </c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2"/>
      <c r="BZ470" s="1"/>
      <c r="CA470" s="2"/>
    </row>
    <row r="471" spans="1:79" x14ac:dyDescent="0.2">
      <c r="A471" s="124">
        <v>44391</v>
      </c>
      <c r="B471">
        <v>63.7</v>
      </c>
      <c r="C471">
        <v>63.95</v>
      </c>
      <c r="D471">
        <v>63.698999999999998</v>
      </c>
      <c r="E471">
        <v>63.95</v>
      </c>
      <c r="F471">
        <v>64.180000000000007</v>
      </c>
      <c r="G471">
        <v>64.180000000000007</v>
      </c>
      <c r="H471">
        <v>63.95</v>
      </c>
      <c r="I471">
        <v>63.95</v>
      </c>
      <c r="J471">
        <v>64.103999999999999</v>
      </c>
      <c r="K471">
        <v>64.180000000000007</v>
      </c>
      <c r="L471" s="7"/>
      <c r="N471" s="124">
        <v>44391</v>
      </c>
      <c r="O471" s="2">
        <v>8.9856499999999997</v>
      </c>
      <c r="P471" s="2">
        <v>8.9504999999999999</v>
      </c>
      <c r="Q471" s="2">
        <v>8.99</v>
      </c>
      <c r="R471" s="2">
        <v>8.9504999999999999</v>
      </c>
      <c r="S471" s="2">
        <v>8.9499999999999993</v>
      </c>
      <c r="T471" s="2">
        <v>8.9505999999999997</v>
      </c>
      <c r="U471" s="2">
        <v>8.9504999999999999</v>
      </c>
      <c r="V471" s="2">
        <v>8.9504999999999999</v>
      </c>
      <c r="W471" s="2">
        <v>8.9600000000000009</v>
      </c>
      <c r="X471" s="2">
        <v>8.9505999999999997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2"/>
      <c r="AL471" s="1"/>
      <c r="AM471" s="2"/>
      <c r="AO471" s="124">
        <v>44391</v>
      </c>
      <c r="AP471">
        <v>63.698999999999998</v>
      </c>
      <c r="AQ471">
        <v>63.948999999999998</v>
      </c>
      <c r="AR471">
        <v>63.698999999999998</v>
      </c>
      <c r="AS471">
        <v>63.95</v>
      </c>
      <c r="AT471">
        <v>64.180000000000007</v>
      </c>
      <c r="AU471">
        <v>64.180000000000007</v>
      </c>
      <c r="AV471">
        <v>63.948999999999998</v>
      </c>
      <c r="AW471">
        <v>63.948999999999998</v>
      </c>
      <c r="AX471">
        <v>64.180000000000007</v>
      </c>
      <c r="AY471">
        <v>64.180000000000007</v>
      </c>
      <c r="AZ471" s="7"/>
      <c r="BB471" s="124">
        <v>44391</v>
      </c>
      <c r="BC471" s="2">
        <v>8.99</v>
      </c>
      <c r="BD471" s="2">
        <v>8.9499999999999993</v>
      </c>
      <c r="BE471" s="2">
        <v>8.99</v>
      </c>
      <c r="BF471" s="2">
        <v>8.9499999999999993</v>
      </c>
      <c r="BG471" s="2">
        <v>8.9499999999999993</v>
      </c>
      <c r="BH471" s="2">
        <v>8.9499999999999993</v>
      </c>
      <c r="BI471" s="2">
        <v>8.9499999999999993</v>
      </c>
      <c r="BJ471" s="2">
        <v>8.9499999999999993</v>
      </c>
      <c r="BK471" s="2">
        <v>8.9499999999999993</v>
      </c>
      <c r="BL471" s="2">
        <v>8.9499999999999993</v>
      </c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2"/>
      <c r="BZ471" s="1"/>
      <c r="CA471" s="2"/>
    </row>
    <row r="472" spans="1:79" x14ac:dyDescent="0.2">
      <c r="A472" s="124">
        <v>44392</v>
      </c>
      <c r="B472">
        <v>63.375999999999998</v>
      </c>
      <c r="C472">
        <v>63.625999999999998</v>
      </c>
      <c r="D472">
        <v>63.375</v>
      </c>
      <c r="E472">
        <v>63.625999999999998</v>
      </c>
      <c r="F472">
        <v>63.860999999999997</v>
      </c>
      <c r="G472">
        <v>63.860999999999997</v>
      </c>
      <c r="H472">
        <v>63.625999999999998</v>
      </c>
      <c r="I472">
        <v>63.625999999999998</v>
      </c>
      <c r="J472">
        <v>63.86</v>
      </c>
      <c r="K472">
        <v>63.860999999999997</v>
      </c>
      <c r="L472" s="7"/>
      <c r="N472" s="124">
        <v>44392</v>
      </c>
      <c r="O472" s="2">
        <v>9.0381499999999999</v>
      </c>
      <c r="P472" s="2">
        <v>9.0027500000000007</v>
      </c>
      <c r="Q472" s="2">
        <v>9.0399999999999991</v>
      </c>
      <c r="R472" s="2">
        <v>9.0027500000000007</v>
      </c>
      <c r="S472" s="2">
        <v>9</v>
      </c>
      <c r="T472" s="2">
        <v>9.0027000000000008</v>
      </c>
      <c r="U472" s="2">
        <v>9.0027500000000007</v>
      </c>
      <c r="V472" s="2">
        <v>9.0027500000000007</v>
      </c>
      <c r="W472" s="2">
        <v>9</v>
      </c>
      <c r="X472" s="2">
        <v>9.0027000000000008</v>
      </c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2"/>
      <c r="AL472" s="1"/>
      <c r="AM472" s="2"/>
      <c r="AO472" s="124">
        <v>44392</v>
      </c>
      <c r="AP472">
        <v>63.375</v>
      </c>
      <c r="AQ472">
        <v>63.625</v>
      </c>
      <c r="AR472">
        <v>63.375</v>
      </c>
      <c r="AS472">
        <v>63.625999999999998</v>
      </c>
      <c r="AT472">
        <v>63.86</v>
      </c>
      <c r="AU472">
        <v>63.86</v>
      </c>
      <c r="AV472">
        <v>63.625</v>
      </c>
      <c r="AW472">
        <v>63.625</v>
      </c>
      <c r="AX472">
        <v>63.860999999999997</v>
      </c>
      <c r="AY472">
        <v>63.860999999999997</v>
      </c>
      <c r="AZ472" s="7"/>
      <c r="BB472" s="124">
        <v>44392</v>
      </c>
      <c r="BC472" s="2">
        <v>9.0399999999999991</v>
      </c>
      <c r="BD472" s="2">
        <v>9</v>
      </c>
      <c r="BE472" s="2">
        <v>9.0399999999999991</v>
      </c>
      <c r="BF472" s="2">
        <v>9</v>
      </c>
      <c r="BG472" s="2">
        <v>9</v>
      </c>
      <c r="BH472" s="2">
        <v>9</v>
      </c>
      <c r="BI472" s="2">
        <v>9</v>
      </c>
      <c r="BJ472" s="2">
        <v>9</v>
      </c>
      <c r="BK472" s="2">
        <v>9</v>
      </c>
      <c r="BL472" s="2">
        <v>9</v>
      </c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2"/>
      <c r="BZ472" s="1"/>
      <c r="CA472" s="2"/>
    </row>
    <row r="473" spans="1:79" x14ac:dyDescent="0.2">
      <c r="A473" s="124">
        <v>44393</v>
      </c>
      <c r="B473">
        <v>63.459000000000003</v>
      </c>
      <c r="C473">
        <v>63.709000000000003</v>
      </c>
      <c r="D473">
        <v>63.459000000000003</v>
      </c>
      <c r="E473">
        <v>63.709000000000003</v>
      </c>
      <c r="F473">
        <v>63.945</v>
      </c>
      <c r="G473">
        <v>63.945</v>
      </c>
      <c r="H473">
        <v>63.709000000000003</v>
      </c>
      <c r="I473">
        <v>63.709000000000003</v>
      </c>
      <c r="J473">
        <v>63.945</v>
      </c>
      <c r="K473">
        <v>63.945</v>
      </c>
      <c r="L473" s="7"/>
      <c r="N473" s="124">
        <v>44393</v>
      </c>
      <c r="O473" s="2">
        <v>9.0282499999999999</v>
      </c>
      <c r="P473" s="2">
        <v>8.9929000000000006</v>
      </c>
      <c r="Q473" s="2">
        <v>9.0299999999999994</v>
      </c>
      <c r="R473" s="2">
        <v>8.9929000000000006</v>
      </c>
      <c r="S473" s="2">
        <v>8.99</v>
      </c>
      <c r="T473" s="2">
        <v>8.9929500000000004</v>
      </c>
      <c r="U473" s="2">
        <v>8.9929000000000006</v>
      </c>
      <c r="V473" s="2">
        <v>8.9929000000000006</v>
      </c>
      <c r="W473" s="2">
        <v>8.99</v>
      </c>
      <c r="X473" s="2">
        <v>8.9929500000000004</v>
      </c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2"/>
      <c r="AL473" s="1"/>
      <c r="AM473" s="2"/>
      <c r="AO473" s="124">
        <v>44393</v>
      </c>
      <c r="AP473">
        <v>63.459000000000003</v>
      </c>
      <c r="AQ473">
        <v>63.709000000000003</v>
      </c>
      <c r="AR473">
        <v>63.459000000000003</v>
      </c>
      <c r="AS473">
        <v>63.709000000000003</v>
      </c>
      <c r="AT473">
        <v>63.945</v>
      </c>
      <c r="AU473">
        <v>63.945</v>
      </c>
      <c r="AV473">
        <v>63.709000000000003</v>
      </c>
      <c r="AW473">
        <v>63.709000000000003</v>
      </c>
      <c r="AX473">
        <v>63.945</v>
      </c>
      <c r="AY473">
        <v>63.945</v>
      </c>
      <c r="AZ473" s="7"/>
      <c r="BB473" s="124">
        <v>44393</v>
      </c>
      <c r="BC473" s="2">
        <v>9.0299999999999994</v>
      </c>
      <c r="BD473" s="2">
        <v>8.99</v>
      </c>
      <c r="BE473" s="2">
        <v>9.0299999999999994</v>
      </c>
      <c r="BF473" s="2">
        <v>8.99</v>
      </c>
      <c r="BG473" s="2">
        <v>8.99</v>
      </c>
      <c r="BH473" s="2">
        <v>8.99</v>
      </c>
      <c r="BI473" s="2">
        <v>8.99</v>
      </c>
      <c r="BJ473" s="2">
        <v>8.99</v>
      </c>
      <c r="BK473" s="2">
        <v>8.99</v>
      </c>
      <c r="BL473" s="2">
        <v>8.99</v>
      </c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2"/>
      <c r="BZ473" s="1"/>
      <c r="CA473" s="2"/>
    </row>
    <row r="474" spans="1:79" x14ac:dyDescent="0.2">
      <c r="A474" s="124">
        <v>44396</v>
      </c>
      <c r="B474">
        <v>63.128999999999998</v>
      </c>
      <c r="C474">
        <v>63.378999999999998</v>
      </c>
      <c r="D474">
        <v>63.128999999999998</v>
      </c>
      <c r="E474">
        <v>63.378999999999998</v>
      </c>
      <c r="F474">
        <v>63.616999999999997</v>
      </c>
      <c r="G474">
        <v>63.616999999999997</v>
      </c>
      <c r="H474">
        <v>63.378999999999998</v>
      </c>
      <c r="I474">
        <v>63.378999999999998</v>
      </c>
      <c r="J474">
        <v>63.616</v>
      </c>
      <c r="K474">
        <v>63.616999999999997</v>
      </c>
      <c r="L474" s="7"/>
      <c r="N474" s="124">
        <v>44396</v>
      </c>
      <c r="O474" s="2">
        <v>9.0778499999999998</v>
      </c>
      <c r="P474" s="2">
        <v>9.0422499999999992</v>
      </c>
      <c r="Q474" s="2">
        <v>9.08</v>
      </c>
      <c r="R474" s="2">
        <v>9.0422499999999992</v>
      </c>
      <c r="S474" s="2">
        <v>9.0399999999999991</v>
      </c>
      <c r="T474" s="2">
        <v>9.0421999999999993</v>
      </c>
      <c r="U474" s="2">
        <v>9.0422499999999992</v>
      </c>
      <c r="V474" s="2">
        <v>9.0422499999999992</v>
      </c>
      <c r="W474" s="2">
        <v>9.0399999999999991</v>
      </c>
      <c r="X474" s="2">
        <v>9.0421999999999993</v>
      </c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2"/>
      <c r="AL474" s="1"/>
      <c r="AM474" s="2"/>
      <c r="AO474" s="124">
        <v>44396</v>
      </c>
      <c r="AP474">
        <v>63.128999999999998</v>
      </c>
      <c r="AQ474">
        <v>63.378999999999998</v>
      </c>
      <c r="AR474">
        <v>63.128999999999998</v>
      </c>
      <c r="AS474">
        <v>63.378999999999998</v>
      </c>
      <c r="AT474">
        <v>63.616</v>
      </c>
      <c r="AU474">
        <v>63.616</v>
      </c>
      <c r="AV474">
        <v>63.378999999999998</v>
      </c>
      <c r="AW474">
        <v>63.378999999999998</v>
      </c>
      <c r="AX474">
        <v>63.616999999999997</v>
      </c>
      <c r="AY474">
        <v>63.616999999999997</v>
      </c>
      <c r="AZ474" s="7"/>
      <c r="BB474" s="124">
        <v>44396</v>
      </c>
      <c r="BC474" s="2">
        <v>9.08</v>
      </c>
      <c r="BD474" s="2">
        <v>9.0399999999999991</v>
      </c>
      <c r="BE474" s="2">
        <v>9.08</v>
      </c>
      <c r="BF474" s="2">
        <v>9.0399999999999991</v>
      </c>
      <c r="BG474" s="2">
        <v>9.0399999999999991</v>
      </c>
      <c r="BH474" s="2">
        <v>9.0399999999999991</v>
      </c>
      <c r="BI474" s="2">
        <v>9.0399999999999991</v>
      </c>
      <c r="BJ474" s="2">
        <v>9.0399999999999991</v>
      </c>
      <c r="BK474" s="2">
        <v>9.0399999999999991</v>
      </c>
      <c r="BL474" s="2">
        <v>9.0399999999999991</v>
      </c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2"/>
      <c r="BZ474" s="1"/>
      <c r="CA474" s="2"/>
    </row>
    <row r="475" spans="1:79" x14ac:dyDescent="0.2">
      <c r="A475" s="124">
        <v>44397</v>
      </c>
      <c r="B475">
        <v>62.247</v>
      </c>
      <c r="C475">
        <v>62.497</v>
      </c>
      <c r="D475">
        <v>62.246000000000002</v>
      </c>
      <c r="E475">
        <v>62.497</v>
      </c>
      <c r="F475">
        <v>62.735999999999997</v>
      </c>
      <c r="G475">
        <v>62.735999999999997</v>
      </c>
      <c r="H475">
        <v>62.497</v>
      </c>
      <c r="I475">
        <v>62.497</v>
      </c>
      <c r="J475">
        <v>62.734999999999999</v>
      </c>
      <c r="K475">
        <v>62.735999999999997</v>
      </c>
      <c r="L475" s="7"/>
      <c r="N475" s="124">
        <v>44397</v>
      </c>
      <c r="O475" s="2">
        <v>9.2084499999999991</v>
      </c>
      <c r="P475" s="2">
        <v>9.17225</v>
      </c>
      <c r="Q475" s="2">
        <v>9.2100000000000009</v>
      </c>
      <c r="R475" s="2">
        <v>9.17225</v>
      </c>
      <c r="S475" s="2">
        <v>9.17</v>
      </c>
      <c r="T475" s="2">
        <v>9.17225</v>
      </c>
      <c r="U475" s="2">
        <v>9.17225</v>
      </c>
      <c r="V475" s="2">
        <v>9.17225</v>
      </c>
      <c r="W475" s="2">
        <v>9.17</v>
      </c>
      <c r="X475" s="2">
        <v>9.17225</v>
      </c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2"/>
      <c r="AL475" s="1"/>
      <c r="AM475" s="2"/>
      <c r="AO475" s="124">
        <v>44397</v>
      </c>
      <c r="AP475">
        <v>62.246000000000002</v>
      </c>
      <c r="AQ475">
        <v>62.496000000000002</v>
      </c>
      <c r="AR475">
        <v>62.246000000000002</v>
      </c>
      <c r="AS475">
        <v>62.497</v>
      </c>
      <c r="AT475">
        <v>62.734999999999999</v>
      </c>
      <c r="AU475">
        <v>62.734999999999999</v>
      </c>
      <c r="AV475">
        <v>62.496000000000002</v>
      </c>
      <c r="AW475">
        <v>62.496000000000002</v>
      </c>
      <c r="AX475">
        <v>62.735999999999997</v>
      </c>
      <c r="AY475">
        <v>62.735999999999997</v>
      </c>
      <c r="AZ475" s="7"/>
      <c r="BB475" s="124">
        <v>44397</v>
      </c>
      <c r="BC475" s="2">
        <v>9.2100000000000009</v>
      </c>
      <c r="BD475" s="2">
        <v>9.17</v>
      </c>
      <c r="BE475" s="2">
        <v>9.2100000000000009</v>
      </c>
      <c r="BF475" s="2">
        <v>9.17</v>
      </c>
      <c r="BG475" s="2">
        <v>9.17</v>
      </c>
      <c r="BH475" s="2">
        <v>9.17</v>
      </c>
      <c r="BI475" s="2">
        <v>9.17</v>
      </c>
      <c r="BJ475" s="2">
        <v>9.17</v>
      </c>
      <c r="BK475" s="2">
        <v>9.17</v>
      </c>
      <c r="BL475" s="2">
        <v>9.17</v>
      </c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2"/>
      <c r="BZ475" s="1"/>
      <c r="CA475" s="2"/>
    </row>
    <row r="476" spans="1:79" x14ac:dyDescent="0.2">
      <c r="A476" s="124">
        <v>44398</v>
      </c>
      <c r="B476">
        <v>63.502000000000002</v>
      </c>
      <c r="C476">
        <v>63.752000000000002</v>
      </c>
      <c r="D476">
        <v>63.500999999999998</v>
      </c>
      <c r="E476">
        <v>63.752000000000002</v>
      </c>
      <c r="F476">
        <v>63.991999999999997</v>
      </c>
      <c r="G476">
        <v>63.991999999999997</v>
      </c>
      <c r="H476">
        <v>63.752000000000002</v>
      </c>
      <c r="I476">
        <v>63.752000000000002</v>
      </c>
      <c r="J476">
        <v>62.734999999999999</v>
      </c>
      <c r="K476">
        <v>63.991999999999997</v>
      </c>
      <c r="L476" s="7"/>
      <c r="N476" s="124">
        <v>44398</v>
      </c>
      <c r="O476" s="2">
        <v>9.0282499999999999</v>
      </c>
      <c r="P476" s="2">
        <v>8.9929000000000006</v>
      </c>
      <c r="Q476" s="2">
        <v>9.0299999999999994</v>
      </c>
      <c r="R476" s="2">
        <v>8.9929000000000006</v>
      </c>
      <c r="S476" s="2">
        <v>8.99</v>
      </c>
      <c r="T476" s="2">
        <v>8.9929000000000006</v>
      </c>
      <c r="U476" s="2">
        <v>8.9929000000000006</v>
      </c>
      <c r="V476" s="2">
        <v>8.9929000000000006</v>
      </c>
      <c r="W476" s="2">
        <v>9.17</v>
      </c>
      <c r="X476" s="2">
        <v>8.9929000000000006</v>
      </c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2"/>
      <c r="AL476" s="1"/>
      <c r="AM476" s="2"/>
      <c r="AO476" s="124">
        <v>44398</v>
      </c>
      <c r="AP476">
        <v>63.500999999999998</v>
      </c>
      <c r="AQ476">
        <v>63.750999999999998</v>
      </c>
      <c r="AR476">
        <v>63.500999999999998</v>
      </c>
      <c r="AS476">
        <v>63.752000000000002</v>
      </c>
      <c r="AT476">
        <v>63.991999999999997</v>
      </c>
      <c r="AU476">
        <v>63.991999999999997</v>
      </c>
      <c r="AV476">
        <v>63.750999999999998</v>
      </c>
      <c r="AW476">
        <v>63.750999999999998</v>
      </c>
      <c r="AX476">
        <v>63.991999999999997</v>
      </c>
      <c r="AY476">
        <v>63.991999999999997</v>
      </c>
      <c r="AZ476" s="7"/>
      <c r="BB476" s="124">
        <v>44398</v>
      </c>
      <c r="BC476" s="2">
        <v>9.0299999999999994</v>
      </c>
      <c r="BD476" s="2">
        <v>8.99</v>
      </c>
      <c r="BE476" s="2">
        <v>9.0299999999999994</v>
      </c>
      <c r="BF476" s="2">
        <v>8.99</v>
      </c>
      <c r="BG476" s="2">
        <v>8.99</v>
      </c>
      <c r="BH476" s="2">
        <v>8.99</v>
      </c>
      <c r="BI476" s="2">
        <v>8.99</v>
      </c>
      <c r="BJ476" s="2">
        <v>8.99</v>
      </c>
      <c r="BK476" s="2">
        <v>8.99</v>
      </c>
      <c r="BL476" s="2">
        <v>8.99</v>
      </c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2"/>
      <c r="BZ476" s="1"/>
      <c r="CA476" s="2"/>
    </row>
    <row r="477" spans="1:79" x14ac:dyDescent="0.2">
      <c r="A477" s="124">
        <v>44399</v>
      </c>
      <c r="B477">
        <v>62.25</v>
      </c>
      <c r="C477">
        <v>62.5</v>
      </c>
      <c r="D477">
        <v>62.25</v>
      </c>
      <c r="E477">
        <v>62.5</v>
      </c>
      <c r="F477">
        <v>62.744</v>
      </c>
      <c r="G477">
        <v>62.744</v>
      </c>
      <c r="H477">
        <v>62.5</v>
      </c>
      <c r="I477">
        <v>62.5</v>
      </c>
      <c r="J477">
        <v>62.744</v>
      </c>
      <c r="K477">
        <v>62.744</v>
      </c>
      <c r="L477" s="7"/>
      <c r="N477" s="124">
        <v>44399</v>
      </c>
      <c r="O477" s="2">
        <v>9.2164000000000001</v>
      </c>
      <c r="P477" s="2">
        <v>9.1801499999999994</v>
      </c>
      <c r="Q477" s="2">
        <v>9.2200000000000006</v>
      </c>
      <c r="R477" s="2">
        <v>9.1801499999999994</v>
      </c>
      <c r="S477" s="2">
        <v>9.18</v>
      </c>
      <c r="T477" s="2">
        <v>9.1802499999999991</v>
      </c>
      <c r="U477" s="2">
        <v>9.1801499999999994</v>
      </c>
      <c r="V477" s="2">
        <v>9.1801499999999994</v>
      </c>
      <c r="W477" s="2">
        <v>9.18</v>
      </c>
      <c r="X477" s="2">
        <v>9.1802499999999991</v>
      </c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2"/>
      <c r="AL477" s="1"/>
      <c r="AM477" s="2"/>
      <c r="AO477" s="124">
        <v>44399</v>
      </c>
      <c r="AP477">
        <v>62.25</v>
      </c>
      <c r="AQ477">
        <v>62.5</v>
      </c>
      <c r="AR477">
        <v>62.25</v>
      </c>
      <c r="AS477">
        <v>62.5</v>
      </c>
      <c r="AT477">
        <v>62.744</v>
      </c>
      <c r="AU477">
        <v>62.744</v>
      </c>
      <c r="AV477">
        <v>62.5</v>
      </c>
      <c r="AW477">
        <v>62.5</v>
      </c>
      <c r="AX477">
        <v>62.744</v>
      </c>
      <c r="AY477">
        <v>62.744</v>
      </c>
      <c r="AZ477" s="7"/>
      <c r="BB477" s="124">
        <v>44399</v>
      </c>
      <c r="BC477" s="2">
        <v>9.2200000000000006</v>
      </c>
      <c r="BD477" s="2">
        <v>9.18</v>
      </c>
      <c r="BE477" s="2">
        <v>9.2200000000000006</v>
      </c>
      <c r="BF477" s="2">
        <v>9.18</v>
      </c>
      <c r="BG477" s="2">
        <v>9.18</v>
      </c>
      <c r="BH477" s="2">
        <v>9.18</v>
      </c>
      <c r="BI477" s="2">
        <v>9.18</v>
      </c>
      <c r="BJ477" s="2">
        <v>9.18</v>
      </c>
      <c r="BK477" s="2">
        <v>9.18</v>
      </c>
      <c r="BL477" s="2">
        <v>9.18</v>
      </c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2"/>
      <c r="BZ477" s="1"/>
      <c r="CA477" s="2"/>
    </row>
    <row r="478" spans="1:79" x14ac:dyDescent="0.2">
      <c r="A478" s="124">
        <v>44400</v>
      </c>
      <c r="B478">
        <v>62.250999999999998</v>
      </c>
      <c r="C478">
        <v>62.500999999999998</v>
      </c>
      <c r="D478">
        <v>62.25</v>
      </c>
      <c r="E478">
        <v>62.500999999999998</v>
      </c>
      <c r="F478">
        <v>62.747</v>
      </c>
      <c r="G478">
        <v>62.747</v>
      </c>
      <c r="H478">
        <v>62.500999999999998</v>
      </c>
      <c r="I478">
        <v>62.500999999999998</v>
      </c>
      <c r="J478">
        <v>62.746000000000002</v>
      </c>
      <c r="K478">
        <v>62.747</v>
      </c>
      <c r="L478" s="7"/>
      <c r="N478" s="124">
        <v>44400</v>
      </c>
      <c r="O478" s="2">
        <v>9.2183499999999992</v>
      </c>
      <c r="P478" s="2">
        <v>9.1821000000000002</v>
      </c>
      <c r="Q478" s="2">
        <v>9.2200000000000006</v>
      </c>
      <c r="R478" s="2">
        <v>9.1821000000000002</v>
      </c>
      <c r="S478" s="2">
        <v>9.18</v>
      </c>
      <c r="T478" s="2">
        <v>9.1821000000000002</v>
      </c>
      <c r="U478" s="2">
        <v>9.1821000000000002</v>
      </c>
      <c r="V478" s="2">
        <v>9.1821000000000002</v>
      </c>
      <c r="W478" s="2">
        <v>9.18</v>
      </c>
      <c r="X478" s="2">
        <v>9.1821000000000002</v>
      </c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2"/>
      <c r="AL478" s="1"/>
      <c r="AM478" s="2"/>
      <c r="AO478" s="124">
        <v>44400</v>
      </c>
      <c r="AP478">
        <v>62.25</v>
      </c>
      <c r="AQ478">
        <v>62.5</v>
      </c>
      <c r="AR478">
        <v>62.25</v>
      </c>
      <c r="AS478">
        <v>62.500999999999998</v>
      </c>
      <c r="AT478">
        <v>62.746000000000002</v>
      </c>
      <c r="AU478">
        <v>62.746000000000002</v>
      </c>
      <c r="AV478">
        <v>62.5</v>
      </c>
      <c r="AW478">
        <v>62.5</v>
      </c>
      <c r="AX478">
        <v>62.747</v>
      </c>
      <c r="AY478">
        <v>62.747</v>
      </c>
      <c r="AZ478" s="7"/>
      <c r="BB478" s="124">
        <v>44400</v>
      </c>
      <c r="BC478" s="2">
        <v>9.2200000000000006</v>
      </c>
      <c r="BD478" s="2">
        <v>9.18</v>
      </c>
      <c r="BE478" s="2">
        <v>9.2200000000000006</v>
      </c>
      <c r="BF478" s="2">
        <v>9.18</v>
      </c>
      <c r="BG478" s="2">
        <v>9.18</v>
      </c>
      <c r="BH478" s="2">
        <v>9.18</v>
      </c>
      <c r="BI478" s="2">
        <v>9.18</v>
      </c>
      <c r="BJ478" s="2">
        <v>9.18</v>
      </c>
      <c r="BK478" s="2">
        <v>9.18</v>
      </c>
      <c r="BL478" s="2">
        <v>9.18</v>
      </c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2"/>
      <c r="BZ478" s="1"/>
      <c r="CA478" s="2"/>
    </row>
    <row r="479" spans="1:79" x14ac:dyDescent="0.2">
      <c r="A479" s="124">
        <v>44403</v>
      </c>
      <c r="B479">
        <v>62.956000000000003</v>
      </c>
      <c r="C479">
        <v>63.206000000000003</v>
      </c>
      <c r="D479">
        <v>62.954999999999998</v>
      </c>
      <c r="E479">
        <v>63.206000000000003</v>
      </c>
      <c r="F479">
        <v>63.453000000000003</v>
      </c>
      <c r="G479">
        <v>63.453000000000003</v>
      </c>
      <c r="H479">
        <v>63.206000000000003</v>
      </c>
      <c r="I479">
        <v>63.206000000000003</v>
      </c>
      <c r="J479">
        <v>63.451999999999998</v>
      </c>
      <c r="K479">
        <v>63.453000000000003</v>
      </c>
      <c r="L479" s="7"/>
      <c r="N479" s="124">
        <v>44403</v>
      </c>
      <c r="O479" s="2">
        <v>9.1173500000000001</v>
      </c>
      <c r="P479" s="2">
        <v>9.0815999999999999</v>
      </c>
      <c r="Q479" s="2">
        <v>9.1199999999999992</v>
      </c>
      <c r="R479" s="2">
        <v>9.0815999999999999</v>
      </c>
      <c r="S479" s="2">
        <v>9.08</v>
      </c>
      <c r="T479" s="2">
        <v>9.0815999999999999</v>
      </c>
      <c r="U479" s="2">
        <v>9.0815999999999999</v>
      </c>
      <c r="V479" s="2">
        <v>9.0815999999999999</v>
      </c>
      <c r="W479" s="2">
        <v>9.08</v>
      </c>
      <c r="X479" s="2">
        <v>9.0815999999999999</v>
      </c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2"/>
      <c r="AL479" s="1"/>
      <c r="AM479" s="2"/>
      <c r="AO479" s="124">
        <v>44403</v>
      </c>
      <c r="AP479">
        <v>62.954999999999998</v>
      </c>
      <c r="AQ479">
        <v>63.204999999999998</v>
      </c>
      <c r="AR479">
        <v>62.954999999999998</v>
      </c>
      <c r="AS479">
        <v>63.206000000000003</v>
      </c>
      <c r="AT479">
        <v>63.451999999999998</v>
      </c>
      <c r="AU479">
        <v>63.451999999999998</v>
      </c>
      <c r="AV479">
        <v>63.204999999999998</v>
      </c>
      <c r="AW479">
        <v>63.204999999999998</v>
      </c>
      <c r="AX479">
        <v>63.453000000000003</v>
      </c>
      <c r="AY479">
        <v>63.453000000000003</v>
      </c>
      <c r="AZ479" s="7"/>
      <c r="BB479" s="124">
        <v>44403</v>
      </c>
      <c r="BC479" s="2">
        <v>9.1199999999999992</v>
      </c>
      <c r="BD479" s="2">
        <v>9.08</v>
      </c>
      <c r="BE479" s="2">
        <v>9.1199999999999992</v>
      </c>
      <c r="BF479" s="2">
        <v>9.08</v>
      </c>
      <c r="BG479" s="2">
        <v>9.08</v>
      </c>
      <c r="BH479" s="2">
        <v>9.08</v>
      </c>
      <c r="BI479" s="2">
        <v>9.08</v>
      </c>
      <c r="BJ479" s="2">
        <v>9.08</v>
      </c>
      <c r="BK479" s="2">
        <v>9.08</v>
      </c>
      <c r="BL479" s="2">
        <v>9.08</v>
      </c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2"/>
      <c r="BZ479" s="1"/>
      <c r="CA479" s="2"/>
    </row>
    <row r="480" spans="1:79" x14ac:dyDescent="0.2">
      <c r="A480" s="124">
        <v>44404</v>
      </c>
      <c r="B480">
        <v>62.225999999999999</v>
      </c>
      <c r="C480">
        <v>62.475999999999999</v>
      </c>
      <c r="D480">
        <v>62.225000000000001</v>
      </c>
      <c r="E480">
        <v>62.475999999999999</v>
      </c>
      <c r="F480">
        <v>62.723999999999997</v>
      </c>
      <c r="G480">
        <v>62.723999999999997</v>
      </c>
      <c r="H480">
        <v>62.475999999999999</v>
      </c>
      <c r="I480">
        <v>62.475999999999999</v>
      </c>
      <c r="J480">
        <v>62.723999999999997</v>
      </c>
      <c r="K480">
        <v>62.723999999999997</v>
      </c>
      <c r="L480" s="7"/>
      <c r="N480" s="124">
        <v>44404</v>
      </c>
      <c r="O480" s="2">
        <v>9.2262000000000004</v>
      </c>
      <c r="P480" s="2">
        <v>9.1898999999999997</v>
      </c>
      <c r="Q480" s="2">
        <v>9.23</v>
      </c>
      <c r="R480" s="2">
        <v>9.1898999999999997</v>
      </c>
      <c r="S480" s="2">
        <v>9.19</v>
      </c>
      <c r="T480" s="2">
        <v>9.19</v>
      </c>
      <c r="U480" s="2">
        <v>9.1898999999999997</v>
      </c>
      <c r="V480" s="2">
        <v>9.1898999999999997</v>
      </c>
      <c r="W480" s="2">
        <v>9.19</v>
      </c>
      <c r="X480" s="2">
        <v>9.19</v>
      </c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2"/>
      <c r="AL480" s="1"/>
      <c r="AM480" s="2"/>
      <c r="AO480" s="124">
        <v>44404</v>
      </c>
      <c r="AP480">
        <v>62.225000000000001</v>
      </c>
      <c r="AQ480">
        <v>62.475000000000001</v>
      </c>
      <c r="AR480">
        <v>62.225000000000001</v>
      </c>
      <c r="AS480">
        <v>62.475999999999999</v>
      </c>
      <c r="AT480">
        <v>62.723999999999997</v>
      </c>
      <c r="AU480">
        <v>62.723999999999997</v>
      </c>
      <c r="AV480">
        <v>62.475000000000001</v>
      </c>
      <c r="AW480">
        <v>62.475000000000001</v>
      </c>
      <c r="AX480">
        <v>62.723999999999997</v>
      </c>
      <c r="AY480">
        <v>62.723999999999997</v>
      </c>
      <c r="AZ480" s="7"/>
      <c r="BB480" s="124">
        <v>44404</v>
      </c>
      <c r="BC480" s="2">
        <v>9.23</v>
      </c>
      <c r="BD480" s="2">
        <v>9.19</v>
      </c>
      <c r="BE480" s="2">
        <v>9.23</v>
      </c>
      <c r="BF480" s="2">
        <v>9.19</v>
      </c>
      <c r="BG480" s="2">
        <v>9.19</v>
      </c>
      <c r="BH480" s="2">
        <v>9.19</v>
      </c>
      <c r="BI480" s="2">
        <v>9.19</v>
      </c>
      <c r="BJ480" s="2">
        <v>9.19</v>
      </c>
      <c r="BK480" s="2">
        <v>9.19</v>
      </c>
      <c r="BL480" s="2">
        <v>9.19</v>
      </c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2"/>
      <c r="BZ480" s="1"/>
      <c r="CA480" s="2"/>
    </row>
    <row r="481" spans="1:79" x14ac:dyDescent="0.2">
      <c r="A481" s="124">
        <v>44405</v>
      </c>
      <c r="B481">
        <v>63.408999999999999</v>
      </c>
      <c r="C481">
        <v>63.658999999999999</v>
      </c>
      <c r="D481">
        <v>63.408000000000001</v>
      </c>
      <c r="E481">
        <v>63.658999999999999</v>
      </c>
      <c r="F481">
        <v>63.908999999999999</v>
      </c>
      <c r="G481">
        <v>63.908999999999999</v>
      </c>
      <c r="H481">
        <v>63.658999999999999</v>
      </c>
      <c r="I481">
        <v>63.658999999999999</v>
      </c>
      <c r="J481">
        <v>63.908000000000001</v>
      </c>
      <c r="K481">
        <v>63.908999999999999</v>
      </c>
      <c r="L481" s="7"/>
      <c r="N481" s="124">
        <v>44405</v>
      </c>
      <c r="O481" s="2">
        <v>9.0559499999999993</v>
      </c>
      <c r="P481" s="2">
        <v>9.0205000000000002</v>
      </c>
      <c r="Q481" s="2">
        <v>9.06</v>
      </c>
      <c r="R481" s="2">
        <v>9.0205000000000002</v>
      </c>
      <c r="S481" s="2">
        <v>9.02</v>
      </c>
      <c r="T481" s="2">
        <v>9.0205000000000002</v>
      </c>
      <c r="U481" s="2">
        <v>9.0205000000000002</v>
      </c>
      <c r="V481" s="2">
        <v>9.0205000000000002</v>
      </c>
      <c r="W481" s="2">
        <v>9.02</v>
      </c>
      <c r="X481" s="2">
        <v>9.0205000000000002</v>
      </c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2"/>
      <c r="AL481" s="1"/>
      <c r="AM481" s="2"/>
      <c r="AO481" s="124">
        <v>44405</v>
      </c>
      <c r="AP481">
        <v>63.408000000000001</v>
      </c>
      <c r="AQ481">
        <v>63.658000000000001</v>
      </c>
      <c r="AR481">
        <v>63.408000000000001</v>
      </c>
      <c r="AS481">
        <v>63.658999999999999</v>
      </c>
      <c r="AT481">
        <v>63.908000000000001</v>
      </c>
      <c r="AU481">
        <v>63.908000000000001</v>
      </c>
      <c r="AV481">
        <v>63.658000000000001</v>
      </c>
      <c r="AW481">
        <v>63.658000000000001</v>
      </c>
      <c r="AX481">
        <v>63.908999999999999</v>
      </c>
      <c r="AY481">
        <v>63.908999999999999</v>
      </c>
      <c r="AZ481" s="7"/>
      <c r="BB481" s="124">
        <v>44405</v>
      </c>
      <c r="BC481" s="2">
        <v>9.06</v>
      </c>
      <c r="BD481" s="2">
        <v>9.02</v>
      </c>
      <c r="BE481" s="2">
        <v>9.06</v>
      </c>
      <c r="BF481" s="2">
        <v>9.02</v>
      </c>
      <c r="BG481" s="2">
        <v>9.02</v>
      </c>
      <c r="BH481" s="2">
        <v>9.02</v>
      </c>
      <c r="BI481" s="2">
        <v>9.02</v>
      </c>
      <c r="BJ481" s="2">
        <v>9.02</v>
      </c>
      <c r="BK481" s="2">
        <v>9.02</v>
      </c>
      <c r="BL481" s="2">
        <v>9.02</v>
      </c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2"/>
      <c r="BZ481" s="1"/>
      <c r="CA481" s="2"/>
    </row>
    <row r="482" spans="1:79" x14ac:dyDescent="0.2">
      <c r="A482" s="124">
        <v>44406</v>
      </c>
      <c r="B482">
        <v>61.866999999999997</v>
      </c>
      <c r="C482">
        <v>62.116999999999997</v>
      </c>
      <c r="D482">
        <v>61.866999999999997</v>
      </c>
      <c r="E482">
        <v>62.116999999999997</v>
      </c>
      <c r="F482">
        <v>62.12</v>
      </c>
      <c r="G482">
        <v>62.12</v>
      </c>
      <c r="H482">
        <v>62.116999999999997</v>
      </c>
      <c r="I482">
        <v>62.116999999999997</v>
      </c>
      <c r="J482">
        <v>62.119</v>
      </c>
      <c r="K482">
        <v>62.12</v>
      </c>
      <c r="L482" s="7"/>
      <c r="N482" s="124">
        <v>44406</v>
      </c>
      <c r="O482" s="2">
        <v>9.2857000000000003</v>
      </c>
      <c r="P482" s="2">
        <v>9.2491000000000003</v>
      </c>
      <c r="Q482" s="2">
        <v>9.2899999999999991</v>
      </c>
      <c r="R482" s="2">
        <v>9.2491000000000003</v>
      </c>
      <c r="S482" s="2">
        <v>9.25</v>
      </c>
      <c r="T482" s="2">
        <v>9.2491000000000003</v>
      </c>
      <c r="U482" s="2">
        <v>9.2491000000000003</v>
      </c>
      <c r="V482" s="2">
        <v>9.2491000000000003</v>
      </c>
      <c r="W482" s="2">
        <v>9.25</v>
      </c>
      <c r="X482" s="2">
        <v>9.2491000000000003</v>
      </c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2"/>
      <c r="AL482" s="1"/>
      <c r="AM482" s="2"/>
      <c r="AO482" s="124">
        <v>44406</v>
      </c>
      <c r="AP482">
        <v>61.866999999999997</v>
      </c>
      <c r="AQ482">
        <v>62.116999999999997</v>
      </c>
      <c r="AR482">
        <v>61.866999999999997</v>
      </c>
      <c r="AS482">
        <v>62.116999999999997</v>
      </c>
      <c r="AT482">
        <v>62.119</v>
      </c>
      <c r="AU482">
        <v>62.119</v>
      </c>
      <c r="AV482">
        <v>62.116999999999997</v>
      </c>
      <c r="AW482">
        <v>62.116999999999997</v>
      </c>
      <c r="AX482">
        <v>62.12</v>
      </c>
      <c r="AY482">
        <v>62.12</v>
      </c>
      <c r="AZ482" s="7"/>
      <c r="BB482" s="124">
        <v>44406</v>
      </c>
      <c r="BC482" s="2">
        <v>9.2899999999999991</v>
      </c>
      <c r="BD482" s="2">
        <v>9.25</v>
      </c>
      <c r="BE482" s="2">
        <v>9.2899999999999991</v>
      </c>
      <c r="BF482" s="2">
        <v>9.25</v>
      </c>
      <c r="BG482" s="2">
        <v>9.25</v>
      </c>
      <c r="BH482" s="2">
        <v>9.25</v>
      </c>
      <c r="BI482" s="2">
        <v>9.25</v>
      </c>
      <c r="BJ482" s="2">
        <v>9.25</v>
      </c>
      <c r="BK482" s="2">
        <v>9.25</v>
      </c>
      <c r="BL482" s="2">
        <v>9.25</v>
      </c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2"/>
      <c r="BZ482" s="1"/>
      <c r="CA482" s="2"/>
    </row>
    <row r="483" spans="1:79" x14ac:dyDescent="0.2">
      <c r="A483" s="124">
        <v>44407</v>
      </c>
      <c r="B483">
        <v>62.249000000000002</v>
      </c>
      <c r="C483">
        <v>62.499000000000002</v>
      </c>
      <c r="D483">
        <v>62.249000000000002</v>
      </c>
      <c r="E483">
        <v>62.499000000000002</v>
      </c>
      <c r="F483">
        <v>62.503</v>
      </c>
      <c r="G483">
        <v>62.503</v>
      </c>
      <c r="H483">
        <v>62.499000000000002</v>
      </c>
      <c r="I483">
        <v>62.499000000000002</v>
      </c>
      <c r="J483">
        <v>62.503</v>
      </c>
      <c r="K483">
        <v>62.503</v>
      </c>
      <c r="L483" s="7"/>
      <c r="N483" s="124">
        <v>44407</v>
      </c>
      <c r="O483" s="2">
        <v>9.2312499999999993</v>
      </c>
      <c r="P483" s="2">
        <v>9.1949000000000005</v>
      </c>
      <c r="Q483" s="2">
        <v>9.23</v>
      </c>
      <c r="R483" s="2">
        <v>9.1949000000000005</v>
      </c>
      <c r="S483" s="2">
        <v>9.19</v>
      </c>
      <c r="T483" s="2">
        <v>9.1949500000000004</v>
      </c>
      <c r="U483" s="2">
        <v>9.1949000000000005</v>
      </c>
      <c r="V483" s="2">
        <v>9.1949000000000005</v>
      </c>
      <c r="W483" s="2">
        <v>9.19</v>
      </c>
      <c r="X483" s="2">
        <v>9.1949500000000004</v>
      </c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2"/>
      <c r="AL483" s="1"/>
      <c r="AM483" s="2"/>
      <c r="AO483" s="124">
        <v>44407</v>
      </c>
      <c r="AP483">
        <v>62.249000000000002</v>
      </c>
      <c r="AQ483">
        <v>62.499000000000002</v>
      </c>
      <c r="AR483">
        <v>62.249000000000002</v>
      </c>
      <c r="AS483">
        <v>62.499000000000002</v>
      </c>
      <c r="AT483">
        <v>62.503</v>
      </c>
      <c r="AU483">
        <v>62.503</v>
      </c>
      <c r="AV483">
        <v>62.499000000000002</v>
      </c>
      <c r="AW483">
        <v>62.499000000000002</v>
      </c>
      <c r="AX483">
        <v>62.503</v>
      </c>
      <c r="AY483">
        <v>62.503</v>
      </c>
      <c r="AZ483" s="7"/>
      <c r="BB483" s="124">
        <v>44407</v>
      </c>
      <c r="BC483" s="2">
        <v>9.23</v>
      </c>
      <c r="BD483" s="2">
        <v>9.19</v>
      </c>
      <c r="BE483" s="2">
        <v>9.23</v>
      </c>
      <c r="BF483" s="2">
        <v>9.19</v>
      </c>
      <c r="BG483" s="2">
        <v>9.19</v>
      </c>
      <c r="BH483" s="2">
        <v>9.19</v>
      </c>
      <c r="BI483" s="2">
        <v>9.19</v>
      </c>
      <c r="BJ483" s="2">
        <v>9.19</v>
      </c>
      <c r="BK483" s="2">
        <v>9.19</v>
      </c>
      <c r="BL483" s="2">
        <v>9.19</v>
      </c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2"/>
      <c r="BZ483" s="1"/>
      <c r="CA483" s="2"/>
    </row>
    <row r="484" spans="1:79" x14ac:dyDescent="0.2">
      <c r="A484" s="124">
        <v>44410</v>
      </c>
      <c r="B484">
        <v>62.768999999999998</v>
      </c>
      <c r="C484">
        <v>63.018999999999998</v>
      </c>
      <c r="D484">
        <v>62.768999999999998</v>
      </c>
      <c r="E484">
        <v>63.018999999999998</v>
      </c>
      <c r="F484">
        <v>63.024999999999999</v>
      </c>
      <c r="G484">
        <v>63.024999999999999</v>
      </c>
      <c r="H484">
        <v>63.018999999999998</v>
      </c>
      <c r="I484">
        <v>63.018999999999998</v>
      </c>
      <c r="J484">
        <v>63.024000000000001</v>
      </c>
      <c r="K484">
        <v>63.024999999999999</v>
      </c>
      <c r="L484" s="7"/>
      <c r="N484" s="124">
        <v>44410</v>
      </c>
      <c r="O484" s="2">
        <v>9.157</v>
      </c>
      <c r="P484" s="2">
        <v>9.1210500000000003</v>
      </c>
      <c r="Q484" s="2">
        <v>9.16</v>
      </c>
      <c r="R484" s="2">
        <v>9.1210500000000003</v>
      </c>
      <c r="S484" s="2">
        <v>9.1199999999999992</v>
      </c>
      <c r="T484" s="2">
        <v>9.1210000000000004</v>
      </c>
      <c r="U484" s="2">
        <v>9.1210500000000003</v>
      </c>
      <c r="V484" s="2">
        <v>9.1210500000000003</v>
      </c>
      <c r="W484" s="2">
        <v>9.1199999999999992</v>
      </c>
      <c r="X484" s="2">
        <v>9.1210000000000004</v>
      </c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2"/>
      <c r="AL484" s="1"/>
      <c r="AM484" s="2"/>
      <c r="AO484" s="124">
        <v>44410</v>
      </c>
      <c r="AP484">
        <v>62.768999999999998</v>
      </c>
      <c r="AQ484">
        <v>63.018999999999998</v>
      </c>
      <c r="AR484">
        <v>62.768999999999998</v>
      </c>
      <c r="AS484">
        <v>63.018999999999998</v>
      </c>
      <c r="AT484">
        <v>63.024000000000001</v>
      </c>
      <c r="AU484">
        <v>63.024000000000001</v>
      </c>
      <c r="AV484">
        <v>63.018999999999998</v>
      </c>
      <c r="AW484">
        <v>63.018999999999998</v>
      </c>
      <c r="AX484">
        <v>63.024999999999999</v>
      </c>
      <c r="AY484">
        <v>63.024999999999999</v>
      </c>
      <c r="AZ484" s="7"/>
      <c r="BB484" s="124">
        <v>44410</v>
      </c>
      <c r="BC484" s="2">
        <v>9.16</v>
      </c>
      <c r="BD484" s="2">
        <v>9.1199999999999992</v>
      </c>
      <c r="BE484" s="2">
        <v>9.16</v>
      </c>
      <c r="BF484" s="2">
        <v>9.1199999999999992</v>
      </c>
      <c r="BG484" s="2">
        <v>9.1199999999999992</v>
      </c>
      <c r="BH484" s="2">
        <v>9.1199999999999992</v>
      </c>
      <c r="BI484" s="2">
        <v>9.1199999999999992</v>
      </c>
      <c r="BJ484" s="2">
        <v>9.1199999999999992</v>
      </c>
      <c r="BK484" s="2">
        <v>9.1199999999999992</v>
      </c>
      <c r="BL484" s="2">
        <v>9.1199999999999992</v>
      </c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2"/>
      <c r="BZ484" s="1"/>
      <c r="CA484" s="2"/>
    </row>
    <row r="485" spans="1:79" x14ac:dyDescent="0.2">
      <c r="A485" s="124">
        <v>44411</v>
      </c>
      <c r="B485">
        <v>63.396999999999998</v>
      </c>
      <c r="C485">
        <v>63.646999999999998</v>
      </c>
      <c r="D485">
        <v>63.396999999999998</v>
      </c>
      <c r="E485">
        <v>63.646999999999998</v>
      </c>
      <c r="F485">
        <v>63.654000000000003</v>
      </c>
      <c r="G485">
        <v>63.654000000000003</v>
      </c>
      <c r="H485">
        <v>63.646999999999998</v>
      </c>
      <c r="I485">
        <v>63.646999999999998</v>
      </c>
      <c r="J485">
        <v>63.654000000000003</v>
      </c>
      <c r="K485">
        <v>63.654000000000003</v>
      </c>
      <c r="L485" s="7"/>
      <c r="N485" s="124">
        <v>44411</v>
      </c>
      <c r="O485" s="2">
        <v>9.0679499999999997</v>
      </c>
      <c r="P485" s="2">
        <v>9.0324000000000009</v>
      </c>
      <c r="Q485" s="2">
        <v>9.07</v>
      </c>
      <c r="R485" s="2">
        <v>9.0324000000000009</v>
      </c>
      <c r="S485" s="2">
        <v>9.0299999999999994</v>
      </c>
      <c r="T485" s="2">
        <v>9.0324000000000009</v>
      </c>
      <c r="U485" s="2">
        <v>9.0324000000000009</v>
      </c>
      <c r="V485" s="2">
        <v>9.0324000000000009</v>
      </c>
      <c r="W485" s="2">
        <v>9.0299999999999994</v>
      </c>
      <c r="X485" s="2">
        <v>9.0324000000000009</v>
      </c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2"/>
      <c r="AL485" s="1"/>
      <c r="AM485" s="2"/>
      <c r="AO485" s="124">
        <v>44411</v>
      </c>
      <c r="AP485">
        <v>63.396999999999998</v>
      </c>
      <c r="AQ485">
        <v>63.646999999999998</v>
      </c>
      <c r="AR485">
        <v>63.396999999999998</v>
      </c>
      <c r="AS485">
        <v>63.646999999999998</v>
      </c>
      <c r="AT485">
        <v>63.654000000000003</v>
      </c>
      <c r="AU485">
        <v>63.654000000000003</v>
      </c>
      <c r="AV485">
        <v>63.646999999999998</v>
      </c>
      <c r="AW485">
        <v>63.646999999999998</v>
      </c>
      <c r="AX485">
        <v>63.654000000000003</v>
      </c>
      <c r="AY485">
        <v>63.654000000000003</v>
      </c>
      <c r="AZ485" s="7"/>
      <c r="BB485" s="124">
        <v>44411</v>
      </c>
      <c r="BC485" s="2">
        <v>9.07</v>
      </c>
      <c r="BD485" s="2">
        <v>9.0299999999999994</v>
      </c>
      <c r="BE485" s="2">
        <v>9.07</v>
      </c>
      <c r="BF485" s="2">
        <v>9.0299999999999994</v>
      </c>
      <c r="BG485" s="2">
        <v>9.0299999999999994</v>
      </c>
      <c r="BH485" s="2">
        <v>9.0299999999999994</v>
      </c>
      <c r="BI485" s="2">
        <v>9.0299999999999994</v>
      </c>
      <c r="BJ485" s="2">
        <v>9.0299999999999994</v>
      </c>
      <c r="BK485" s="2">
        <v>9.0299999999999994</v>
      </c>
      <c r="BL485" s="2">
        <v>9.0299999999999994</v>
      </c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2"/>
      <c r="BZ485" s="1"/>
      <c r="CA485" s="2"/>
    </row>
    <row r="486" spans="1:79" x14ac:dyDescent="0.2">
      <c r="A486" s="124">
        <v>44412</v>
      </c>
      <c r="B486">
        <v>63.002000000000002</v>
      </c>
      <c r="C486">
        <v>63.252000000000002</v>
      </c>
      <c r="D486">
        <v>63.000999999999998</v>
      </c>
      <c r="E486">
        <v>63.252000000000002</v>
      </c>
      <c r="F486">
        <v>63.26</v>
      </c>
      <c r="G486">
        <v>63.26</v>
      </c>
      <c r="H486">
        <v>63.252000000000002</v>
      </c>
      <c r="I486">
        <v>63.252000000000002</v>
      </c>
      <c r="J486">
        <v>63.259</v>
      </c>
      <c r="K486">
        <v>63.26</v>
      </c>
      <c r="L486" s="7"/>
      <c r="N486" s="124">
        <v>44412</v>
      </c>
      <c r="O486" s="2">
        <v>9.1272000000000002</v>
      </c>
      <c r="P486" s="2">
        <v>9.0914000000000001</v>
      </c>
      <c r="Q486" s="2">
        <v>9.1300000000000008</v>
      </c>
      <c r="R486" s="2">
        <v>9.0914000000000001</v>
      </c>
      <c r="S486" s="2">
        <v>9.09</v>
      </c>
      <c r="T486" s="2">
        <v>9.09145</v>
      </c>
      <c r="U486" s="2">
        <v>9.0914000000000001</v>
      </c>
      <c r="V486" s="2">
        <v>9.0914000000000001</v>
      </c>
      <c r="W486" s="2">
        <v>9.09</v>
      </c>
      <c r="X486" s="2">
        <v>9.09145</v>
      </c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2"/>
      <c r="AL486" s="1"/>
      <c r="AM486" s="2"/>
      <c r="AO486" s="124">
        <v>44412</v>
      </c>
      <c r="AP486">
        <v>63.000999999999998</v>
      </c>
      <c r="AQ486">
        <v>63.250999999999998</v>
      </c>
      <c r="AR486">
        <v>63.000999999999998</v>
      </c>
      <c r="AS486">
        <v>63.252000000000002</v>
      </c>
      <c r="AT486">
        <v>63.259</v>
      </c>
      <c r="AU486">
        <v>63.259</v>
      </c>
      <c r="AV486">
        <v>63.250999999999998</v>
      </c>
      <c r="AW486">
        <v>63.250999999999998</v>
      </c>
      <c r="AX486">
        <v>63.26</v>
      </c>
      <c r="AY486">
        <v>63.26</v>
      </c>
      <c r="AZ486" s="7"/>
      <c r="BB486" s="124">
        <v>44412</v>
      </c>
      <c r="BC486" s="2">
        <v>9.1300000000000008</v>
      </c>
      <c r="BD486" s="2">
        <v>9.09</v>
      </c>
      <c r="BE486" s="2">
        <v>9.1300000000000008</v>
      </c>
      <c r="BF486" s="2">
        <v>9.09</v>
      </c>
      <c r="BG486" s="2">
        <v>9.09</v>
      </c>
      <c r="BH486" s="2">
        <v>9.09</v>
      </c>
      <c r="BI486" s="2">
        <v>9.09</v>
      </c>
      <c r="BJ486" s="2">
        <v>9.09</v>
      </c>
      <c r="BK486" s="2">
        <v>9.09</v>
      </c>
      <c r="BL486" s="2">
        <v>9.09</v>
      </c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2"/>
      <c r="BZ486" s="1"/>
      <c r="CA486" s="2"/>
    </row>
    <row r="487" spans="1:79" x14ac:dyDescent="0.2">
      <c r="A487" s="124">
        <v>44413</v>
      </c>
      <c r="B487">
        <v>62.975999999999999</v>
      </c>
      <c r="C487">
        <v>63.225999999999999</v>
      </c>
      <c r="D487">
        <v>62.975999999999999</v>
      </c>
      <c r="E487">
        <v>63.225999999999999</v>
      </c>
      <c r="F487">
        <v>63.238999999999997</v>
      </c>
      <c r="G487">
        <v>63.238999999999997</v>
      </c>
      <c r="H487">
        <v>63.225999999999999</v>
      </c>
      <c r="I487">
        <v>63.225999999999999</v>
      </c>
      <c r="J487">
        <v>63.238</v>
      </c>
      <c r="K487">
        <v>63.238999999999997</v>
      </c>
      <c r="L487" s="7"/>
      <c r="N487" s="124">
        <v>44413</v>
      </c>
      <c r="O487" s="2">
        <v>9.1372</v>
      </c>
      <c r="P487" s="2">
        <v>9.1013500000000001</v>
      </c>
      <c r="Q487" s="2">
        <v>9.14</v>
      </c>
      <c r="R487" s="2">
        <v>9.1013500000000001</v>
      </c>
      <c r="S487" s="2">
        <v>9.1</v>
      </c>
      <c r="T487" s="2">
        <v>9.1012500000000003</v>
      </c>
      <c r="U487" s="2">
        <v>9.1013500000000001</v>
      </c>
      <c r="V487" s="2">
        <v>9.1013500000000001</v>
      </c>
      <c r="W487" s="2">
        <v>9.1</v>
      </c>
      <c r="X487" s="2">
        <v>9.1012500000000003</v>
      </c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2"/>
      <c r="AL487" s="1"/>
      <c r="AM487" s="2"/>
      <c r="AO487" s="124">
        <v>44413</v>
      </c>
      <c r="AP487">
        <v>62.975999999999999</v>
      </c>
      <c r="AQ487">
        <v>63.225999999999999</v>
      </c>
      <c r="AR487">
        <v>62.975999999999999</v>
      </c>
      <c r="AS487">
        <v>63.225999999999999</v>
      </c>
      <c r="AT487">
        <v>63.238</v>
      </c>
      <c r="AU487">
        <v>63.238</v>
      </c>
      <c r="AV487">
        <v>63.225999999999999</v>
      </c>
      <c r="AW487">
        <v>63.225999999999999</v>
      </c>
      <c r="AX487">
        <v>63.238999999999997</v>
      </c>
      <c r="AY487">
        <v>63.238999999999997</v>
      </c>
      <c r="AZ487" s="7"/>
      <c r="BB487" s="124">
        <v>44413</v>
      </c>
      <c r="BC487" s="2">
        <v>9.14</v>
      </c>
      <c r="BD487" s="2">
        <v>9.1</v>
      </c>
      <c r="BE487" s="2">
        <v>9.14</v>
      </c>
      <c r="BF487" s="2">
        <v>9.1</v>
      </c>
      <c r="BG487" s="2">
        <v>9.1</v>
      </c>
      <c r="BH487" s="2">
        <v>9.1</v>
      </c>
      <c r="BI487" s="2">
        <v>9.1</v>
      </c>
      <c r="BJ487" s="2">
        <v>9.1</v>
      </c>
      <c r="BK487" s="2">
        <v>9.1</v>
      </c>
      <c r="BL487" s="2">
        <v>9.1</v>
      </c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2"/>
      <c r="BZ487" s="1"/>
      <c r="CA487" s="2"/>
    </row>
    <row r="488" spans="1:79" x14ac:dyDescent="0.2">
      <c r="A488" s="124">
        <v>44414</v>
      </c>
      <c r="B488">
        <v>62.99</v>
      </c>
      <c r="C488">
        <v>63.24</v>
      </c>
      <c r="D488">
        <v>62.99</v>
      </c>
      <c r="E488">
        <v>63.24</v>
      </c>
      <c r="F488">
        <v>63.253999999999998</v>
      </c>
      <c r="G488">
        <v>63.253999999999998</v>
      </c>
      <c r="H488">
        <v>63.24</v>
      </c>
      <c r="I488">
        <v>63.24</v>
      </c>
      <c r="J488">
        <v>62.875</v>
      </c>
      <c r="K488">
        <v>63.253999999999998</v>
      </c>
      <c r="L488" s="7"/>
      <c r="N488" s="124">
        <v>44414</v>
      </c>
      <c r="O488" s="2">
        <v>9.1372499999999999</v>
      </c>
      <c r="P488" s="2">
        <v>9.1013999999999999</v>
      </c>
      <c r="Q488" s="2">
        <v>9.14</v>
      </c>
      <c r="R488" s="2">
        <v>9.1013999999999999</v>
      </c>
      <c r="S488" s="2">
        <v>9.1</v>
      </c>
      <c r="T488" s="2">
        <v>9.1013500000000001</v>
      </c>
      <c r="U488" s="2">
        <v>9.1013999999999999</v>
      </c>
      <c r="V488" s="2">
        <v>9.1013999999999999</v>
      </c>
      <c r="W488" s="2">
        <v>9.16</v>
      </c>
      <c r="X488" s="2">
        <v>9.1013500000000001</v>
      </c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2"/>
      <c r="AL488" s="1"/>
      <c r="AM488" s="2"/>
      <c r="AO488" s="124">
        <v>44414</v>
      </c>
      <c r="AP488">
        <v>62.99</v>
      </c>
      <c r="AQ488">
        <v>63.24</v>
      </c>
      <c r="AR488">
        <v>62.99</v>
      </c>
      <c r="AS488">
        <v>63.24</v>
      </c>
      <c r="AT488">
        <v>63.253999999999998</v>
      </c>
      <c r="AU488">
        <v>63.253999999999998</v>
      </c>
      <c r="AV488">
        <v>63.24</v>
      </c>
      <c r="AW488">
        <v>63.24</v>
      </c>
      <c r="AX488">
        <v>63.253999999999998</v>
      </c>
      <c r="AY488">
        <v>63.253999999999998</v>
      </c>
      <c r="AZ488" s="7"/>
      <c r="BB488" s="124">
        <v>44414</v>
      </c>
      <c r="BC488" s="2">
        <v>9.14</v>
      </c>
      <c r="BD488" s="2">
        <v>9.1</v>
      </c>
      <c r="BE488" s="2">
        <v>9.14</v>
      </c>
      <c r="BF488" s="2">
        <v>9.1</v>
      </c>
      <c r="BG488" s="2">
        <v>9.1</v>
      </c>
      <c r="BH488" s="2">
        <v>9.1</v>
      </c>
      <c r="BI488" s="2">
        <v>9.1</v>
      </c>
      <c r="BJ488" s="2">
        <v>9.1</v>
      </c>
      <c r="BK488" s="2">
        <v>9.1</v>
      </c>
      <c r="BL488" s="2">
        <v>9.1</v>
      </c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2"/>
      <c r="BZ488" s="1"/>
      <c r="CA488" s="2"/>
    </row>
    <row r="489" spans="1:79" x14ac:dyDescent="0.2">
      <c r="A489" s="124">
        <v>44417</v>
      </c>
      <c r="B489">
        <v>61.728999999999999</v>
      </c>
      <c r="C489">
        <v>61.978999999999999</v>
      </c>
      <c r="D489">
        <v>61.728999999999999</v>
      </c>
      <c r="E489">
        <v>61.978999999999999</v>
      </c>
      <c r="F489">
        <v>61.994999999999997</v>
      </c>
      <c r="G489">
        <v>61.994999999999997</v>
      </c>
      <c r="H489">
        <v>61.978999999999999</v>
      </c>
      <c r="I489">
        <v>61.978999999999999</v>
      </c>
      <c r="J489">
        <v>61.994</v>
      </c>
      <c r="K489">
        <v>61.994999999999997</v>
      </c>
      <c r="L489" s="7"/>
      <c r="N489" s="124">
        <v>44417</v>
      </c>
      <c r="O489" s="2">
        <v>9.3253000000000004</v>
      </c>
      <c r="P489" s="2">
        <v>9.2885500000000008</v>
      </c>
      <c r="Q489" s="2">
        <v>9.32</v>
      </c>
      <c r="R489" s="2">
        <v>9.2885500000000008</v>
      </c>
      <c r="S489" s="2">
        <v>9.2899999999999991</v>
      </c>
      <c r="T489" s="2">
        <v>9.2884499999999992</v>
      </c>
      <c r="U489" s="2">
        <v>9.2885500000000008</v>
      </c>
      <c r="V489" s="2">
        <v>9.2885500000000008</v>
      </c>
      <c r="W489" s="2">
        <v>9.2899999999999991</v>
      </c>
      <c r="X489" s="2">
        <v>9.2884499999999992</v>
      </c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2"/>
      <c r="AL489" s="1"/>
      <c r="AM489" s="2"/>
      <c r="AO489" s="124">
        <v>44417</v>
      </c>
      <c r="AP489">
        <v>61.728999999999999</v>
      </c>
      <c r="AQ489">
        <v>61.978999999999999</v>
      </c>
      <c r="AR489">
        <v>61.728999999999999</v>
      </c>
      <c r="AS489">
        <v>61.978999999999999</v>
      </c>
      <c r="AT489">
        <v>61.994</v>
      </c>
      <c r="AU489">
        <v>61.994</v>
      </c>
      <c r="AV489">
        <v>61.978999999999999</v>
      </c>
      <c r="AW489">
        <v>61.978999999999999</v>
      </c>
      <c r="AX489">
        <v>61.994999999999997</v>
      </c>
      <c r="AY489">
        <v>61.994999999999997</v>
      </c>
      <c r="AZ489" s="7"/>
      <c r="BB489" s="124">
        <v>44417</v>
      </c>
      <c r="BC489" s="2">
        <v>9.32</v>
      </c>
      <c r="BD489" s="2">
        <v>9.2899999999999991</v>
      </c>
      <c r="BE489" s="2">
        <v>9.32</v>
      </c>
      <c r="BF489" s="2">
        <v>9.2899999999999991</v>
      </c>
      <c r="BG489" s="2">
        <v>9.2899999999999991</v>
      </c>
      <c r="BH489" s="2">
        <v>9.2899999999999991</v>
      </c>
      <c r="BI489" s="2">
        <v>9.2899999999999991</v>
      </c>
      <c r="BJ489" s="2">
        <v>9.2899999999999991</v>
      </c>
      <c r="BK489" s="2">
        <v>9.2899999999999991</v>
      </c>
      <c r="BL489" s="2">
        <v>9.2899999999999991</v>
      </c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2"/>
      <c r="BZ489" s="1"/>
      <c r="CA489" s="2"/>
    </row>
    <row r="490" spans="1:79" x14ac:dyDescent="0.2">
      <c r="A490" s="124">
        <v>44418</v>
      </c>
      <c r="B490">
        <v>61.085000000000001</v>
      </c>
      <c r="C490">
        <v>61.335000000000001</v>
      </c>
      <c r="D490">
        <v>61.085000000000001</v>
      </c>
      <c r="E490">
        <v>61.335000000000001</v>
      </c>
      <c r="F490">
        <v>61.351999999999997</v>
      </c>
      <c r="G490">
        <v>61.351999999999997</v>
      </c>
      <c r="H490">
        <v>61.335000000000001</v>
      </c>
      <c r="I490">
        <v>61.335000000000001</v>
      </c>
      <c r="J490">
        <v>61.351999999999997</v>
      </c>
      <c r="K490">
        <v>61.351999999999997</v>
      </c>
      <c r="L490" s="7"/>
      <c r="N490" s="124">
        <v>44418</v>
      </c>
      <c r="O490" s="2">
        <v>9.4243500000000004</v>
      </c>
      <c r="P490" s="2">
        <v>9.3871000000000002</v>
      </c>
      <c r="Q490" s="2">
        <v>9.42</v>
      </c>
      <c r="R490" s="2">
        <v>9.3871000000000002</v>
      </c>
      <c r="S490" s="2">
        <v>9.39</v>
      </c>
      <c r="T490" s="2">
        <v>9.3870000000000005</v>
      </c>
      <c r="U490" s="2">
        <v>9.3871000000000002</v>
      </c>
      <c r="V490" s="2">
        <v>9.3871000000000002</v>
      </c>
      <c r="W490" s="2">
        <v>9.39</v>
      </c>
      <c r="X490" s="2">
        <v>9.3870000000000005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2"/>
      <c r="AL490" s="1"/>
      <c r="AM490" s="2"/>
      <c r="AO490" s="124">
        <v>44418</v>
      </c>
      <c r="AP490">
        <v>61.085000000000001</v>
      </c>
      <c r="AQ490">
        <v>61.335000000000001</v>
      </c>
      <c r="AR490">
        <v>61.085000000000001</v>
      </c>
      <c r="AS490">
        <v>61.335000000000001</v>
      </c>
      <c r="AT490">
        <v>61.351999999999997</v>
      </c>
      <c r="AU490">
        <v>61.351999999999997</v>
      </c>
      <c r="AV490">
        <v>61.335000000000001</v>
      </c>
      <c r="AW490">
        <v>61.335000000000001</v>
      </c>
      <c r="AX490">
        <v>61.351999999999997</v>
      </c>
      <c r="AY490">
        <v>61.351999999999997</v>
      </c>
      <c r="AZ490" s="7"/>
      <c r="BB490" s="124">
        <v>44418</v>
      </c>
      <c r="BC490" s="2">
        <v>9.42</v>
      </c>
      <c r="BD490" s="2">
        <v>9.39</v>
      </c>
      <c r="BE490" s="2">
        <v>9.42</v>
      </c>
      <c r="BF490" s="2">
        <v>9.39</v>
      </c>
      <c r="BG490" s="2">
        <v>9.39</v>
      </c>
      <c r="BH490" s="2">
        <v>9.39</v>
      </c>
      <c r="BI490" s="2">
        <v>9.39</v>
      </c>
      <c r="BJ490" s="2">
        <v>9.39</v>
      </c>
      <c r="BK490" s="2">
        <v>9.39</v>
      </c>
      <c r="BL490" s="2">
        <v>9.39</v>
      </c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2"/>
      <c r="BZ490" s="1"/>
      <c r="CA490" s="2"/>
    </row>
    <row r="491" spans="1:79" x14ac:dyDescent="0.2">
      <c r="A491" s="124">
        <v>44419</v>
      </c>
      <c r="B491">
        <v>60.502000000000002</v>
      </c>
      <c r="C491">
        <v>60.752000000000002</v>
      </c>
      <c r="D491">
        <v>60.500999999999998</v>
      </c>
      <c r="E491">
        <v>60.752000000000002</v>
      </c>
      <c r="F491">
        <v>60.77</v>
      </c>
      <c r="G491">
        <v>60.77</v>
      </c>
      <c r="H491">
        <v>60.752000000000002</v>
      </c>
      <c r="I491">
        <v>60.752000000000002</v>
      </c>
      <c r="J491">
        <v>60.77</v>
      </c>
      <c r="K491">
        <v>60.77</v>
      </c>
      <c r="L491" s="7"/>
      <c r="N491" s="124">
        <v>44419</v>
      </c>
      <c r="O491" s="2">
        <v>9.5153499999999998</v>
      </c>
      <c r="P491" s="2">
        <v>9.4776000000000007</v>
      </c>
      <c r="Q491" s="2">
        <v>9.52</v>
      </c>
      <c r="R491" s="2">
        <v>9.4776000000000007</v>
      </c>
      <c r="S491" s="2">
        <v>9.48</v>
      </c>
      <c r="T491" s="2">
        <v>9.4776000000000007</v>
      </c>
      <c r="U491" s="2">
        <v>9.4776000000000007</v>
      </c>
      <c r="V491" s="2">
        <v>9.4776000000000007</v>
      </c>
      <c r="W491" s="2">
        <v>9.48</v>
      </c>
      <c r="X491" s="2">
        <v>9.4776000000000007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2"/>
      <c r="AL491" s="1"/>
      <c r="AM491" s="2"/>
      <c r="AO491" s="124">
        <v>44419</v>
      </c>
      <c r="AP491">
        <v>60.500999999999998</v>
      </c>
      <c r="AQ491">
        <v>60.750999999999998</v>
      </c>
      <c r="AR491">
        <v>60.500999999999998</v>
      </c>
      <c r="AS491">
        <v>60.752000000000002</v>
      </c>
      <c r="AT491">
        <v>60.77</v>
      </c>
      <c r="AU491">
        <v>60.77</v>
      </c>
      <c r="AV491">
        <v>60.750999999999998</v>
      </c>
      <c r="AW491">
        <v>60.750999999999998</v>
      </c>
      <c r="AX491">
        <v>60.77</v>
      </c>
      <c r="AY491">
        <v>60.77</v>
      </c>
      <c r="AZ491" s="7"/>
      <c r="BB491" s="124">
        <v>44419</v>
      </c>
      <c r="BC491" s="2">
        <v>9.52</v>
      </c>
      <c r="BD491" s="2">
        <v>9.48</v>
      </c>
      <c r="BE491" s="2">
        <v>9.52</v>
      </c>
      <c r="BF491" s="2">
        <v>9.48</v>
      </c>
      <c r="BG491" s="2">
        <v>9.48</v>
      </c>
      <c r="BH491" s="2">
        <v>9.48</v>
      </c>
      <c r="BI491" s="2">
        <v>9.48</v>
      </c>
      <c r="BJ491" s="2">
        <v>9.48</v>
      </c>
      <c r="BK491" s="2">
        <v>9.48</v>
      </c>
      <c r="BL491" s="2">
        <v>9.48</v>
      </c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2"/>
      <c r="BZ491" s="1"/>
      <c r="CA491" s="2"/>
    </row>
    <row r="492" spans="1:79" x14ac:dyDescent="0.2">
      <c r="A492" s="124">
        <v>44420</v>
      </c>
      <c r="B492">
        <v>61.323</v>
      </c>
      <c r="C492">
        <v>61.573</v>
      </c>
      <c r="D492">
        <v>61.323</v>
      </c>
      <c r="E492">
        <v>61.573</v>
      </c>
      <c r="F492">
        <v>61.594999999999999</v>
      </c>
      <c r="G492">
        <v>61.594999999999999</v>
      </c>
      <c r="H492">
        <v>61.573</v>
      </c>
      <c r="I492">
        <v>61.573</v>
      </c>
      <c r="J492">
        <v>61.594999999999999</v>
      </c>
      <c r="K492">
        <v>61.594999999999999</v>
      </c>
      <c r="L492" s="7"/>
      <c r="N492" s="124">
        <v>44420</v>
      </c>
      <c r="O492" s="2">
        <v>9.3970000000000002</v>
      </c>
      <c r="P492" s="2">
        <v>9.3598499999999998</v>
      </c>
      <c r="Q492" s="2">
        <v>9.4</v>
      </c>
      <c r="R492" s="2">
        <v>9.3598499999999998</v>
      </c>
      <c r="S492" s="2">
        <v>9.36</v>
      </c>
      <c r="T492" s="2">
        <v>9.3598999999999997</v>
      </c>
      <c r="U492" s="2">
        <v>9.3598499999999998</v>
      </c>
      <c r="V492" s="2">
        <v>9.3598499999999998</v>
      </c>
      <c r="W492" s="2">
        <v>9.36</v>
      </c>
      <c r="X492" s="2">
        <v>9.3598999999999997</v>
      </c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2"/>
      <c r="AL492" s="1"/>
      <c r="AM492" s="2"/>
      <c r="AO492" s="124">
        <v>44420</v>
      </c>
      <c r="AP492">
        <v>61.323</v>
      </c>
      <c r="AQ492">
        <v>61.573</v>
      </c>
      <c r="AR492">
        <v>61.323</v>
      </c>
      <c r="AS492">
        <v>61.573</v>
      </c>
      <c r="AT492">
        <v>61.594999999999999</v>
      </c>
      <c r="AU492">
        <v>61.594999999999999</v>
      </c>
      <c r="AV492">
        <v>61.573</v>
      </c>
      <c r="AW492">
        <v>61.573</v>
      </c>
      <c r="AX492">
        <v>61.594999999999999</v>
      </c>
      <c r="AY492">
        <v>61.594999999999999</v>
      </c>
      <c r="AZ492" s="7"/>
      <c r="BB492" s="124">
        <v>44420</v>
      </c>
      <c r="BC492" s="2">
        <v>9.4</v>
      </c>
      <c r="BD492" s="2">
        <v>9.36</v>
      </c>
      <c r="BE492" s="2">
        <v>9.4</v>
      </c>
      <c r="BF492" s="2">
        <v>9.36</v>
      </c>
      <c r="BG492" s="2">
        <v>9.36</v>
      </c>
      <c r="BH492" s="2">
        <v>9.36</v>
      </c>
      <c r="BI492" s="2">
        <v>9.36</v>
      </c>
      <c r="BJ492" s="2">
        <v>9.36</v>
      </c>
      <c r="BK492" s="2">
        <v>9.36</v>
      </c>
      <c r="BL492" s="2">
        <v>9.36</v>
      </c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2"/>
      <c r="BZ492" s="1"/>
      <c r="CA492" s="2"/>
    </row>
    <row r="493" spans="1:79" x14ac:dyDescent="0.2">
      <c r="A493" s="124">
        <v>44421</v>
      </c>
      <c r="B493">
        <v>61.091000000000001</v>
      </c>
      <c r="C493">
        <v>61.341000000000001</v>
      </c>
      <c r="D493">
        <v>61.091000000000001</v>
      </c>
      <c r="E493">
        <v>61.341000000000001</v>
      </c>
      <c r="F493">
        <v>61.365000000000002</v>
      </c>
      <c r="G493">
        <v>61.365000000000002</v>
      </c>
      <c r="H493">
        <v>61.341000000000001</v>
      </c>
      <c r="I493">
        <v>61.341000000000001</v>
      </c>
      <c r="J493">
        <v>61.363999999999997</v>
      </c>
      <c r="K493">
        <v>61.365000000000002</v>
      </c>
      <c r="L493" s="7"/>
      <c r="N493" s="124">
        <v>44421</v>
      </c>
      <c r="O493" s="2">
        <v>9.4342000000000006</v>
      </c>
      <c r="P493" s="2">
        <v>9.3969000000000005</v>
      </c>
      <c r="Q493" s="2">
        <v>9.43</v>
      </c>
      <c r="R493" s="2">
        <v>9.3969000000000005</v>
      </c>
      <c r="S493" s="2">
        <v>9.4</v>
      </c>
      <c r="T493" s="2">
        <v>9.3968500000000006</v>
      </c>
      <c r="U493" s="2">
        <v>9.3969000000000005</v>
      </c>
      <c r="V493" s="2">
        <v>9.3969000000000005</v>
      </c>
      <c r="W493" s="2">
        <v>9.4</v>
      </c>
      <c r="X493" s="2">
        <v>9.3968500000000006</v>
      </c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2"/>
      <c r="AL493" s="1"/>
      <c r="AM493" s="2"/>
      <c r="AO493" s="124">
        <v>44421</v>
      </c>
      <c r="AP493">
        <v>61.091000000000001</v>
      </c>
      <c r="AQ493">
        <v>61.341000000000001</v>
      </c>
      <c r="AR493">
        <v>61.091000000000001</v>
      </c>
      <c r="AS493">
        <v>61.341000000000001</v>
      </c>
      <c r="AT493">
        <v>61.363999999999997</v>
      </c>
      <c r="AU493">
        <v>61.363999999999997</v>
      </c>
      <c r="AV493">
        <v>61.341000000000001</v>
      </c>
      <c r="AW493">
        <v>61.341000000000001</v>
      </c>
      <c r="AX493">
        <v>61.365000000000002</v>
      </c>
      <c r="AY493">
        <v>61.365000000000002</v>
      </c>
      <c r="AZ493" s="7"/>
      <c r="BB493" s="124">
        <v>44421</v>
      </c>
      <c r="BC493" s="2">
        <v>9.43</v>
      </c>
      <c r="BD493" s="2">
        <v>9.4</v>
      </c>
      <c r="BE493" s="2">
        <v>9.43</v>
      </c>
      <c r="BF493" s="2">
        <v>9.4</v>
      </c>
      <c r="BG493" s="2">
        <v>9.4</v>
      </c>
      <c r="BH493" s="2">
        <v>9.4</v>
      </c>
      <c r="BI493" s="2">
        <v>9.4</v>
      </c>
      <c r="BJ493" s="2">
        <v>9.4</v>
      </c>
      <c r="BK493" s="2">
        <v>9.4</v>
      </c>
      <c r="BL493" s="2">
        <v>9.4</v>
      </c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2"/>
      <c r="BZ493" s="1"/>
      <c r="CA493" s="2"/>
    </row>
    <row r="494" spans="1:79" x14ac:dyDescent="0.2">
      <c r="A494" s="124">
        <v>44424</v>
      </c>
      <c r="B494">
        <v>60.264000000000003</v>
      </c>
      <c r="C494">
        <v>60.514000000000003</v>
      </c>
      <c r="D494">
        <v>60.264000000000003</v>
      </c>
      <c r="E494">
        <v>60.514000000000003</v>
      </c>
      <c r="F494">
        <v>60.539000000000001</v>
      </c>
      <c r="G494">
        <v>60.539000000000001</v>
      </c>
      <c r="H494">
        <v>60.514000000000003</v>
      </c>
      <c r="I494">
        <v>60.514000000000003</v>
      </c>
      <c r="J494">
        <v>60.539000000000001</v>
      </c>
      <c r="K494">
        <v>60.539000000000001</v>
      </c>
      <c r="L494" s="7"/>
      <c r="N494" s="124">
        <v>44424</v>
      </c>
      <c r="O494" s="2">
        <v>9.5629000000000008</v>
      </c>
      <c r="P494" s="2">
        <v>9.5249000000000006</v>
      </c>
      <c r="Q494" s="2">
        <v>9.56</v>
      </c>
      <c r="R494" s="2">
        <v>9.5249000000000006</v>
      </c>
      <c r="S494" s="2">
        <v>9.52</v>
      </c>
      <c r="T494" s="2">
        <v>9.5249000000000006</v>
      </c>
      <c r="U494" s="2">
        <v>9.5249000000000006</v>
      </c>
      <c r="V494" s="2">
        <v>9.5249000000000006</v>
      </c>
      <c r="W494" s="2">
        <v>9.52</v>
      </c>
      <c r="X494" s="2">
        <v>9.5249000000000006</v>
      </c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2"/>
      <c r="AL494" s="1"/>
      <c r="AM494" s="2"/>
      <c r="AO494" s="124">
        <v>44424</v>
      </c>
      <c r="AP494">
        <v>60.264000000000003</v>
      </c>
      <c r="AQ494">
        <v>60.514000000000003</v>
      </c>
      <c r="AR494">
        <v>60.264000000000003</v>
      </c>
      <c r="AS494">
        <v>60.514000000000003</v>
      </c>
      <c r="AT494">
        <v>60.539000000000001</v>
      </c>
      <c r="AU494">
        <v>60.539000000000001</v>
      </c>
      <c r="AV494">
        <v>60.514000000000003</v>
      </c>
      <c r="AW494">
        <v>60.514000000000003</v>
      </c>
      <c r="AX494">
        <v>60.539000000000001</v>
      </c>
      <c r="AY494">
        <v>60.539000000000001</v>
      </c>
      <c r="AZ494" s="7"/>
      <c r="BB494" s="124">
        <v>44424</v>
      </c>
      <c r="BC494" s="2">
        <v>9.56</v>
      </c>
      <c r="BD494" s="2">
        <v>9.52</v>
      </c>
      <c r="BE494" s="2">
        <v>9.56</v>
      </c>
      <c r="BF494" s="2">
        <v>9.52</v>
      </c>
      <c r="BG494" s="2">
        <v>9.52</v>
      </c>
      <c r="BH494" s="2">
        <v>9.52</v>
      </c>
      <c r="BI494" s="2">
        <v>9.52</v>
      </c>
      <c r="BJ494" s="2">
        <v>9.52</v>
      </c>
      <c r="BK494" s="2">
        <v>9.52</v>
      </c>
      <c r="BL494" s="2">
        <v>9.52</v>
      </c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2"/>
      <c r="BZ494" s="1"/>
      <c r="CA494" s="2"/>
    </row>
    <row r="495" spans="1:79" x14ac:dyDescent="0.2">
      <c r="A495" s="124">
        <v>44425</v>
      </c>
      <c r="B495">
        <v>60.253</v>
      </c>
      <c r="C495">
        <v>60.503</v>
      </c>
      <c r="D495">
        <v>60.252000000000002</v>
      </c>
      <c r="E495">
        <v>60.503</v>
      </c>
      <c r="F495">
        <v>60.529000000000003</v>
      </c>
      <c r="G495">
        <v>60.529000000000003</v>
      </c>
      <c r="H495">
        <v>60.503</v>
      </c>
      <c r="I495">
        <v>60.503</v>
      </c>
      <c r="J495">
        <v>60.529000000000003</v>
      </c>
      <c r="K495">
        <v>60.529000000000003</v>
      </c>
      <c r="L495" s="7"/>
      <c r="N495" s="124">
        <v>44425</v>
      </c>
      <c r="O495" s="2">
        <v>9.5668000000000006</v>
      </c>
      <c r="P495" s="2">
        <v>9.5288000000000004</v>
      </c>
      <c r="Q495" s="2">
        <v>9.57</v>
      </c>
      <c r="R495" s="2">
        <v>9.5288000000000004</v>
      </c>
      <c r="S495" s="2">
        <v>9.5299999999999994</v>
      </c>
      <c r="T495" s="2">
        <v>9.5288500000000003</v>
      </c>
      <c r="U495" s="2">
        <v>9.5288000000000004</v>
      </c>
      <c r="V495" s="2">
        <v>9.5288000000000004</v>
      </c>
      <c r="W495" s="2">
        <v>9.5299999999999994</v>
      </c>
      <c r="X495" s="2">
        <v>9.5288500000000003</v>
      </c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2"/>
      <c r="AL495" s="1"/>
      <c r="AM495" s="2"/>
      <c r="AO495" s="124">
        <v>44425</v>
      </c>
      <c r="AP495">
        <v>60.252000000000002</v>
      </c>
      <c r="AQ495">
        <v>60.502000000000002</v>
      </c>
      <c r="AR495">
        <v>60.252000000000002</v>
      </c>
      <c r="AS495">
        <v>60.503</v>
      </c>
      <c r="AT495">
        <v>60.529000000000003</v>
      </c>
      <c r="AU495">
        <v>60.529000000000003</v>
      </c>
      <c r="AV495">
        <v>60.502000000000002</v>
      </c>
      <c r="AW495">
        <v>60.502000000000002</v>
      </c>
      <c r="AX495">
        <v>60.529000000000003</v>
      </c>
      <c r="AY495">
        <v>60.529000000000003</v>
      </c>
      <c r="AZ495" s="7"/>
      <c r="BB495" s="124">
        <v>44425</v>
      </c>
      <c r="BC495" s="2">
        <v>9.57</v>
      </c>
      <c r="BD495" s="2">
        <v>9.5299999999999994</v>
      </c>
      <c r="BE495" s="2">
        <v>9.57</v>
      </c>
      <c r="BF495" s="2">
        <v>9.5299999999999994</v>
      </c>
      <c r="BG495" s="2">
        <v>9.5299999999999994</v>
      </c>
      <c r="BH495" s="2">
        <v>9.5299999999999994</v>
      </c>
      <c r="BI495" s="2">
        <v>9.5299999999999994</v>
      </c>
      <c r="BJ495" s="2">
        <v>9.5299999999999994</v>
      </c>
      <c r="BK495" s="2">
        <v>9.5299999999999994</v>
      </c>
      <c r="BL495" s="2">
        <v>9.5299999999999994</v>
      </c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2"/>
      <c r="BZ495" s="1"/>
      <c r="CA495" s="2"/>
    </row>
    <row r="496" spans="1:79" x14ac:dyDescent="0.2">
      <c r="A496" s="124">
        <v>44426</v>
      </c>
      <c r="B496">
        <v>60.485999999999997</v>
      </c>
      <c r="C496">
        <v>60.735999999999997</v>
      </c>
      <c r="D496">
        <v>60.484999999999999</v>
      </c>
      <c r="E496">
        <v>60.735999999999997</v>
      </c>
      <c r="F496">
        <v>60.762999999999998</v>
      </c>
      <c r="G496">
        <v>60.762999999999998</v>
      </c>
      <c r="H496">
        <v>60.735999999999997</v>
      </c>
      <c r="I496">
        <v>60.735999999999997</v>
      </c>
      <c r="J496">
        <v>60.762999999999998</v>
      </c>
      <c r="K496">
        <v>60.762999999999998</v>
      </c>
      <c r="L496" s="7"/>
      <c r="N496" s="124">
        <v>44426</v>
      </c>
      <c r="O496" s="2">
        <v>9.5330999999999992</v>
      </c>
      <c r="P496" s="2">
        <v>9.4952500000000004</v>
      </c>
      <c r="Q496" s="2">
        <v>9.5299999999999994</v>
      </c>
      <c r="R496" s="2">
        <v>9.4952500000000004</v>
      </c>
      <c r="S496" s="2">
        <v>9.49</v>
      </c>
      <c r="T496" s="2">
        <v>9.4954499999999999</v>
      </c>
      <c r="U496" s="2">
        <v>9.4952500000000004</v>
      </c>
      <c r="V496" s="2">
        <v>9.4952500000000004</v>
      </c>
      <c r="W496" s="2">
        <v>9.49</v>
      </c>
      <c r="X496" s="2">
        <v>9.4954499999999999</v>
      </c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2"/>
      <c r="AL496" s="1"/>
      <c r="AM496" s="2"/>
      <c r="AO496" s="124">
        <v>44426</v>
      </c>
      <c r="AP496">
        <v>60.484999999999999</v>
      </c>
      <c r="AQ496">
        <v>60.734999999999999</v>
      </c>
      <c r="AR496">
        <v>60.484999999999999</v>
      </c>
      <c r="AS496">
        <v>60.735999999999997</v>
      </c>
      <c r="AT496">
        <v>60.762999999999998</v>
      </c>
      <c r="AU496">
        <v>60.762999999999998</v>
      </c>
      <c r="AV496">
        <v>60.734999999999999</v>
      </c>
      <c r="AW496">
        <v>60.734999999999999</v>
      </c>
      <c r="AX496">
        <v>60.762999999999998</v>
      </c>
      <c r="AY496">
        <v>60.762999999999998</v>
      </c>
      <c r="AZ496" s="7"/>
      <c r="BB496" s="124">
        <v>44426</v>
      </c>
      <c r="BC496" s="2">
        <v>9.5299999999999994</v>
      </c>
      <c r="BD496" s="2">
        <v>9.49</v>
      </c>
      <c r="BE496" s="2">
        <v>9.5299999999999994</v>
      </c>
      <c r="BF496" s="2">
        <v>9.49</v>
      </c>
      <c r="BG496" s="2">
        <v>9.49</v>
      </c>
      <c r="BH496" s="2">
        <v>9.49</v>
      </c>
      <c r="BI496" s="2">
        <v>9.49</v>
      </c>
      <c r="BJ496" s="2">
        <v>9.49</v>
      </c>
      <c r="BK496" s="2">
        <v>9.49</v>
      </c>
      <c r="BL496" s="2">
        <v>9.49</v>
      </c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2"/>
      <c r="BZ496" s="1"/>
      <c r="CA496" s="2"/>
    </row>
    <row r="497" spans="1:79" x14ac:dyDescent="0.2">
      <c r="A497" s="124">
        <v>44427</v>
      </c>
      <c r="B497">
        <v>60.335000000000001</v>
      </c>
      <c r="C497">
        <v>60.585000000000001</v>
      </c>
      <c r="D497">
        <v>60.335000000000001</v>
      </c>
      <c r="E497">
        <v>60.585000000000001</v>
      </c>
      <c r="F497">
        <v>60.616999999999997</v>
      </c>
      <c r="G497">
        <v>60.616999999999997</v>
      </c>
      <c r="H497">
        <v>60.585000000000001</v>
      </c>
      <c r="I497">
        <v>60.585000000000001</v>
      </c>
      <c r="J497">
        <v>60.616999999999997</v>
      </c>
      <c r="K497">
        <v>60.616999999999997</v>
      </c>
      <c r="L497" s="7"/>
      <c r="N497" s="124">
        <v>44427</v>
      </c>
      <c r="O497" s="2">
        <v>9.5629500000000007</v>
      </c>
      <c r="P497" s="2">
        <v>9.5250000000000004</v>
      </c>
      <c r="Q497" s="2">
        <v>9.56</v>
      </c>
      <c r="R497" s="2">
        <v>9.5250000000000004</v>
      </c>
      <c r="S497" s="2">
        <v>9.52</v>
      </c>
      <c r="T497" s="2">
        <v>9.5250000000000004</v>
      </c>
      <c r="U497" s="2">
        <v>9.5250000000000004</v>
      </c>
      <c r="V497" s="2">
        <v>9.5250000000000004</v>
      </c>
      <c r="W497" s="2">
        <v>9.52</v>
      </c>
      <c r="X497" s="2">
        <v>9.5250000000000004</v>
      </c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2"/>
      <c r="AL497" s="1"/>
      <c r="AM497" s="2"/>
      <c r="AO497" s="124">
        <v>44427</v>
      </c>
      <c r="AP497">
        <v>60.335000000000001</v>
      </c>
      <c r="AQ497">
        <v>60.585000000000001</v>
      </c>
      <c r="AR497">
        <v>60.335000000000001</v>
      </c>
      <c r="AS497">
        <v>60.585000000000001</v>
      </c>
      <c r="AT497">
        <v>60.616999999999997</v>
      </c>
      <c r="AU497">
        <v>60.616999999999997</v>
      </c>
      <c r="AV497">
        <v>60.585000000000001</v>
      </c>
      <c r="AW497">
        <v>60.585000000000001</v>
      </c>
      <c r="AX497">
        <v>60.616999999999997</v>
      </c>
      <c r="AY497">
        <v>60.616999999999997</v>
      </c>
      <c r="AZ497" s="7"/>
      <c r="BB497" s="124">
        <v>44427</v>
      </c>
      <c r="BC497" s="2">
        <v>9.56</v>
      </c>
      <c r="BD497" s="2">
        <v>9.52</v>
      </c>
      <c r="BE497" s="2">
        <v>9.56</v>
      </c>
      <c r="BF497" s="2">
        <v>9.52</v>
      </c>
      <c r="BG497" s="2">
        <v>9.52</v>
      </c>
      <c r="BH497" s="2">
        <v>9.52</v>
      </c>
      <c r="BI497" s="2">
        <v>9.52</v>
      </c>
      <c r="BJ497" s="2">
        <v>9.52</v>
      </c>
      <c r="BK497" s="2">
        <v>9.52</v>
      </c>
      <c r="BL497" s="2">
        <v>9.52</v>
      </c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2"/>
      <c r="BZ497" s="1"/>
      <c r="CA497" s="2"/>
    </row>
    <row r="498" spans="1:79" x14ac:dyDescent="0.2">
      <c r="A498" s="124">
        <v>44428</v>
      </c>
      <c r="B498">
        <v>60.930999999999997</v>
      </c>
      <c r="C498">
        <v>61.180999999999997</v>
      </c>
      <c r="D498">
        <v>60.93</v>
      </c>
      <c r="E498">
        <v>61.180999999999997</v>
      </c>
      <c r="F498">
        <v>61.213999999999999</v>
      </c>
      <c r="G498">
        <v>61.213999999999999</v>
      </c>
      <c r="H498">
        <v>61.180999999999997</v>
      </c>
      <c r="I498">
        <v>61.180999999999997</v>
      </c>
      <c r="J498">
        <v>61.213999999999999</v>
      </c>
      <c r="K498">
        <v>61.213999999999999</v>
      </c>
      <c r="L498" s="7"/>
      <c r="N498" s="124">
        <v>44428</v>
      </c>
      <c r="O498" s="2">
        <v>9.4737500000000008</v>
      </c>
      <c r="P498" s="2">
        <v>9.4362499999999994</v>
      </c>
      <c r="Q498" s="2">
        <v>9.4700000000000006</v>
      </c>
      <c r="R498" s="2">
        <v>9.4362499999999994</v>
      </c>
      <c r="S498" s="2">
        <v>9.44</v>
      </c>
      <c r="T498" s="2">
        <v>9.4362999999999992</v>
      </c>
      <c r="U498" s="2">
        <v>9.4362499999999994</v>
      </c>
      <c r="V498" s="2">
        <v>9.4362499999999994</v>
      </c>
      <c r="W498" s="2">
        <v>9.44</v>
      </c>
      <c r="X498" s="2">
        <v>9.4362999999999992</v>
      </c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2"/>
      <c r="AL498" s="1"/>
      <c r="AM498" s="2"/>
      <c r="AO498" s="124">
        <v>44428</v>
      </c>
      <c r="AP498">
        <v>60.93</v>
      </c>
      <c r="AQ498">
        <v>61.18</v>
      </c>
      <c r="AR498">
        <v>60.93</v>
      </c>
      <c r="AS498">
        <v>61.180999999999997</v>
      </c>
      <c r="AT498">
        <v>61.213999999999999</v>
      </c>
      <c r="AU498">
        <v>61.213999999999999</v>
      </c>
      <c r="AV498">
        <v>61.18</v>
      </c>
      <c r="AW498">
        <v>61.18</v>
      </c>
      <c r="AX498">
        <v>61.213999999999999</v>
      </c>
      <c r="AY498">
        <v>61.213999999999999</v>
      </c>
      <c r="AZ498" s="7"/>
      <c r="BB498" s="124">
        <v>44428</v>
      </c>
      <c r="BC498" s="2">
        <v>9.4700000000000006</v>
      </c>
      <c r="BD498" s="2">
        <v>9.44</v>
      </c>
      <c r="BE498" s="2">
        <v>9.4700000000000006</v>
      </c>
      <c r="BF498" s="2">
        <v>9.44</v>
      </c>
      <c r="BG498" s="2">
        <v>9.44</v>
      </c>
      <c r="BH498" s="2">
        <v>9.44</v>
      </c>
      <c r="BI498" s="2">
        <v>9.44</v>
      </c>
      <c r="BJ498" s="2">
        <v>9.44</v>
      </c>
      <c r="BK498" s="2">
        <v>9.44</v>
      </c>
      <c r="BL498" s="2">
        <v>9.44</v>
      </c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2"/>
      <c r="BZ498" s="1"/>
      <c r="CA498" s="2"/>
    </row>
    <row r="499" spans="1:79" x14ac:dyDescent="0.2">
      <c r="A499" s="124">
        <v>44431</v>
      </c>
      <c r="B499">
        <v>61.204999999999998</v>
      </c>
      <c r="C499">
        <v>61.454999999999998</v>
      </c>
      <c r="D499">
        <v>61.204999999999998</v>
      </c>
      <c r="E499">
        <v>61.454999999999998</v>
      </c>
      <c r="F499">
        <v>61.49</v>
      </c>
      <c r="G499">
        <v>61.49</v>
      </c>
      <c r="H499">
        <v>61.454999999999998</v>
      </c>
      <c r="I499">
        <v>61.454999999999998</v>
      </c>
      <c r="J499">
        <v>61.49</v>
      </c>
      <c r="K499">
        <v>61.49</v>
      </c>
      <c r="L499" s="7"/>
      <c r="N499" s="124">
        <v>44431</v>
      </c>
      <c r="O499" s="2">
        <v>9.4343000000000004</v>
      </c>
      <c r="P499" s="2">
        <v>9.3969500000000004</v>
      </c>
      <c r="Q499" s="2">
        <v>9.43</v>
      </c>
      <c r="R499" s="2">
        <v>9.3969500000000004</v>
      </c>
      <c r="S499" s="2">
        <v>9.4</v>
      </c>
      <c r="T499" s="2">
        <v>9.3969000000000005</v>
      </c>
      <c r="U499" s="2">
        <v>9.3969500000000004</v>
      </c>
      <c r="V499" s="2">
        <v>9.3969500000000004</v>
      </c>
      <c r="W499" s="2">
        <v>9.4</v>
      </c>
      <c r="X499" s="2">
        <v>9.3969000000000005</v>
      </c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2"/>
      <c r="AL499" s="1"/>
      <c r="AM499" s="2"/>
      <c r="AO499" s="124">
        <v>44431</v>
      </c>
      <c r="AP499">
        <v>61.204999999999998</v>
      </c>
      <c r="AQ499">
        <v>61.454999999999998</v>
      </c>
      <c r="AR499">
        <v>61.204999999999998</v>
      </c>
      <c r="AS499">
        <v>61.454999999999998</v>
      </c>
      <c r="AT499">
        <v>61.49</v>
      </c>
      <c r="AU499">
        <v>61.49</v>
      </c>
      <c r="AV499">
        <v>61.454999999999998</v>
      </c>
      <c r="AW499">
        <v>61.454999999999998</v>
      </c>
      <c r="AX499">
        <v>61.49</v>
      </c>
      <c r="AY499">
        <v>61.49</v>
      </c>
      <c r="AZ499" s="7"/>
      <c r="BB499" s="124">
        <v>44431</v>
      </c>
      <c r="BC499" s="2">
        <v>9.43</v>
      </c>
      <c r="BD499" s="2">
        <v>9.4</v>
      </c>
      <c r="BE499" s="2">
        <v>9.43</v>
      </c>
      <c r="BF499" s="2">
        <v>9.4</v>
      </c>
      <c r="BG499" s="2">
        <v>9.4</v>
      </c>
      <c r="BH499" s="2">
        <v>9.4</v>
      </c>
      <c r="BI499" s="2">
        <v>9.4</v>
      </c>
      <c r="BJ499" s="2">
        <v>9.4</v>
      </c>
      <c r="BK499" s="2">
        <v>9.4</v>
      </c>
      <c r="BL499" s="2">
        <v>9.4</v>
      </c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2"/>
      <c r="BZ499" s="1"/>
      <c r="CA499" s="2"/>
    </row>
    <row r="500" spans="1:79" x14ac:dyDescent="0.2">
      <c r="A500" s="124">
        <v>44432</v>
      </c>
      <c r="B500">
        <v>62.276000000000003</v>
      </c>
      <c r="C500">
        <v>62.526000000000003</v>
      </c>
      <c r="D500">
        <v>62.274999999999999</v>
      </c>
      <c r="E500">
        <v>62.526000000000003</v>
      </c>
      <c r="F500">
        <v>62.561999999999998</v>
      </c>
      <c r="G500">
        <v>62.561999999999998</v>
      </c>
      <c r="H500">
        <v>62.526000000000003</v>
      </c>
      <c r="I500">
        <v>62.526000000000003</v>
      </c>
      <c r="J500">
        <v>62.561</v>
      </c>
      <c r="K500">
        <v>62.561999999999998</v>
      </c>
      <c r="L500" s="7"/>
      <c r="N500" s="124">
        <v>44432</v>
      </c>
      <c r="O500" s="2">
        <v>9.2758000000000003</v>
      </c>
      <c r="P500" s="2">
        <v>9.2392500000000002</v>
      </c>
      <c r="Q500" s="2">
        <v>9.2799999999999994</v>
      </c>
      <c r="R500" s="2">
        <v>9.2392500000000002</v>
      </c>
      <c r="S500" s="2">
        <v>9.24</v>
      </c>
      <c r="T500" s="2">
        <v>9.2392500000000002</v>
      </c>
      <c r="U500" s="2">
        <v>9.2392500000000002</v>
      </c>
      <c r="V500" s="2">
        <v>9.2392500000000002</v>
      </c>
      <c r="W500" s="2">
        <v>9.24</v>
      </c>
      <c r="X500" s="2">
        <v>9.2392500000000002</v>
      </c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2"/>
      <c r="AL500" s="1"/>
      <c r="AM500" s="2"/>
      <c r="AO500" s="124">
        <v>44432</v>
      </c>
      <c r="AP500">
        <v>62.274999999999999</v>
      </c>
      <c r="AQ500">
        <v>62.524999999999999</v>
      </c>
      <c r="AR500">
        <v>62.274999999999999</v>
      </c>
      <c r="AS500">
        <v>62.526000000000003</v>
      </c>
      <c r="AT500">
        <v>62.561</v>
      </c>
      <c r="AU500">
        <v>62.561</v>
      </c>
      <c r="AV500">
        <v>62.524999999999999</v>
      </c>
      <c r="AW500">
        <v>62.524999999999999</v>
      </c>
      <c r="AX500">
        <v>62.561999999999998</v>
      </c>
      <c r="AY500">
        <v>62.561999999999998</v>
      </c>
      <c r="AZ500" s="7"/>
      <c r="BB500" s="124">
        <v>44432</v>
      </c>
      <c r="BC500" s="2">
        <v>9.2799999999999994</v>
      </c>
      <c r="BD500" s="2">
        <v>9.24</v>
      </c>
      <c r="BE500" s="2">
        <v>9.2799999999999994</v>
      </c>
      <c r="BF500" s="2">
        <v>9.24</v>
      </c>
      <c r="BG500" s="2">
        <v>9.24</v>
      </c>
      <c r="BH500" s="2">
        <v>9.24</v>
      </c>
      <c r="BI500" s="2">
        <v>9.24</v>
      </c>
      <c r="BJ500" s="2">
        <v>9.24</v>
      </c>
      <c r="BK500" s="2">
        <v>9.24</v>
      </c>
      <c r="BL500" s="2">
        <v>9.24</v>
      </c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2"/>
      <c r="BZ500" s="1"/>
      <c r="CA500" s="2"/>
    </row>
    <row r="501" spans="1:79" x14ac:dyDescent="0.2">
      <c r="A501" s="124">
        <v>44433</v>
      </c>
      <c r="B501">
        <v>62.625</v>
      </c>
      <c r="C501">
        <v>62.875</v>
      </c>
      <c r="D501">
        <v>62.624000000000002</v>
      </c>
      <c r="E501">
        <v>62.875</v>
      </c>
      <c r="F501">
        <v>62.911999999999999</v>
      </c>
      <c r="G501">
        <v>62.911999999999999</v>
      </c>
      <c r="H501">
        <v>62.875</v>
      </c>
      <c r="I501">
        <v>62.875</v>
      </c>
      <c r="J501">
        <v>62.911999999999999</v>
      </c>
      <c r="K501">
        <v>62.911999999999999</v>
      </c>
      <c r="L501" s="7"/>
      <c r="N501" s="124">
        <v>44433</v>
      </c>
      <c r="O501" s="2">
        <v>9.2263000000000002</v>
      </c>
      <c r="P501" s="2">
        <v>9.19</v>
      </c>
      <c r="Q501" s="2">
        <v>9.23</v>
      </c>
      <c r="R501" s="2">
        <v>9.19</v>
      </c>
      <c r="S501" s="2">
        <v>9.19</v>
      </c>
      <c r="T501" s="2">
        <v>9.1900499999999994</v>
      </c>
      <c r="U501" s="2">
        <v>9.19</v>
      </c>
      <c r="V501" s="2">
        <v>9.19</v>
      </c>
      <c r="W501" s="2">
        <v>9.19</v>
      </c>
      <c r="X501" s="2">
        <v>9.1900499999999994</v>
      </c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2"/>
      <c r="AL501" s="1"/>
      <c r="AM501" s="2"/>
      <c r="AO501" s="124">
        <v>44433</v>
      </c>
      <c r="AP501">
        <v>62.624000000000002</v>
      </c>
      <c r="AQ501">
        <v>62.874000000000002</v>
      </c>
      <c r="AR501">
        <v>62.624000000000002</v>
      </c>
      <c r="AS501">
        <v>62.875</v>
      </c>
      <c r="AT501">
        <v>62.911999999999999</v>
      </c>
      <c r="AU501">
        <v>62.911999999999999</v>
      </c>
      <c r="AV501">
        <v>62.874000000000002</v>
      </c>
      <c r="AW501">
        <v>62.874000000000002</v>
      </c>
      <c r="AX501">
        <v>62.911999999999999</v>
      </c>
      <c r="AY501">
        <v>62.911999999999999</v>
      </c>
      <c r="AZ501" s="7"/>
      <c r="BB501" s="124">
        <v>44433</v>
      </c>
      <c r="BC501" s="2">
        <v>9.23</v>
      </c>
      <c r="BD501" s="2">
        <v>9.19</v>
      </c>
      <c r="BE501" s="2">
        <v>9.23</v>
      </c>
      <c r="BF501" s="2">
        <v>9.19</v>
      </c>
      <c r="BG501" s="2">
        <v>9.19</v>
      </c>
      <c r="BH501" s="2">
        <v>9.19</v>
      </c>
      <c r="BI501" s="2">
        <v>9.19</v>
      </c>
      <c r="BJ501" s="2">
        <v>9.19</v>
      </c>
      <c r="BK501" s="2">
        <v>9.19</v>
      </c>
      <c r="BL501" s="2">
        <v>9.19</v>
      </c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2"/>
      <c r="BZ501" s="1"/>
      <c r="CA501" s="2"/>
    </row>
    <row r="502" spans="1:79" x14ac:dyDescent="0.2">
      <c r="A502" s="124">
        <v>44434</v>
      </c>
      <c r="B502">
        <v>62.249000000000002</v>
      </c>
      <c r="C502">
        <v>62.499000000000002</v>
      </c>
      <c r="D502">
        <v>62.247999999999998</v>
      </c>
      <c r="E502">
        <v>62.499000000000002</v>
      </c>
      <c r="F502">
        <v>62.54</v>
      </c>
      <c r="G502">
        <v>62.54</v>
      </c>
      <c r="H502">
        <v>62.499000000000002</v>
      </c>
      <c r="I502">
        <v>62.499000000000002</v>
      </c>
      <c r="J502">
        <v>62.54</v>
      </c>
      <c r="K502">
        <v>62.54</v>
      </c>
      <c r="L502" s="7"/>
      <c r="N502" s="124">
        <v>44434</v>
      </c>
      <c r="O502" s="2">
        <v>9.2906499999999994</v>
      </c>
      <c r="P502" s="2">
        <v>9.2540499999999994</v>
      </c>
      <c r="Q502" s="2">
        <v>9.2899999999999991</v>
      </c>
      <c r="R502" s="2">
        <v>9.2540499999999994</v>
      </c>
      <c r="S502" s="2">
        <v>9.25</v>
      </c>
      <c r="T502" s="2">
        <v>9.2541499999999992</v>
      </c>
      <c r="U502" s="2">
        <v>9.2540499999999994</v>
      </c>
      <c r="V502" s="2">
        <v>9.2540499999999994</v>
      </c>
      <c r="W502" s="2">
        <v>9.25</v>
      </c>
      <c r="X502" s="2">
        <v>9.2541499999999992</v>
      </c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2"/>
      <c r="AL502" s="1"/>
      <c r="AM502" s="2"/>
      <c r="AO502" s="124">
        <v>44434</v>
      </c>
      <c r="AP502">
        <v>62.247999999999998</v>
      </c>
      <c r="AQ502">
        <v>62.497999999999998</v>
      </c>
      <c r="AR502">
        <v>62.247999999999998</v>
      </c>
      <c r="AS502">
        <v>62.499000000000002</v>
      </c>
      <c r="AT502">
        <v>62.54</v>
      </c>
      <c r="AU502">
        <v>62.54</v>
      </c>
      <c r="AV502">
        <v>62.497999999999998</v>
      </c>
      <c r="AW502">
        <v>62.497999999999998</v>
      </c>
      <c r="AX502">
        <v>62.54</v>
      </c>
      <c r="AY502">
        <v>62.54</v>
      </c>
      <c r="AZ502" s="7"/>
      <c r="BB502" s="124">
        <v>44434</v>
      </c>
      <c r="BC502" s="2">
        <v>9.2899999999999991</v>
      </c>
      <c r="BD502" s="2">
        <v>9.25</v>
      </c>
      <c r="BE502" s="2">
        <v>9.2899999999999991</v>
      </c>
      <c r="BF502" s="2">
        <v>9.25</v>
      </c>
      <c r="BG502" s="2">
        <v>9.25</v>
      </c>
      <c r="BH502" s="2">
        <v>9.25</v>
      </c>
      <c r="BI502" s="2">
        <v>9.25</v>
      </c>
      <c r="BJ502" s="2">
        <v>9.25</v>
      </c>
      <c r="BK502" s="2">
        <v>9.25</v>
      </c>
      <c r="BL502" s="2">
        <v>9.25</v>
      </c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2"/>
      <c r="BZ502" s="1"/>
      <c r="CA502" s="2"/>
    </row>
    <row r="503" spans="1:79" x14ac:dyDescent="0.2">
      <c r="A503" s="124">
        <v>44435</v>
      </c>
      <c r="B503">
        <v>62.481999999999999</v>
      </c>
      <c r="C503">
        <v>62.731999999999999</v>
      </c>
      <c r="D503">
        <v>62.481999999999999</v>
      </c>
      <c r="E503">
        <v>62.731999999999999</v>
      </c>
      <c r="F503">
        <v>62.707000000000001</v>
      </c>
      <c r="G503">
        <v>62.774000000000001</v>
      </c>
      <c r="H503">
        <v>62.731999999999999</v>
      </c>
      <c r="I503">
        <v>62.731999999999999</v>
      </c>
      <c r="J503">
        <v>62.774000000000001</v>
      </c>
      <c r="K503">
        <v>62.774000000000001</v>
      </c>
      <c r="L503" s="7"/>
      <c r="N503" s="124">
        <v>44435</v>
      </c>
      <c r="O503" s="2">
        <v>9.2561</v>
      </c>
      <c r="P503" s="2">
        <v>9.2196499999999997</v>
      </c>
      <c r="Q503" s="2">
        <v>9.26</v>
      </c>
      <c r="R503" s="2">
        <v>9.2196499999999997</v>
      </c>
      <c r="S503" s="2">
        <v>9.23</v>
      </c>
      <c r="T503" s="2">
        <v>9.2195499999999999</v>
      </c>
      <c r="U503" s="2">
        <v>9.2196499999999997</v>
      </c>
      <c r="V503" s="2">
        <v>9.2196499999999997</v>
      </c>
      <c r="W503" s="2">
        <v>9.2200000000000006</v>
      </c>
      <c r="X503" s="2">
        <v>9.2195499999999999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2"/>
      <c r="AL503" s="1"/>
      <c r="AM503" s="2"/>
      <c r="AO503" s="124">
        <v>44435</v>
      </c>
      <c r="AP503">
        <v>62.481999999999999</v>
      </c>
      <c r="AQ503">
        <v>62.731999999999999</v>
      </c>
      <c r="AR503">
        <v>62.481999999999999</v>
      </c>
      <c r="AS503">
        <v>62.731999999999999</v>
      </c>
      <c r="AT503">
        <v>62.774000000000001</v>
      </c>
      <c r="AU503">
        <v>62.774000000000001</v>
      </c>
      <c r="AV503">
        <v>62.731999999999999</v>
      </c>
      <c r="AW503">
        <v>62.731999999999999</v>
      </c>
      <c r="AX503">
        <v>62.774000000000001</v>
      </c>
      <c r="AY503">
        <v>62.774000000000001</v>
      </c>
      <c r="AZ503" s="7"/>
      <c r="BB503" s="124">
        <v>44435</v>
      </c>
      <c r="BC503" s="2">
        <v>9.26</v>
      </c>
      <c r="BD503" s="2">
        <v>9.2200000000000006</v>
      </c>
      <c r="BE503" s="2">
        <v>9.26</v>
      </c>
      <c r="BF503" s="2">
        <v>9.2200000000000006</v>
      </c>
      <c r="BG503" s="2">
        <v>9.2200000000000006</v>
      </c>
      <c r="BH503" s="2">
        <v>9.2200000000000006</v>
      </c>
      <c r="BI503" s="2">
        <v>9.2200000000000006</v>
      </c>
      <c r="BJ503" s="2">
        <v>9.2200000000000006</v>
      </c>
      <c r="BK503" s="2">
        <v>9.2200000000000006</v>
      </c>
      <c r="BL503" s="2">
        <v>9.2200000000000006</v>
      </c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2"/>
      <c r="BZ503" s="1"/>
      <c r="CA503" s="2"/>
    </row>
    <row r="504" spans="1:79" x14ac:dyDescent="0.2">
      <c r="A504" s="124">
        <v>44438</v>
      </c>
      <c r="B504">
        <v>63.631</v>
      </c>
      <c r="C504">
        <v>63.881</v>
      </c>
      <c r="D504">
        <v>63.631</v>
      </c>
      <c r="E504">
        <v>63.881</v>
      </c>
      <c r="F504">
        <v>63.924999999999997</v>
      </c>
      <c r="G504">
        <v>63.924999999999997</v>
      </c>
      <c r="H504">
        <v>63.881</v>
      </c>
      <c r="I504">
        <v>63.881</v>
      </c>
      <c r="J504">
        <v>62.84</v>
      </c>
      <c r="K504">
        <v>63.924999999999997</v>
      </c>
      <c r="L504" s="7"/>
      <c r="N504" s="124">
        <v>44438</v>
      </c>
      <c r="O504" s="2">
        <v>9.0877499999999998</v>
      </c>
      <c r="P504" s="2">
        <v>9.0521499999999993</v>
      </c>
      <c r="Q504" s="2">
        <v>9.09</v>
      </c>
      <c r="R504" s="2">
        <v>9.0521499999999993</v>
      </c>
      <c r="S504" s="2">
        <v>9.0500000000000007</v>
      </c>
      <c r="T504" s="2">
        <v>9.0519999999999996</v>
      </c>
      <c r="U504" s="2">
        <v>9.0521499999999993</v>
      </c>
      <c r="V504" s="2">
        <v>9.0521499999999993</v>
      </c>
      <c r="W504" s="2">
        <v>9.2100000000000009</v>
      </c>
      <c r="X504" s="2">
        <v>9.0519999999999996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2"/>
      <c r="AL504" s="1"/>
      <c r="AM504" s="2"/>
      <c r="AO504" s="124">
        <v>44438</v>
      </c>
      <c r="AP504">
        <v>63.631</v>
      </c>
      <c r="AQ504">
        <v>63.881</v>
      </c>
      <c r="AR504">
        <v>63.631</v>
      </c>
      <c r="AS504">
        <v>63.881</v>
      </c>
      <c r="AT504">
        <v>63.923999999999999</v>
      </c>
      <c r="AU504">
        <v>63.923999999999999</v>
      </c>
      <c r="AV504">
        <v>63.881</v>
      </c>
      <c r="AW504">
        <v>63.881</v>
      </c>
      <c r="AX504">
        <v>63.924999999999997</v>
      </c>
      <c r="AY504">
        <v>63.924999999999997</v>
      </c>
      <c r="AZ504" s="7"/>
      <c r="BB504" s="124">
        <v>44438</v>
      </c>
      <c r="BC504" s="2">
        <v>9.09</v>
      </c>
      <c r="BD504" s="2">
        <v>9.0500000000000007</v>
      </c>
      <c r="BE504" s="2">
        <v>9.09</v>
      </c>
      <c r="BF504" s="2">
        <v>9.0500000000000007</v>
      </c>
      <c r="BG504" s="2">
        <v>9.0500000000000007</v>
      </c>
      <c r="BH504" s="2">
        <v>9.0500000000000007</v>
      </c>
      <c r="BI504" s="2">
        <v>9.0500000000000007</v>
      </c>
      <c r="BJ504" s="2">
        <v>9.0500000000000007</v>
      </c>
      <c r="BK504" s="2">
        <v>9.0500000000000007</v>
      </c>
      <c r="BL504" s="2">
        <v>9.0500000000000007</v>
      </c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2"/>
      <c r="BZ504" s="1"/>
      <c r="CA504" s="2"/>
    </row>
    <row r="505" spans="1:79" x14ac:dyDescent="0.2">
      <c r="A505" s="124">
        <v>44439</v>
      </c>
      <c r="B505">
        <v>63.988999999999997</v>
      </c>
      <c r="C505">
        <v>64.239000000000004</v>
      </c>
      <c r="D505">
        <v>63.988999999999997</v>
      </c>
      <c r="E505">
        <v>64.239000000000004</v>
      </c>
      <c r="F505">
        <v>64.284000000000006</v>
      </c>
      <c r="G505">
        <v>64.284000000000006</v>
      </c>
      <c r="H505">
        <v>64.239000000000004</v>
      </c>
      <c r="I505">
        <v>64.239000000000004</v>
      </c>
      <c r="J505">
        <v>64.283000000000001</v>
      </c>
      <c r="K505">
        <v>64.284000000000006</v>
      </c>
      <c r="L505" s="7"/>
      <c r="N505" s="124">
        <v>44439</v>
      </c>
      <c r="O505" s="2">
        <v>9.0382499999999997</v>
      </c>
      <c r="P505" s="2">
        <v>9.0028500000000005</v>
      </c>
      <c r="Q505" s="2">
        <v>9.0399999999999991</v>
      </c>
      <c r="R505" s="2">
        <v>9.0028500000000005</v>
      </c>
      <c r="S505" s="2">
        <v>9</v>
      </c>
      <c r="T505" s="2">
        <v>9.0027500000000007</v>
      </c>
      <c r="U505" s="2">
        <v>9.0028500000000005</v>
      </c>
      <c r="V505" s="2">
        <v>9.0028500000000005</v>
      </c>
      <c r="W505" s="2">
        <v>9</v>
      </c>
      <c r="X505" s="2">
        <v>9.0027500000000007</v>
      </c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2"/>
      <c r="AL505" s="1"/>
      <c r="AM505" s="2"/>
      <c r="AO505" s="124">
        <v>44439</v>
      </c>
      <c r="AP505">
        <v>63.988999999999997</v>
      </c>
      <c r="AQ505">
        <v>64.239000000000004</v>
      </c>
      <c r="AR505">
        <v>63.988999999999997</v>
      </c>
      <c r="AS505">
        <v>64.239000000000004</v>
      </c>
      <c r="AT505">
        <v>64.283000000000001</v>
      </c>
      <c r="AU505">
        <v>64.283000000000001</v>
      </c>
      <c r="AV505">
        <v>64.239000000000004</v>
      </c>
      <c r="AW505">
        <v>64.239000000000004</v>
      </c>
      <c r="AX505">
        <v>64.284000000000006</v>
      </c>
      <c r="AY505">
        <v>64.284000000000006</v>
      </c>
      <c r="AZ505" s="7"/>
      <c r="BB505" s="124">
        <v>44439</v>
      </c>
      <c r="BC505" s="2">
        <v>9.0399999999999991</v>
      </c>
      <c r="BD505" s="2">
        <v>9</v>
      </c>
      <c r="BE505" s="2">
        <v>9.0399999999999991</v>
      </c>
      <c r="BF505" s="2">
        <v>9</v>
      </c>
      <c r="BG505" s="2">
        <v>9</v>
      </c>
      <c r="BH505" s="2">
        <v>9</v>
      </c>
      <c r="BI505" s="2">
        <v>9</v>
      </c>
      <c r="BJ505" s="2">
        <v>9</v>
      </c>
      <c r="BK505" s="2">
        <v>9</v>
      </c>
      <c r="BL505" s="2">
        <v>9</v>
      </c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2"/>
      <c r="BZ505" s="1"/>
      <c r="CA505" s="2"/>
    </row>
    <row r="506" spans="1:79" x14ac:dyDescent="0.2">
      <c r="A506" s="124">
        <v>44440</v>
      </c>
      <c r="B506">
        <v>64.072999999999993</v>
      </c>
      <c r="C506">
        <v>64.322999999999993</v>
      </c>
      <c r="D506">
        <v>64.072000000000003</v>
      </c>
      <c r="E506">
        <v>64.322999999999993</v>
      </c>
      <c r="F506">
        <v>64.369</v>
      </c>
      <c r="G506">
        <v>64.369</v>
      </c>
      <c r="H506">
        <v>64.322999999999993</v>
      </c>
      <c r="I506">
        <v>64.322999999999993</v>
      </c>
      <c r="J506">
        <v>64.367999999999995</v>
      </c>
      <c r="K506">
        <v>64.369</v>
      </c>
      <c r="L506" s="7"/>
      <c r="N506" s="124">
        <v>44440</v>
      </c>
      <c r="O506" s="2">
        <v>9.0282499999999999</v>
      </c>
      <c r="P506" s="2">
        <v>8.9929000000000006</v>
      </c>
      <c r="Q506" s="2">
        <v>9.0299999999999994</v>
      </c>
      <c r="R506" s="2">
        <v>8.9929000000000006</v>
      </c>
      <c r="S506" s="2">
        <v>8.99</v>
      </c>
      <c r="T506" s="2">
        <v>8.9928500000000007</v>
      </c>
      <c r="U506" s="2">
        <v>8.9929000000000006</v>
      </c>
      <c r="V506" s="2">
        <v>8.9929000000000006</v>
      </c>
      <c r="W506" s="2">
        <v>8.99</v>
      </c>
      <c r="X506" s="2">
        <v>8.9928500000000007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2"/>
      <c r="AL506" s="1"/>
      <c r="AM506" s="2"/>
      <c r="AO506" s="124">
        <v>44440</v>
      </c>
      <c r="AP506">
        <v>64.072000000000003</v>
      </c>
      <c r="AQ506">
        <v>64.322000000000003</v>
      </c>
      <c r="AR506">
        <v>64.072000000000003</v>
      </c>
      <c r="AS506">
        <v>64.322999999999993</v>
      </c>
      <c r="AT506">
        <v>64.367999999999995</v>
      </c>
      <c r="AU506">
        <v>64.367999999999995</v>
      </c>
      <c r="AV506">
        <v>64.322000000000003</v>
      </c>
      <c r="AW506">
        <v>64.322000000000003</v>
      </c>
      <c r="AX506">
        <v>64.369</v>
      </c>
      <c r="AY506">
        <v>64.369</v>
      </c>
      <c r="AZ506" s="7"/>
      <c r="BB506" s="124">
        <v>44440</v>
      </c>
      <c r="BC506" s="2">
        <v>9.0299999999999994</v>
      </c>
      <c r="BD506" s="2">
        <v>8.99</v>
      </c>
      <c r="BE506" s="2">
        <v>9.0299999999999994</v>
      </c>
      <c r="BF506" s="2">
        <v>8.99</v>
      </c>
      <c r="BG506" s="2">
        <v>8.99</v>
      </c>
      <c r="BH506" s="2">
        <v>8.99</v>
      </c>
      <c r="BI506" s="2">
        <v>8.99</v>
      </c>
      <c r="BJ506" s="2">
        <v>8.99</v>
      </c>
      <c r="BK506" s="2">
        <v>8.99</v>
      </c>
      <c r="BL506" s="2">
        <v>8.99</v>
      </c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2"/>
      <c r="BZ506" s="1"/>
      <c r="CA506" s="2"/>
    </row>
    <row r="507" spans="1:79" x14ac:dyDescent="0.2">
      <c r="A507" s="124">
        <v>44441</v>
      </c>
      <c r="B507">
        <v>63.308</v>
      </c>
      <c r="C507">
        <v>63.558</v>
      </c>
      <c r="D507">
        <v>63.308</v>
      </c>
      <c r="E507">
        <v>63.558</v>
      </c>
      <c r="F507">
        <v>63.61</v>
      </c>
      <c r="G507">
        <v>63.61</v>
      </c>
      <c r="H507">
        <v>63.558</v>
      </c>
      <c r="I507">
        <v>63.558</v>
      </c>
      <c r="J507">
        <v>63.609000000000002</v>
      </c>
      <c r="K507">
        <v>63.61</v>
      </c>
      <c r="L507" s="7"/>
      <c r="N507" s="124">
        <v>44441</v>
      </c>
      <c r="O507" s="2">
        <v>9.1471999999999998</v>
      </c>
      <c r="P507" s="2">
        <v>9.1112500000000001</v>
      </c>
      <c r="Q507" s="2">
        <v>9.15</v>
      </c>
      <c r="R507" s="2">
        <v>9.1112500000000001</v>
      </c>
      <c r="S507" s="2">
        <v>9.11</v>
      </c>
      <c r="T507" s="2">
        <v>9.1111500000000003</v>
      </c>
      <c r="U507" s="2">
        <v>9.1112500000000001</v>
      </c>
      <c r="V507" s="2">
        <v>9.1112500000000001</v>
      </c>
      <c r="W507" s="2">
        <v>9.11</v>
      </c>
      <c r="X507" s="2">
        <v>9.1111500000000003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2"/>
      <c r="AL507" s="1"/>
      <c r="AM507" s="2"/>
      <c r="AO507" s="124">
        <v>44441</v>
      </c>
      <c r="AP507">
        <v>63.308</v>
      </c>
      <c r="AQ507">
        <v>63.558</v>
      </c>
      <c r="AR507">
        <v>63.308</v>
      </c>
      <c r="AS507">
        <v>63.558</v>
      </c>
      <c r="AT507">
        <v>63.609000000000002</v>
      </c>
      <c r="AU507">
        <v>63.609000000000002</v>
      </c>
      <c r="AV507">
        <v>63.558</v>
      </c>
      <c r="AW507">
        <v>63.558</v>
      </c>
      <c r="AX507">
        <v>63.61</v>
      </c>
      <c r="AY507">
        <v>63.61</v>
      </c>
      <c r="AZ507" s="7"/>
      <c r="BB507" s="124">
        <v>44441</v>
      </c>
      <c r="BC507" s="2">
        <v>9.15</v>
      </c>
      <c r="BD507" s="2">
        <v>9.11</v>
      </c>
      <c r="BE507" s="2">
        <v>9.15</v>
      </c>
      <c r="BF507" s="2">
        <v>9.11</v>
      </c>
      <c r="BG507" s="2">
        <v>9.11</v>
      </c>
      <c r="BH507" s="2">
        <v>9.11</v>
      </c>
      <c r="BI507" s="2">
        <v>9.11</v>
      </c>
      <c r="BJ507" s="2">
        <v>9.11</v>
      </c>
      <c r="BK507" s="2">
        <v>9.11</v>
      </c>
      <c r="BL507" s="2">
        <v>9.11</v>
      </c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2"/>
      <c r="BZ507" s="1"/>
      <c r="CA507" s="2"/>
    </row>
    <row r="508" spans="1:79" x14ac:dyDescent="0.2">
      <c r="A508" s="124">
        <v>44442</v>
      </c>
      <c r="B508">
        <v>63.323</v>
      </c>
      <c r="C508">
        <v>63.573</v>
      </c>
      <c r="D508">
        <v>63.322000000000003</v>
      </c>
      <c r="E508">
        <v>63.573</v>
      </c>
      <c r="F508">
        <v>63.625999999999998</v>
      </c>
      <c r="G508">
        <v>63.625999999999998</v>
      </c>
      <c r="H508">
        <v>63.573</v>
      </c>
      <c r="I508">
        <v>63.573</v>
      </c>
      <c r="J508">
        <v>63.625</v>
      </c>
      <c r="K508">
        <v>63.625999999999998</v>
      </c>
      <c r="L508" s="7"/>
      <c r="N508" s="124">
        <v>44442</v>
      </c>
      <c r="O508" s="2">
        <v>9.1471</v>
      </c>
      <c r="P508" s="2">
        <v>9.1111500000000003</v>
      </c>
      <c r="Q508" s="2">
        <v>9.15</v>
      </c>
      <c r="R508" s="2">
        <v>9.1111500000000003</v>
      </c>
      <c r="S508" s="2">
        <v>9.11</v>
      </c>
      <c r="T508" s="2">
        <v>9.1111000000000004</v>
      </c>
      <c r="U508" s="2">
        <v>9.1111500000000003</v>
      </c>
      <c r="V508" s="2">
        <v>9.1111500000000003</v>
      </c>
      <c r="W508" s="2">
        <v>9.11</v>
      </c>
      <c r="X508" s="2">
        <v>9.1111000000000004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2"/>
      <c r="AL508" s="1"/>
      <c r="AM508" s="2"/>
      <c r="AO508" s="124">
        <v>44442</v>
      </c>
      <c r="AP508">
        <v>63.322000000000003</v>
      </c>
      <c r="AQ508">
        <v>63.572000000000003</v>
      </c>
      <c r="AR508">
        <v>63.322000000000003</v>
      </c>
      <c r="AS508">
        <v>63.573</v>
      </c>
      <c r="AT508">
        <v>63.625</v>
      </c>
      <c r="AU508">
        <v>63.625</v>
      </c>
      <c r="AV508">
        <v>63.572000000000003</v>
      </c>
      <c r="AW508">
        <v>63.572000000000003</v>
      </c>
      <c r="AX508">
        <v>63.625999999999998</v>
      </c>
      <c r="AY508">
        <v>63.625999999999998</v>
      </c>
      <c r="AZ508" s="7"/>
      <c r="BB508" s="124">
        <v>44442</v>
      </c>
      <c r="BC508" s="2">
        <v>9.15</v>
      </c>
      <c r="BD508" s="2">
        <v>9.11</v>
      </c>
      <c r="BE508" s="2">
        <v>9.15</v>
      </c>
      <c r="BF508" s="2">
        <v>9.11</v>
      </c>
      <c r="BG508" s="2">
        <v>9.11</v>
      </c>
      <c r="BH508" s="2">
        <v>9.11</v>
      </c>
      <c r="BI508" s="2">
        <v>9.11</v>
      </c>
      <c r="BJ508" s="2">
        <v>9.11</v>
      </c>
      <c r="BK508" s="2">
        <v>9.11</v>
      </c>
      <c r="BL508" s="2">
        <v>9.11</v>
      </c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2"/>
      <c r="BZ508" s="1"/>
      <c r="CA508" s="2"/>
    </row>
    <row r="509" spans="1:79" x14ac:dyDescent="0.2">
      <c r="A509" s="124">
        <v>44445</v>
      </c>
      <c r="B509">
        <v>63.753</v>
      </c>
      <c r="C509">
        <v>64.003</v>
      </c>
      <c r="D509">
        <v>63.752000000000002</v>
      </c>
      <c r="E509">
        <v>64.003</v>
      </c>
      <c r="F509">
        <v>64.055000000000007</v>
      </c>
      <c r="G509">
        <v>64.055000000000007</v>
      </c>
      <c r="H509">
        <v>64.003</v>
      </c>
      <c r="I509">
        <v>64.003</v>
      </c>
      <c r="J509">
        <v>63.625</v>
      </c>
      <c r="K509">
        <v>64.055000000000007</v>
      </c>
      <c r="L509" s="7"/>
      <c r="N509" s="124">
        <v>44445</v>
      </c>
      <c r="O509" s="2">
        <v>9.0846499999999999</v>
      </c>
      <c r="P509" s="2">
        <v>9.0489999999999995</v>
      </c>
      <c r="Q509" s="2">
        <v>9.08</v>
      </c>
      <c r="R509" s="2">
        <v>9.0489999999999995</v>
      </c>
      <c r="S509" s="2">
        <v>9.0500000000000007</v>
      </c>
      <c r="T509" s="2">
        <v>9.0490999999999993</v>
      </c>
      <c r="U509" s="2">
        <v>9.0489999999999995</v>
      </c>
      <c r="V509" s="2">
        <v>9.0489999999999995</v>
      </c>
      <c r="W509" s="2">
        <v>9.11</v>
      </c>
      <c r="X509" s="2">
        <v>9.0490999999999993</v>
      </c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2"/>
      <c r="AL509" s="1"/>
      <c r="AM509" s="2"/>
      <c r="AO509" s="124">
        <v>44445</v>
      </c>
      <c r="AP509">
        <v>63.752000000000002</v>
      </c>
      <c r="AQ509">
        <v>64.001999999999995</v>
      </c>
      <c r="AR509">
        <v>63.752000000000002</v>
      </c>
      <c r="AS509">
        <v>64.003</v>
      </c>
      <c r="AT509">
        <v>64.055000000000007</v>
      </c>
      <c r="AU509">
        <v>64.055000000000007</v>
      </c>
      <c r="AV509">
        <v>64.001999999999995</v>
      </c>
      <c r="AW509">
        <v>64.001999999999995</v>
      </c>
      <c r="AX509">
        <v>64.055000000000007</v>
      </c>
      <c r="AY509">
        <v>64.055000000000007</v>
      </c>
      <c r="AZ509" s="7"/>
      <c r="BB509" s="124">
        <v>44445</v>
      </c>
      <c r="BC509" s="2">
        <v>9.08</v>
      </c>
      <c r="BD509" s="2">
        <v>9.0500000000000007</v>
      </c>
      <c r="BE509" s="2">
        <v>9.08</v>
      </c>
      <c r="BF509" s="2">
        <v>9.0500000000000007</v>
      </c>
      <c r="BG509" s="2">
        <v>9.0500000000000007</v>
      </c>
      <c r="BH509" s="2">
        <v>9.0500000000000007</v>
      </c>
      <c r="BI509" s="2">
        <v>9.0500000000000007</v>
      </c>
      <c r="BJ509" s="2">
        <v>9.0500000000000007</v>
      </c>
      <c r="BK509" s="2">
        <v>9.0500000000000007</v>
      </c>
      <c r="BL509" s="2">
        <v>9.0500000000000007</v>
      </c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2"/>
      <c r="BZ509" s="1"/>
      <c r="CA509" s="2"/>
    </row>
    <row r="510" spans="1:79" x14ac:dyDescent="0.2">
      <c r="A510" s="124">
        <v>44446</v>
      </c>
      <c r="B510">
        <v>62.462000000000003</v>
      </c>
      <c r="C510">
        <v>62.712000000000003</v>
      </c>
      <c r="D510">
        <v>62.462000000000003</v>
      </c>
      <c r="E510">
        <v>62.712000000000003</v>
      </c>
      <c r="F510">
        <v>62.765999999999998</v>
      </c>
      <c r="G510">
        <v>62.765999999999998</v>
      </c>
      <c r="H510">
        <v>62.712000000000003</v>
      </c>
      <c r="I510">
        <v>62.712000000000003</v>
      </c>
      <c r="J510">
        <v>62.765999999999998</v>
      </c>
      <c r="K510">
        <v>62.765999999999998</v>
      </c>
      <c r="L510" s="7"/>
      <c r="N510" s="124">
        <v>44446</v>
      </c>
      <c r="O510" s="2">
        <v>9.2758000000000003</v>
      </c>
      <c r="P510" s="2">
        <v>9.2393000000000001</v>
      </c>
      <c r="Q510" s="2">
        <v>9.2799999999999994</v>
      </c>
      <c r="R510" s="2">
        <v>9.2393000000000001</v>
      </c>
      <c r="S510" s="2">
        <v>9.24</v>
      </c>
      <c r="T510" s="2">
        <v>9.2393000000000001</v>
      </c>
      <c r="U510" s="2">
        <v>9.2393000000000001</v>
      </c>
      <c r="V510" s="2">
        <v>9.2393000000000001</v>
      </c>
      <c r="W510" s="2">
        <v>9.24</v>
      </c>
      <c r="X510" s="2">
        <v>9.2393000000000001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2"/>
      <c r="AL510" s="1"/>
      <c r="AM510" s="2"/>
      <c r="AO510" s="124">
        <v>44446</v>
      </c>
      <c r="AP510">
        <v>62.462000000000003</v>
      </c>
      <c r="AQ510">
        <v>62.712000000000003</v>
      </c>
      <c r="AR510">
        <v>62.462000000000003</v>
      </c>
      <c r="AS510">
        <v>62.712000000000003</v>
      </c>
      <c r="AT510">
        <v>62.765999999999998</v>
      </c>
      <c r="AU510">
        <v>62.765999999999998</v>
      </c>
      <c r="AV510">
        <v>62.712000000000003</v>
      </c>
      <c r="AW510">
        <v>62.712000000000003</v>
      </c>
      <c r="AX510">
        <v>62.765999999999998</v>
      </c>
      <c r="AY510">
        <v>62.765999999999998</v>
      </c>
      <c r="AZ510" s="7"/>
      <c r="BB510" s="124">
        <v>44446</v>
      </c>
      <c r="BC510" s="2">
        <v>9.2799999999999994</v>
      </c>
      <c r="BD510" s="2">
        <v>9.24</v>
      </c>
      <c r="BE510" s="2">
        <v>9.2799999999999994</v>
      </c>
      <c r="BF510" s="2">
        <v>9.24</v>
      </c>
      <c r="BG510" s="2">
        <v>9.24</v>
      </c>
      <c r="BH510" s="2">
        <v>9.24</v>
      </c>
      <c r="BI510" s="2">
        <v>9.24</v>
      </c>
      <c r="BJ510" s="2">
        <v>9.24</v>
      </c>
      <c r="BK510" s="2">
        <v>9.24</v>
      </c>
      <c r="BL510" s="2">
        <v>9.24</v>
      </c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2"/>
      <c r="BZ510" s="1"/>
      <c r="CA510" s="2"/>
    </row>
    <row r="511" spans="1:79" x14ac:dyDescent="0.2">
      <c r="A511" s="124">
        <v>44447</v>
      </c>
      <c r="B511">
        <v>63.624000000000002</v>
      </c>
      <c r="C511">
        <v>63.874000000000002</v>
      </c>
      <c r="D511">
        <v>63.622999999999998</v>
      </c>
      <c r="E511">
        <v>63.874000000000002</v>
      </c>
      <c r="F511">
        <v>63.93</v>
      </c>
      <c r="G511">
        <v>63.93</v>
      </c>
      <c r="H511">
        <v>63.874000000000002</v>
      </c>
      <c r="I511">
        <v>63.874000000000002</v>
      </c>
      <c r="J511">
        <v>63.929000000000002</v>
      </c>
      <c r="K511">
        <v>63.93</v>
      </c>
      <c r="L511" s="7"/>
      <c r="N511" s="124">
        <v>44447</v>
      </c>
      <c r="O511" s="2">
        <v>9.1074999999999999</v>
      </c>
      <c r="P511" s="2">
        <v>9.0717499999999998</v>
      </c>
      <c r="Q511" s="2">
        <v>9.11</v>
      </c>
      <c r="R511" s="2">
        <v>9.0717499999999998</v>
      </c>
      <c r="S511" s="2">
        <v>9.07</v>
      </c>
      <c r="T511" s="2">
        <v>9.0716999999999999</v>
      </c>
      <c r="U511" s="2">
        <v>9.0717499999999998</v>
      </c>
      <c r="V511" s="2">
        <v>9.0717499999999998</v>
      </c>
      <c r="W511" s="2">
        <v>9.07</v>
      </c>
      <c r="X511" s="2">
        <v>9.0716999999999999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2"/>
      <c r="AL511" s="1"/>
      <c r="AM511" s="2"/>
      <c r="AO511" s="124">
        <v>44447</v>
      </c>
      <c r="AP511">
        <v>63.622999999999998</v>
      </c>
      <c r="AQ511">
        <v>63.872999999999998</v>
      </c>
      <c r="AR511">
        <v>63.622999999999998</v>
      </c>
      <c r="AS511">
        <v>63.874000000000002</v>
      </c>
      <c r="AT511">
        <v>63.929000000000002</v>
      </c>
      <c r="AU511">
        <v>63.929000000000002</v>
      </c>
      <c r="AV511">
        <v>63.872999999999998</v>
      </c>
      <c r="AW511">
        <v>63.872999999999998</v>
      </c>
      <c r="AX511">
        <v>63.93</v>
      </c>
      <c r="AY511">
        <v>63.93</v>
      </c>
      <c r="AZ511" s="7"/>
      <c r="BB511" s="124">
        <v>44447</v>
      </c>
      <c r="BC511" s="2">
        <v>9.11</v>
      </c>
      <c r="BD511" s="2">
        <v>9.07</v>
      </c>
      <c r="BE511" s="2">
        <v>9.11</v>
      </c>
      <c r="BF511" s="2">
        <v>9.07</v>
      </c>
      <c r="BG511" s="2">
        <v>9.07</v>
      </c>
      <c r="BH511" s="2">
        <v>9.07</v>
      </c>
      <c r="BI511" s="2">
        <v>9.07</v>
      </c>
      <c r="BJ511" s="2">
        <v>9.07</v>
      </c>
      <c r="BK511" s="2">
        <v>9.07</v>
      </c>
      <c r="BL511" s="2">
        <v>9.07</v>
      </c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2"/>
      <c r="BZ511" s="1"/>
      <c r="CA511" s="2"/>
    </row>
    <row r="512" spans="1:79" x14ac:dyDescent="0.2">
      <c r="A512" s="124">
        <v>44448</v>
      </c>
      <c r="B512">
        <v>62.518999999999998</v>
      </c>
      <c r="C512">
        <v>62.768999999999998</v>
      </c>
      <c r="D512">
        <v>62.518999999999998</v>
      </c>
      <c r="E512">
        <v>62.768999999999998</v>
      </c>
      <c r="F512">
        <v>62.829000000000001</v>
      </c>
      <c r="G512">
        <v>62.829000000000001</v>
      </c>
      <c r="H512">
        <v>62.768999999999998</v>
      </c>
      <c r="I512">
        <v>62.768999999999998</v>
      </c>
      <c r="J512">
        <v>62.829000000000001</v>
      </c>
      <c r="K512">
        <v>62.829000000000001</v>
      </c>
      <c r="L512" s="7"/>
      <c r="N512" s="124">
        <v>44448</v>
      </c>
      <c r="O512" s="2">
        <v>9.2759</v>
      </c>
      <c r="P512" s="2">
        <v>9.23935</v>
      </c>
      <c r="Q512" s="2">
        <v>9.2799999999999994</v>
      </c>
      <c r="R512" s="2">
        <v>9.23935</v>
      </c>
      <c r="S512" s="2">
        <v>9.24</v>
      </c>
      <c r="T512" s="2">
        <v>9.2393000000000001</v>
      </c>
      <c r="U512" s="2">
        <v>9.23935</v>
      </c>
      <c r="V512" s="2">
        <v>9.23935</v>
      </c>
      <c r="W512" s="2">
        <v>9.24</v>
      </c>
      <c r="X512" s="2">
        <v>9.2393000000000001</v>
      </c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2"/>
      <c r="AL512" s="1"/>
      <c r="AM512" s="2"/>
      <c r="AO512" s="124">
        <v>44448</v>
      </c>
      <c r="AP512">
        <v>62.518999999999998</v>
      </c>
      <c r="AQ512">
        <v>62.768999999999998</v>
      </c>
      <c r="AR512">
        <v>62.518999999999998</v>
      </c>
      <c r="AS512">
        <v>62.768999999999998</v>
      </c>
      <c r="AT512">
        <v>62.829000000000001</v>
      </c>
      <c r="AU512">
        <v>62.829000000000001</v>
      </c>
      <c r="AV512">
        <v>62.768999999999998</v>
      </c>
      <c r="AW512">
        <v>62.768999999999998</v>
      </c>
      <c r="AX512">
        <v>62.829000000000001</v>
      </c>
      <c r="AY512">
        <v>62.829000000000001</v>
      </c>
      <c r="AZ512" s="7"/>
      <c r="BB512" s="124">
        <v>44448</v>
      </c>
      <c r="BC512" s="2">
        <v>9.2799999999999994</v>
      </c>
      <c r="BD512" s="2">
        <v>9.24</v>
      </c>
      <c r="BE512" s="2">
        <v>9.2799999999999994</v>
      </c>
      <c r="BF512" s="2">
        <v>9.24</v>
      </c>
      <c r="BG512" s="2">
        <v>9.24</v>
      </c>
      <c r="BH512" s="2">
        <v>9.24</v>
      </c>
      <c r="BI512" s="2">
        <v>9.24</v>
      </c>
      <c r="BJ512" s="2">
        <v>9.24</v>
      </c>
      <c r="BK512" s="2">
        <v>9.24</v>
      </c>
      <c r="BL512" s="2">
        <v>9.24</v>
      </c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2"/>
      <c r="BZ512" s="1"/>
      <c r="CA512" s="2"/>
    </row>
    <row r="513" spans="1:79" x14ac:dyDescent="0.2">
      <c r="A513" s="124">
        <v>44449</v>
      </c>
      <c r="B513">
        <v>63.5</v>
      </c>
      <c r="C513">
        <v>63.75</v>
      </c>
      <c r="D513">
        <v>63.5</v>
      </c>
      <c r="E513">
        <v>63.75</v>
      </c>
      <c r="F513">
        <v>63.75</v>
      </c>
      <c r="G513">
        <v>63.75</v>
      </c>
      <c r="H513">
        <v>63.75</v>
      </c>
      <c r="I513">
        <v>63.75</v>
      </c>
      <c r="J513">
        <v>63.75</v>
      </c>
      <c r="K513">
        <v>63.75</v>
      </c>
      <c r="L513" s="7"/>
      <c r="N513" s="124">
        <v>44449</v>
      </c>
      <c r="O513" s="2">
        <v>9.1338500000000007</v>
      </c>
      <c r="P513" s="2">
        <v>9.0980000000000008</v>
      </c>
      <c r="Q513" s="2">
        <v>9.1300000000000008</v>
      </c>
      <c r="R513" s="2">
        <v>9.0980000000000008</v>
      </c>
      <c r="S513" s="2">
        <v>9.11</v>
      </c>
      <c r="T513" s="2">
        <v>9.1068499999999997</v>
      </c>
      <c r="U513" s="2">
        <v>9.0980000000000008</v>
      </c>
      <c r="V513" s="2">
        <v>9.0980000000000008</v>
      </c>
      <c r="W513" s="2">
        <v>9.11</v>
      </c>
      <c r="X513" s="2">
        <v>9.1068499999999997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2"/>
      <c r="AL513" s="1"/>
      <c r="AM513" s="2"/>
      <c r="AO513" s="124">
        <v>44449</v>
      </c>
      <c r="AP513">
        <v>63.5</v>
      </c>
      <c r="AQ513">
        <v>63.75</v>
      </c>
      <c r="AR513">
        <v>63.5</v>
      </c>
      <c r="AS513">
        <v>63.75</v>
      </c>
      <c r="AT513">
        <v>63.75</v>
      </c>
      <c r="AU513">
        <v>63.75</v>
      </c>
      <c r="AV513">
        <v>63.75</v>
      </c>
      <c r="AW513">
        <v>63.75</v>
      </c>
      <c r="AX513">
        <v>63.75</v>
      </c>
      <c r="AY513">
        <v>63.75</v>
      </c>
      <c r="AZ513" s="7"/>
      <c r="BB513" s="124">
        <v>44449</v>
      </c>
      <c r="BC513" s="2">
        <v>9.1300000000000008</v>
      </c>
      <c r="BD513" s="2">
        <v>9.1</v>
      </c>
      <c r="BE513" s="2">
        <v>9.1300000000000008</v>
      </c>
      <c r="BF513" s="2">
        <v>9.1</v>
      </c>
      <c r="BG513" s="2">
        <v>9.11</v>
      </c>
      <c r="BH513" s="2">
        <v>9.11</v>
      </c>
      <c r="BI513" s="2">
        <v>9.1</v>
      </c>
      <c r="BJ513" s="2">
        <v>9.1</v>
      </c>
      <c r="BK513" s="2">
        <v>9.11</v>
      </c>
      <c r="BL513" s="2">
        <v>9.11</v>
      </c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2"/>
      <c r="BZ513" s="1"/>
      <c r="CA513" s="2"/>
    </row>
    <row r="514" spans="1:79" x14ac:dyDescent="0.2">
      <c r="A514" s="124">
        <v>44452</v>
      </c>
      <c r="B514">
        <v>63.125</v>
      </c>
      <c r="C514">
        <v>63.375</v>
      </c>
      <c r="D514">
        <v>63.125</v>
      </c>
      <c r="E514">
        <v>63.375</v>
      </c>
      <c r="F514">
        <v>63.375</v>
      </c>
      <c r="G514">
        <v>63.375</v>
      </c>
      <c r="H514">
        <v>63.375</v>
      </c>
      <c r="I514">
        <v>63.375</v>
      </c>
      <c r="J514">
        <v>63.375</v>
      </c>
      <c r="K514">
        <v>63.375</v>
      </c>
      <c r="L514" s="7"/>
      <c r="N514" s="124">
        <v>44452</v>
      </c>
      <c r="O514" s="2">
        <v>9.1907499999999995</v>
      </c>
      <c r="P514" s="2">
        <v>9.1546500000000002</v>
      </c>
      <c r="Q514" s="2">
        <v>9.19</v>
      </c>
      <c r="R514" s="2">
        <v>9.1546500000000002</v>
      </c>
      <c r="S514" s="2">
        <v>9.16</v>
      </c>
      <c r="T514" s="2">
        <v>9.1637000000000004</v>
      </c>
      <c r="U514" s="2">
        <v>9.1546500000000002</v>
      </c>
      <c r="V514" s="2">
        <v>9.1546500000000002</v>
      </c>
      <c r="W514" s="2">
        <v>9.16</v>
      </c>
      <c r="X514" s="2">
        <v>9.1637000000000004</v>
      </c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2"/>
      <c r="AL514" s="1"/>
      <c r="AM514" s="2"/>
      <c r="AO514" s="124">
        <v>44452</v>
      </c>
      <c r="AP514">
        <v>63.125</v>
      </c>
      <c r="AQ514">
        <v>63.375</v>
      </c>
      <c r="AR514">
        <v>63.125</v>
      </c>
      <c r="AS514">
        <v>63.375</v>
      </c>
      <c r="AT514">
        <v>63.375</v>
      </c>
      <c r="AU514">
        <v>63.375</v>
      </c>
      <c r="AV514">
        <v>63.375</v>
      </c>
      <c r="AW514">
        <v>63.375</v>
      </c>
      <c r="AX514">
        <v>63.375</v>
      </c>
      <c r="AY514">
        <v>63.375</v>
      </c>
      <c r="AZ514" s="7"/>
      <c r="BB514" s="124">
        <v>44452</v>
      </c>
      <c r="BC514" s="2">
        <v>9.19</v>
      </c>
      <c r="BD514" s="2">
        <v>9.15</v>
      </c>
      <c r="BE514" s="2">
        <v>9.19</v>
      </c>
      <c r="BF514" s="2">
        <v>9.15</v>
      </c>
      <c r="BG514" s="2">
        <v>9.16</v>
      </c>
      <c r="BH514" s="2">
        <v>9.16</v>
      </c>
      <c r="BI514" s="2">
        <v>9.15</v>
      </c>
      <c r="BJ514" s="2">
        <v>9.15</v>
      </c>
      <c r="BK514" s="2">
        <v>9.16</v>
      </c>
      <c r="BL514" s="2">
        <v>9.16</v>
      </c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2"/>
      <c r="BZ514" s="1"/>
      <c r="CA514" s="2"/>
    </row>
    <row r="515" spans="1:79" x14ac:dyDescent="0.2">
      <c r="A515" s="124">
        <v>44453</v>
      </c>
      <c r="B515">
        <v>62.896999999999998</v>
      </c>
      <c r="C515">
        <v>63.146999999999998</v>
      </c>
      <c r="D515">
        <v>62.896999999999998</v>
      </c>
      <c r="E515">
        <v>63.146999999999998</v>
      </c>
      <c r="F515">
        <v>63.210999999999999</v>
      </c>
      <c r="G515">
        <v>63.210999999999999</v>
      </c>
      <c r="H515">
        <v>63.146999999999998</v>
      </c>
      <c r="I515">
        <v>63.146999999999998</v>
      </c>
      <c r="J515">
        <v>63.210999999999999</v>
      </c>
      <c r="K515">
        <v>63.210999999999999</v>
      </c>
      <c r="L515" s="7"/>
      <c r="N515" s="124">
        <v>44453</v>
      </c>
      <c r="O515" s="2">
        <v>9.2263999999999999</v>
      </c>
      <c r="P515" s="2">
        <v>9.1900999999999993</v>
      </c>
      <c r="Q515" s="2">
        <v>9.23</v>
      </c>
      <c r="R515" s="2">
        <v>9.1900999999999993</v>
      </c>
      <c r="S515" s="2">
        <v>9.19</v>
      </c>
      <c r="T515" s="2">
        <v>9.1900499999999994</v>
      </c>
      <c r="U515" s="2">
        <v>9.1900999999999993</v>
      </c>
      <c r="V515" s="2">
        <v>9.1900999999999993</v>
      </c>
      <c r="W515" s="2">
        <v>9.19</v>
      </c>
      <c r="X515" s="2">
        <v>9.1900499999999994</v>
      </c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2"/>
      <c r="AL515" s="1"/>
      <c r="AM515" s="2"/>
      <c r="AO515" s="124">
        <v>44453</v>
      </c>
      <c r="AP515">
        <v>62.896999999999998</v>
      </c>
      <c r="AQ515">
        <v>63.146999999999998</v>
      </c>
      <c r="AR515">
        <v>62.896999999999998</v>
      </c>
      <c r="AS515">
        <v>63.146999999999998</v>
      </c>
      <c r="AT515">
        <v>63.210999999999999</v>
      </c>
      <c r="AU515">
        <v>63.210999999999999</v>
      </c>
      <c r="AV515">
        <v>63.146999999999998</v>
      </c>
      <c r="AW515">
        <v>63.146999999999998</v>
      </c>
      <c r="AX515">
        <v>63.210999999999999</v>
      </c>
      <c r="AY515">
        <v>63.210999999999999</v>
      </c>
      <c r="AZ515" s="7"/>
      <c r="BB515" s="124">
        <v>44453</v>
      </c>
      <c r="BC515" s="2">
        <v>9.23</v>
      </c>
      <c r="BD515" s="2">
        <v>9.19</v>
      </c>
      <c r="BE515" s="2">
        <v>9.23</v>
      </c>
      <c r="BF515" s="2">
        <v>9.19</v>
      </c>
      <c r="BG515" s="2">
        <v>9.19</v>
      </c>
      <c r="BH515" s="2">
        <v>9.19</v>
      </c>
      <c r="BI515" s="2">
        <v>9.19</v>
      </c>
      <c r="BJ515" s="2">
        <v>9.19</v>
      </c>
      <c r="BK515" s="2">
        <v>9.19</v>
      </c>
      <c r="BL515" s="2">
        <v>9.19</v>
      </c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2"/>
      <c r="BZ515" s="1"/>
      <c r="CA515" s="2"/>
    </row>
    <row r="516" spans="1:79" x14ac:dyDescent="0.2">
      <c r="A516" s="124">
        <v>44454</v>
      </c>
      <c r="B516">
        <v>62.911999999999999</v>
      </c>
      <c r="C516">
        <v>63.161999999999999</v>
      </c>
      <c r="D516">
        <v>62.911000000000001</v>
      </c>
      <c r="E516">
        <v>63.161999999999999</v>
      </c>
      <c r="F516">
        <v>63.226999999999997</v>
      </c>
      <c r="G516">
        <v>63.226999999999997</v>
      </c>
      <c r="H516">
        <v>63.161999999999999</v>
      </c>
      <c r="I516">
        <v>63.161999999999999</v>
      </c>
      <c r="J516">
        <v>63.226999999999997</v>
      </c>
      <c r="K516">
        <v>63.226999999999997</v>
      </c>
      <c r="L516" s="7"/>
      <c r="N516" s="124">
        <v>44454</v>
      </c>
      <c r="O516" s="2">
        <v>9.2263000000000002</v>
      </c>
      <c r="P516" s="2">
        <v>9.19</v>
      </c>
      <c r="Q516" s="2">
        <v>9.23</v>
      </c>
      <c r="R516" s="2">
        <v>9.19</v>
      </c>
      <c r="S516" s="2">
        <v>9.19</v>
      </c>
      <c r="T516" s="2">
        <v>9.19</v>
      </c>
      <c r="U516" s="2">
        <v>9.19</v>
      </c>
      <c r="V516" s="2">
        <v>9.19</v>
      </c>
      <c r="W516" s="2">
        <v>9.19</v>
      </c>
      <c r="X516" s="2">
        <v>9.19</v>
      </c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2"/>
      <c r="AL516" s="1"/>
      <c r="AM516" s="2"/>
      <c r="AO516" s="124">
        <v>44454</v>
      </c>
      <c r="AP516">
        <v>62.911000000000001</v>
      </c>
      <c r="AQ516">
        <v>63.161000000000001</v>
      </c>
      <c r="AR516">
        <v>62.911000000000001</v>
      </c>
      <c r="AS516">
        <v>63.161999999999999</v>
      </c>
      <c r="AT516">
        <v>63.226999999999997</v>
      </c>
      <c r="AU516">
        <v>63.226999999999997</v>
      </c>
      <c r="AV516">
        <v>63.161000000000001</v>
      </c>
      <c r="AW516">
        <v>63.161000000000001</v>
      </c>
      <c r="AX516">
        <v>63.226999999999997</v>
      </c>
      <c r="AY516">
        <v>63.226999999999997</v>
      </c>
      <c r="AZ516" s="7"/>
      <c r="BB516" s="124">
        <v>44454</v>
      </c>
      <c r="BC516" s="2">
        <v>9.23</v>
      </c>
      <c r="BD516" s="2">
        <v>9.19</v>
      </c>
      <c r="BE516" s="2">
        <v>9.23</v>
      </c>
      <c r="BF516" s="2">
        <v>9.19</v>
      </c>
      <c r="BG516" s="2">
        <v>9.19</v>
      </c>
      <c r="BH516" s="2">
        <v>9.19</v>
      </c>
      <c r="BI516" s="2">
        <v>9.19</v>
      </c>
      <c r="BJ516" s="2">
        <v>9.19</v>
      </c>
      <c r="BK516" s="2">
        <v>9.19</v>
      </c>
      <c r="BL516" s="2">
        <v>9.19</v>
      </c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2"/>
      <c r="BZ516" s="1"/>
      <c r="CA516" s="2"/>
    </row>
    <row r="517" spans="1:79" x14ac:dyDescent="0.2">
      <c r="A517" s="124">
        <v>44455</v>
      </c>
      <c r="B517">
        <v>62.753999999999998</v>
      </c>
      <c r="C517">
        <v>63.003999999999998</v>
      </c>
      <c r="D517">
        <v>62.753</v>
      </c>
      <c r="E517">
        <v>63.003999999999998</v>
      </c>
      <c r="F517">
        <v>63.073</v>
      </c>
      <c r="G517">
        <v>63.073</v>
      </c>
      <c r="H517">
        <v>63.003999999999998</v>
      </c>
      <c r="I517">
        <v>63.003999999999998</v>
      </c>
      <c r="J517">
        <v>63.073</v>
      </c>
      <c r="K517">
        <v>63.073</v>
      </c>
      <c r="L517" s="7"/>
      <c r="N517" s="124">
        <v>44455</v>
      </c>
      <c r="O517" s="2">
        <v>9.2560000000000002</v>
      </c>
      <c r="P517" s="2">
        <v>9.2195499999999999</v>
      </c>
      <c r="Q517" s="2">
        <v>9.26</v>
      </c>
      <c r="R517" s="2">
        <v>9.2195499999999999</v>
      </c>
      <c r="S517" s="2">
        <v>9.2200000000000006</v>
      </c>
      <c r="T517" s="2">
        <v>9.2195999999999998</v>
      </c>
      <c r="U517" s="2">
        <v>9.2195499999999999</v>
      </c>
      <c r="V517" s="2">
        <v>9.2195499999999999</v>
      </c>
      <c r="W517" s="2">
        <v>9.2200000000000006</v>
      </c>
      <c r="X517" s="2">
        <v>9.2195999999999998</v>
      </c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2"/>
      <c r="AL517" s="1"/>
      <c r="AM517" s="2"/>
      <c r="AO517" s="124">
        <v>44455</v>
      </c>
      <c r="AP517">
        <v>62.753</v>
      </c>
      <c r="AQ517">
        <v>63.003</v>
      </c>
      <c r="AR517">
        <v>62.753</v>
      </c>
      <c r="AS517">
        <v>63.003999999999998</v>
      </c>
      <c r="AT517">
        <v>63.073</v>
      </c>
      <c r="AU517">
        <v>63.073</v>
      </c>
      <c r="AV517">
        <v>63.003</v>
      </c>
      <c r="AW517">
        <v>63.003</v>
      </c>
      <c r="AX517">
        <v>63.073</v>
      </c>
      <c r="AY517">
        <v>63.073</v>
      </c>
      <c r="AZ517" s="7"/>
      <c r="BB517" s="124">
        <v>44455</v>
      </c>
      <c r="BC517" s="2">
        <v>9.26</v>
      </c>
      <c r="BD517" s="2">
        <v>9.2200000000000006</v>
      </c>
      <c r="BE517" s="2">
        <v>9.26</v>
      </c>
      <c r="BF517" s="2">
        <v>9.2200000000000006</v>
      </c>
      <c r="BG517" s="2">
        <v>9.2200000000000006</v>
      </c>
      <c r="BH517" s="2">
        <v>9.2200000000000006</v>
      </c>
      <c r="BI517" s="2">
        <v>9.2200000000000006</v>
      </c>
      <c r="BJ517" s="2">
        <v>9.2200000000000006</v>
      </c>
      <c r="BK517" s="2">
        <v>9.2200000000000006</v>
      </c>
      <c r="BL517" s="2">
        <v>9.2200000000000006</v>
      </c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2"/>
      <c r="BZ517" s="1"/>
      <c r="CA517" s="2"/>
    </row>
    <row r="518" spans="1:79" x14ac:dyDescent="0.2">
      <c r="A518" s="124">
        <v>44456</v>
      </c>
      <c r="B518">
        <v>62.25</v>
      </c>
      <c r="C518">
        <v>62.5</v>
      </c>
      <c r="D518">
        <v>62.25</v>
      </c>
      <c r="E518">
        <v>62.5</v>
      </c>
      <c r="F518">
        <v>62.5</v>
      </c>
      <c r="G518">
        <v>62.5</v>
      </c>
      <c r="H518">
        <v>62.5</v>
      </c>
      <c r="I518">
        <v>62.5</v>
      </c>
      <c r="J518">
        <v>62.5</v>
      </c>
      <c r="K518">
        <v>62.5</v>
      </c>
      <c r="L518" s="7"/>
      <c r="N518" s="124">
        <v>44456</v>
      </c>
      <c r="O518" s="2">
        <v>9.3331</v>
      </c>
      <c r="P518" s="2">
        <v>9.2963000000000005</v>
      </c>
      <c r="Q518" s="2">
        <v>9.33</v>
      </c>
      <c r="R518" s="2">
        <v>9.2963000000000005</v>
      </c>
      <c r="S518" s="2">
        <v>9.31</v>
      </c>
      <c r="T518" s="2">
        <v>9.3068500000000007</v>
      </c>
      <c r="U518" s="2">
        <v>9.2963000000000005</v>
      </c>
      <c r="V518" s="2">
        <v>9.2963000000000005</v>
      </c>
      <c r="W518" s="2">
        <v>9.31</v>
      </c>
      <c r="X518" s="2">
        <v>9.3068500000000007</v>
      </c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2"/>
      <c r="AL518" s="1"/>
      <c r="AM518" s="2"/>
      <c r="AO518" s="124">
        <v>44456</v>
      </c>
      <c r="AP518">
        <v>62.25</v>
      </c>
      <c r="AQ518">
        <v>62.5</v>
      </c>
      <c r="AR518">
        <v>62.25</v>
      </c>
      <c r="AS518">
        <v>62.5</v>
      </c>
      <c r="AT518">
        <v>62.5</v>
      </c>
      <c r="AU518">
        <v>62.5</v>
      </c>
      <c r="AV518">
        <v>62.5</v>
      </c>
      <c r="AW518">
        <v>62.5</v>
      </c>
      <c r="AX518">
        <v>62.5</v>
      </c>
      <c r="AY518">
        <v>62.5</v>
      </c>
      <c r="AZ518" s="7"/>
      <c r="BB518" s="124">
        <v>44456</v>
      </c>
      <c r="BC518" s="2">
        <v>9.33</v>
      </c>
      <c r="BD518" s="2">
        <v>9.3000000000000007</v>
      </c>
      <c r="BE518" s="2">
        <v>9.33</v>
      </c>
      <c r="BF518" s="2">
        <v>9.3000000000000007</v>
      </c>
      <c r="BG518" s="2">
        <v>9.31</v>
      </c>
      <c r="BH518" s="2">
        <v>9.31</v>
      </c>
      <c r="BI518" s="2">
        <v>9.3000000000000007</v>
      </c>
      <c r="BJ518" s="2">
        <v>9.3000000000000007</v>
      </c>
      <c r="BK518" s="2">
        <v>9.31</v>
      </c>
      <c r="BL518" s="2">
        <v>9.31</v>
      </c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2"/>
      <c r="BZ518" s="1"/>
      <c r="CA518" s="2"/>
    </row>
    <row r="519" spans="1:79" x14ac:dyDescent="0.2">
      <c r="A519" s="124">
        <v>44459</v>
      </c>
      <c r="B519">
        <v>61.378</v>
      </c>
      <c r="C519">
        <v>61.628</v>
      </c>
      <c r="D519">
        <v>61.377000000000002</v>
      </c>
      <c r="E519">
        <v>61.628</v>
      </c>
      <c r="F519">
        <v>61.7</v>
      </c>
      <c r="G519">
        <v>61.7</v>
      </c>
      <c r="H519">
        <v>61.628</v>
      </c>
      <c r="I519">
        <v>61.628</v>
      </c>
      <c r="J519">
        <v>61.698999999999998</v>
      </c>
      <c r="K519">
        <v>61.7</v>
      </c>
      <c r="L519" s="7"/>
      <c r="N519" s="124">
        <v>44459</v>
      </c>
      <c r="O519" s="2">
        <v>9.4667999999999992</v>
      </c>
      <c r="P519" s="2">
        <v>9.4293499999999995</v>
      </c>
      <c r="Q519" s="2">
        <v>9.4700000000000006</v>
      </c>
      <c r="R519" s="2">
        <v>9.4293499999999995</v>
      </c>
      <c r="S519" s="2">
        <v>9.43</v>
      </c>
      <c r="T519" s="2">
        <v>9.4293999999999993</v>
      </c>
      <c r="U519" s="2">
        <v>9.4293499999999995</v>
      </c>
      <c r="V519" s="2">
        <v>9.4293499999999995</v>
      </c>
      <c r="W519" s="2">
        <v>9.43</v>
      </c>
      <c r="X519" s="2">
        <v>9.4293999999999993</v>
      </c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2"/>
      <c r="AL519" s="1"/>
      <c r="AM519" s="2"/>
      <c r="AO519" s="124">
        <v>44459</v>
      </c>
      <c r="AP519">
        <v>61.377000000000002</v>
      </c>
      <c r="AQ519">
        <v>61.627000000000002</v>
      </c>
      <c r="AR519">
        <v>61.377000000000002</v>
      </c>
      <c r="AS519">
        <v>61.628</v>
      </c>
      <c r="AT519">
        <v>61.698999999999998</v>
      </c>
      <c r="AU519">
        <v>61.698999999999998</v>
      </c>
      <c r="AV519">
        <v>61.627000000000002</v>
      </c>
      <c r="AW519">
        <v>61.627000000000002</v>
      </c>
      <c r="AX519">
        <v>61.7</v>
      </c>
      <c r="AY519">
        <v>61.7</v>
      </c>
      <c r="AZ519" s="7"/>
      <c r="BB519" s="124">
        <v>44459</v>
      </c>
      <c r="BC519" s="2">
        <v>9.4700000000000006</v>
      </c>
      <c r="BD519" s="2">
        <v>9.43</v>
      </c>
      <c r="BE519" s="2">
        <v>9.4700000000000006</v>
      </c>
      <c r="BF519" s="2">
        <v>9.43</v>
      </c>
      <c r="BG519" s="2">
        <v>9.43</v>
      </c>
      <c r="BH519" s="2">
        <v>9.43</v>
      </c>
      <c r="BI519" s="2">
        <v>9.43</v>
      </c>
      <c r="BJ519" s="2">
        <v>9.43</v>
      </c>
      <c r="BK519" s="2">
        <v>9.43</v>
      </c>
      <c r="BL519" s="2">
        <v>9.43</v>
      </c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2"/>
      <c r="BZ519" s="1"/>
      <c r="CA519" s="2"/>
    </row>
    <row r="520" spans="1:79" x14ac:dyDescent="0.2">
      <c r="A520" s="124">
        <v>44460</v>
      </c>
      <c r="B520">
        <v>61.606999999999999</v>
      </c>
      <c r="C520">
        <v>61.856999999999999</v>
      </c>
      <c r="D520">
        <v>61.606999999999999</v>
      </c>
      <c r="E520">
        <v>61.856999999999999</v>
      </c>
      <c r="F520">
        <v>61.930999999999997</v>
      </c>
      <c r="G520">
        <v>61.930999999999997</v>
      </c>
      <c r="H520">
        <v>61.856999999999999</v>
      </c>
      <c r="I520">
        <v>61.856999999999999</v>
      </c>
      <c r="J520">
        <v>61.93</v>
      </c>
      <c r="K520">
        <v>61.930999999999997</v>
      </c>
      <c r="L520" s="7"/>
      <c r="N520" s="124">
        <v>44460</v>
      </c>
      <c r="O520" s="2">
        <v>9.4342500000000005</v>
      </c>
      <c r="P520" s="2">
        <v>9.3969000000000005</v>
      </c>
      <c r="Q520" s="2">
        <v>9.43</v>
      </c>
      <c r="R520" s="2">
        <v>9.3969000000000005</v>
      </c>
      <c r="S520" s="2">
        <v>9.4</v>
      </c>
      <c r="T520" s="2">
        <v>9.3969000000000005</v>
      </c>
      <c r="U520" s="2">
        <v>9.3969000000000005</v>
      </c>
      <c r="V520" s="2">
        <v>9.3969000000000005</v>
      </c>
      <c r="W520" s="2">
        <v>9.4</v>
      </c>
      <c r="X520" s="2">
        <v>9.3969000000000005</v>
      </c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2"/>
      <c r="AL520" s="1"/>
      <c r="AM520" s="2"/>
      <c r="AO520" s="124">
        <v>44460</v>
      </c>
      <c r="AP520">
        <v>61.606999999999999</v>
      </c>
      <c r="AQ520">
        <v>61.856999999999999</v>
      </c>
      <c r="AR520">
        <v>61.606999999999999</v>
      </c>
      <c r="AS520">
        <v>61.856999999999999</v>
      </c>
      <c r="AT520">
        <v>61.93</v>
      </c>
      <c r="AU520">
        <v>61.93</v>
      </c>
      <c r="AV520">
        <v>61.856999999999999</v>
      </c>
      <c r="AW520">
        <v>61.856999999999999</v>
      </c>
      <c r="AX520">
        <v>61.930999999999997</v>
      </c>
      <c r="AY520">
        <v>61.930999999999997</v>
      </c>
      <c r="AZ520" s="7"/>
      <c r="BB520" s="124">
        <v>44460</v>
      </c>
      <c r="BC520" s="2">
        <v>9.43</v>
      </c>
      <c r="BD520" s="2">
        <v>9.4</v>
      </c>
      <c r="BE520" s="2">
        <v>9.43</v>
      </c>
      <c r="BF520" s="2">
        <v>9.4</v>
      </c>
      <c r="BG520" s="2">
        <v>9.4</v>
      </c>
      <c r="BH520" s="2">
        <v>9.4</v>
      </c>
      <c r="BI520" s="2">
        <v>9.4</v>
      </c>
      <c r="BJ520" s="2">
        <v>9.4</v>
      </c>
      <c r="BK520" s="2">
        <v>9.4</v>
      </c>
      <c r="BL520" s="2">
        <v>9.4</v>
      </c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2"/>
      <c r="BZ520" s="1"/>
      <c r="CA520" s="2"/>
    </row>
    <row r="521" spans="1:79" x14ac:dyDescent="0.2">
      <c r="A521" s="124">
        <v>44461</v>
      </c>
      <c r="B521">
        <v>61.036999999999999</v>
      </c>
      <c r="C521">
        <v>61.286999999999999</v>
      </c>
      <c r="D521">
        <v>61.036999999999999</v>
      </c>
      <c r="E521">
        <v>61.286999999999999</v>
      </c>
      <c r="F521">
        <v>61.362000000000002</v>
      </c>
      <c r="G521">
        <v>61.362000000000002</v>
      </c>
      <c r="H521">
        <v>61.286999999999999</v>
      </c>
      <c r="I521">
        <v>61.286999999999999</v>
      </c>
      <c r="J521">
        <v>61.362000000000002</v>
      </c>
      <c r="K521">
        <v>61.362000000000002</v>
      </c>
      <c r="L521" s="7"/>
      <c r="N521" s="124">
        <v>44461</v>
      </c>
      <c r="O521" s="2">
        <v>9.5233000000000008</v>
      </c>
      <c r="P521" s="2">
        <v>9.4855499999999999</v>
      </c>
      <c r="Q521" s="2">
        <v>9.52</v>
      </c>
      <c r="R521" s="2">
        <v>9.4855499999999999</v>
      </c>
      <c r="S521" s="2">
        <v>9.48</v>
      </c>
      <c r="T521" s="2">
        <v>9.4855499999999999</v>
      </c>
      <c r="U521" s="2">
        <v>9.4855499999999999</v>
      </c>
      <c r="V521" s="2">
        <v>9.4855499999999999</v>
      </c>
      <c r="W521" s="2">
        <v>9.48</v>
      </c>
      <c r="X521" s="2">
        <v>9.4855499999999999</v>
      </c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2"/>
      <c r="AL521" s="1"/>
      <c r="AM521" s="2"/>
      <c r="AO521" s="124">
        <v>44461</v>
      </c>
      <c r="AP521">
        <v>61.036999999999999</v>
      </c>
      <c r="AQ521">
        <v>61.286999999999999</v>
      </c>
      <c r="AR521">
        <v>61.036999999999999</v>
      </c>
      <c r="AS521">
        <v>61.286999999999999</v>
      </c>
      <c r="AT521">
        <v>61.362000000000002</v>
      </c>
      <c r="AU521">
        <v>61.362000000000002</v>
      </c>
      <c r="AV521">
        <v>61.286999999999999</v>
      </c>
      <c r="AW521">
        <v>61.286999999999999</v>
      </c>
      <c r="AX521">
        <v>61.362000000000002</v>
      </c>
      <c r="AY521">
        <v>61.362000000000002</v>
      </c>
      <c r="AZ521" s="7"/>
      <c r="BB521" s="124">
        <v>44461</v>
      </c>
      <c r="BC521" s="2">
        <v>9.52</v>
      </c>
      <c r="BD521" s="2">
        <v>9.48</v>
      </c>
      <c r="BE521" s="2">
        <v>9.52</v>
      </c>
      <c r="BF521" s="2">
        <v>9.48</v>
      </c>
      <c r="BG521" s="2">
        <v>9.48</v>
      </c>
      <c r="BH521" s="2">
        <v>9.48</v>
      </c>
      <c r="BI521" s="2">
        <v>9.48</v>
      </c>
      <c r="BJ521" s="2">
        <v>9.48</v>
      </c>
      <c r="BK521" s="2">
        <v>9.48</v>
      </c>
      <c r="BL521" s="2">
        <v>9.48</v>
      </c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2"/>
      <c r="BZ521" s="1"/>
      <c r="CA521" s="2"/>
    </row>
    <row r="522" spans="1:79" x14ac:dyDescent="0.2">
      <c r="A522" s="124">
        <v>44462</v>
      </c>
      <c r="B522">
        <v>59.996000000000002</v>
      </c>
      <c r="C522">
        <v>60.246000000000002</v>
      </c>
      <c r="D522">
        <v>59.994999999999997</v>
      </c>
      <c r="E522">
        <v>60.246000000000002</v>
      </c>
      <c r="F522">
        <v>60.325000000000003</v>
      </c>
      <c r="G522">
        <v>60.325000000000003</v>
      </c>
      <c r="H522">
        <v>60.246000000000002</v>
      </c>
      <c r="I522">
        <v>60.246000000000002</v>
      </c>
      <c r="J522">
        <v>60.325000000000003</v>
      </c>
      <c r="K522">
        <v>60.325000000000003</v>
      </c>
      <c r="L522" s="7"/>
      <c r="N522" s="124">
        <v>44462</v>
      </c>
      <c r="O522" s="2">
        <v>9.6915499999999994</v>
      </c>
      <c r="P522" s="2">
        <v>9.6529500000000006</v>
      </c>
      <c r="Q522" s="2">
        <v>9.69</v>
      </c>
      <c r="R522" s="2">
        <v>9.6529500000000006</v>
      </c>
      <c r="S522" s="2">
        <v>9.65</v>
      </c>
      <c r="T522" s="2">
        <v>9.6529500000000006</v>
      </c>
      <c r="U522" s="2">
        <v>9.6529500000000006</v>
      </c>
      <c r="V522" s="2">
        <v>9.6529500000000006</v>
      </c>
      <c r="W522" s="2">
        <v>9.65</v>
      </c>
      <c r="X522" s="2">
        <v>9.6529500000000006</v>
      </c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2"/>
      <c r="AL522" s="1"/>
      <c r="AM522" s="2"/>
      <c r="AO522" s="124">
        <v>44462</v>
      </c>
      <c r="AP522">
        <v>59.994999999999997</v>
      </c>
      <c r="AQ522">
        <v>60.244999999999997</v>
      </c>
      <c r="AR522">
        <v>59.994999999999997</v>
      </c>
      <c r="AS522">
        <v>60.246000000000002</v>
      </c>
      <c r="AT522">
        <v>60.325000000000003</v>
      </c>
      <c r="AU522">
        <v>60.325000000000003</v>
      </c>
      <c r="AV522">
        <v>60.244999999999997</v>
      </c>
      <c r="AW522">
        <v>60.244999999999997</v>
      </c>
      <c r="AX522">
        <v>60.325000000000003</v>
      </c>
      <c r="AY522">
        <v>60.325000000000003</v>
      </c>
      <c r="AZ522" s="7"/>
      <c r="BB522" s="124">
        <v>44462</v>
      </c>
      <c r="BC522" s="2">
        <v>9.69</v>
      </c>
      <c r="BD522" s="2">
        <v>9.65</v>
      </c>
      <c r="BE522" s="2">
        <v>9.69</v>
      </c>
      <c r="BF522" s="2">
        <v>9.65</v>
      </c>
      <c r="BG522" s="2">
        <v>9.65</v>
      </c>
      <c r="BH522" s="2">
        <v>9.65</v>
      </c>
      <c r="BI522" s="2">
        <v>9.65</v>
      </c>
      <c r="BJ522" s="2">
        <v>9.65</v>
      </c>
      <c r="BK522" s="2">
        <v>9.65</v>
      </c>
      <c r="BL522" s="2">
        <v>9.65</v>
      </c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2"/>
      <c r="BZ522" s="1"/>
      <c r="CA522" s="2"/>
    </row>
    <row r="523" spans="1:79" x14ac:dyDescent="0.2">
      <c r="A523" s="124">
        <v>44463</v>
      </c>
      <c r="B523">
        <v>60.581000000000003</v>
      </c>
      <c r="C523">
        <v>60.831000000000003</v>
      </c>
      <c r="D523">
        <v>60.581000000000003</v>
      </c>
      <c r="E523">
        <v>60.831000000000003</v>
      </c>
      <c r="F523">
        <v>60.911999999999999</v>
      </c>
      <c r="G523">
        <v>60.911999999999999</v>
      </c>
      <c r="H523">
        <v>60.831000000000003</v>
      </c>
      <c r="I523">
        <v>60.831000000000003</v>
      </c>
      <c r="J523">
        <v>60.911000000000001</v>
      </c>
      <c r="K523">
        <v>60.911999999999999</v>
      </c>
      <c r="L523" s="7"/>
      <c r="N523" s="124">
        <v>44463</v>
      </c>
      <c r="O523" s="2">
        <v>9.6025500000000008</v>
      </c>
      <c r="P523" s="2">
        <v>9.5643999999999991</v>
      </c>
      <c r="Q523" s="2">
        <v>9.6</v>
      </c>
      <c r="R523" s="2">
        <v>9.5643999999999991</v>
      </c>
      <c r="S523" s="2">
        <v>9.56</v>
      </c>
      <c r="T523" s="2">
        <v>9.5643499999999992</v>
      </c>
      <c r="U523" s="2">
        <v>9.5643999999999991</v>
      </c>
      <c r="V523" s="2">
        <v>9.5643999999999991</v>
      </c>
      <c r="W523" s="2">
        <v>9.56</v>
      </c>
      <c r="X523" s="2">
        <v>9.5643499999999992</v>
      </c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2"/>
      <c r="AL523" s="1"/>
      <c r="AM523" s="2"/>
      <c r="AO523" s="124">
        <v>44463</v>
      </c>
      <c r="AP523">
        <v>60.581000000000003</v>
      </c>
      <c r="AQ523">
        <v>60.831000000000003</v>
      </c>
      <c r="AR523">
        <v>60.581000000000003</v>
      </c>
      <c r="AS523">
        <v>60.831000000000003</v>
      </c>
      <c r="AT523">
        <v>60.911000000000001</v>
      </c>
      <c r="AU523">
        <v>60.911000000000001</v>
      </c>
      <c r="AV523">
        <v>60.831000000000003</v>
      </c>
      <c r="AW523">
        <v>60.831000000000003</v>
      </c>
      <c r="AX523">
        <v>60.911999999999999</v>
      </c>
      <c r="AY523">
        <v>60.911999999999999</v>
      </c>
      <c r="AZ523" s="7"/>
      <c r="BB523" s="124">
        <v>44463</v>
      </c>
      <c r="BC523" s="2">
        <v>9.6</v>
      </c>
      <c r="BD523" s="2">
        <v>9.56</v>
      </c>
      <c r="BE523" s="2">
        <v>9.6</v>
      </c>
      <c r="BF523" s="2">
        <v>9.56</v>
      </c>
      <c r="BG523" s="2">
        <v>9.56</v>
      </c>
      <c r="BH523" s="2">
        <v>9.56</v>
      </c>
      <c r="BI523" s="2">
        <v>9.56</v>
      </c>
      <c r="BJ523" s="2">
        <v>9.56</v>
      </c>
      <c r="BK523" s="2">
        <v>9.56</v>
      </c>
      <c r="BL523" s="2">
        <v>9.56</v>
      </c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2"/>
      <c r="BZ523" s="1"/>
      <c r="CA523" s="2"/>
    </row>
    <row r="524" spans="1:79" x14ac:dyDescent="0.2">
      <c r="A524" s="124">
        <v>44466</v>
      </c>
      <c r="B524">
        <v>59.523000000000003</v>
      </c>
      <c r="C524">
        <v>59.773000000000003</v>
      </c>
      <c r="D524">
        <v>59.521999999999998</v>
      </c>
      <c r="E524">
        <v>59.773000000000003</v>
      </c>
      <c r="F524">
        <v>59.854999999999997</v>
      </c>
      <c r="G524">
        <v>59.854999999999997</v>
      </c>
      <c r="H524">
        <v>59.773000000000003</v>
      </c>
      <c r="I524">
        <v>59.773000000000003</v>
      </c>
      <c r="J524">
        <v>59.853999999999999</v>
      </c>
      <c r="K524">
        <v>59.854999999999997</v>
      </c>
      <c r="L524" s="7"/>
      <c r="N524" s="124">
        <v>44466</v>
      </c>
      <c r="O524" s="2">
        <v>9.7706999999999997</v>
      </c>
      <c r="P524" s="2">
        <v>9.7317</v>
      </c>
      <c r="Q524" s="2">
        <v>9.77</v>
      </c>
      <c r="R524" s="2">
        <v>9.7317</v>
      </c>
      <c r="S524" s="2">
        <v>9.73</v>
      </c>
      <c r="T524" s="2">
        <v>9.7317</v>
      </c>
      <c r="U524" s="2">
        <v>9.7317</v>
      </c>
      <c r="V524" s="2">
        <v>9.7317</v>
      </c>
      <c r="W524" s="2">
        <v>9.73</v>
      </c>
      <c r="X524" s="2">
        <v>9.7317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2"/>
      <c r="AL524" s="1"/>
      <c r="AM524" s="2"/>
      <c r="AO524" s="124">
        <v>44466</v>
      </c>
      <c r="AP524">
        <v>59.521999999999998</v>
      </c>
      <c r="AQ524">
        <v>59.771999999999998</v>
      </c>
      <c r="AR524">
        <v>59.521999999999998</v>
      </c>
      <c r="AS524">
        <v>59.773000000000003</v>
      </c>
      <c r="AT524">
        <v>59.853999999999999</v>
      </c>
      <c r="AU524">
        <v>59.853999999999999</v>
      </c>
      <c r="AV524">
        <v>59.771999999999998</v>
      </c>
      <c r="AW524">
        <v>59.771999999999998</v>
      </c>
      <c r="AX524">
        <v>59.854999999999997</v>
      </c>
      <c r="AY524">
        <v>59.854999999999997</v>
      </c>
      <c r="AZ524" s="7"/>
      <c r="BB524" s="124">
        <v>44466</v>
      </c>
      <c r="BC524" s="2">
        <v>9.77</v>
      </c>
      <c r="BD524" s="2">
        <v>9.73</v>
      </c>
      <c r="BE524" s="2">
        <v>9.77</v>
      </c>
      <c r="BF524" s="2">
        <v>9.73</v>
      </c>
      <c r="BG524" s="2">
        <v>9.73</v>
      </c>
      <c r="BH524" s="2">
        <v>9.73</v>
      </c>
      <c r="BI524" s="2">
        <v>9.73</v>
      </c>
      <c r="BJ524" s="2">
        <v>9.73</v>
      </c>
      <c r="BK524" s="2">
        <v>9.73</v>
      </c>
      <c r="BL524" s="2">
        <v>9.73</v>
      </c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2"/>
      <c r="BZ524" s="1"/>
      <c r="CA524" s="2"/>
    </row>
    <row r="525" spans="1:79" x14ac:dyDescent="0.2">
      <c r="A525" s="124">
        <v>44467</v>
      </c>
      <c r="B525">
        <v>58.994999999999997</v>
      </c>
      <c r="C525">
        <v>59.244999999999997</v>
      </c>
      <c r="D525">
        <v>58.994</v>
      </c>
      <c r="E525">
        <v>59.244999999999997</v>
      </c>
      <c r="F525">
        <v>59.328000000000003</v>
      </c>
      <c r="G525">
        <v>59.328000000000003</v>
      </c>
      <c r="H525">
        <v>59.244999999999997</v>
      </c>
      <c r="I525">
        <v>59.244999999999997</v>
      </c>
      <c r="J525">
        <v>59.328000000000003</v>
      </c>
      <c r="K525">
        <v>59.328000000000003</v>
      </c>
      <c r="L525" s="7"/>
      <c r="N525" s="124">
        <v>44467</v>
      </c>
      <c r="O525" s="2">
        <v>9.85975</v>
      </c>
      <c r="P525" s="2">
        <v>9.8202999999999996</v>
      </c>
      <c r="Q525" s="2">
        <v>9.86</v>
      </c>
      <c r="R525" s="2">
        <v>9.8202999999999996</v>
      </c>
      <c r="S525" s="2">
        <v>9.82</v>
      </c>
      <c r="T525" s="2">
        <v>9.8202999999999996</v>
      </c>
      <c r="U525" s="2">
        <v>9.8202999999999996</v>
      </c>
      <c r="V525" s="2">
        <v>9.8202999999999996</v>
      </c>
      <c r="W525" s="2">
        <v>9.82</v>
      </c>
      <c r="X525" s="2">
        <v>9.8202999999999996</v>
      </c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2"/>
      <c r="AL525" s="1"/>
      <c r="AM525" s="2"/>
      <c r="AO525" s="124">
        <v>44467</v>
      </c>
      <c r="AP525">
        <v>58.994</v>
      </c>
      <c r="AQ525">
        <v>59.244</v>
      </c>
      <c r="AR525">
        <v>58.994</v>
      </c>
      <c r="AS525">
        <v>59.244999999999997</v>
      </c>
      <c r="AT525">
        <v>59.328000000000003</v>
      </c>
      <c r="AU525">
        <v>59.328000000000003</v>
      </c>
      <c r="AV525">
        <v>59.244</v>
      </c>
      <c r="AW525">
        <v>59.244</v>
      </c>
      <c r="AX525">
        <v>59.328000000000003</v>
      </c>
      <c r="AY525">
        <v>59.328000000000003</v>
      </c>
      <c r="AZ525" s="7"/>
      <c r="BB525" s="124">
        <v>44467</v>
      </c>
      <c r="BC525" s="2">
        <v>9.86</v>
      </c>
      <c r="BD525" s="2">
        <v>9.82</v>
      </c>
      <c r="BE525" s="2">
        <v>9.86</v>
      </c>
      <c r="BF525" s="2">
        <v>9.82</v>
      </c>
      <c r="BG525" s="2">
        <v>9.82</v>
      </c>
      <c r="BH525" s="2">
        <v>9.82</v>
      </c>
      <c r="BI525" s="2">
        <v>9.82</v>
      </c>
      <c r="BJ525" s="2">
        <v>9.82</v>
      </c>
      <c r="BK525" s="2">
        <v>9.82</v>
      </c>
      <c r="BL525" s="2">
        <v>9.82</v>
      </c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2"/>
      <c r="BZ525" s="1"/>
      <c r="CA525" s="2"/>
    </row>
    <row r="526" spans="1:79" x14ac:dyDescent="0.2">
      <c r="A526" s="124">
        <v>44468</v>
      </c>
      <c r="B526">
        <v>59.375</v>
      </c>
      <c r="C526">
        <v>59.625</v>
      </c>
      <c r="D526">
        <v>59.375</v>
      </c>
      <c r="E526">
        <v>59.625</v>
      </c>
      <c r="F526">
        <v>59.625</v>
      </c>
      <c r="G526">
        <v>59.625</v>
      </c>
      <c r="H526">
        <v>59.625</v>
      </c>
      <c r="I526">
        <v>59.625</v>
      </c>
      <c r="J526">
        <v>59.625</v>
      </c>
      <c r="K526">
        <v>59.625</v>
      </c>
      <c r="L526" s="7"/>
      <c r="N526" s="124">
        <v>44468</v>
      </c>
      <c r="O526" s="2">
        <v>9.7988</v>
      </c>
      <c r="P526" s="2">
        <v>9.7596500000000006</v>
      </c>
      <c r="Q526" s="2">
        <v>9.8000000000000007</v>
      </c>
      <c r="R526" s="2">
        <v>9.7596500000000006</v>
      </c>
      <c r="S526" s="2">
        <v>9.77</v>
      </c>
      <c r="T526" s="2">
        <v>9.7730499999999996</v>
      </c>
      <c r="U526" s="2">
        <v>9.7596500000000006</v>
      </c>
      <c r="V526" s="2">
        <v>9.7596500000000006</v>
      </c>
      <c r="W526" s="2">
        <v>9.77</v>
      </c>
      <c r="X526" s="2">
        <v>9.7730499999999996</v>
      </c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2"/>
      <c r="AL526" s="1"/>
      <c r="AM526" s="2"/>
      <c r="AO526" s="124">
        <v>44468</v>
      </c>
      <c r="AP526">
        <v>59.375</v>
      </c>
      <c r="AQ526">
        <v>59.625</v>
      </c>
      <c r="AR526">
        <v>59.375</v>
      </c>
      <c r="AS526">
        <v>59.625</v>
      </c>
      <c r="AT526">
        <v>59.625</v>
      </c>
      <c r="AU526">
        <v>59.625</v>
      </c>
      <c r="AV526">
        <v>59.625</v>
      </c>
      <c r="AW526">
        <v>59.625</v>
      </c>
      <c r="AX526">
        <v>59.625</v>
      </c>
      <c r="AY526">
        <v>59.625</v>
      </c>
      <c r="AZ526" s="7"/>
      <c r="BB526" s="124">
        <v>44468</v>
      </c>
      <c r="BC526" s="2">
        <v>9.8000000000000007</v>
      </c>
      <c r="BD526" s="2">
        <v>9.76</v>
      </c>
      <c r="BE526" s="2">
        <v>9.8000000000000007</v>
      </c>
      <c r="BF526" s="2">
        <v>9.76</v>
      </c>
      <c r="BG526" s="2">
        <v>9.77</v>
      </c>
      <c r="BH526" s="2">
        <v>9.77</v>
      </c>
      <c r="BI526" s="2">
        <v>9.76</v>
      </c>
      <c r="BJ526" s="2">
        <v>9.76</v>
      </c>
      <c r="BK526" s="2">
        <v>9.77</v>
      </c>
      <c r="BL526" s="2">
        <v>9.77</v>
      </c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2"/>
      <c r="BZ526" s="1"/>
      <c r="CA526" s="2"/>
    </row>
    <row r="527" spans="1:79" x14ac:dyDescent="0.2">
      <c r="A527" s="124">
        <v>44469</v>
      </c>
      <c r="B527">
        <v>59.25</v>
      </c>
      <c r="C527">
        <v>59.5</v>
      </c>
      <c r="D527">
        <v>59.25</v>
      </c>
      <c r="E527">
        <v>59.5</v>
      </c>
      <c r="F527">
        <v>59.5</v>
      </c>
      <c r="G527">
        <v>59.5</v>
      </c>
      <c r="H527">
        <v>59.5</v>
      </c>
      <c r="I527">
        <v>59.5</v>
      </c>
      <c r="J527">
        <v>59.5</v>
      </c>
      <c r="K527">
        <v>59.5</v>
      </c>
      <c r="L527" s="7"/>
      <c r="N527" s="124">
        <v>44469</v>
      </c>
      <c r="O527" s="2">
        <v>9.8255999999999997</v>
      </c>
      <c r="P527" s="2">
        <v>9.7863500000000005</v>
      </c>
      <c r="Q527" s="2">
        <v>9.83</v>
      </c>
      <c r="R527" s="2">
        <v>9.7863500000000005</v>
      </c>
      <c r="S527" s="2">
        <v>9.8000000000000007</v>
      </c>
      <c r="T527" s="2">
        <v>9.8004499999999997</v>
      </c>
      <c r="U527" s="2">
        <v>9.7863500000000005</v>
      </c>
      <c r="V527" s="2">
        <v>9.7863500000000005</v>
      </c>
      <c r="W527" s="2">
        <v>9.8000000000000007</v>
      </c>
      <c r="X527" s="2">
        <v>9.8004499999999997</v>
      </c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2"/>
      <c r="AL527" s="1"/>
      <c r="AM527" s="2"/>
      <c r="AO527" s="124">
        <v>44469</v>
      </c>
      <c r="AP527">
        <v>59.25</v>
      </c>
      <c r="AQ527">
        <v>59.5</v>
      </c>
      <c r="AR527">
        <v>59.25</v>
      </c>
      <c r="AS527">
        <v>59.5</v>
      </c>
      <c r="AT527">
        <v>59.5</v>
      </c>
      <c r="AU527">
        <v>59.5</v>
      </c>
      <c r="AV527">
        <v>59.5</v>
      </c>
      <c r="AW527">
        <v>59.5</v>
      </c>
      <c r="AX527">
        <v>59.5</v>
      </c>
      <c r="AY527">
        <v>59.5</v>
      </c>
      <c r="AZ527" s="7"/>
      <c r="BB527" s="124">
        <v>44469</v>
      </c>
      <c r="BC527" s="2">
        <v>9.83</v>
      </c>
      <c r="BD527" s="2">
        <v>9.7899999999999991</v>
      </c>
      <c r="BE527" s="2">
        <v>9.83</v>
      </c>
      <c r="BF527" s="2">
        <v>9.7899999999999991</v>
      </c>
      <c r="BG527" s="2">
        <v>9.8000000000000007</v>
      </c>
      <c r="BH527" s="2">
        <v>9.8000000000000007</v>
      </c>
      <c r="BI527" s="2">
        <v>9.7899999999999991</v>
      </c>
      <c r="BJ527" s="2">
        <v>9.7899999999999991</v>
      </c>
      <c r="BK527" s="2">
        <v>9.8000000000000007</v>
      </c>
      <c r="BL527" s="2">
        <v>9.8000000000000007</v>
      </c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2"/>
      <c r="BZ527" s="1"/>
      <c r="CA527" s="2"/>
    </row>
    <row r="528" spans="1:79" x14ac:dyDescent="0.2">
      <c r="A528" s="124">
        <v>44470</v>
      </c>
      <c r="B528">
        <v>58.375</v>
      </c>
      <c r="C528">
        <v>58.625</v>
      </c>
      <c r="D528">
        <v>58.375</v>
      </c>
      <c r="E528">
        <v>58.625</v>
      </c>
      <c r="F528">
        <v>58.625</v>
      </c>
      <c r="G528">
        <v>58.625</v>
      </c>
      <c r="H528">
        <v>58.625</v>
      </c>
      <c r="I528">
        <v>58.625</v>
      </c>
      <c r="J528">
        <v>58.625</v>
      </c>
      <c r="K528">
        <v>58.625</v>
      </c>
      <c r="L528" s="7"/>
      <c r="N528" s="124">
        <v>44470</v>
      </c>
      <c r="O528" s="2">
        <v>9.9689999999999994</v>
      </c>
      <c r="P528" s="2">
        <v>9.9289500000000004</v>
      </c>
      <c r="Q528" s="2">
        <v>9.9700000000000006</v>
      </c>
      <c r="R528" s="2">
        <v>9.9289500000000004</v>
      </c>
      <c r="S528" s="2">
        <v>9.94</v>
      </c>
      <c r="T528" s="2">
        <v>9.9436</v>
      </c>
      <c r="U528" s="2">
        <v>9.9289500000000004</v>
      </c>
      <c r="V528" s="2">
        <v>9.9289500000000004</v>
      </c>
      <c r="W528" s="2">
        <v>9.94</v>
      </c>
      <c r="X528" s="2">
        <v>9.9436</v>
      </c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2"/>
      <c r="AL528" s="1"/>
      <c r="AM528" s="2"/>
      <c r="AO528" s="124">
        <v>44470</v>
      </c>
      <c r="AP528">
        <v>58.375</v>
      </c>
      <c r="AQ528">
        <v>58.625</v>
      </c>
      <c r="AR528">
        <v>58.375</v>
      </c>
      <c r="AS528">
        <v>58.625</v>
      </c>
      <c r="AT528">
        <v>58.625</v>
      </c>
      <c r="AU528">
        <v>58.625</v>
      </c>
      <c r="AV528">
        <v>58.625</v>
      </c>
      <c r="AW528">
        <v>58.625</v>
      </c>
      <c r="AX528">
        <v>58.625</v>
      </c>
      <c r="AY528">
        <v>58.625</v>
      </c>
      <c r="AZ528" s="7"/>
      <c r="BB528" s="124">
        <v>44470</v>
      </c>
      <c r="BC528" s="2">
        <v>9.9700000000000006</v>
      </c>
      <c r="BD528" s="2">
        <v>9.93</v>
      </c>
      <c r="BE528" s="2">
        <v>9.9700000000000006</v>
      </c>
      <c r="BF528" s="2">
        <v>9.93</v>
      </c>
      <c r="BG528" s="2">
        <v>9.94</v>
      </c>
      <c r="BH528" s="2">
        <v>9.94</v>
      </c>
      <c r="BI528" s="2">
        <v>9.93</v>
      </c>
      <c r="BJ528" s="2">
        <v>9.93</v>
      </c>
      <c r="BK528" s="2">
        <v>9.94</v>
      </c>
      <c r="BL528" s="2">
        <v>9.94</v>
      </c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2"/>
      <c r="BZ528" s="1"/>
      <c r="CA528" s="2"/>
    </row>
    <row r="529" spans="1:79" x14ac:dyDescent="0.2">
      <c r="A529" s="124">
        <v>44473</v>
      </c>
      <c r="B529">
        <v>58</v>
      </c>
      <c r="C529">
        <v>58.25</v>
      </c>
      <c r="D529">
        <v>58</v>
      </c>
      <c r="E529">
        <v>58.25</v>
      </c>
      <c r="F529">
        <v>58.25</v>
      </c>
      <c r="G529">
        <v>58.25</v>
      </c>
      <c r="H529">
        <v>58.25</v>
      </c>
      <c r="I529">
        <v>58.25</v>
      </c>
      <c r="J529">
        <v>58.25</v>
      </c>
      <c r="K529">
        <v>58.25</v>
      </c>
      <c r="L529" s="7"/>
      <c r="N529" s="124">
        <v>44473</v>
      </c>
      <c r="O529" s="2">
        <v>10.0327</v>
      </c>
      <c r="P529" s="2">
        <v>9.9923000000000002</v>
      </c>
      <c r="Q529" s="2">
        <v>10.029999999999999</v>
      </c>
      <c r="R529" s="2">
        <v>9.9923000000000002</v>
      </c>
      <c r="S529" s="2">
        <v>10.01</v>
      </c>
      <c r="T529" s="2">
        <v>10.007300000000001</v>
      </c>
      <c r="U529" s="2">
        <v>9.9923000000000002</v>
      </c>
      <c r="V529" s="2">
        <v>9.9923000000000002</v>
      </c>
      <c r="W529" s="2">
        <v>10.01</v>
      </c>
      <c r="X529" s="2">
        <v>10.007300000000001</v>
      </c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2"/>
      <c r="AL529" s="1"/>
      <c r="AM529" s="2"/>
      <c r="AO529" s="124">
        <v>44473</v>
      </c>
      <c r="AP529">
        <v>58</v>
      </c>
      <c r="AQ529">
        <v>58.25</v>
      </c>
      <c r="AR529">
        <v>58</v>
      </c>
      <c r="AS529">
        <v>58.25</v>
      </c>
      <c r="AT529">
        <v>58.25</v>
      </c>
      <c r="AU529">
        <v>58.25</v>
      </c>
      <c r="AV529">
        <v>58.25</v>
      </c>
      <c r="AW529">
        <v>58.25</v>
      </c>
      <c r="AX529">
        <v>58.25</v>
      </c>
      <c r="AY529">
        <v>58.25</v>
      </c>
      <c r="AZ529" s="7"/>
      <c r="BB529" s="124">
        <v>44473</v>
      </c>
      <c r="BC529" s="2">
        <v>10.029999999999999</v>
      </c>
      <c r="BD529" s="2">
        <v>9.99</v>
      </c>
      <c r="BE529" s="2">
        <v>10.029999999999999</v>
      </c>
      <c r="BF529" s="2">
        <v>9.99</v>
      </c>
      <c r="BG529" s="2">
        <v>10.01</v>
      </c>
      <c r="BH529" s="2">
        <v>10.01</v>
      </c>
      <c r="BI529" s="2">
        <v>9.99</v>
      </c>
      <c r="BJ529" s="2">
        <v>9.99</v>
      </c>
      <c r="BK529" s="2">
        <v>10.01</v>
      </c>
      <c r="BL529" s="2">
        <v>10.01</v>
      </c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2"/>
      <c r="BZ529" s="1"/>
      <c r="CA529" s="2"/>
    </row>
    <row r="530" spans="1:79" x14ac:dyDescent="0.2">
      <c r="A530" s="124">
        <v>44474</v>
      </c>
      <c r="B530">
        <v>58.5</v>
      </c>
      <c r="C530">
        <v>58.75</v>
      </c>
      <c r="D530">
        <v>58.5</v>
      </c>
      <c r="E530">
        <v>58.75</v>
      </c>
      <c r="F530">
        <v>58.75</v>
      </c>
      <c r="G530">
        <v>58.75</v>
      </c>
      <c r="H530">
        <v>58.75</v>
      </c>
      <c r="I530">
        <v>58.75</v>
      </c>
      <c r="J530">
        <v>58.75</v>
      </c>
      <c r="K530">
        <v>58.75</v>
      </c>
      <c r="L530" s="7"/>
      <c r="N530" s="124">
        <v>44474</v>
      </c>
      <c r="O530" s="2">
        <v>9.9534000000000002</v>
      </c>
      <c r="P530" s="2">
        <v>9.9133999999999993</v>
      </c>
      <c r="Q530" s="2">
        <v>9.9499999999999993</v>
      </c>
      <c r="R530" s="2">
        <v>9.9133999999999993</v>
      </c>
      <c r="S530" s="2">
        <v>9.93</v>
      </c>
      <c r="T530" s="2">
        <v>9.9284499999999998</v>
      </c>
      <c r="U530" s="2">
        <v>9.9133999999999993</v>
      </c>
      <c r="V530" s="2">
        <v>9.9133999999999993</v>
      </c>
      <c r="W530" s="2">
        <v>9.93</v>
      </c>
      <c r="X530" s="2">
        <v>9.9284499999999998</v>
      </c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2"/>
      <c r="AL530" s="1"/>
      <c r="AM530" s="2"/>
      <c r="AO530" s="124">
        <v>44474</v>
      </c>
      <c r="AP530">
        <v>58.5</v>
      </c>
      <c r="AQ530">
        <v>58.75</v>
      </c>
      <c r="AR530">
        <v>58.5</v>
      </c>
      <c r="AS530">
        <v>58.75</v>
      </c>
      <c r="AT530">
        <v>58.75</v>
      </c>
      <c r="AU530">
        <v>58.75</v>
      </c>
      <c r="AV530">
        <v>58.75</v>
      </c>
      <c r="AW530">
        <v>58.75</v>
      </c>
      <c r="AX530">
        <v>58.75</v>
      </c>
      <c r="AY530">
        <v>58.75</v>
      </c>
      <c r="AZ530" s="7"/>
      <c r="BB530" s="124">
        <v>44474</v>
      </c>
      <c r="BC530" s="2">
        <v>9.9499999999999993</v>
      </c>
      <c r="BD530" s="2">
        <v>9.91</v>
      </c>
      <c r="BE530" s="2">
        <v>9.9499999999999993</v>
      </c>
      <c r="BF530" s="2">
        <v>9.91</v>
      </c>
      <c r="BG530" s="2">
        <v>9.93</v>
      </c>
      <c r="BH530" s="2">
        <v>9.93</v>
      </c>
      <c r="BI530" s="2">
        <v>9.91</v>
      </c>
      <c r="BJ530" s="2">
        <v>9.91</v>
      </c>
      <c r="BK530" s="2">
        <v>9.93</v>
      </c>
      <c r="BL530" s="2">
        <v>9.93</v>
      </c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2"/>
      <c r="BZ530" s="1"/>
      <c r="CA530" s="2"/>
    </row>
    <row r="531" spans="1:79" x14ac:dyDescent="0.2">
      <c r="A531" s="124">
        <v>44475</v>
      </c>
      <c r="B531">
        <v>58.75</v>
      </c>
      <c r="C531">
        <v>59</v>
      </c>
      <c r="D531">
        <v>58.75</v>
      </c>
      <c r="E531">
        <v>59</v>
      </c>
      <c r="F531">
        <v>59</v>
      </c>
      <c r="G531">
        <v>59</v>
      </c>
      <c r="H531">
        <v>59</v>
      </c>
      <c r="I531">
        <v>59</v>
      </c>
      <c r="J531">
        <v>59</v>
      </c>
      <c r="K531">
        <v>59</v>
      </c>
      <c r="L531" s="7"/>
      <c r="N531" s="124">
        <v>44475</v>
      </c>
      <c r="O531" s="2">
        <v>9.9152000000000005</v>
      </c>
      <c r="P531" s="2">
        <v>9.8754500000000007</v>
      </c>
      <c r="Q531" s="2">
        <v>9.91</v>
      </c>
      <c r="R531" s="2">
        <v>9.8754500000000007</v>
      </c>
      <c r="S531" s="2">
        <v>9.89</v>
      </c>
      <c r="T531" s="2">
        <v>9.8906500000000008</v>
      </c>
      <c r="U531" s="2">
        <v>9.8754500000000007</v>
      </c>
      <c r="V531" s="2">
        <v>9.8754500000000007</v>
      </c>
      <c r="W531" s="2">
        <v>9.89</v>
      </c>
      <c r="X531" s="2">
        <v>9.8906500000000008</v>
      </c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2"/>
      <c r="AL531" s="1"/>
      <c r="AM531" s="2"/>
      <c r="AO531" s="124">
        <v>44475</v>
      </c>
      <c r="AP531">
        <v>58.75</v>
      </c>
      <c r="AQ531">
        <v>59</v>
      </c>
      <c r="AR531">
        <v>58.75</v>
      </c>
      <c r="AS531">
        <v>59</v>
      </c>
      <c r="AT531">
        <v>59</v>
      </c>
      <c r="AU531">
        <v>59</v>
      </c>
      <c r="AV531">
        <v>59</v>
      </c>
      <c r="AW531">
        <v>59</v>
      </c>
      <c r="AX531">
        <v>59</v>
      </c>
      <c r="AY531">
        <v>59</v>
      </c>
      <c r="AZ531" s="7"/>
      <c r="BB531" s="124">
        <v>44475</v>
      </c>
      <c r="BC531" s="2">
        <v>9.91</v>
      </c>
      <c r="BD531" s="2">
        <v>9.8699999999999992</v>
      </c>
      <c r="BE531" s="2">
        <v>9.91</v>
      </c>
      <c r="BF531" s="2">
        <v>9.8699999999999992</v>
      </c>
      <c r="BG531" s="2">
        <v>9.89</v>
      </c>
      <c r="BH531" s="2">
        <v>9.89</v>
      </c>
      <c r="BI531" s="2">
        <v>9.8699999999999992</v>
      </c>
      <c r="BJ531" s="2">
        <v>9.8699999999999992</v>
      </c>
      <c r="BK531" s="2">
        <v>9.89</v>
      </c>
      <c r="BL531" s="2">
        <v>9.89</v>
      </c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2"/>
      <c r="BZ531" s="1"/>
      <c r="CA531" s="2"/>
    </row>
    <row r="532" spans="1:79" x14ac:dyDescent="0.2">
      <c r="A532" s="124">
        <v>44476</v>
      </c>
      <c r="B532">
        <v>60.625</v>
      </c>
      <c r="C532">
        <v>60.875</v>
      </c>
      <c r="D532">
        <v>60.625</v>
      </c>
      <c r="E532">
        <v>60.875</v>
      </c>
      <c r="F532">
        <v>60.875</v>
      </c>
      <c r="G532">
        <v>60.875</v>
      </c>
      <c r="H532">
        <v>60.875</v>
      </c>
      <c r="I532">
        <v>60.875</v>
      </c>
      <c r="J532">
        <v>60.875</v>
      </c>
      <c r="K532">
        <v>60.875</v>
      </c>
      <c r="L532" s="7"/>
      <c r="N532" s="124">
        <v>44476</v>
      </c>
      <c r="O532" s="2">
        <v>9.6271500000000003</v>
      </c>
      <c r="P532" s="2">
        <v>9.5888500000000008</v>
      </c>
      <c r="Q532" s="2">
        <v>9.6300000000000008</v>
      </c>
      <c r="R532" s="2">
        <v>9.5888500000000008</v>
      </c>
      <c r="S532" s="2">
        <v>9.6</v>
      </c>
      <c r="T532" s="2">
        <v>9.6043500000000002</v>
      </c>
      <c r="U532" s="2">
        <v>9.5888500000000008</v>
      </c>
      <c r="V532" s="2">
        <v>9.5888500000000008</v>
      </c>
      <c r="W532" s="2">
        <v>9.6</v>
      </c>
      <c r="X532" s="2">
        <v>9.6043500000000002</v>
      </c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2"/>
      <c r="AL532" s="1"/>
      <c r="AM532" s="2"/>
      <c r="AO532" s="124">
        <v>44476</v>
      </c>
      <c r="AP532">
        <v>60.625</v>
      </c>
      <c r="AQ532">
        <v>60.875</v>
      </c>
      <c r="AR532">
        <v>60.625</v>
      </c>
      <c r="AS532">
        <v>60.875</v>
      </c>
      <c r="AT532">
        <v>60.875</v>
      </c>
      <c r="AU532">
        <v>60.875</v>
      </c>
      <c r="AV532">
        <v>60.875</v>
      </c>
      <c r="AW532">
        <v>60.875</v>
      </c>
      <c r="AX532">
        <v>60.875</v>
      </c>
      <c r="AY532">
        <v>60.875</v>
      </c>
      <c r="AZ532" s="7"/>
      <c r="BB532" s="124">
        <v>44476</v>
      </c>
      <c r="BC532" s="2">
        <v>9.6300000000000008</v>
      </c>
      <c r="BD532" s="2">
        <v>9.59</v>
      </c>
      <c r="BE532" s="2">
        <v>9.6300000000000008</v>
      </c>
      <c r="BF532" s="2">
        <v>9.59</v>
      </c>
      <c r="BG532" s="2">
        <v>9.6</v>
      </c>
      <c r="BH532" s="2">
        <v>9.6</v>
      </c>
      <c r="BI532" s="2">
        <v>9.59</v>
      </c>
      <c r="BJ532" s="2">
        <v>9.59</v>
      </c>
      <c r="BK532" s="2">
        <v>9.6</v>
      </c>
      <c r="BL532" s="2">
        <v>9.6</v>
      </c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2"/>
      <c r="BZ532" s="1"/>
      <c r="CA532" s="2"/>
    </row>
    <row r="533" spans="1:79" x14ac:dyDescent="0.2">
      <c r="A533" s="124">
        <v>44477</v>
      </c>
      <c r="B533">
        <v>60.625</v>
      </c>
      <c r="C533">
        <v>60.875</v>
      </c>
      <c r="D533">
        <v>60.625</v>
      </c>
      <c r="E533">
        <v>60.875</v>
      </c>
      <c r="F533">
        <v>60.875</v>
      </c>
      <c r="G533">
        <v>60.875</v>
      </c>
      <c r="H533">
        <v>60.875</v>
      </c>
      <c r="I533">
        <v>60.875</v>
      </c>
      <c r="J533">
        <v>60.875</v>
      </c>
      <c r="K533">
        <v>60.875</v>
      </c>
      <c r="L533" s="7"/>
      <c r="N533" s="124">
        <v>44477</v>
      </c>
      <c r="O533" s="2">
        <v>9.6293500000000005</v>
      </c>
      <c r="P533" s="2">
        <v>9.5910499999999992</v>
      </c>
      <c r="Q533" s="2">
        <v>9.6300000000000008</v>
      </c>
      <c r="R533" s="2">
        <v>9.5910499999999992</v>
      </c>
      <c r="S533" s="2">
        <v>9.61</v>
      </c>
      <c r="T533" s="2">
        <v>9.6067999999999998</v>
      </c>
      <c r="U533" s="2">
        <v>9.5910499999999992</v>
      </c>
      <c r="V533" s="2">
        <v>9.5910499999999992</v>
      </c>
      <c r="W533" s="2">
        <v>9.61</v>
      </c>
      <c r="X533" s="2">
        <v>9.6067999999999998</v>
      </c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2"/>
      <c r="AL533" s="1"/>
      <c r="AM533" s="2"/>
      <c r="AO533" s="124">
        <v>44477</v>
      </c>
      <c r="AP533">
        <v>60.625</v>
      </c>
      <c r="AQ533">
        <v>60.875</v>
      </c>
      <c r="AR533">
        <v>60.625</v>
      </c>
      <c r="AS533">
        <v>60.875</v>
      </c>
      <c r="AT533">
        <v>60.875</v>
      </c>
      <c r="AU533">
        <v>60.875</v>
      </c>
      <c r="AV533">
        <v>60.875</v>
      </c>
      <c r="AW533">
        <v>60.875</v>
      </c>
      <c r="AX533">
        <v>60.875</v>
      </c>
      <c r="AY533">
        <v>60.875</v>
      </c>
      <c r="AZ533" s="7"/>
      <c r="BB533" s="124">
        <v>44477</v>
      </c>
      <c r="BC533" s="2">
        <v>9.6300000000000008</v>
      </c>
      <c r="BD533" s="2">
        <v>9.59</v>
      </c>
      <c r="BE533" s="2">
        <v>9.6300000000000008</v>
      </c>
      <c r="BF533" s="2">
        <v>9.59</v>
      </c>
      <c r="BG533" s="2">
        <v>9.61</v>
      </c>
      <c r="BH533" s="2">
        <v>9.61</v>
      </c>
      <c r="BI533" s="2">
        <v>9.59</v>
      </c>
      <c r="BJ533" s="2">
        <v>9.59</v>
      </c>
      <c r="BK533" s="2">
        <v>9.61</v>
      </c>
      <c r="BL533" s="2">
        <v>9.61</v>
      </c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2"/>
      <c r="BZ533" s="1"/>
      <c r="CA533" s="2"/>
    </row>
    <row r="534" spans="1:79" x14ac:dyDescent="0.2">
      <c r="A534" s="124">
        <v>44480</v>
      </c>
      <c r="B534">
        <v>59.625</v>
      </c>
      <c r="C534">
        <v>59.875</v>
      </c>
      <c r="D534">
        <v>59.625</v>
      </c>
      <c r="E534">
        <v>59.875</v>
      </c>
      <c r="F534">
        <v>59.875</v>
      </c>
      <c r="G534">
        <v>59.875</v>
      </c>
      <c r="H534">
        <v>59.875</v>
      </c>
      <c r="I534">
        <v>59.875</v>
      </c>
      <c r="J534">
        <v>59.875</v>
      </c>
      <c r="K534">
        <v>59.875</v>
      </c>
      <c r="L534" s="7"/>
      <c r="N534" s="124">
        <v>44480</v>
      </c>
      <c r="O534" s="2">
        <v>9.7865500000000001</v>
      </c>
      <c r="P534" s="2">
        <v>9.7475000000000005</v>
      </c>
      <c r="Q534" s="2">
        <v>9.7899999999999991</v>
      </c>
      <c r="R534" s="2">
        <v>9.7475000000000005</v>
      </c>
      <c r="S534" s="2">
        <v>9.76</v>
      </c>
      <c r="T534" s="2">
        <v>9.7635000000000005</v>
      </c>
      <c r="U534" s="2">
        <v>9.7475000000000005</v>
      </c>
      <c r="V534" s="2">
        <v>9.7475000000000005</v>
      </c>
      <c r="W534" s="2">
        <v>9.76</v>
      </c>
      <c r="X534" s="2">
        <v>9.7635000000000005</v>
      </c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2"/>
      <c r="AL534" s="1"/>
      <c r="AM534" s="2"/>
      <c r="AO534" s="124">
        <v>44480</v>
      </c>
      <c r="AP534">
        <v>59.625</v>
      </c>
      <c r="AQ534">
        <v>59.875</v>
      </c>
      <c r="AR534">
        <v>59.625</v>
      </c>
      <c r="AS534">
        <v>59.875</v>
      </c>
      <c r="AT534">
        <v>59.875</v>
      </c>
      <c r="AU534">
        <v>59.875</v>
      </c>
      <c r="AV534">
        <v>59.875</v>
      </c>
      <c r="AW534">
        <v>59.875</v>
      </c>
      <c r="AX534">
        <v>59.875</v>
      </c>
      <c r="AY534">
        <v>59.875</v>
      </c>
      <c r="AZ534" s="7"/>
      <c r="BB534" s="124">
        <v>44480</v>
      </c>
      <c r="BC534" s="2">
        <v>9.7899999999999991</v>
      </c>
      <c r="BD534" s="2">
        <v>9.75</v>
      </c>
      <c r="BE534" s="2">
        <v>9.7899999999999991</v>
      </c>
      <c r="BF534" s="2">
        <v>9.75</v>
      </c>
      <c r="BG534" s="2">
        <v>9.76</v>
      </c>
      <c r="BH534" s="2">
        <v>9.76</v>
      </c>
      <c r="BI534" s="2">
        <v>9.75</v>
      </c>
      <c r="BJ534" s="2">
        <v>9.75</v>
      </c>
      <c r="BK534" s="2">
        <v>9.76</v>
      </c>
      <c r="BL534" s="2">
        <v>9.76</v>
      </c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2"/>
      <c r="BZ534" s="1"/>
      <c r="CA534" s="2"/>
    </row>
    <row r="535" spans="1:79" x14ac:dyDescent="0.2">
      <c r="A535" s="124">
        <v>44481</v>
      </c>
      <c r="B535">
        <v>60.375</v>
      </c>
      <c r="C535">
        <v>60.625</v>
      </c>
      <c r="D535">
        <v>60.375</v>
      </c>
      <c r="E535">
        <v>60.625</v>
      </c>
      <c r="F535">
        <v>60.625</v>
      </c>
      <c r="G535">
        <v>60.625</v>
      </c>
      <c r="H535">
        <v>60.625</v>
      </c>
      <c r="I535">
        <v>60.625</v>
      </c>
      <c r="J535">
        <v>60.625</v>
      </c>
      <c r="K535">
        <v>60.625</v>
      </c>
      <c r="L535" s="7"/>
      <c r="N535" s="124">
        <v>44481</v>
      </c>
      <c r="O535" s="2">
        <v>9.6706000000000003</v>
      </c>
      <c r="P535" s="2">
        <v>9.6320999999999994</v>
      </c>
      <c r="Q535" s="2">
        <v>9.67</v>
      </c>
      <c r="R535" s="2">
        <v>9.6320999999999994</v>
      </c>
      <c r="S535" s="2">
        <v>9.65</v>
      </c>
      <c r="T535" s="2">
        <v>9.6481499999999993</v>
      </c>
      <c r="U535" s="2">
        <v>9.6320999999999994</v>
      </c>
      <c r="V535" s="2">
        <v>9.6320999999999994</v>
      </c>
      <c r="W535" s="2">
        <v>9.65</v>
      </c>
      <c r="X535" s="2">
        <v>9.6481499999999993</v>
      </c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2"/>
      <c r="AL535" s="1"/>
      <c r="AM535" s="2"/>
      <c r="AO535" s="124">
        <v>44481</v>
      </c>
      <c r="AP535">
        <v>60.375</v>
      </c>
      <c r="AQ535">
        <v>60.625</v>
      </c>
      <c r="AR535">
        <v>60.375</v>
      </c>
      <c r="AS535">
        <v>60.625</v>
      </c>
      <c r="AT535">
        <v>60.625</v>
      </c>
      <c r="AU535">
        <v>60.625</v>
      </c>
      <c r="AV535">
        <v>60.625</v>
      </c>
      <c r="AW535">
        <v>60.625</v>
      </c>
      <c r="AX535">
        <v>60.625</v>
      </c>
      <c r="AY535">
        <v>60.625</v>
      </c>
      <c r="AZ535" s="7"/>
      <c r="BB535" s="124">
        <v>44481</v>
      </c>
      <c r="BC535" s="2">
        <v>9.67</v>
      </c>
      <c r="BD535" s="2">
        <v>9.6300000000000008</v>
      </c>
      <c r="BE535" s="2">
        <v>9.67</v>
      </c>
      <c r="BF535" s="2">
        <v>9.6300000000000008</v>
      </c>
      <c r="BG535" s="2">
        <v>9.65</v>
      </c>
      <c r="BH535" s="2">
        <v>9.65</v>
      </c>
      <c r="BI535" s="2">
        <v>9.6300000000000008</v>
      </c>
      <c r="BJ535" s="2">
        <v>9.6300000000000008</v>
      </c>
      <c r="BK535" s="2">
        <v>9.65</v>
      </c>
      <c r="BL535" s="2">
        <v>9.65</v>
      </c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2"/>
      <c r="BZ535" s="1"/>
      <c r="CA535" s="2"/>
    </row>
    <row r="536" spans="1:79" x14ac:dyDescent="0.2">
      <c r="A536" s="124">
        <v>44482</v>
      </c>
      <c r="B536">
        <v>59.875</v>
      </c>
      <c r="C536">
        <v>60.125</v>
      </c>
      <c r="D536">
        <v>59.875</v>
      </c>
      <c r="E536">
        <v>60.125</v>
      </c>
      <c r="F536">
        <v>60.125</v>
      </c>
      <c r="G536">
        <v>60.125</v>
      </c>
      <c r="H536">
        <v>60.125</v>
      </c>
      <c r="I536">
        <v>60.125</v>
      </c>
      <c r="J536">
        <v>60.125</v>
      </c>
      <c r="K536">
        <v>60.125</v>
      </c>
      <c r="L536" s="7"/>
      <c r="N536" s="124">
        <v>44482</v>
      </c>
      <c r="O536" s="2">
        <v>9.7515499999999999</v>
      </c>
      <c r="P536" s="2">
        <v>9.71265</v>
      </c>
      <c r="Q536" s="2">
        <v>9.75</v>
      </c>
      <c r="R536" s="2">
        <v>9.71265</v>
      </c>
      <c r="S536" s="2">
        <v>9.73</v>
      </c>
      <c r="T536" s="2">
        <v>9.7290500000000009</v>
      </c>
      <c r="U536" s="2">
        <v>9.71265</v>
      </c>
      <c r="V536" s="2">
        <v>9.71265</v>
      </c>
      <c r="W536" s="2">
        <v>9.73</v>
      </c>
      <c r="X536" s="2">
        <v>9.7290500000000009</v>
      </c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2"/>
      <c r="AL536" s="1"/>
      <c r="AM536" s="2"/>
      <c r="AO536" s="124">
        <v>44482</v>
      </c>
      <c r="AP536">
        <v>59.875</v>
      </c>
      <c r="AQ536">
        <v>60.125</v>
      </c>
      <c r="AR536">
        <v>59.875</v>
      </c>
      <c r="AS536">
        <v>60.125</v>
      </c>
      <c r="AT536">
        <v>60.125</v>
      </c>
      <c r="AU536">
        <v>60.125</v>
      </c>
      <c r="AV536">
        <v>60.125</v>
      </c>
      <c r="AW536">
        <v>60.125</v>
      </c>
      <c r="AX536">
        <v>60.125</v>
      </c>
      <c r="AY536">
        <v>60.125</v>
      </c>
      <c r="AZ536" s="7"/>
      <c r="BB536" s="124">
        <v>44482</v>
      </c>
      <c r="BC536" s="2">
        <v>9.75</v>
      </c>
      <c r="BD536" s="2">
        <v>9.7100000000000009</v>
      </c>
      <c r="BE536" s="2">
        <v>9.75</v>
      </c>
      <c r="BF536" s="2">
        <v>9.7100000000000009</v>
      </c>
      <c r="BG536" s="2">
        <v>9.73</v>
      </c>
      <c r="BH536" s="2">
        <v>9.73</v>
      </c>
      <c r="BI536" s="2">
        <v>9.7100000000000009</v>
      </c>
      <c r="BJ536" s="2">
        <v>9.7100000000000009</v>
      </c>
      <c r="BK536" s="2">
        <v>9.73</v>
      </c>
      <c r="BL536" s="2">
        <v>9.73</v>
      </c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2"/>
      <c r="BZ536" s="1"/>
      <c r="CA536" s="2"/>
    </row>
    <row r="537" spans="1:79" x14ac:dyDescent="0.2">
      <c r="A537" s="124">
        <v>44483</v>
      </c>
      <c r="B537">
        <v>61.255000000000003</v>
      </c>
      <c r="C537">
        <v>61.505000000000003</v>
      </c>
      <c r="D537">
        <v>61.255000000000003</v>
      </c>
      <c r="E537">
        <v>61.505000000000003</v>
      </c>
      <c r="F537">
        <v>61.613</v>
      </c>
      <c r="G537">
        <v>61.613</v>
      </c>
      <c r="H537">
        <v>61.505000000000003</v>
      </c>
      <c r="I537">
        <v>61.505000000000003</v>
      </c>
      <c r="J537">
        <v>61.613</v>
      </c>
      <c r="K537">
        <v>61.613</v>
      </c>
      <c r="L537" s="7"/>
      <c r="N537" s="124">
        <v>44483</v>
      </c>
      <c r="O537" s="2">
        <v>9.5431000000000008</v>
      </c>
      <c r="P537" s="2">
        <v>9.5052500000000002</v>
      </c>
      <c r="Q537" s="2">
        <v>9.5399999999999991</v>
      </c>
      <c r="R537" s="2">
        <v>9.5052500000000002</v>
      </c>
      <c r="S537" s="2">
        <v>9.5</v>
      </c>
      <c r="T537" s="2">
        <v>9.50535</v>
      </c>
      <c r="U537" s="2">
        <v>9.5052500000000002</v>
      </c>
      <c r="V537" s="2">
        <v>9.5052500000000002</v>
      </c>
      <c r="W537" s="2">
        <v>9.5</v>
      </c>
      <c r="X537" s="2">
        <v>9.50535</v>
      </c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2"/>
      <c r="AL537" s="1"/>
      <c r="AM537" s="2"/>
      <c r="AO537" s="124">
        <v>44483</v>
      </c>
      <c r="AP537">
        <v>61.255000000000003</v>
      </c>
      <c r="AQ537">
        <v>61.505000000000003</v>
      </c>
      <c r="AR537">
        <v>61.255000000000003</v>
      </c>
      <c r="AS537">
        <v>61.505000000000003</v>
      </c>
      <c r="AT537">
        <v>61.613</v>
      </c>
      <c r="AU537">
        <v>61.613</v>
      </c>
      <c r="AV537">
        <v>61.505000000000003</v>
      </c>
      <c r="AW537">
        <v>61.505000000000003</v>
      </c>
      <c r="AX537">
        <v>61.613</v>
      </c>
      <c r="AY537">
        <v>61.613</v>
      </c>
      <c r="AZ537" s="7"/>
      <c r="BB537" s="124">
        <v>44483</v>
      </c>
      <c r="BC537" s="2">
        <v>9.5399999999999991</v>
      </c>
      <c r="BD537" s="2">
        <v>9.5</v>
      </c>
      <c r="BE537" s="2">
        <v>9.5399999999999991</v>
      </c>
      <c r="BF537" s="2">
        <v>9.5</v>
      </c>
      <c r="BG537" s="2">
        <v>9.5</v>
      </c>
      <c r="BH537" s="2">
        <v>9.5</v>
      </c>
      <c r="BI537" s="2">
        <v>9.5</v>
      </c>
      <c r="BJ537" s="2">
        <v>9.5</v>
      </c>
      <c r="BK537" s="2">
        <v>9.5</v>
      </c>
      <c r="BL537" s="2">
        <v>9.5</v>
      </c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2"/>
      <c r="BZ537" s="1"/>
      <c r="CA537" s="2"/>
    </row>
    <row r="538" spans="1:79" x14ac:dyDescent="0.2">
      <c r="A538" s="124">
        <v>44484</v>
      </c>
      <c r="B538">
        <v>62</v>
      </c>
      <c r="C538">
        <v>62.25</v>
      </c>
      <c r="D538">
        <v>62</v>
      </c>
      <c r="E538">
        <v>62.25</v>
      </c>
      <c r="F538">
        <v>62.25</v>
      </c>
      <c r="G538">
        <v>62.25</v>
      </c>
      <c r="H538">
        <v>62.25</v>
      </c>
      <c r="I538">
        <v>62.25</v>
      </c>
      <c r="J538">
        <v>62.25</v>
      </c>
      <c r="K538">
        <v>62.25</v>
      </c>
      <c r="L538" s="7"/>
      <c r="N538" s="124">
        <v>44484</v>
      </c>
      <c r="O538" s="2">
        <v>9.4316499999999994</v>
      </c>
      <c r="P538" s="2">
        <v>9.3943499999999993</v>
      </c>
      <c r="Q538" s="2">
        <v>9.43</v>
      </c>
      <c r="R538" s="2">
        <v>9.3943499999999993</v>
      </c>
      <c r="S538" s="2">
        <v>9.41</v>
      </c>
      <c r="T538" s="2">
        <v>9.4108999999999998</v>
      </c>
      <c r="U538" s="2">
        <v>9.3943499999999993</v>
      </c>
      <c r="V538" s="2">
        <v>9.3943499999999993</v>
      </c>
      <c r="W538" s="2">
        <v>9.41</v>
      </c>
      <c r="X538" s="2">
        <v>9.4108999999999998</v>
      </c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2"/>
      <c r="AL538" s="1"/>
      <c r="AM538" s="2"/>
      <c r="AO538" s="124">
        <v>44484</v>
      </c>
      <c r="AP538">
        <v>62</v>
      </c>
      <c r="AQ538">
        <v>62.25</v>
      </c>
      <c r="AR538">
        <v>62</v>
      </c>
      <c r="AS538">
        <v>62.25</v>
      </c>
      <c r="AT538">
        <v>62.25</v>
      </c>
      <c r="AU538">
        <v>62.25</v>
      </c>
      <c r="AV538">
        <v>62.25</v>
      </c>
      <c r="AW538">
        <v>62.25</v>
      </c>
      <c r="AX538">
        <v>62.25</v>
      </c>
      <c r="AY538">
        <v>62.25</v>
      </c>
      <c r="AZ538" s="7"/>
      <c r="BB538" s="124">
        <v>44484</v>
      </c>
      <c r="BC538" s="2">
        <v>9.43</v>
      </c>
      <c r="BD538" s="2">
        <v>9.39</v>
      </c>
      <c r="BE538" s="2">
        <v>9.43</v>
      </c>
      <c r="BF538" s="2">
        <v>9.39</v>
      </c>
      <c r="BG538" s="2">
        <v>9.41</v>
      </c>
      <c r="BH538" s="2">
        <v>9.41</v>
      </c>
      <c r="BI538" s="2">
        <v>9.39</v>
      </c>
      <c r="BJ538" s="2">
        <v>9.39</v>
      </c>
      <c r="BK538" s="2">
        <v>9.41</v>
      </c>
      <c r="BL538" s="2">
        <v>9.41</v>
      </c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2"/>
      <c r="BZ538" s="1"/>
      <c r="CA538" s="2"/>
    </row>
  </sheetData>
  <mergeCells count="2">
    <mergeCell ref="A1:AM1"/>
    <mergeCell ref="AO1:C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README</vt:lpstr>
      <vt:lpstr>EBs List</vt:lpstr>
      <vt:lpstr>EBs NPVs</vt:lpstr>
      <vt:lpstr>Exchange Offer &amp; Results</vt:lpstr>
      <vt:lpstr>NBs List</vt:lpstr>
      <vt:lpstr>NBs NPVs</vt:lpstr>
      <vt:lpstr>EBs &amp; NBs Prices</vt:lpstr>
      <vt:lpstr>Eurobonds_NewBonds_price_hdcp</vt:lpstr>
      <vt:lpstr>Eurobonds_NewBonds_yield_hdcp</vt:lpstr>
      <vt:lpstr>Eurobonds_OldBonds_price_hdcp</vt:lpstr>
      <vt:lpstr>Eurobonds_OldBonds_yield_hdcp</vt:lpstr>
      <vt:lpstr>NYBonds_NewBonds_prices</vt:lpstr>
      <vt:lpstr>NYBonds_NewBonds_yields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Galli</dc:creator>
  <cp:lastModifiedBy>CARLO GALLI</cp:lastModifiedBy>
  <cp:lastPrinted>2023-06-02T14:36:28Z</cp:lastPrinted>
  <dcterms:created xsi:type="dcterms:W3CDTF">2022-12-21T15:30:13Z</dcterms:created>
  <dcterms:modified xsi:type="dcterms:W3CDTF">2026-07-07T16:06:25Z</dcterms:modified>
</cp:coreProperties>
</file>